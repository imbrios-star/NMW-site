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1b96786948641a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one Edits" sheetId="1" r:id="R1517fb5aa940467b"/>
    <x:sheet xmlns:r="http://schemas.openxmlformats.org/officeDocument/2006/relationships" name="Guide" sheetId="2" r:id="Rcb2e81f44fcb435b"/>
    <x:sheet xmlns:r="http://schemas.openxmlformats.org/officeDocument/2006/relationships" name="Summary" sheetId="3" r:id="R246adaa68848467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sz val="10"/>
      <x:color rgb="FF1D242B"/>
      <x:name val="Aptos"/>
    </x:font>
    <x:font>
      <x:b/>
      <x:sz val="10"/>
      <x:color rgb="FFFFFFFF"/>
      <x:name val="Aptos"/>
    </x:font>
    <x:font>
      <x:b/>
      <x:sz val="14"/>
      <x:color rgb="FFFFFFFF"/>
      <x:name val="Carlito"/>
    </x:font>
    <x:font>
      <x:b/>
      <x:sz val="11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5516A"/>
      </x:patternFill>
    </x:fill>
  </x:fills>
  <x:borders count="10">
    <x:border/>
    <x:border>
      <x:right style="thin">
        <x:color rgb="FFD9E0E6"/>
      </x:right>
      <x:bottom style="thin">
        <x:color rgb="FFD9E0E6"/>
      </x:bottom>
    </x:border>
    <x:border>
      <x:left style="thin">
        <x:color rgb="FFD9E0E6"/>
      </x:left>
      <x:right style="thin">
        <x:color rgb="FFD9E0E6"/>
      </x:right>
      <x:bottom style="thin">
        <x:color rgb="FFD9E0E6"/>
      </x:bottom>
    </x:border>
    <x:border>
      <x:left style="thin">
        <x:color rgb="FFD9E0E6"/>
      </x:left>
      <x:bottom style="thin">
        <x:color rgb="FFD9E0E6"/>
      </x:bottom>
    </x:border>
    <x:border>
      <x:right style="thin">
        <x:color rgb="FFD9E0E6"/>
      </x:right>
      <x:top style="thin">
        <x:color rgb="FFD9E0E6"/>
      </x:top>
      <x:bottom style="thin">
        <x:color rgb="FFD9E0E6"/>
      </x:bottom>
    </x:border>
    <x:border>
      <x:left style="thin">
        <x:color rgb="FFD9E0E6"/>
      </x:left>
      <x:right style="thin">
        <x:color rgb="FFD9E0E6"/>
      </x:right>
      <x:top style="thin">
        <x:color rgb="FFD9E0E6"/>
      </x:top>
      <x:bottom style="thin">
        <x:color rgb="FFD9E0E6"/>
      </x:bottom>
    </x:border>
    <x:border>
      <x:left style="thin">
        <x:color rgb="FFD9E0E6"/>
      </x:left>
      <x:top style="thin">
        <x:color rgb="FFD9E0E6"/>
      </x:top>
      <x:bottom style="thin">
        <x:color rgb="FFD9E0E6"/>
      </x:bottom>
    </x:border>
    <x:border>
      <x:right style="thin">
        <x:color rgb="FFD9E0E6"/>
      </x:right>
      <x:top style="thin">
        <x:color rgb="FFD9E0E6"/>
      </x:top>
    </x:border>
    <x:border>
      <x:left style="thin">
        <x:color rgb="FFD9E0E6"/>
      </x:left>
      <x:right style="thin">
        <x:color rgb="FFD9E0E6"/>
      </x:right>
      <x:top style="thin">
        <x:color rgb="FFD9E0E6"/>
      </x:top>
    </x:border>
    <x:border>
      <x:left style="thin">
        <x:color rgb="FFD9E0E6"/>
      </x:left>
      <x:top style="thin">
        <x:color rgb="FFD9E0E6"/>
      </x:top>
    </x:border>
  </x:borders>
  <x:cellStyleXfs count="1">
    <x:xf numFmtId="0" fontId="0" fillId="0" borderId="0"/>
  </x:cellStyleXfs>
  <x:cellXfs count="23">
    <x:xf numFmtId="0" fontId="0" fillId="0" borderId="0" xfId="0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0" borderId="2" xfId="0" applyNumberFormat="1" applyFont="1" applyFill="1" applyBorder="1"/>
    <x:xf numFmtId="0" fontId="1" fillId="0" borderId="3" xfId="0" applyNumberFormat="1" applyFont="1" applyFill="1" applyBorder="1"/>
    <x:xf numFmtId="0" fontId="1" fillId="0" borderId="4" xfId="0" applyNumberFormat="1" applyFont="1" applyFill="1" applyBorder="1"/>
    <x:xf numFmtId="0" fontId="1" fillId="0" borderId="5" xfId="0" applyNumberFormat="1" applyFont="1" applyFill="1" applyBorder="1"/>
    <x:xf numFmtId="0" fontId="1" fillId="0" borderId="6" xfId="0" applyNumberFormat="1" applyFont="1" applyFill="1" applyBorder="1"/>
    <x:xf numFmtId="0" fontId="1" fillId="0" borderId="7" xfId="0" applyNumberFormat="1" applyFont="1" applyFill="1" applyBorder="1"/>
    <x:xf numFmtId="0" fontId="1" fillId="0" borderId="8" xfId="0" applyNumberFormat="1" applyFont="1" applyFill="1" applyBorder="1"/>
    <x:xf numFmtId="0" fontId="1" fillId="0" borderId="9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2" fillId="2" borderId="1" xfId="0" applyNumberFormat="1" applyFont="1" applyFill="1" applyBorder="1"/>
    <x:xf numFmtId="0" fontId="2" fillId="2" borderId="2" xfId="0" applyNumberFormat="1" applyFont="1" applyFill="1" applyBorder="1"/>
    <x:xf numFmtId="0" fontId="2" fillId="2" borderId="3" xfId="0" applyNumberFormat="1" applyFont="1" applyFill="1" applyBorder="1"/>
    <x:xf numFmtId="0" fontId="2" fillId="2" borderId="2" xfId="0" applyNumberFormat="1" applyFont="1" applyFill="1" applyBorder="1" applyAlignment="1">
      <x:alignment wrapText="1"/>
    </x:xf>
    <x:xf numFmtId="0" fontId="2" fillId="2" borderId="3" xfId="0" applyNumberFormat="1" applyFont="1" applyFill="1" applyBorder="1" applyAlignment="1">
      <x:alignment wrapText="1"/>
    </x:xf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</x:cellXfs>
  <x:cellStyles count="1">
    <x:cellStyle name="Normal" xfId="0"/>
  </x:cellStyles>
  <x:dxfs count="1">
    <x:dxf>
      <x:font>
        <x:b/>
        <x:color rgb="FF9A5B00"/>
      </x:font>
      <x:fill>
        <x:patternFill patternType="solid">
          <x:bgColor rgb="FFFFF4D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b532c1d24de4302" /><Relationship Type="http://schemas.openxmlformats.org/officeDocument/2006/relationships/theme" Target="/xl/theme/theme1.xml" Id="R55dd048eb85c4484" /><Relationship Type="http://schemas.openxmlformats.org/officeDocument/2006/relationships/sharedStrings" Target="/xl/sharedStrings.xml" Id="R27dfb5f6d0f94f08" /><Relationship Type="http://schemas.openxmlformats.org/officeDocument/2006/relationships/worksheet" Target="/xl/worksheets/sheet1.xml" Id="R1517fb5aa940467b" /><Relationship Type="http://schemas.openxmlformats.org/officeDocument/2006/relationships/worksheet" Target="/xl/worksheets/sheet2.xml" Id="Rcb2e81f44fcb435b" /><Relationship Type="http://schemas.openxmlformats.org/officeDocument/2006/relationships/worksheet" Target="/xl/worksheets/sheet3.xml" Id="R246adaa68848467f" /></Relationships>
</file>

<file path=xl/tables/table1.xml><?xml version="1.0" encoding="utf-8"?>
<x:table xmlns:x="http://schemas.openxmlformats.org/spreadsheetml/2006/main" id="1" name="ToneEditsTable" displayName="ToneEditsTable" ref="A1:J4849" headerRowCount="1" totalsRowCount="0" totalsRowShown="0">
  <x:tableColumns count="10">
    <x:tableColumn id="1" name="Character"/>
    <x:tableColumn id="2" name="Chosen Tone"/>
    <x:tableColumn id="3" name="Review Status"/>
    <x:tableColumn id="4" name="Possible Source Tones"/>
    <x:tableColumn id="5" name="Readings"/>
    <x:tableColumn id="6" name="Source Row Count"/>
    <x:tableColumn id="7" name="Notes"/>
    <x:tableColumn id="8" name="Chosen Ping-Ze"/>
    <x:tableColumn id="9" name="Source Ping-Ze"/>
    <x:tableColumn id="10" name="Preliminary Sour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319ea493ef2459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8" hidden="0" customWidth="1"/>
    <x:col min="3" max="3" width="18" hidden="0" customWidth="1"/>
    <x:col min="4" max="4" width="18" hidden="0" customWidth="1"/>
    <x:col min="5" max="5" width="44" hidden="0" customWidth="1"/>
    <x:col min="6" max="6" width="16" hidden="0" customWidth="1"/>
    <x:col min="7" max="7" width="42" hidden="0" customWidth="1"/>
    <x:col min="8" max="8" width="18" hidden="0" customWidth="1"/>
    <x:col min="9" max="9" width="18" hidden="0" customWidth="1"/>
    <x:col min="10" max="10" width="26" hidden="0" customWidth="1"/>
  </x:cols>
  <x:sheetData>
    <x:row r="1">
      <x:c r="A1" s="14" t="str">
        <x:v>Character</x:v>
      </x:c>
      <x:c r="B1" s="15" t="str">
        <x:v>Chosen Tone</x:v>
      </x:c>
      <x:c r="C1" s="15" t="str">
        <x:v>Review Status</x:v>
      </x:c>
      <x:c r="D1" s="15" t="str">
        <x:v>Possible Source Tones</x:v>
      </x:c>
      <x:c r="E1" s="17" t="str">
        <x:v>Readings</x:v>
      </x:c>
      <x:c r="F1" s="17" t="str">
        <x:v>Source Row Count</x:v>
      </x:c>
      <x:c r="G1" s="17" t="str">
        <x:v>Notes</x:v>
      </x:c>
      <x:c r="H1" s="15" t="str">
        <x:v>Chosen Ping-Ze</x:v>
      </x:c>
      <x:c r="I1" s="15" t="str">
        <x:v>Source Ping-Ze</x:v>
      </x:c>
      <x:c r="J1" s="18" t="str">
        <x:v>Preliminary Source</x:v>
      </x:c>
    </x:row>
    <x:row r="2">
      <x:c r="A2" s="5" t="str">
        <x:v>㐱</x:v>
      </x:c>
      <x:c r="B2" s="6" t="str">
        <x:v>上</x:v>
      </x:c>
      <x:c r="C2" s="6" t="str">
        <x:f>IF(B2="","Needs decision","Ready")</x:f>
        <x:v>Ready</x:v>
      </x:c>
      <x:c r="D2" s="6" t="str">
        <x:v>上</x:v>
      </x:c>
      <x:c r="E2" s="6" t="str">
        <x:v>tsyinX (B)</x:v>
      </x:c>
      <x:c r="F2" s="6" t="str">
        <x:v>1</x:v>
      </x:c>
      <x:c r="G2" s="6" t="str"/>
      <x:c r="H2" s="6" t="str">
        <x:f>IF(B2="平","平",IF(B2="","","仄"))</x:f>
        <x:v>仄</x:v>
      </x:c>
      <x:c r="I2" s="6" t="str">
        <x:f>IF(D2="","",IF(AND(ISNUMBER(SEARCH("平",D2)),OR(ISNUMBER(SEARCH("上",D2)),ISNUMBER(SEARCH("去",D2)),ISNUMBER(SEARCH("入",D2)))),"Ambiguous",IF(ISNUMBER(SEARCH("平",D2)),"平","仄")))</x:f>
        <x:v>仄</x:v>
      </x:c>
      <x:c r="J2" s="7" t="str"/>
    </x:row>
    <x:row r="3">
      <x:c r="A3" s="5" t="str">
        <x:v>㓞</x:v>
      </x:c>
      <x:c r="B3" s="6" t="str">
        <x:v>入</x:v>
      </x:c>
      <x:c r="C3" s="6" t="str">
        <x:f>IF(B3="","Needs decision","Ready")</x:f>
        <x:v>Ready</x:v>
      </x:c>
      <x:c r="D3" s="6" t="str">
        <x:v>入</x:v>
      </x:c>
      <x:c r="E3" s="6" t="str">
        <x:v>kheat (D)</x:v>
      </x:c>
      <x:c r="F3" s="6" t="str">
        <x:v>1</x:v>
      </x:c>
      <x:c r="G3" s="6" t="str"/>
      <x:c r="H3" s="6" t="str">
        <x:f>IF(B3="平","平",IF(B3="","","仄"))</x:f>
        <x:v>仄</x:v>
      </x:c>
      <x:c r="I3" s="6" t="str">
        <x:f>IF(D3="","",IF(AND(ISNUMBER(SEARCH("平",D3)),OR(ISNUMBER(SEARCH("上",D3)),ISNUMBER(SEARCH("去",D3)),ISNUMBER(SEARCH("入",D3)))),"Ambiguous",IF(ISNUMBER(SEARCH("平",D3)),"平","仄")))</x:f>
        <x:v>仄</x:v>
      </x:c>
      <x:c r="J3" s="7" t="str"/>
    </x:row>
    <x:row r="4">
      <x:c r="A4" s="5" t="str">
        <x:v>㓠</x:v>
      </x:c>
      <x:c r="B4" s="6" t="str"/>
      <x:c r="C4" s="6" t="str">
        <x:f>IF(B4="","Needs decision","Ready")</x:f>
        <x:v>Needs decision</x:v>
      </x:c>
      <x:c r="D4" s="6" t="str">
        <x:v>上/去</x:v>
      </x:c>
      <x:c r="E4" s="6" t="str">
        <x:v>temX (B); temH (C)</x:v>
      </x:c>
      <x:c r="F4" s="6" t="str">
        <x:v>2</x:v>
      </x:c>
      <x:c r="G4" s="6" t="str"/>
      <x:c r="H4" s="6" t="str">
        <x:f>IF(B4="平","平",IF(B4="","","仄"))</x:f>
      </x:c>
      <x:c r="I4" s="6" t="str">
        <x:f>IF(D4="","",IF(AND(ISNUMBER(SEARCH("平",D4)),OR(ISNUMBER(SEARCH("上",D4)),ISNUMBER(SEARCH("去",D4)),ISNUMBER(SEARCH("入",D4)))),"Ambiguous",IF(ISNUMBER(SEARCH("平",D4)),"平","仄")))</x:f>
        <x:v>仄</x:v>
      </x:c>
      <x:c r="J4" s="7" t="str"/>
    </x:row>
    <x:row r="5">
      <x:c r="A5" s="5" t="str">
        <x:v>㓷</x:v>
      </x:c>
      <x:c r="B5" s="6" t="str">
        <x:v>去</x:v>
      </x:c>
      <x:c r="C5" s="6" t="str">
        <x:f>IF(B5="","Needs decision","Ready")</x:f>
        <x:v>Ready</x:v>
      </x:c>
      <x:c r="D5" s="6" t="str">
        <x:v>去</x:v>
      </x:c>
      <x:c r="E5" s="6" t="str">
        <x:v>ngjejH (C)</x:v>
      </x:c>
      <x:c r="F5" s="6" t="str">
        <x:v>1</x:v>
      </x:c>
      <x:c r="G5" s="6" t="str"/>
      <x:c r="H5" s="6" t="str">
        <x:f>IF(B5="平","平",IF(B5="","","仄"))</x:f>
        <x:v>仄</x:v>
      </x:c>
      <x:c r="I5" s="6" t="str">
        <x:f>IF(D5="","",IF(AND(ISNUMBER(SEARCH("平",D5)),OR(ISNUMBER(SEARCH("上",D5)),ISNUMBER(SEARCH("去",D5)),ISNUMBER(SEARCH("入",D5)))),"Ambiguous",IF(ISNUMBER(SEARCH("平",D5)),"平","仄")))</x:f>
        <x:v>仄</x:v>
      </x:c>
      <x:c r="J5" s="7" t="str"/>
    </x:row>
    <x:row r="6">
      <x:c r="A6" s="5" t="str">
        <x:v>㔩</x:v>
      </x:c>
      <x:c r="B6" s="6" t="str">
        <x:v>入</x:v>
      </x:c>
      <x:c r="C6" s="6" t="str">
        <x:f>IF(B6="","Needs decision","Ready")</x:f>
        <x:v>Ready</x:v>
      </x:c>
      <x:c r="D6" s="6" t="str">
        <x:v>入</x:v>
      </x:c>
      <x:c r="E6" s="6" t="str">
        <x:v>'op [ʔ̙əp] (入)</x:v>
      </x:c>
      <x:c r="F6" s="6" t="str">
        <x:v>1</x:v>
      </x:c>
      <x:c r="G6" s="6" t="str">
        <x:v>Tang 300 gap; frequency 1; provisional from Xun Gong</x:v>
      </x:c>
      <x:c r="H6" s="6" t="str">
        <x:f>IF(B6="平","平",IF(B6="","","仄"))</x:f>
        <x:v>仄</x:v>
      </x:c>
      <x:c r="I6" s="6" t="str">
        <x:f>IF(D6="","",IF(AND(ISNUMBER(SEARCH("平",D6)),OR(ISNUMBER(SEARCH("上",D6)),ISNUMBER(SEARCH("去",D6)),ISNUMBER(SEARCH("入",D6)))),"Ambiguous",IF(ISNUMBER(SEARCH("平",D6)),"平","仄")))</x:f>
        <x:v>仄</x:v>
      </x:c>
      <x:c r="J6" s="7" t="str">
        <x:v>Xun Gong, Tang 300 gap fill</x:v>
      </x:c>
    </x:row>
    <x:row r="7">
      <x:c r="A7" s="5" t="str">
        <x:v>㕚</x:v>
      </x:c>
      <x:c r="B7" s="6" t="str">
        <x:v>上</x:v>
      </x:c>
      <x:c r="C7" s="6" t="str">
        <x:f>IF(B7="","Needs decision","Ready")</x:f>
        <x:v>Ready</x:v>
      </x:c>
      <x:c r="D7" s="6" t="str">
        <x:v>上</x:v>
      </x:c>
      <x:c r="E7" s="6" t="str">
        <x:v>tsraewX (B)</x:v>
      </x:c>
      <x:c r="F7" s="6" t="str">
        <x:v>1</x:v>
      </x:c>
      <x:c r="G7" s="6" t="str"/>
      <x:c r="H7" s="6" t="str">
        <x:f>IF(B7="平","平",IF(B7="","","仄"))</x:f>
        <x:v>仄</x:v>
      </x:c>
      <x:c r="I7" s="6" t="str">
        <x:f>IF(D7="","",IF(AND(ISNUMBER(SEARCH("平",D7)),OR(ISNUMBER(SEARCH("上",D7)),ISNUMBER(SEARCH("去",D7)),ISNUMBER(SEARCH("入",D7)))),"Ambiguous",IF(ISNUMBER(SEARCH("平",D7)),"平","仄")))</x:f>
        <x:v>仄</x:v>
      </x:c>
      <x:c r="J7" s="7" t="str"/>
    </x:row>
    <x:row r="8">
      <x:c r="A8" s="5" t="str">
        <x:v>㘣</x:v>
      </x:c>
      <x:c r="B8" s="6" t="str">
        <x:v>平</x:v>
      </x:c>
      <x:c r="C8" s="6" t="str">
        <x:f>IF(B8="","Needs decision","Ready")</x:f>
        <x:v>Ready</x:v>
      </x:c>
      <x:c r="D8" s="6" t="str">
        <x:v>平</x:v>
      </x:c>
      <x:c r="E8" s="6" t="str">
        <x:v>zjwen (A)</x:v>
      </x:c>
      <x:c r="F8" s="6" t="str">
        <x:v>1</x:v>
      </x:c>
      <x:c r="G8" s="6" t="str"/>
      <x:c r="H8" s="6" t="str">
        <x:f>IF(B8="平","平",IF(B8="","","仄"))</x:f>
        <x:v>平</x:v>
      </x:c>
      <x:c r="I8" s="6" t="str">
        <x:f>IF(D8="","",IF(AND(ISNUMBER(SEARCH("平",D8)),OR(ISNUMBER(SEARCH("上",D8)),ISNUMBER(SEARCH("去",D8)),ISNUMBER(SEARCH("入",D8)))),"Ambiguous",IF(ISNUMBER(SEARCH("平",D8)),"平","仄")))</x:f>
        <x:v>平</x:v>
      </x:c>
      <x:c r="J8" s="7" t="str"/>
    </x:row>
    <x:row r="9">
      <x:c r="A9" s="5" t="str">
        <x:v>㝌</x:v>
      </x:c>
      <x:c r="B9" s="6" t="str">
        <x:v>去</x:v>
      </x:c>
      <x:c r="C9" s="6" t="str">
        <x:f>IF(B9="","Needs decision","Ready")</x:f>
        <x:v>Ready</x:v>
      </x:c>
      <x:c r="D9" s="6" t="str">
        <x:v>去</x:v>
      </x:c>
      <x:c r="E9" s="6" t="str">
        <x:v>kjuwH (C)</x:v>
      </x:c>
      <x:c r="F9" s="6" t="str">
        <x:v>1</x:v>
      </x:c>
      <x:c r="G9" s="6" t="str"/>
      <x:c r="H9" s="6" t="str">
        <x:f>IF(B9="平","平",IF(B9="","","仄"))</x:f>
        <x:v>仄</x:v>
      </x:c>
      <x:c r="I9" s="6" t="str">
        <x:f>IF(D9="","",IF(AND(ISNUMBER(SEARCH("平",D9)),OR(ISNUMBER(SEARCH("上",D9)),ISNUMBER(SEARCH("去",D9)),ISNUMBER(SEARCH("入",D9)))),"Ambiguous",IF(ISNUMBER(SEARCH("平",D9)),"平","仄")))</x:f>
        <x:v>仄</x:v>
      </x:c>
      <x:c r="J9" s="7" t="str"/>
    </x:row>
    <x:row r="10">
      <x:c r="A10" s="5" t="str">
        <x:v>㝐</x:v>
      </x:c>
      <x:c r="B10" s="6" t="str">
        <x:v>平</x:v>
      </x:c>
      <x:c r="C10" s="6" t="str">
        <x:f>IF(B10="","Needs decision","Ready")</x:f>
        <x:v>Ready</x:v>
      </x:c>
      <x:c r="D10" s="6" t="str">
        <x:v>平</x:v>
      </x:c>
      <x:c r="E10" s="6" t="str">
        <x:v>yowng (A)</x:v>
      </x:c>
      <x:c r="F10" s="6" t="str">
        <x:v>1</x:v>
      </x:c>
      <x:c r="G10" s="6" t="str"/>
      <x:c r="H10" s="6" t="str">
        <x:f>IF(B10="平","平",IF(B10="","","仄"))</x:f>
        <x:v>平</x:v>
      </x:c>
      <x:c r="I10" s="6" t="str">
        <x:f>IF(D10="","",IF(AND(ISNUMBER(SEARCH("平",D10)),OR(ISNUMBER(SEARCH("上",D10)),ISNUMBER(SEARCH("去",D10)),ISNUMBER(SEARCH("入",D10)))),"Ambiguous",IF(ISNUMBER(SEARCH("平",D10)),"平","仄")))</x:f>
        <x:v>平</x:v>
      </x:c>
      <x:c r="J10" s="7" t="str"/>
    </x:row>
    <x:row r="11">
      <x:c r="A11" s="5" t="str">
        <x:v>㝢</x:v>
      </x:c>
      <x:c r="B11" s="6" t="str">
        <x:v>上</x:v>
      </x:c>
      <x:c r="C11" s="6" t="str">
        <x:f>IF(B11="","Needs decision","Ready")</x:f>
        <x:v>Ready</x:v>
      </x:c>
      <x:c r="D11" s="6" t="str">
        <x:v>上</x:v>
      </x:c>
      <x:c r="E11" s="6" t="str"/>
      <x:c r="F11" s="6" t="str"/>
      <x:c r="G11" s="6" t="str">
        <x:v>Manual user correction/addition</x:v>
      </x:c>
      <x:c r="H11" s="6" t="str">
        <x:f>IF(B11="平","平",IF(B11="","","仄"))</x:f>
        <x:v>仄</x:v>
      </x:c>
      <x:c r="I11" s="6" t="str">
        <x:f>IF(D11="","",IF(AND(ISNUMBER(SEARCH("平",D11)),OR(ISNUMBER(SEARCH("上",D11)),ISNUMBER(SEARCH("去",D11)),ISNUMBER(SEARCH("入",D11)))),"Ambiguous",IF(ISNUMBER(SEARCH("平",D11)),"平","仄")))</x:f>
        <x:v>仄</x:v>
      </x:c>
      <x:c r="J11" s="7" t="str">
        <x:v>manual user correction</x:v>
      </x:c>
    </x:row>
    <x:row r="12">
      <x:c r="A12" s="5" t="str">
        <x:v>㟪</x:v>
      </x:c>
      <x:c r="B12" s="6" t="str">
        <x:v>上</x:v>
      </x:c>
      <x:c r="C12" s="6" t="str">
        <x:f>IF(B12="","Needs decision","Ready")</x:f>
        <x:v>Ready</x:v>
      </x:c>
      <x:c r="D12" s="6" t="str">
        <x:v>上</x:v>
      </x:c>
      <x:c r="E12" s="6" t="str"/>
      <x:c r="F12" s="6" t="str"/>
      <x:c r="G12" s="6" t="str">
        <x:v>Not found in Xun Gong source; needs manual lookup; User workbook edit 2026-09-03</x:v>
      </x:c>
      <x:c r="H12" s="6" t="str">
        <x:f>IF(B12="平","平",IF(B12="","","仄"))</x:f>
        <x:v>仄</x:v>
      </x:c>
      <x:c r="I12" s="6" t="str">
        <x:f>IF(D12="","",IF(AND(ISNUMBER(SEARCH("平",D12)),OR(ISNUMBER(SEARCH("上",D12)),ISNUMBER(SEARCH("去",D12)),ISNUMBER(SEARCH("入",D12)))),"Ambiguous",IF(ISNUMBER(SEARCH("平",D12)),"平","仄")))</x:f>
        <x:v>仄</x:v>
      </x:c>
      <x:c r="J12" s="7" t="str">
        <x:v>manual user correction</x:v>
      </x:c>
    </x:row>
    <x:row r="13">
      <x:c r="A13" s="5" t="str">
        <x:v>㠯</x:v>
      </x:c>
      <x:c r="B13" s="6" t="str">
        <x:v>上</x:v>
      </x:c>
      <x:c r="C13" s="6" t="str">
        <x:f>IF(B13="","Needs decision","Ready")</x:f>
        <x:v>Ready</x:v>
      </x:c>
      <x:c r="D13" s="6" t="str">
        <x:v>上</x:v>
      </x:c>
      <x:c r="E13" s="6" t="str">
        <x:v>yiX (B)</x:v>
      </x:c>
      <x:c r="F13" s="6" t="str">
        <x:v>1</x:v>
      </x:c>
      <x:c r="G13" s="6" t="str"/>
      <x:c r="H13" s="6" t="str">
        <x:f>IF(B13="平","平",IF(B13="","","仄"))</x:f>
        <x:v>仄</x:v>
      </x:c>
      <x:c r="I13" s="6" t="str">
        <x:f>IF(D13="","",IF(AND(ISNUMBER(SEARCH("平",D13)),OR(ISNUMBER(SEARCH("上",D13)),ISNUMBER(SEARCH("去",D13)),ISNUMBER(SEARCH("入",D13)))),"Ambiguous",IF(ISNUMBER(SEARCH("平",D13)),"平","仄")))</x:f>
        <x:v>仄</x:v>
      </x:c>
      <x:c r="J13" s="7" t="str"/>
    </x:row>
    <x:row r="14">
      <x:c r="A14" s="5" t="str">
        <x:v>㡿</x:v>
      </x:c>
      <x:c r="B14" s="6" t="str">
        <x:v>入</x:v>
      </x:c>
      <x:c r="C14" s="6" t="str">
        <x:f>IF(B14="","Needs decision","Ready")</x:f>
        <x:v>Ready</x:v>
      </x:c>
      <x:c r="D14" s="6" t="str">
        <x:v>入</x:v>
      </x:c>
      <x:c r="E14" s="6" t="str">
        <x:v>tsyhek (D)</x:v>
      </x:c>
      <x:c r="F14" s="6" t="str">
        <x:v>1</x:v>
      </x:c>
      <x:c r="G14" s="6" t="str"/>
      <x:c r="H14" s="6" t="str">
        <x:f>IF(B14="平","平",IF(B14="","","仄"))</x:f>
        <x:v>仄</x:v>
      </x:c>
      <x:c r="I14" s="6" t="str">
        <x:f>IF(D14="","",IF(AND(ISNUMBER(SEARCH("平",D14)),OR(ISNUMBER(SEARCH("上",D14)),ISNUMBER(SEARCH("去",D14)),ISNUMBER(SEARCH("入",D14)))),"Ambiguous",IF(ISNUMBER(SEARCH("平",D14)),"平","仄")))</x:f>
        <x:v>仄</x:v>
      </x:c>
      <x:c r="J14" s="7" t="str"/>
    </x:row>
    <x:row r="15">
      <x:c r="A15" s="5" t="str">
        <x:v>㦤</x:v>
      </x:c>
      <x:c r="B15" s="6" t="str">
        <x:v>去</x:v>
      </x:c>
      <x:c r="C15" s="6" t="str">
        <x:f>IF(B15="","Needs decision","Ready")</x:f>
        <x:v>Ready</x:v>
      </x:c>
      <x:c r="D15" s="6" t="str">
        <x:v>去</x:v>
      </x:c>
      <x:c r="E15" s="6" t="str">
        <x:v>'ijH (C)</x:v>
      </x:c>
      <x:c r="F15" s="6" t="str">
        <x:v>1</x:v>
      </x:c>
      <x:c r="G15" s="6" t="str"/>
      <x:c r="H15" s="6" t="str">
        <x:f>IF(B15="平","平",IF(B15="","","仄"))</x:f>
        <x:v>仄</x:v>
      </x:c>
      <x:c r="I15" s="6" t="str">
        <x:f>IF(D15="","",IF(AND(ISNUMBER(SEARCH("平",D15)),OR(ISNUMBER(SEARCH("上",D15)),ISNUMBER(SEARCH("去",D15)),ISNUMBER(SEARCH("入",D15)))),"Ambiguous",IF(ISNUMBER(SEARCH("平",D15)),"平","仄")))</x:f>
        <x:v>仄</x:v>
      </x:c>
      <x:c r="J15" s="7" t="str"/>
    </x:row>
    <x:row r="16">
      <x:c r="A16" s="5" t="str">
        <x:v>㫃</x:v>
      </x:c>
      <x:c r="B16" s="6" t="str">
        <x:v>上</x:v>
      </x:c>
      <x:c r="C16" s="6" t="str">
        <x:f>IF(B16="","Needs decision","Ready")</x:f>
        <x:v>Ready</x:v>
      </x:c>
      <x:c r="D16" s="6" t="str">
        <x:v>上</x:v>
      </x:c>
      <x:c r="E16" s="6" t="str">
        <x:v>'jonX (B)</x:v>
      </x:c>
      <x:c r="F16" s="6" t="str">
        <x:v>1</x:v>
      </x:c>
      <x:c r="G16" s="6" t="str"/>
      <x:c r="H16" s="6" t="str">
        <x:f>IF(B16="平","平",IF(B16="","","仄"))</x:f>
        <x:v>仄</x:v>
      </x:c>
      <x:c r="I16" s="6" t="str">
        <x:f>IF(D16="","",IF(AND(ISNUMBER(SEARCH("平",D16)),OR(ISNUMBER(SEARCH("上",D16)),ISNUMBER(SEARCH("去",D16)),ISNUMBER(SEARCH("入",D16)))),"Ambiguous",IF(ISNUMBER(SEARCH("平",D16)),"平","仄")))</x:f>
        <x:v>仄</x:v>
      </x:c>
      <x:c r="J16" s="7" t="str"/>
    </x:row>
    <x:row r="17">
      <x:c r="A17" s="5" t="str">
        <x:v>㬰</x:v>
      </x:c>
      <x:c r="B17" s="6" t="str">
        <x:v>去</x:v>
      </x:c>
      <x:c r="C17" s="6" t="str">
        <x:f>IF(B17="","Needs decision","Ready")</x:f>
        <x:v>Ready</x:v>
      </x:c>
      <x:c r="D17" s="6" t="str">
        <x:v>去</x:v>
      </x:c>
      <x:c r="E17" s="6" t="str">
        <x:v>gwijH (C)</x:v>
      </x:c>
      <x:c r="F17" s="6" t="str">
        <x:v>1</x:v>
      </x:c>
      <x:c r="G17" s="6" t="str"/>
      <x:c r="H17" s="6" t="str">
        <x:f>IF(B17="平","平",IF(B17="","","仄"))</x:f>
        <x:v>仄</x:v>
      </x:c>
      <x:c r="I17" s="6" t="str">
        <x:f>IF(D17="","",IF(AND(ISNUMBER(SEARCH("平",D17)),OR(ISNUMBER(SEARCH("上",D17)),ISNUMBER(SEARCH("去",D17)),ISNUMBER(SEARCH("入",D17)))),"Ambiguous",IF(ISNUMBER(SEARCH("平",D17)),"平","仄")))</x:f>
        <x:v>仄</x:v>
      </x:c>
      <x:c r="J17" s="7" t="str"/>
    </x:row>
    <x:row r="18">
      <x:c r="A18" s="5" t="str">
        <x:v>㯔</x:v>
      </x:c>
      <x:c r="B18" s="6" t="str">
        <x:v>去</x:v>
      </x:c>
      <x:c r="C18" s="6" t="str">
        <x:f>IF(B18="","Needs decision","Ready")</x:f>
        <x:v>Ready</x:v>
      </x:c>
      <x:c r="D18" s="6" t="str">
        <x:v>去</x:v>
      </x:c>
      <x:c r="E18" s="6" t="str">
        <x:v>tsrhjwejH (C)</x:v>
      </x:c>
      <x:c r="F18" s="6" t="str">
        <x:v>1</x:v>
      </x:c>
      <x:c r="G18" s="6" t="str"/>
      <x:c r="H18" s="6" t="str">
        <x:f>IF(B18="平","平",IF(B18="","","仄"))</x:f>
        <x:v>仄</x:v>
      </x:c>
      <x:c r="I18" s="6" t="str">
        <x:f>IF(D18="","",IF(AND(ISNUMBER(SEARCH("平",D18)),OR(ISNUMBER(SEARCH("上",D18)),ISNUMBER(SEARCH("去",D18)),ISNUMBER(SEARCH("入",D18)))),"Ambiguous",IF(ISNUMBER(SEARCH("平",D18)),"平","仄")))</x:f>
        <x:v>仄</x:v>
      </x:c>
      <x:c r="J18" s="7" t="str"/>
    </x:row>
    <x:row r="19">
      <x:c r="A19" s="5" t="str">
        <x:v>㯟</x:v>
      </x:c>
      <x:c r="B19" s="6" t="str">
        <x:v>入</x:v>
      </x:c>
      <x:c r="C19" s="6" t="str">
        <x:f>IF(B19="","Needs decision","Ready")</x:f>
        <x:v>Ready</x:v>
      </x:c>
      <x:c r="D19" s="6" t="str">
        <x:v>入</x:v>
      </x:c>
      <x:c r="E19" s="6" t="str">
        <x:v>luwk (D)</x:v>
      </x:c>
      <x:c r="F19" s="6" t="str">
        <x:v>1</x:v>
      </x:c>
      <x:c r="G19" s="6" t="str"/>
      <x:c r="H19" s="6" t="str">
        <x:f>IF(B19="平","平",IF(B19="","","仄"))</x:f>
        <x:v>仄</x:v>
      </x:c>
      <x:c r="I19" s="6" t="str">
        <x:f>IF(D19="","",IF(AND(ISNUMBER(SEARCH("平",D19)),OR(ISNUMBER(SEARCH("上",D19)),ISNUMBER(SEARCH("去",D19)),ISNUMBER(SEARCH("入",D19)))),"Ambiguous",IF(ISNUMBER(SEARCH("平",D19)),"平","仄")))</x:f>
        <x:v>仄</x:v>
      </x:c>
      <x:c r="J19" s="7" t="str"/>
    </x:row>
    <x:row r="20">
      <x:c r="A20" s="5" t="str">
        <x:v>㳄</x:v>
      </x:c>
      <x:c r="B20" s="6" t="str">
        <x:v>平</x:v>
      </x:c>
      <x:c r="C20" s="6" t="str">
        <x:f>IF(B20="","Needs decision","Ready")</x:f>
        <x:v>Ready</x:v>
      </x:c>
      <x:c r="D20" s="6" t="str">
        <x:v>平</x:v>
      </x:c>
      <x:c r="E20" s="6" t="str">
        <x:v>zjen (A)</x:v>
      </x:c>
      <x:c r="F20" s="6" t="str">
        <x:v>1</x:v>
      </x:c>
      <x:c r="G20" s="6" t="str"/>
      <x:c r="H20" s="6" t="str">
        <x:f>IF(B20="平","平",IF(B20="","","仄"))</x:f>
        <x:v>平</x:v>
      </x:c>
      <x:c r="I20" s="6" t="str">
        <x:f>IF(D20="","",IF(AND(ISNUMBER(SEARCH("平",D20)),OR(ISNUMBER(SEARCH("上",D20)),ISNUMBER(SEARCH("去",D20)),ISNUMBER(SEARCH("入",D20)))),"Ambiguous",IF(ISNUMBER(SEARCH("平",D20)),"平","仄")))</x:f>
        <x:v>平</x:v>
      </x:c>
      <x:c r="J20" s="7" t="str"/>
    </x:row>
    <x:row r="21">
      <x:c r="A21" s="5" t="str">
        <x:v>㴑</x:v>
      </x:c>
      <x:c r="B21" s="6" t="str">
        <x:v>去</x:v>
      </x:c>
      <x:c r="C21" s="6" t="str">
        <x:f>IF(B21="","Needs decision","Ready")</x:f>
        <x:v>Ready</x:v>
      </x:c>
      <x:c r="D21" s="6" t="str">
        <x:v>去</x:v>
      </x:c>
      <x:c r="E21" s="6" t="str">
        <x:v>suH (C)</x:v>
      </x:c>
      <x:c r="F21" s="6" t="str">
        <x:v>1</x:v>
      </x:c>
      <x:c r="G21" s="6" t="str"/>
      <x:c r="H21" s="6" t="str">
        <x:f>IF(B21="平","平",IF(B21="","","仄"))</x:f>
        <x:v>仄</x:v>
      </x:c>
      <x:c r="I21" s="6" t="str">
        <x:f>IF(D21="","",IF(AND(ISNUMBER(SEARCH("平",D21)),OR(ISNUMBER(SEARCH("上",D21)),ISNUMBER(SEARCH("去",D21)),ISNUMBER(SEARCH("入",D21)))),"Ambiguous",IF(ISNUMBER(SEARCH("平",D21)),"平","仄")))</x:f>
        <x:v>仄</x:v>
      </x:c>
      <x:c r="J21" s="7" t="str"/>
    </x:row>
    <x:row r="22">
      <x:c r="A22" s="5" t="str">
        <x:v>㵎</x:v>
      </x:c>
      <x:c r="B22" s="6" t="str">
        <x:v>去</x:v>
      </x:c>
      <x:c r="C22" s="6" t="str">
        <x:f>IF(B22="","Needs decision","Ready")</x:f>
        <x:v>Ready</x:v>
      </x:c>
      <x:c r="D22" s="6" t="str">
        <x:v>去</x:v>
      </x:c>
      <x:c r="E22" s="6" t="str"/>
      <x:c r="F22" s="6" t="str"/>
      <x:c r="G22" s="6" t="str">
        <x:v>Manual user correction/addition</x:v>
      </x:c>
      <x:c r="H22" s="6" t="str">
        <x:f>IF(B22="平","平",IF(B22="","","仄"))</x:f>
        <x:v>仄</x:v>
      </x:c>
      <x:c r="I22" s="6" t="str">
        <x:v>仄</x:v>
      </x:c>
      <x:c r="J22" s="7" t="str">
        <x:v>manual user correction</x:v>
      </x:c>
    </x:row>
    <x:row r="23">
      <x:c r="A23" s="5" t="str">
        <x:v>㷉</x:v>
      </x:c>
      <x:c r="B23" s="6" t="str">
        <x:v>去</x:v>
      </x:c>
      <x:c r="C23" s="6" t="str">
        <x:f>IF(B23="","Needs decision","Ready")</x:f>
        <x:v>Ready</x:v>
      </x:c>
      <x:c r="D23" s="6" t="str">
        <x:v>去</x:v>
      </x:c>
      <x:c r="E23" s="6" t="str">
        <x:v>'jw+jH (C)</x:v>
      </x:c>
      <x:c r="F23" s="6" t="str">
        <x:v>1</x:v>
      </x:c>
      <x:c r="G23" s="6" t="str"/>
      <x:c r="H23" s="6" t="str">
        <x:f>IF(B23="平","平",IF(B23="","","仄"))</x:f>
        <x:v>仄</x:v>
      </x:c>
      <x:c r="I23" s="6" t="str">
        <x:f>IF(D22="","",IF(AND(ISNUMBER(SEARCH("平",D22)),OR(ISNUMBER(SEARCH("上",D22)),ISNUMBER(SEARCH("去",D22)),ISNUMBER(SEARCH("入",D22)))),"Ambiguous",IF(ISNUMBER(SEARCH("平",D22)),"平","仄")))</x:f>
        <x:v>仄</x:v>
      </x:c>
      <x:c r="J23" s="7" t="str"/>
    </x:row>
    <x:row r="24">
      <x:c r="A24" s="5" t="str">
        <x:v>㸐</x:v>
      </x:c>
      <x:c r="B24" s="6" t="str">
        <x:v>平</x:v>
      </x:c>
      <x:c r="C24" s="6" t="str">
        <x:f>IF(B24="","Needs decision","Ready")</x:f>
        <x:v>Ready</x:v>
      </x:c>
      <x:c r="D24" s="6" t="str">
        <x:v>平</x:v>
      </x:c>
      <x:c r="E24" s="6" t="str">
        <x:v>nyen (A)</x:v>
      </x:c>
      <x:c r="F24" s="6" t="str">
        <x:v>1</x:v>
      </x:c>
      <x:c r="G24" s="6" t="str"/>
      <x:c r="H24" s="6" t="str">
        <x:f>IF(B24="平","平",IF(B24="","","仄"))</x:f>
        <x:v>平</x:v>
      </x:c>
      <x:c r="I24" s="6" t="str">
        <x:f>IF(D23="","",IF(AND(ISNUMBER(SEARCH("平",D23)),OR(ISNUMBER(SEARCH("上",D23)),ISNUMBER(SEARCH("去",D23)),ISNUMBER(SEARCH("入",D23)))),"Ambiguous",IF(ISNUMBER(SEARCH("平",D23)),"平","仄")))</x:f>
        <x:v>仄</x:v>
      </x:c>
      <x:c r="J24" s="7" t="str"/>
    </x:row>
    <x:row r="25">
      <x:c r="A25" s="5" t="str">
        <x:v>㸒</x:v>
      </x:c>
      <x:c r="B25" s="6" t="str">
        <x:v>平</x:v>
      </x:c>
      <x:c r="C25" s="6" t="str">
        <x:f>IF(B25="","Needs decision","Ready")</x:f>
        <x:v>Ready</x:v>
      </x:c>
      <x:c r="D25" s="6" t="str">
        <x:v>平</x:v>
      </x:c>
      <x:c r="E25" s="6" t="str">
        <x:v>yim (A)</x:v>
      </x:c>
      <x:c r="F25" s="6" t="str">
        <x:v>1</x:v>
      </x:c>
      <x:c r="G25" s="6" t="str"/>
      <x:c r="H25" s="6" t="str">
        <x:f>IF(B25="平","平",IF(B25="","","仄"))</x:f>
        <x:v>平</x:v>
      </x:c>
      <x:c r="I25" s="6" t="str">
        <x:f>IF(D24="","",IF(AND(ISNUMBER(SEARCH("平",D24)),OR(ISNUMBER(SEARCH("上",D24)),ISNUMBER(SEARCH("去",D24)),ISNUMBER(SEARCH("入",D24)))),"Ambiguous",IF(ISNUMBER(SEARCH("平",D24)),"平","仄")))</x:f>
        <x:v>平</x:v>
      </x:c>
      <x:c r="J25" s="7" t="str"/>
    </x:row>
    <x:row r="26">
      <x:c r="A26" s="5" t="str">
        <x:v>㼜</x:v>
      </x:c>
      <x:c r="B26" s="6" t="str">
        <x:v>去</x:v>
      </x:c>
      <x:c r="C26" s="6" t="str">
        <x:f>IF(B26="","Needs decision","Ready")</x:f>
        <x:v>Ready</x:v>
      </x:c>
      <x:c r="D26" s="6" t="str">
        <x:v>去</x:v>
      </x:c>
      <x:c r="E26" s="6" t="str">
        <x:v>'angH (C)</x:v>
      </x:c>
      <x:c r="F26" s="6" t="str">
        <x:v>1</x:v>
      </x:c>
      <x:c r="G26" s="6" t="str"/>
      <x:c r="H26" s="6" t="str">
        <x:f>IF(B26="平","平",IF(B26="","","仄"))</x:f>
        <x:v>仄</x:v>
      </x:c>
      <x:c r="I26" s="6" t="str">
        <x:f>IF(D25="","",IF(AND(ISNUMBER(SEARCH("平",D25)),OR(ISNUMBER(SEARCH("上",D25)),ISNUMBER(SEARCH("去",D25)),ISNUMBER(SEARCH("入",D25)))),"Ambiguous",IF(ISNUMBER(SEARCH("平",D25)),"平","仄")))</x:f>
        <x:v>平</x:v>
      </x:c>
      <x:c r="J26" s="7" t="str"/>
    </x:row>
    <x:row r="27">
      <x:c r="A27" s="5" t="str">
        <x:v>䀠</x:v>
      </x:c>
      <x:c r="B27" s="6" t="str">
        <x:v>去</x:v>
      </x:c>
      <x:c r="C27" s="6" t="str">
        <x:f>IF(B27="","Needs decision","Ready")</x:f>
        <x:v>Ready</x:v>
      </x:c>
      <x:c r="D27" s="6" t="str">
        <x:v>去</x:v>
      </x:c>
      <x:c r="E27" s="6" t="str">
        <x:v>kjuH (C)</x:v>
      </x:c>
      <x:c r="F27" s="6" t="str">
        <x:v>1</x:v>
      </x:c>
      <x:c r="G27" s="6" t="str"/>
      <x:c r="H27" s="6" t="str">
        <x:f>IF(B27="平","平",IF(B27="","","仄"))</x:f>
        <x:v>仄</x:v>
      </x:c>
      <x:c r="I27" s="6" t="str">
        <x:f>IF(D26="","",IF(AND(ISNUMBER(SEARCH("平",D26)),OR(ISNUMBER(SEARCH("上",D26)),ISNUMBER(SEARCH("去",D26)),ISNUMBER(SEARCH("入",D26)))),"Ambiguous",IF(ISNUMBER(SEARCH("平",D26)),"平","仄")))</x:f>
        <x:v>仄</x:v>
      </x:c>
      <x:c r="J27" s="7" t="str"/>
    </x:row>
    <x:row r="28">
      <x:c r="A28" s="5" t="str">
        <x:v>䄟</x:v>
      </x:c>
      <x:c r="B28" s="6" t="str">
        <x:v>去</x:v>
      </x:c>
      <x:c r="C28" s="6" t="str">
        <x:f>IF(B28="","Needs decision","Ready")</x:f>
        <x:v>Ready</x:v>
      </x:c>
      <x:c r="D28" s="6" t="str">
        <x:v>去</x:v>
      </x:c>
      <x:c r="E28" s="6" t="str">
        <x:v>tshjwejH (C)</x:v>
      </x:c>
      <x:c r="F28" s="6" t="str">
        <x:v>1</x:v>
      </x:c>
      <x:c r="G28" s="6" t="str"/>
      <x:c r="H28" s="6" t="str">
        <x:f>IF(B28="平","平",IF(B28="","","仄"))</x:f>
        <x:v>仄</x:v>
      </x:c>
      <x:c r="I28" s="6" t="str">
        <x:f>IF(D27="","",IF(AND(ISNUMBER(SEARCH("平",D27)),OR(ISNUMBER(SEARCH("上",D27)),ISNUMBER(SEARCH("去",D27)),ISNUMBER(SEARCH("入",D27)))),"Ambiguous",IF(ISNUMBER(SEARCH("平",D27)),"平","仄")))</x:f>
        <x:v>仄</x:v>
      </x:c>
      <x:c r="J28" s="7" t="str"/>
    </x:row>
    <x:row r="29">
      <x:c r="A29" s="5" t="str">
        <x:v>䆫</x:v>
      </x:c>
      <x:c r="B29" s="6" t="str">
        <x:v>平</x:v>
      </x:c>
      <x:c r="C29" s="6" t="str">
        <x:f>IF(B29="","Needs decision","Ready")</x:f>
        <x:v>Ready</x:v>
      </x:c>
      <x:c r="D29" s="6" t="str">
        <x:v>平</x:v>
      </x:c>
      <x:c r="E29" s="6" t="str">
        <x:v>tsrhaewng (A)</x:v>
      </x:c>
      <x:c r="F29" s="6" t="str">
        <x:v>1</x:v>
      </x:c>
      <x:c r="G29" s="6" t="str"/>
      <x:c r="H29" s="6" t="str">
        <x:f>IF(B29="平","平",IF(B29="","","仄"))</x:f>
        <x:v>平</x:v>
      </x:c>
      <x:c r="I29" s="6" t="str">
        <x:f>IF(D28="","",IF(AND(ISNUMBER(SEARCH("平",D28)),OR(ISNUMBER(SEARCH("上",D28)),ISNUMBER(SEARCH("去",D28)),ISNUMBER(SEARCH("入",D28)))),"Ambiguous",IF(ISNUMBER(SEARCH("平",D28)),"平","仄")))</x:f>
        <x:v>仄</x:v>
      </x:c>
      <x:c r="J29" s="7" t="str"/>
    </x:row>
    <x:row r="30">
      <x:c r="A30" s="5" t="str">
        <x:v>䍃</x:v>
      </x:c>
      <x:c r="B30" s="6" t="str">
        <x:v>平</x:v>
      </x:c>
      <x:c r="C30" s="6" t="str">
        <x:f>IF(B30="","Needs decision","Ready")</x:f>
        <x:v>Ready</x:v>
      </x:c>
      <x:c r="D30" s="6" t="str">
        <x:v>平</x:v>
      </x:c>
      <x:c r="E30" s="6" t="str">
        <x:v>yew (A)</x:v>
      </x:c>
      <x:c r="F30" s="6" t="str">
        <x:v>1</x:v>
      </x:c>
      <x:c r="G30" s="6" t="str"/>
      <x:c r="H30" s="6" t="str">
        <x:f>IF(B30="平","平",IF(B30="","","仄"))</x:f>
        <x:v>平</x:v>
      </x:c>
      <x:c r="I30" s="6" t="str">
        <x:f>IF(D29="","",IF(AND(ISNUMBER(SEARCH("平",D29)),OR(ISNUMBER(SEARCH("上",D29)),ISNUMBER(SEARCH("去",D29)),ISNUMBER(SEARCH("入",D29)))),"Ambiguous",IF(ISNUMBER(SEARCH("平",D29)),"平","仄")))</x:f>
        <x:v>平</x:v>
      </x:c>
      <x:c r="J30" s="7" t="str"/>
    </x:row>
    <x:row r="31">
      <x:c r="A31" s="5" t="str">
        <x:v>䑣</x:v>
      </x:c>
      <x:c r="B31" s="6" t="str">
        <x:v>平</x:v>
      </x:c>
      <x:c r="C31" s="6" t="str">
        <x:f>IF(B31="","Needs decision","Ready")</x:f>
        <x:v>Ready</x:v>
      </x:c>
      <x:c r="D31" s="6" t="str">
        <x:v>平</x:v>
      </x:c>
      <x:c r="E31" s="6" t="str">
        <x:v>yuwng (A)</x:v>
      </x:c>
      <x:c r="F31" s="6" t="str">
        <x:v>1</x:v>
      </x:c>
      <x:c r="G31" s="6" t="str"/>
      <x:c r="H31" s="6" t="str">
        <x:f>IF(B31="平","平",IF(B31="","","仄"))</x:f>
        <x:v>平</x:v>
      </x:c>
      <x:c r="I31" s="6" t="str">
        <x:f>IF(D30="","",IF(AND(ISNUMBER(SEARCH("平",D30)),OR(ISNUMBER(SEARCH("上",D30)),ISNUMBER(SEARCH("去",D30)),ISNUMBER(SEARCH("入",D30)))),"Ambiguous",IF(ISNUMBER(SEARCH("平",D30)),"平","仄")))</x:f>
        <x:v>平</x:v>
      </x:c>
      <x:c r="J31" s="7" t="str"/>
    </x:row>
    <x:row r="32">
      <x:c r="A32" s="5" t="str">
        <x:v>䖒</x:v>
      </x:c>
      <x:c r="B32" s="6" t="str">
        <x:v>平</x:v>
      </x:c>
      <x:c r="C32" s="6" t="str">
        <x:f>IF(B32="","Needs decision","Ready")</x:f>
        <x:v>Ready</x:v>
      </x:c>
      <x:c r="D32" s="6" t="str">
        <x:v>平</x:v>
      </x:c>
      <x:c r="E32" s="6" t="str">
        <x:v>xje (A)</x:v>
      </x:c>
      <x:c r="F32" s="6" t="str">
        <x:v>1</x:v>
      </x:c>
      <x:c r="G32" s="6" t="str"/>
      <x:c r="H32" s="6" t="str">
        <x:f>IF(B32="平","平",IF(B32="","","仄"))</x:f>
        <x:v>平</x:v>
      </x:c>
      <x:c r="I32" s="6" t="str">
        <x:f>IF(D31="","",IF(AND(ISNUMBER(SEARCH("平",D31)),OR(ISNUMBER(SEARCH("上",D31)),ISNUMBER(SEARCH("去",D31)),ISNUMBER(SEARCH("入",D31)))),"Ambiguous",IF(ISNUMBER(SEARCH("平",D31)),"平","仄")))</x:f>
        <x:v>平</x:v>
      </x:c>
      <x:c r="J32" s="7" t="str"/>
    </x:row>
    <x:row r="33">
      <x:c r="A33" s="5" t="str">
        <x:v>䖟</x:v>
      </x:c>
      <x:c r="B33" s="6" t="str">
        <x:v>平</x:v>
      </x:c>
      <x:c r="C33" s="6" t="str">
        <x:f>IF(B33="","Needs decision","Ready")</x:f>
        <x:v>Ready</x:v>
      </x:c>
      <x:c r="D33" s="6" t="str">
        <x:v>平</x:v>
      </x:c>
      <x:c r="E33" s="6" t="str">
        <x:v>maeng (A)</x:v>
      </x:c>
      <x:c r="F33" s="6" t="str">
        <x:v>1</x:v>
      </x:c>
      <x:c r="G33" s="6" t="str"/>
      <x:c r="H33" s="6" t="str">
        <x:f>IF(B33="平","平",IF(B33="","","仄"))</x:f>
        <x:v>平</x:v>
      </x:c>
      <x:c r="I33" s="6" t="str">
        <x:f>IF(D32="","",IF(AND(ISNUMBER(SEARCH("平",D32)),OR(ISNUMBER(SEARCH("上",D32)),ISNUMBER(SEARCH("去",D32)),ISNUMBER(SEARCH("入",D32)))),"Ambiguous",IF(ISNUMBER(SEARCH("平",D32)),"平","仄")))</x:f>
        <x:v>平</x:v>
      </x:c>
      <x:c r="J33" s="7" t="str"/>
    </x:row>
    <x:row r="34">
      <x:c r="A34" s="5" t="str">
        <x:v>䘒</x:v>
      </x:c>
      <x:c r="B34" s="6" t="str">
        <x:v>平</x:v>
      </x:c>
      <x:c r="C34" s="6" t="str">
        <x:f>IF(B34="","Needs decision","Ready")</x:f>
        <x:v>Ready</x:v>
      </x:c>
      <x:c r="D34" s="6" t="str">
        <x:v>平</x:v>
      </x:c>
      <x:c r="E34" s="6" t="str">
        <x:v>tswoj (A)</x:v>
      </x:c>
      <x:c r="F34" s="6" t="str">
        <x:v>1</x:v>
      </x:c>
      <x:c r="G34" s="6" t="str"/>
      <x:c r="H34" s="6" t="str">
        <x:f>IF(B34="平","平",IF(B34="","","仄"))</x:f>
        <x:v>平</x:v>
      </x:c>
      <x:c r="I34" s="6" t="str">
        <x:f>IF(D33="","",IF(AND(ISNUMBER(SEARCH("平",D33)),OR(ISNUMBER(SEARCH("上",D33)),ISNUMBER(SEARCH("去",D33)),ISNUMBER(SEARCH("入",D33)))),"Ambiguous",IF(ISNUMBER(SEARCH("平",D33)),"平","仄")))</x:f>
        <x:v>平</x:v>
      </x:c>
      <x:c r="J34" s="7" t="str"/>
    </x:row>
    <x:row r="35">
      <x:c r="A35" s="5" t="str">
        <x:v>䘳</x:v>
      </x:c>
      <x:c r="B35" s="6" t="str">
        <x:v>平</x:v>
      </x:c>
      <x:c r="C35" s="6" t="str">
        <x:f>IF(B35="","Needs decision","Ready")</x:f>
        <x:v>Ready</x:v>
      </x:c>
      <x:c r="D35" s="6" t="str">
        <x:v>平</x:v>
      </x:c>
      <x:c r="E35" s="6" t="str">
        <x:v>kim (A)</x:v>
      </x:c>
      <x:c r="F35" s="6" t="str">
        <x:v>1</x:v>
      </x:c>
      <x:c r="G35" s="6" t="str"/>
      <x:c r="H35" s="6" t="str">
        <x:f>IF(B35="平","平",IF(B35="","","仄"))</x:f>
        <x:v>平</x:v>
      </x:c>
      <x:c r="I35" s="6" t="str">
        <x:f>IF(D34="","",IF(AND(ISNUMBER(SEARCH("平",D34)),OR(ISNUMBER(SEARCH("上",D34)),ISNUMBER(SEARCH("去",D34)),ISNUMBER(SEARCH("入",D34)))),"Ambiguous",IF(ISNUMBER(SEARCH("平",D34)),"平","仄")))</x:f>
        <x:v>平</x:v>
      </x:c>
      <x:c r="J35" s="7" t="str"/>
    </x:row>
    <x:row r="36">
      <x:c r="A36" s="5" t="str">
        <x:v>䜌</x:v>
      </x:c>
      <x:c r="B36" s="6" t="str">
        <x:v>平</x:v>
      </x:c>
      <x:c r="C36" s="6" t="str">
        <x:f>IF(B36="","Needs decision","Ready")</x:f>
        <x:v>Ready</x:v>
      </x:c>
      <x:c r="D36" s="6" t="str">
        <x:v>平</x:v>
      </x:c>
      <x:c r="E36" s="6" t="str">
        <x:v>lwan (A)</x:v>
      </x:c>
      <x:c r="F36" s="6" t="str">
        <x:v>1</x:v>
      </x:c>
      <x:c r="G36" s="6" t="str"/>
      <x:c r="H36" s="6" t="str">
        <x:f>IF(B36="平","平",IF(B36="","","仄"))</x:f>
        <x:v>平</x:v>
      </x:c>
      <x:c r="I36" s="6" t="str">
        <x:f>IF(D35="","",IF(AND(ISNUMBER(SEARCH("平",D35)),OR(ISNUMBER(SEARCH("上",D35)),ISNUMBER(SEARCH("去",D35)),ISNUMBER(SEARCH("入",D35)))),"Ambiguous",IF(ISNUMBER(SEARCH("平",D35)),"平","仄")))</x:f>
        <x:v>平</x:v>
      </x:c>
      <x:c r="J36" s="7" t="str"/>
    </x:row>
    <x:row r="37">
      <x:c r="A37" s="5" t="str">
        <x:v>䞓</x:v>
      </x:c>
      <x:c r="B37" s="6" t="str">
        <x:v>平</x:v>
      </x:c>
      <x:c r="C37" s="6" t="str">
        <x:f>IF(B37="","Needs decision","Ready")</x:f>
        <x:v>Ready</x:v>
      </x:c>
      <x:c r="D37" s="6" t="str">
        <x:v>平</x:v>
      </x:c>
      <x:c r="E37" s="6" t="str">
        <x:v>trhjeng (A)</x:v>
      </x:c>
      <x:c r="F37" s="6" t="str">
        <x:v>1</x:v>
      </x:c>
      <x:c r="G37" s="6" t="str"/>
      <x:c r="H37" s="6" t="str">
        <x:f>IF(B37="平","平",IF(B37="","","仄"))</x:f>
        <x:v>平</x:v>
      </x:c>
      <x:c r="I37" s="6" t="str">
        <x:f>IF(D36="","",IF(AND(ISNUMBER(SEARCH("平",D36)),OR(ISNUMBER(SEARCH("上",D36)),ISNUMBER(SEARCH("去",D36)),ISNUMBER(SEARCH("入",D36)))),"Ambiguous",IF(ISNUMBER(SEARCH("平",D36)),"平","仄")))</x:f>
        <x:v>平</x:v>
      </x:c>
      <x:c r="J37" s="7" t="str"/>
    </x:row>
    <x:row r="38">
      <x:c r="A38" s="5" t="str">
        <x:v>䟏</x:v>
      </x:c>
      <x:c r="B38" s="6" t="str">
        <x:v>入</x:v>
      </x:c>
      <x:c r="C38" s="6" t="str">
        <x:f>IF(B38="","Needs decision","Ready")</x:f>
        <x:v>Ready</x:v>
      </x:c>
      <x:c r="D38" s="6" t="str">
        <x:v>入</x:v>
      </x:c>
      <x:c r="E38" s="6" t="str">
        <x:v>lek (D); syak (D)</x:v>
      </x:c>
      <x:c r="F38" s="6" t="str">
        <x:v>2</x:v>
      </x:c>
      <x:c r="G38" s="6" t="str"/>
      <x:c r="H38" s="6" t="str">
        <x:f>IF(B38="平","平",IF(B38="","","仄"))</x:f>
        <x:v>仄</x:v>
      </x:c>
      <x:c r="I38" s="6" t="str">
        <x:f>IF(D37="","",IF(AND(ISNUMBER(SEARCH("平",D37)),OR(ISNUMBER(SEARCH("上",D37)),ISNUMBER(SEARCH("去",D37)),ISNUMBER(SEARCH("入",D37)))),"Ambiguous",IF(ISNUMBER(SEARCH("平",D37)),"平","仄")))</x:f>
        <x:v>平</x:v>
      </x:c>
      <x:c r="J38" s="7" t="str"/>
    </x:row>
    <x:row r="39">
      <x:c r="A39" s="5" t="str">
        <x:v>䡅</x:v>
      </x:c>
      <x:c r="B39" s="6" t="str">
        <x:v>平</x:v>
      </x:c>
      <x:c r="C39" s="6" t="str">
        <x:f>IF(B39="","Needs decision","Ready")</x:f>
        <x:v>Ready</x:v>
      </x:c>
      <x:c r="D39" s="6" t="str">
        <x:v>平</x:v>
      </x:c>
      <x:c r="E39" s="6" t="str">
        <x:v>trhwin (A)</x:v>
      </x:c>
      <x:c r="F39" s="6" t="str">
        <x:v>1</x:v>
      </x:c>
      <x:c r="G39" s="6" t="str"/>
      <x:c r="H39" s="6" t="str">
        <x:f>IF(B39="平","平",IF(B39="","","仄"))</x:f>
        <x:v>平</x:v>
      </x:c>
      <x:c r="I39" s="6" t="str">
        <x:f>IF(D38="","",IF(AND(ISNUMBER(SEARCH("平",D38)),OR(ISNUMBER(SEARCH("上",D38)),ISNUMBER(SEARCH("去",D38)),ISNUMBER(SEARCH("入",D38)))),"Ambiguous",IF(ISNUMBER(SEARCH("平",D38)),"平","仄")))</x:f>
        <x:v>仄</x:v>
      </x:c>
      <x:c r="J39" s="7" t="str"/>
    </x:row>
    <x:row r="40">
      <x:c r="A40" s="5" t="str">
        <x:v>䪡</x:v>
      </x:c>
      <x:c r="B40" s="6" t="str">
        <x:v>平</x:v>
      </x:c>
      <x:c r="C40" s="6" t="str">
        <x:f>IF(B40="","Needs decision","Ready")</x:f>
        <x:v>Ready</x:v>
      </x:c>
      <x:c r="D40" s="6" t="str">
        <x:v>平</x:v>
      </x:c>
      <x:c r="E40" s="6" t="str">
        <x:v>tsej (A)</x:v>
      </x:c>
      <x:c r="F40" s="6" t="str">
        <x:v>1</x:v>
      </x:c>
      <x:c r="G40" s="6" t="str"/>
      <x:c r="H40" s="6" t="str">
        <x:f>IF(B40="平","平",IF(B40="","","仄"))</x:f>
        <x:v>平</x:v>
      </x:c>
      <x:c r="I40" s="6" t="str">
        <x:f>IF(D39="","",IF(AND(ISNUMBER(SEARCH("平",D39)),OR(ISNUMBER(SEARCH("上",D39)),ISNUMBER(SEARCH("去",D39)),ISNUMBER(SEARCH("入",D39)))),"Ambiguous",IF(ISNUMBER(SEARCH("平",D39)),"平","仄")))</x:f>
        <x:v>平</x:v>
      </x:c>
      <x:c r="J40" s="7" t="str"/>
    </x:row>
    <x:row r="41">
      <x:c r="A41" s="5" t="str">
        <x:v>䭕</x:v>
      </x:c>
      <x:c r="B41" s="6" t="str">
        <x:v>上</x:v>
      </x:c>
      <x:c r="C41" s="6" t="str">
        <x:f>IF(B41="","Needs decision","Ready")</x:f>
        <x:v>Ready</x:v>
      </x:c>
      <x:c r="D41" s="6" t="str">
        <x:v>上</x:v>
      </x:c>
      <x:c r="E41" s="6" t="str">
        <x:v>tsjemX (B)</x:v>
      </x:c>
      <x:c r="F41" s="6" t="str">
        <x:v>1</x:v>
      </x:c>
      <x:c r="G41" s="6" t="str"/>
      <x:c r="H41" s="6" t="str">
        <x:f>IF(B41="平","平",IF(B41="","","仄"))</x:f>
        <x:v>仄</x:v>
      </x:c>
      <x:c r="I41" s="6" t="str">
        <x:f>IF(D40="","",IF(AND(ISNUMBER(SEARCH("平",D40)),OR(ISNUMBER(SEARCH("上",D40)),ISNUMBER(SEARCH("去",D40)),ISNUMBER(SEARCH("入",D40)))),"Ambiguous",IF(ISNUMBER(SEARCH("平",D40)),"平","仄")))</x:f>
        <x:v>平</x:v>
      </x:c>
      <x:c r="J41" s="7" t="str"/>
    </x:row>
    <x:row r="42">
      <x:c r="A42" s="5" t="str">
        <x:v>䭫</x:v>
      </x:c>
      <x:c r="B42" s="6" t="str">
        <x:v>上</x:v>
      </x:c>
      <x:c r="C42" s="6" t="str">
        <x:f>IF(B42="","Needs decision","Ready")</x:f>
        <x:v>Ready</x:v>
      </x:c>
      <x:c r="D42" s="6" t="str">
        <x:v>上</x:v>
      </x:c>
      <x:c r="E42" s="6" t="str">
        <x:v>khejX (B)</x:v>
      </x:c>
      <x:c r="F42" s="6" t="str">
        <x:v>1</x:v>
      </x:c>
      <x:c r="G42" s="6" t="str"/>
      <x:c r="H42" s="6" t="str">
        <x:f>IF(B42="平","平",IF(B42="","","仄"))</x:f>
        <x:v>仄</x:v>
      </x:c>
      <x:c r="I42" s="6" t="str">
        <x:f>IF(D41="","",IF(AND(ISNUMBER(SEARCH("平",D41)),OR(ISNUMBER(SEARCH("上",D41)),ISNUMBER(SEARCH("去",D41)),ISNUMBER(SEARCH("入",D41)))),"Ambiguous",IF(ISNUMBER(SEARCH("平",D41)),"平","仄")))</x:f>
        <x:v>仄</x:v>
      </x:c>
      <x:c r="J42" s="7" t="str"/>
    </x:row>
    <x:row r="43">
      <x:c r="A43" s="5" t="str">
        <x:v>䰜</x:v>
      </x:c>
      <x:c r="B43" s="6" t="str">
        <x:v>入</x:v>
      </x:c>
      <x:c r="C43" s="6" t="str">
        <x:f>IF(B43="","Needs decision","Ready")</x:f>
        <x:v>Ready</x:v>
      </x:c>
      <x:c r="D43" s="6" t="str">
        <x:v>入</x:v>
      </x:c>
      <x:c r="E43" s="6" t="str">
        <x:v>lek (D)</x:v>
      </x:c>
      <x:c r="F43" s="6" t="str">
        <x:v>1</x:v>
      </x:c>
      <x:c r="G43" s="6" t="str"/>
      <x:c r="H43" s="6" t="str">
        <x:f>IF(B43="平","平",IF(B43="","","仄"))</x:f>
        <x:v>仄</x:v>
      </x:c>
      <x:c r="I43" s="6" t="str">
        <x:f>IF(D42="","",IF(AND(ISNUMBER(SEARCH("平",D42)),OR(ISNUMBER(SEARCH("上",D42)),ISNUMBER(SEARCH("去",D42)),ISNUMBER(SEARCH("入",D42)))),"Ambiguous",IF(ISNUMBER(SEARCH("平",D42)),"平","仄")))</x:f>
        <x:v>仄</x:v>
      </x:c>
      <x:c r="J43" s="7" t="str"/>
    </x:row>
    <x:row r="44">
      <x:c r="A44" s="5" t="str">
        <x:v>䰞</x:v>
      </x:c>
      <x:c r="B44" s="6" t="str">
        <x:v>上</x:v>
      </x:c>
      <x:c r="C44" s="6" t="str">
        <x:f>IF(B44="","Needs decision","Ready")</x:f>
        <x:v>Ready</x:v>
      </x:c>
      <x:c r="D44" s="6" t="str">
        <x:v>上</x:v>
      </x:c>
      <x:c r="E44" s="6" t="str">
        <x:v>tsyoX (B)</x:v>
      </x:c>
      <x:c r="F44" s="6" t="str">
        <x:v>1</x:v>
      </x:c>
      <x:c r="G44" s="6" t="str"/>
      <x:c r="H44" s="6" t="str">
        <x:f>IF(B44="平","平",IF(B44="","","仄"))</x:f>
        <x:v>仄</x:v>
      </x:c>
      <x:c r="I44" s="6" t="str">
        <x:f>IF(D43="","",IF(AND(ISNUMBER(SEARCH("平",D43)),OR(ISNUMBER(SEARCH("上",D43)),ISNUMBER(SEARCH("去",D43)),ISNUMBER(SEARCH("入",D43)))),"Ambiguous",IF(ISNUMBER(SEARCH("平",D43)),"平","仄")))</x:f>
        <x:v>仄</x:v>
      </x:c>
      <x:c r="J44" s="7" t="str"/>
    </x:row>
    <x:row r="45">
      <x:c r="A45" s="5" t="str">
        <x:v>䱷</x:v>
      </x:c>
      <x:c r="B45" s="6" t="str">
        <x:v>平</x:v>
      </x:c>
      <x:c r="C45" s="6" t="str">
        <x:f>IF(B45="","Needs decision","Ready")</x:f>
        <x:v>Ready</x:v>
      </x:c>
      <x:c r="D45" s="6" t="str">
        <x:v>平</x:v>
      </x:c>
      <x:c r="E45" s="6" t="str">
        <x:v>ngjo (A)</x:v>
      </x:c>
      <x:c r="F45" s="6" t="str">
        <x:v>1</x:v>
      </x:c>
      <x:c r="G45" s="6" t="str"/>
      <x:c r="H45" s="6" t="str">
        <x:f>IF(B45="平","平",IF(B45="","","仄"))</x:f>
        <x:v>平</x:v>
      </x:c>
      <x:c r="I45" s="6" t="str">
        <x:f>IF(D44="","",IF(AND(ISNUMBER(SEARCH("平",D44)),OR(ISNUMBER(SEARCH("上",D44)),ISNUMBER(SEARCH("去",D44)),ISNUMBER(SEARCH("入",D44)))),"Ambiguous",IF(ISNUMBER(SEARCH("平",D44)),"平","仄")))</x:f>
        <x:v>仄</x:v>
      </x:c>
      <x:c r="J45" s="7" t="str"/>
    </x:row>
    <x:row r="46">
      <x:c r="A46" s="5" t="str">
        <x:v>䵑</x:v>
      </x:c>
      <x:c r="B46" s="6" t="str">
        <x:v>入</x:v>
      </x:c>
      <x:c r="C46" s="6" t="str">
        <x:f>IF(B46="","Needs decision","Ready")</x:f>
        <x:v>Ready</x:v>
      </x:c>
      <x:c r="D46" s="6" t="str">
        <x:v>入</x:v>
      </x:c>
      <x:c r="E46" s="6" t="str">
        <x:v>nrit (D)</x:v>
      </x:c>
      <x:c r="F46" s="6" t="str">
        <x:v>1</x:v>
      </x:c>
      <x:c r="G46" s="6" t="str"/>
      <x:c r="H46" s="6" t="str">
        <x:f>IF(B46="平","平",IF(B46="","","仄"))</x:f>
        <x:v>仄</x:v>
      </x:c>
      <x:c r="I46" s="6" t="str">
        <x:f>IF(D45="","",IF(AND(ISNUMBER(SEARCH("平",D45)),OR(ISNUMBER(SEARCH("上",D45)),ISNUMBER(SEARCH("去",D45)),ISNUMBER(SEARCH("入",D45)))),"Ambiguous",IF(ISNUMBER(SEARCH("平",D45)),"平","仄")))</x:f>
        <x:v>平</x:v>
      </x:c>
      <x:c r="J46" s="7" t="str"/>
    </x:row>
    <x:row r="47">
      <x:c r="A47" s="5" t="str">
        <x:v>䵒</x:v>
      </x:c>
      <x:c r="B47" s="6" t="str">
        <x:v>入</x:v>
      </x:c>
      <x:c r="C47" s="6" t="str">
        <x:f>IF(B47="","Needs decision","Ready")</x:f>
        <x:v>Ready</x:v>
      </x:c>
      <x:c r="D47" s="6" t="str">
        <x:v>入</x:v>
      </x:c>
      <x:c r="E47" s="6" t="str">
        <x:v>nrit (D)</x:v>
      </x:c>
      <x:c r="F47" s="6" t="str">
        <x:v>1</x:v>
      </x:c>
      <x:c r="G47" s="6" t="str"/>
      <x:c r="H47" s="6" t="str">
        <x:f>IF(B47="平","平",IF(B47="","","仄"))</x:f>
        <x:v>仄</x:v>
      </x:c>
      <x:c r="I47" s="6" t="str">
        <x:f>IF(D46="","",IF(AND(ISNUMBER(SEARCH("平",D46)),OR(ISNUMBER(SEARCH("上",D46)),ISNUMBER(SEARCH("去",D46)),ISNUMBER(SEARCH("入",D46)))),"Ambiguous",IF(ISNUMBER(SEARCH("平",D46)),"平","仄")))</x:f>
        <x:v>仄</x:v>
      </x:c>
      <x:c r="J47" s="7" t="str"/>
    </x:row>
    <x:row r="48">
      <x:c r="A48" s="5" t="str">
        <x:v>一</x:v>
      </x:c>
      <x:c r="B48" s="6" t="str">
        <x:v>入</x:v>
      </x:c>
      <x:c r="C48" s="6" t="str">
        <x:f>IF(B48="","Needs decision","Ready")</x:f>
        <x:v>Ready</x:v>
      </x:c>
      <x:c r="D48" s="6" t="str">
        <x:v>入</x:v>
      </x:c>
      <x:c r="E48" s="6" t="str">
        <x:v>'jit (D)</x:v>
      </x:c>
      <x:c r="F48" s="6" t="str">
        <x:v>1</x:v>
      </x:c>
      <x:c r="G48" s="6" t="str"/>
      <x:c r="H48" s="6" t="str">
        <x:f>IF(B48="平","平",IF(B48="","","仄"))</x:f>
        <x:v>仄</x:v>
      </x:c>
      <x:c r="I48" s="6" t="str">
        <x:f>IF(D47="","",IF(AND(ISNUMBER(SEARCH("平",D47)),OR(ISNUMBER(SEARCH("上",D47)),ISNUMBER(SEARCH("去",D47)),ISNUMBER(SEARCH("入",D47)))),"Ambiguous",IF(ISNUMBER(SEARCH("平",D47)),"平","仄")))</x:f>
        <x:v>仄</x:v>
      </x:c>
      <x:c r="J48" s="7" t="str"/>
    </x:row>
    <x:row r="49">
      <x:c r="A49" s="5" t="str">
        <x:v>丁</x:v>
      </x:c>
      <x:c r="B49" s="6" t="str">
        <x:v>平</x:v>
      </x:c>
      <x:c r="C49" s="6" t="str">
        <x:f>IF(B49="","Needs decision","Ready")</x:f>
        <x:v>Ready</x:v>
      </x:c>
      <x:c r="D49" s="6" t="str">
        <x:v>平</x:v>
      </x:c>
      <x:c r="E49" s="6" t="str">
        <x:v>teng (A); treang (A)</x:v>
      </x:c>
      <x:c r="F49" s="6" t="str">
        <x:v>2</x:v>
      </x:c>
      <x:c r="G49" s="6" t="str"/>
      <x:c r="H49" s="6" t="str">
        <x:f>IF(B49="平","平",IF(B49="","","仄"))</x:f>
        <x:v>平</x:v>
      </x:c>
      <x:c r="I49" s="6" t="str">
        <x:f>IF(D48="","",IF(AND(ISNUMBER(SEARCH("平",D48)),OR(ISNUMBER(SEARCH("上",D48)),ISNUMBER(SEARCH("去",D48)),ISNUMBER(SEARCH("入",D48)))),"Ambiguous",IF(ISNUMBER(SEARCH("平",D48)),"平","仄")))</x:f>
        <x:v>仄</x:v>
      </x:c>
      <x:c r="J49" s="7" t="str"/>
    </x:row>
    <x:row r="50">
      <x:c r="A50" s="5" t="str">
        <x:v>丂</x:v>
      </x:c>
      <x:c r="B50" s="6" t="str">
        <x:v>上</x:v>
      </x:c>
      <x:c r="C50" s="6" t="str">
        <x:f>IF(B50="","Needs decision","Ready")</x:f>
        <x:v>Ready</x:v>
      </x:c>
      <x:c r="D50" s="6" t="str">
        <x:v>上</x:v>
      </x:c>
      <x:c r="E50" s="6" t="str">
        <x:v>khawX (B)</x:v>
      </x:c>
      <x:c r="F50" s="6" t="str">
        <x:v>1</x:v>
      </x:c>
      <x:c r="G50" s="6" t="str"/>
      <x:c r="H50" s="6" t="str">
        <x:f>IF(B50="平","平",IF(B50="","","仄"))</x:f>
        <x:v>仄</x:v>
      </x:c>
      <x:c r="I50" s="6" t="str">
        <x:f>IF(D49="","",IF(AND(ISNUMBER(SEARCH("平",D49)),OR(ISNUMBER(SEARCH("上",D49)),ISNUMBER(SEARCH("去",D49)),ISNUMBER(SEARCH("入",D49)))),"Ambiguous",IF(ISNUMBER(SEARCH("平",D49)),"平","仄")))</x:f>
        <x:v>平</x:v>
      </x:c>
      <x:c r="J50" s="7" t="str"/>
    </x:row>
    <x:row r="51">
      <x:c r="A51" s="5" t="str">
        <x:v>七</x:v>
      </x:c>
      <x:c r="B51" s="6" t="str">
        <x:v>入</x:v>
      </x:c>
      <x:c r="C51" s="6" t="str">
        <x:f>IF(B51="","Needs decision","Ready")</x:f>
        <x:v>Ready</x:v>
      </x:c>
      <x:c r="D51" s="6" t="str">
        <x:v>入</x:v>
      </x:c>
      <x:c r="E51" s="6" t="str">
        <x:v>tshit (D)</x:v>
      </x:c>
      <x:c r="F51" s="6" t="str">
        <x:v>1</x:v>
      </x:c>
      <x:c r="G51" s="6" t="str"/>
      <x:c r="H51" s="6" t="str">
        <x:f>IF(B51="平","平",IF(B51="","","仄"))</x:f>
        <x:v>仄</x:v>
      </x:c>
      <x:c r="I51" s="6" t="str">
        <x:f>IF(D50="","",IF(AND(ISNUMBER(SEARCH("平",D50)),OR(ISNUMBER(SEARCH("上",D50)),ISNUMBER(SEARCH("去",D50)),ISNUMBER(SEARCH("入",D50)))),"Ambiguous",IF(ISNUMBER(SEARCH("平",D50)),"平","仄")))</x:f>
        <x:v>仄</x:v>
      </x:c>
      <x:c r="J51" s="7" t="str"/>
    </x:row>
    <x:row r="52">
      <x:c r="A52" s="5" t="str">
        <x:v>丈</x:v>
      </x:c>
      <x:c r="B52" s="6" t="str">
        <x:v>上</x:v>
      </x:c>
      <x:c r="C52" s="6" t="str">
        <x:f>IF(B52="","Needs decision","Ready")</x:f>
        <x:v>Ready</x:v>
      </x:c>
      <x:c r="D52" s="6" t="str">
        <x:v>上</x:v>
      </x:c>
      <x:c r="E52" s="6" t="str">
        <x:v>drjangX (B)</x:v>
      </x:c>
      <x:c r="F52" s="6" t="str">
        <x:v>1</x:v>
      </x:c>
      <x:c r="G52" s="6" t="str"/>
      <x:c r="H52" s="6" t="str">
        <x:f>IF(B52="平","平",IF(B52="","","仄"))</x:f>
        <x:v>仄</x:v>
      </x:c>
      <x:c r="I52" s="6" t="str">
        <x:f>IF(D51="","",IF(AND(ISNUMBER(SEARCH("平",D51)),OR(ISNUMBER(SEARCH("上",D51)),ISNUMBER(SEARCH("去",D51)),ISNUMBER(SEARCH("入",D51)))),"Ambiguous",IF(ISNUMBER(SEARCH("平",D51)),"平","仄")))</x:f>
        <x:v>仄</x:v>
      </x:c>
      <x:c r="J52" s="7" t="str"/>
    </x:row>
    <x:row r="53">
      <x:c r="A53" s="5" t="str">
        <x:v>三</x:v>
      </x:c>
      <x:c r="B53" s="6" t="str">
        <x:v>平</x:v>
      </x:c>
      <x:c r="C53" s="6" t="str">
        <x:f>IF(B53="","Needs decision","Ready")</x:f>
        <x:v>Ready</x:v>
      </x:c>
      <x:c r="D53" s="6" t="str">
        <x:v>平/去</x:v>
      </x:c>
      <x:c r="E53" s="6" t="str">
        <x:v>sam (A); samH (C)</x:v>
      </x:c>
      <x:c r="F53" s="6" t="str">
        <x:v>2</x:v>
      </x:c>
      <x:c r="G53" s="6" t="str"/>
      <x:c r="H53" s="6" t="str">
        <x:f>IF(B53="平","平",IF(B53="","","仄"))</x:f>
        <x:v>平</x:v>
      </x:c>
      <x:c r="I53" s="6" t="str">
        <x:f>IF(D52="","",IF(AND(ISNUMBER(SEARCH("平",D52)),OR(ISNUMBER(SEARCH("上",D52)),ISNUMBER(SEARCH("去",D52)),ISNUMBER(SEARCH("入",D52)))),"Ambiguous",IF(ISNUMBER(SEARCH("平",D52)),"平","仄")))</x:f>
        <x:v>仄</x:v>
      </x:c>
      <x:c r="J53" s="7" t="str"/>
    </x:row>
    <x:row r="54">
      <x:c r="A54" s="5" t="str">
        <x:v>上</x:v>
      </x:c>
      <x:c r="B54" s="6" t="str">
        <x:v>上</x:v>
      </x:c>
      <x:c r="C54" s="6" t="str">
        <x:f>IF(B54="","Needs decision","Ready")</x:f>
        <x:v>Ready</x:v>
      </x:c>
      <x:c r="D54" s="6" t="str">
        <x:v>上/去</x:v>
      </x:c>
      <x:c r="E54" s="6" t="str">
        <x:v>dzyangX (B); dzyangH (C)</x:v>
      </x:c>
      <x:c r="F54" s="6" t="str">
        <x:v>2</x:v>
      </x:c>
      <x:c r="G54" s="6" t="str"/>
      <x:c r="H54" s="6" t="str">
        <x:f>IF(B54="平","平",IF(B54="","","仄"))</x:f>
        <x:v>仄</x:v>
      </x:c>
      <x:c r="I54" s="6" t="str">
        <x:f>IF(D53="","",IF(AND(ISNUMBER(SEARCH("平",D53)),OR(ISNUMBER(SEARCH("上",D53)),ISNUMBER(SEARCH("去",D53)),ISNUMBER(SEARCH("入",D53)))),"Ambiguous",IF(ISNUMBER(SEARCH("平",D53)),"平","仄")))</x:f>
        <x:v>Ambiguous</x:v>
      </x:c>
      <x:c r="J54" s="7" t="str"/>
    </x:row>
    <x:row r="55">
      <x:c r="A55" s="5" t="str">
        <x:v>下</x:v>
      </x:c>
      <x:c r="B55" s="6" t="str">
        <x:v>去</x:v>
      </x:c>
      <x:c r="C55" s="6" t="str">
        <x:f>IF(B55="","Needs decision","Ready")</x:f>
        <x:v>Ready</x:v>
      </x:c>
      <x:c r="D55" s="6" t="str">
        <x:v>上/去</x:v>
      </x:c>
      <x:c r="E55" s="6" t="str">
        <x:v>haeX (B); haeH (C)</x:v>
      </x:c>
      <x:c r="F55" s="6" t="str">
        <x:v>2</x:v>
      </x:c>
      <x:c r="G55" s="6" t="str"/>
      <x:c r="H55" s="6" t="str">
        <x:f>IF(B55="平","平",IF(B55="","","仄"))</x:f>
        <x:v>仄</x:v>
      </x:c>
      <x:c r="I55" s="6" t="str">
        <x:f>IF(D54="","",IF(AND(ISNUMBER(SEARCH("平",D54)),OR(ISNUMBER(SEARCH("上",D54)),ISNUMBER(SEARCH("去",D54)),ISNUMBER(SEARCH("入",D54)))),"Ambiguous",IF(ISNUMBER(SEARCH("平",D54)),"平","仄")))</x:f>
        <x:v>仄</x:v>
      </x:c>
      <x:c r="J55" s="7" t="str"/>
    </x:row>
    <x:row r="56">
      <x:c r="A56" s="5" t="str">
        <x:v>丌</x:v>
      </x:c>
      <x:c r="B56" s="6" t="str">
        <x:v>平</x:v>
      </x:c>
      <x:c r="C56" s="6" t="str">
        <x:f>IF(B56="","Needs decision","Ready")</x:f>
        <x:v>Ready</x:v>
      </x:c>
      <x:c r="D56" s="6" t="str">
        <x:v>平</x:v>
      </x:c>
      <x:c r="E56" s="6" t="str">
        <x:v>gi (A)</x:v>
      </x:c>
      <x:c r="F56" s="6" t="str">
        <x:v>1</x:v>
      </x:c>
      <x:c r="G56" s="6" t="str"/>
      <x:c r="H56" s="6" t="str">
        <x:f>IF(B56="平","平",IF(B56="","","仄"))</x:f>
        <x:v>平</x:v>
      </x:c>
      <x:c r="I56" s="6" t="str">
        <x:f>IF(D55="","",IF(AND(ISNUMBER(SEARCH("平",D55)),OR(ISNUMBER(SEARCH("上",D55)),ISNUMBER(SEARCH("去",D55)),ISNUMBER(SEARCH("入",D55)))),"Ambiguous",IF(ISNUMBER(SEARCH("平",D55)),"平","仄")))</x:f>
        <x:v>仄</x:v>
      </x:c>
      <x:c r="J56" s="7" t="str"/>
    </x:row>
    <x:row r="57">
      <x:c r="A57" s="5" t="str">
        <x:v>不</x:v>
      </x:c>
      <x:c r="B57" s="6" t="str">
        <x:v>平</x:v>
      </x:c>
      <x:c r="C57" s="6" t="str">
        <x:f>IF(B57="","Needs decision","Ready")</x:f>
        <x:v>Ready</x:v>
      </x:c>
      <x:c r="D57" s="6" t="str">
        <x:v>平</x:v>
      </x:c>
      <x:c r="E57" s="6" t="str">
        <x:v>pjuw (A)</x:v>
      </x:c>
      <x:c r="F57" s="6" t="str">
        <x:v>1</x:v>
      </x:c>
      <x:c r="G57" s="6" t="str"/>
      <x:c r="H57" s="6" t="str">
        <x:f>IF(B57="平","平",IF(B57="","","仄"))</x:f>
        <x:v>平</x:v>
      </x:c>
      <x:c r="I57" s="6" t="str">
        <x:f>IF(D56="","",IF(AND(ISNUMBER(SEARCH("平",D56)),OR(ISNUMBER(SEARCH("上",D56)),ISNUMBER(SEARCH("去",D56)),ISNUMBER(SEARCH("入",D56)))),"Ambiguous",IF(ISNUMBER(SEARCH("平",D56)),"平","仄")))</x:f>
        <x:v>平</x:v>
      </x:c>
      <x:c r="J57" s="7" t="str"/>
    </x:row>
    <x:row r="58">
      <x:c r="A58" s="5" t="str">
        <x:v>与</x:v>
      </x:c>
      <x:c r="B58" s="6" t="str">
        <x:v>上</x:v>
      </x:c>
      <x:c r="C58" s="6" t="str">
        <x:f>IF(B58="","Needs decision","Ready")</x:f>
        <x:v>Ready</x:v>
      </x:c>
      <x:c r="D58" s="6" t="str">
        <x:v>上</x:v>
      </x:c>
      <x:c r="E58" s="6" t="str">
        <x:v>yoX (B)</x:v>
      </x:c>
      <x:c r="F58" s="6" t="str">
        <x:v>1</x:v>
      </x:c>
      <x:c r="G58" s="6" t="str"/>
      <x:c r="H58" s="6" t="str">
        <x:f>IF(B58="平","平",IF(B58="","","仄"))</x:f>
        <x:v>仄</x:v>
      </x:c>
      <x:c r="I58" s="6" t="str">
        <x:f>IF(D57="","",IF(AND(ISNUMBER(SEARCH("平",D57)),OR(ISNUMBER(SEARCH("上",D57)),ISNUMBER(SEARCH("去",D57)),ISNUMBER(SEARCH("入",D57)))),"Ambiguous",IF(ISNUMBER(SEARCH("平",D57)),"平","仄")))</x:f>
        <x:v>平</x:v>
      </x:c>
      <x:c r="J58" s="7" t="str"/>
    </x:row>
    <x:row r="59">
      <x:c r="A59" s="5" t="str">
        <x:v>丑</x:v>
      </x:c>
      <x:c r="B59" s="6" t="str">
        <x:v>上</x:v>
      </x:c>
      <x:c r="C59" s="6" t="str">
        <x:f>IF(B59="","Needs decision","Ready")</x:f>
        <x:v>Ready</x:v>
      </x:c>
      <x:c r="D59" s="6" t="str">
        <x:v>上</x:v>
      </x:c>
      <x:c r="E59" s="6" t="str">
        <x:v>trhjuwX (B)</x:v>
      </x:c>
      <x:c r="F59" s="6" t="str">
        <x:v>1</x:v>
      </x:c>
      <x:c r="G59" s="6" t="str"/>
      <x:c r="H59" s="6" t="str">
        <x:f>IF(B59="平","平",IF(B59="","","仄"))</x:f>
        <x:v>仄</x:v>
      </x:c>
      <x:c r="I59" s="6" t="str">
        <x:f>IF(D58="","",IF(AND(ISNUMBER(SEARCH("平",D58)),OR(ISNUMBER(SEARCH("上",D58)),ISNUMBER(SEARCH("去",D58)),ISNUMBER(SEARCH("入",D58)))),"Ambiguous",IF(ISNUMBER(SEARCH("平",D58)),"平","仄")))</x:f>
        <x:v>仄</x:v>
      </x:c>
      <x:c r="J59" s="7" t="str"/>
    </x:row>
    <x:row r="60">
      <x:c r="A60" s="5" t="str">
        <x:v>且</x:v>
      </x:c>
      <x:c r="B60" s="6" t="str">
        <x:v>上</x:v>
      </x:c>
      <x:c r="C60" s="6" t="str">
        <x:f>IF(B60="","Needs decision","Ready")</x:f>
        <x:v>Ready</x:v>
      </x:c>
      <x:c r="D60" s="6" t="str">
        <x:v>平/上</x:v>
      </x:c>
      <x:c r="E60" s="6" t="str">
        <x:v>tsjo (A); tshjaeX (B)</x:v>
      </x:c>
      <x:c r="F60" s="6" t="str">
        <x:v>2</x:v>
      </x:c>
      <x:c r="G60" s="6" t="str"/>
      <x:c r="H60" s="6" t="str">
        <x:f>IF(B60="平","平",IF(B60="","","仄"))</x:f>
        <x:v>仄</x:v>
      </x:c>
      <x:c r="I60" s="6" t="str">
        <x:f>IF(D59="","",IF(AND(ISNUMBER(SEARCH("平",D59)),OR(ISNUMBER(SEARCH("上",D59)),ISNUMBER(SEARCH("去",D59)),ISNUMBER(SEARCH("入",D59)))),"Ambiguous",IF(ISNUMBER(SEARCH("平",D59)),"平","仄")))</x:f>
        <x:v>仄</x:v>
      </x:c>
      <x:c r="J60" s="7" t="str"/>
    </x:row>
    <x:row r="61">
      <x:c r="A61" s="5" t="str">
        <x:v>丕</x:v>
      </x:c>
      <x:c r="B61" s="6" t="str">
        <x:v>平</x:v>
      </x:c>
      <x:c r="C61" s="6" t="str">
        <x:f>IF(B61="","Needs decision","Ready")</x:f>
        <x:v>Ready</x:v>
      </x:c>
      <x:c r="D61" s="6" t="str">
        <x:v>平</x:v>
      </x:c>
      <x:c r="E61" s="6" t="str">
        <x:v>phij (A)</x:v>
      </x:c>
      <x:c r="F61" s="6" t="str">
        <x:v>1</x:v>
      </x:c>
      <x:c r="G61" s="6" t="str"/>
      <x:c r="H61" s="6" t="str">
        <x:f>IF(B61="平","平",IF(B61="","","仄"))</x:f>
        <x:v>平</x:v>
      </x:c>
      <x:c r="I61" s="6" t="str">
        <x:f>IF(D60="","",IF(AND(ISNUMBER(SEARCH("平",D60)),OR(ISNUMBER(SEARCH("上",D60)),ISNUMBER(SEARCH("去",D60)),ISNUMBER(SEARCH("入",D60)))),"Ambiguous",IF(ISNUMBER(SEARCH("平",D60)),"平","仄")))</x:f>
        <x:v>Ambiguous</x:v>
      </x:c>
      <x:c r="J61" s="7" t="str"/>
    </x:row>
    <x:row r="62">
      <x:c r="A62" s="5" t="str">
        <x:v>世</x:v>
      </x:c>
      <x:c r="B62" s="6" t="str">
        <x:v>去</x:v>
      </x:c>
      <x:c r="C62" s="6" t="str">
        <x:f>IF(B62="","Needs decision","Ready")</x:f>
        <x:v>Ready</x:v>
      </x:c>
      <x:c r="D62" s="6" t="str">
        <x:v>去</x:v>
      </x:c>
      <x:c r="E62" s="6" t="str">
        <x:v>syejH (C)</x:v>
      </x:c>
      <x:c r="F62" s="6" t="str">
        <x:v>1</x:v>
      </x:c>
      <x:c r="G62" s="6" t="str"/>
      <x:c r="H62" s="6" t="str">
        <x:f>IF(B62="平","平",IF(B62="","","仄"))</x:f>
        <x:v>仄</x:v>
      </x:c>
      <x:c r="I62" s="6" t="str">
        <x:f>IF(D61="","",IF(AND(ISNUMBER(SEARCH("平",D61)),OR(ISNUMBER(SEARCH("上",D61)),ISNUMBER(SEARCH("去",D61)),ISNUMBER(SEARCH("入",D61)))),"Ambiguous",IF(ISNUMBER(SEARCH("平",D61)),"平","仄")))</x:f>
        <x:v>平</x:v>
      </x:c>
      <x:c r="J62" s="7" t="str"/>
    </x:row>
    <x:row r="63">
      <x:c r="A63" s="5" t="str">
        <x:v>丘</x:v>
      </x:c>
      <x:c r="B63" s="6" t="str">
        <x:v>平</x:v>
      </x:c>
      <x:c r="C63" s="6" t="str">
        <x:f>IF(B63="","Needs decision","Ready")</x:f>
        <x:v>Ready</x:v>
      </x:c>
      <x:c r="D63" s="6" t="str">
        <x:v>平</x:v>
      </x:c>
      <x:c r="E63" s="6" t="str">
        <x:v>khjuw (A)</x:v>
      </x:c>
      <x:c r="F63" s="6" t="str">
        <x:v>1</x:v>
      </x:c>
      <x:c r="G63" s="6" t="str"/>
      <x:c r="H63" s="6" t="str">
        <x:f>IF(B63="平","平",IF(B63="","","仄"))</x:f>
        <x:v>平</x:v>
      </x:c>
      <x:c r="I63" s="6" t="str">
        <x:f>IF(D62="","",IF(AND(ISNUMBER(SEARCH("平",D62)),OR(ISNUMBER(SEARCH("上",D62)),ISNUMBER(SEARCH("去",D62)),ISNUMBER(SEARCH("入",D62)))),"Ambiguous",IF(ISNUMBER(SEARCH("平",D62)),"平","仄")))</x:f>
        <x:v>仄</x:v>
      </x:c>
      <x:c r="J63" s="7" t="str"/>
    </x:row>
    <x:row r="64">
      <x:c r="A64" s="5" t="str">
        <x:v>丙</x:v>
      </x:c>
      <x:c r="B64" s="6" t="str">
        <x:v>上</x:v>
      </x:c>
      <x:c r="C64" s="6" t="str">
        <x:f>IF(B64="","Needs decision","Ready")</x:f>
        <x:v>Ready</x:v>
      </x:c>
      <x:c r="D64" s="6" t="str">
        <x:v>上</x:v>
      </x:c>
      <x:c r="E64" s="6" t="str">
        <x:v>pjaengX (B)</x:v>
      </x:c>
      <x:c r="F64" s="6" t="str">
        <x:v>1</x:v>
      </x:c>
      <x:c r="G64" s="6" t="str"/>
      <x:c r="H64" s="6" t="str">
        <x:f>IF(B64="平","平",IF(B64="","","仄"))</x:f>
        <x:v>仄</x:v>
      </x:c>
      <x:c r="I64" s="6" t="str">
        <x:f>IF(D63="","",IF(AND(ISNUMBER(SEARCH("平",D63)),OR(ISNUMBER(SEARCH("上",D63)),ISNUMBER(SEARCH("去",D63)),ISNUMBER(SEARCH("入",D63)))),"Ambiguous",IF(ISNUMBER(SEARCH("平",D63)),"平","仄")))</x:f>
        <x:v>平</x:v>
      </x:c>
      <x:c r="J64" s="7" t="str"/>
    </x:row>
    <x:row r="65">
      <x:c r="A65" s="5" t="str">
        <x:v>丞</x:v>
      </x:c>
      <x:c r="B65" s="6" t="str">
        <x:v>平</x:v>
      </x:c>
      <x:c r="C65" s="6" t="str">
        <x:f>IF(B65="","Needs decision","Ready")</x:f>
        <x:v>Ready</x:v>
      </x:c>
      <x:c r="D65" s="6" t="str">
        <x:v>平</x:v>
      </x:c>
      <x:c r="E65" s="6" t="str">
        <x:v>dzying (A)</x:v>
      </x:c>
      <x:c r="F65" s="6" t="str">
        <x:v>1</x:v>
      </x:c>
      <x:c r="G65" s="6" t="str"/>
      <x:c r="H65" s="6" t="str">
        <x:f>IF(B65="平","平",IF(B65="","","仄"))</x:f>
        <x:v>平</x:v>
      </x:c>
      <x:c r="I65" s="6" t="str">
        <x:f>IF(D64="","",IF(AND(ISNUMBER(SEARCH("平",D64)),OR(ISNUMBER(SEARCH("上",D64)),ISNUMBER(SEARCH("去",D64)),ISNUMBER(SEARCH("入",D64)))),"Ambiguous",IF(ISNUMBER(SEARCH("平",D64)),"平","仄")))</x:f>
        <x:v>仄</x:v>
      </x:c>
      <x:c r="J65" s="7" t="str"/>
    </x:row>
    <x:row r="66">
      <x:c r="A66" s="5" t="str">
        <x:v>並</x:v>
      </x:c>
      <x:c r="B66" s="6" t="str">
        <x:v>上</x:v>
      </x:c>
      <x:c r="C66" s="6" t="str">
        <x:f>IF(B66="","Needs decision","Ready")</x:f>
        <x:v>Ready</x:v>
      </x:c>
      <x:c r="D66" s="6" t="str">
        <x:v>上</x:v>
      </x:c>
      <x:c r="E66" s="6" t="str">
        <x:v>bengX (B)</x:v>
      </x:c>
      <x:c r="F66" s="6" t="str">
        <x:v>1</x:v>
      </x:c>
      <x:c r="G66" s="6" t="str"/>
      <x:c r="H66" s="6" t="str">
        <x:f>IF(B66="平","平",IF(B66="","","仄"))</x:f>
        <x:v>仄</x:v>
      </x:c>
      <x:c r="I66" s="6" t="str">
        <x:f>IF(D65="","",IF(AND(ISNUMBER(SEARCH("平",D65)),OR(ISNUMBER(SEARCH("上",D65)),ISNUMBER(SEARCH("去",D65)),ISNUMBER(SEARCH("入",D65)))),"Ambiguous",IF(ISNUMBER(SEARCH("平",D65)),"平","仄")))</x:f>
        <x:v>平</x:v>
      </x:c>
      <x:c r="J66" s="7" t="str"/>
    </x:row>
    <x:row r="67">
      <x:c r="A67" s="5" t="str">
        <x:v>丩</x:v>
      </x:c>
      <x:c r="B67" s="6" t="str">
        <x:v>平</x:v>
      </x:c>
      <x:c r="C67" s="6" t="str">
        <x:f>IF(B67="","Needs decision","Ready")</x:f>
        <x:v>Ready</x:v>
      </x:c>
      <x:c r="D67" s="6" t="str">
        <x:v>平</x:v>
      </x:c>
      <x:c r="E67" s="6" t="str">
        <x:v>kjiw (A)</x:v>
      </x:c>
      <x:c r="F67" s="6" t="str">
        <x:v>1</x:v>
      </x:c>
      <x:c r="G67" s="6" t="str"/>
      <x:c r="H67" s="6" t="str">
        <x:f>IF(B67="平","平",IF(B67="","","仄"))</x:f>
        <x:v>平</x:v>
      </x:c>
      <x:c r="I67" s="6" t="str">
        <x:f>IF(D66="","",IF(AND(ISNUMBER(SEARCH("平",D66)),OR(ISNUMBER(SEARCH("上",D66)),ISNUMBER(SEARCH("去",D66)),ISNUMBER(SEARCH("入",D66)))),"Ambiguous",IF(ISNUMBER(SEARCH("平",D66)),"平","仄")))</x:f>
        <x:v>仄</x:v>
      </x:c>
      <x:c r="J67" s="7" t="str"/>
    </x:row>
    <x:row r="68">
      <x:c r="A68" s="5" t="str">
        <x:v>个</x:v>
      </x:c>
      <x:c r="B68" s="6" t="str">
        <x:v>去</x:v>
      </x:c>
      <x:c r="C68" s="6" t="str">
        <x:f>IF(B68="","Needs decision","Ready")</x:f>
        <x:v>Ready</x:v>
      </x:c>
      <x:c r="D68" s="6" t="str">
        <x:v>去</x:v>
      </x:c>
      <x:c r="E68" s="6" t="str">
        <x:v>kaH (C)</x:v>
      </x:c>
      <x:c r="F68" s="6" t="str">
        <x:v>1</x:v>
      </x:c>
      <x:c r="G68" s="6" t="str"/>
      <x:c r="H68" s="6" t="str">
        <x:f>IF(B68="平","平",IF(B68="","","仄"))</x:f>
        <x:v>仄</x:v>
      </x:c>
      <x:c r="I68" s="6" t="str">
        <x:f>IF(D67="","",IF(AND(ISNUMBER(SEARCH("平",D67)),OR(ISNUMBER(SEARCH("上",D67)),ISNUMBER(SEARCH("去",D67)),ISNUMBER(SEARCH("入",D67)))),"Ambiguous",IF(ISNUMBER(SEARCH("平",D67)),"平","仄")))</x:f>
        <x:v>平</x:v>
      </x:c>
      <x:c r="J68" s="7" t="str"/>
    </x:row>
    <x:row r="69">
      <x:c r="A69" s="5" t="str">
        <x:v>中</x:v>
      </x:c>
      <x:c r="B69" s="6" t="str"/>
      <x:c r="C69" s="6" t="str">
        <x:f>IF(B69="","Needs decision","Ready")</x:f>
        <x:v>Needs decision</x:v>
      </x:c>
      <x:c r="D69" s="6" t="str">
        <x:v>平/去</x:v>
      </x:c>
      <x:c r="E69" s="6" t="str">
        <x:v>trjuwng (A); trjuwngH (C)</x:v>
      </x:c>
      <x:c r="F69" s="6" t="str">
        <x:v>2</x:v>
      </x:c>
      <x:c r="G69" s="6" t="str"/>
      <x:c r="H69" s="6" t="str">
        <x:f>IF(B69="平","平",IF(B69="","","仄"))</x:f>
      </x:c>
      <x:c r="I69" s="6" t="str">
        <x:f>IF(D68="","",IF(AND(ISNUMBER(SEARCH("平",D68)),OR(ISNUMBER(SEARCH("上",D68)),ISNUMBER(SEARCH("去",D68)),ISNUMBER(SEARCH("入",D68)))),"Ambiguous",IF(ISNUMBER(SEARCH("平",D68)),"平","仄")))</x:f>
        <x:v>仄</x:v>
      </x:c>
      <x:c r="J69" s="7" t="str"/>
    </x:row>
    <x:row r="70">
      <x:c r="A70" s="5" t="str">
        <x:v>丮</x:v>
      </x:c>
      <x:c r="B70" s="6" t="str">
        <x:v>入</x:v>
      </x:c>
      <x:c r="C70" s="6" t="str">
        <x:f>IF(B70="","Needs decision","Ready")</x:f>
        <x:v>Ready</x:v>
      </x:c>
      <x:c r="D70" s="6" t="str">
        <x:v>入</x:v>
      </x:c>
      <x:c r="E70" s="6" t="str">
        <x:v>kjaek (D)</x:v>
      </x:c>
      <x:c r="F70" s="6" t="str">
        <x:v>1</x:v>
      </x:c>
      <x:c r="G70" s="6" t="str"/>
      <x:c r="H70" s="6" t="str">
        <x:f>IF(B70="平","平",IF(B70="","","仄"))</x:f>
        <x:v>仄</x:v>
      </x:c>
      <x:c r="I70" s="6" t="str">
        <x:f>IF(D69="","",IF(AND(ISNUMBER(SEARCH("平",D69)),OR(ISNUMBER(SEARCH("上",D69)),ISNUMBER(SEARCH("去",D69)),ISNUMBER(SEARCH("入",D69)))),"Ambiguous",IF(ISNUMBER(SEARCH("平",D69)),"平","仄")))</x:f>
        <x:v>Ambiguous</x:v>
      </x:c>
      <x:c r="J70" s="7" t="str"/>
    </x:row>
    <x:row r="71">
      <x:c r="A71" s="5" t="str">
        <x:v>串</x:v>
      </x:c>
      <x:c r="B71" s="6" t="str">
        <x:v>去</x:v>
      </x:c>
      <x:c r="C71" s="6" t="str">
        <x:f>IF(B71="","Needs decision","Ready")</x:f>
        <x:v>Ready</x:v>
      </x:c>
      <x:c r="D71" s="6" t="str">
        <x:v>去</x:v>
      </x:c>
      <x:c r="E71" s="6" t="str">
        <x:v>kwaenH (C)</x:v>
      </x:c>
      <x:c r="F71" s="6" t="str">
        <x:v>1</x:v>
      </x:c>
      <x:c r="G71" s="6" t="str"/>
      <x:c r="H71" s="6" t="str">
        <x:f>IF(B71="平","平",IF(B71="","","仄"))</x:f>
        <x:v>仄</x:v>
      </x:c>
      <x:c r="I71" s="6" t="str">
        <x:f>IF(D70="","",IF(AND(ISNUMBER(SEARCH("平",D70)),OR(ISNUMBER(SEARCH("上",D70)),ISNUMBER(SEARCH("去",D70)),ISNUMBER(SEARCH("入",D70)))),"Ambiguous",IF(ISNUMBER(SEARCH("平",D70)),"平","仄")))</x:f>
        <x:v>仄</x:v>
      </x:c>
      <x:c r="J71" s="7" t="str"/>
    </x:row>
    <x:row r="72">
      <x:c r="A72" s="5" t="str">
        <x:v>丸</x:v>
      </x:c>
      <x:c r="B72" s="6" t="str">
        <x:v>平</x:v>
      </x:c>
      <x:c r="C72" s="6" t="str">
        <x:f>IF(B72="","Needs decision","Ready")</x:f>
        <x:v>Ready</x:v>
      </x:c>
      <x:c r="D72" s="6" t="str">
        <x:v>平</x:v>
      </x:c>
      <x:c r="E72" s="6" t="str">
        <x:v>hwan (A)</x:v>
      </x:c>
      <x:c r="F72" s="6" t="str">
        <x:v>1</x:v>
      </x:c>
      <x:c r="G72" s="6" t="str"/>
      <x:c r="H72" s="6" t="str">
        <x:f>IF(B72="平","平",IF(B72="","","仄"))</x:f>
        <x:v>平</x:v>
      </x:c>
      <x:c r="I72" s="6" t="str">
        <x:f>IF(D71="","",IF(AND(ISNUMBER(SEARCH("平",D71)),OR(ISNUMBER(SEARCH("上",D71)),ISNUMBER(SEARCH("去",D71)),ISNUMBER(SEARCH("入",D71)))),"Ambiguous",IF(ISNUMBER(SEARCH("平",D71)),"平","仄")))</x:f>
        <x:v>仄</x:v>
      </x:c>
      <x:c r="J72" s="7" t="str"/>
    </x:row>
    <x:row r="73">
      <x:c r="A73" s="5" t="str">
        <x:v>丹</x:v>
      </x:c>
      <x:c r="B73" s="6" t="str">
        <x:v>平</x:v>
      </x:c>
      <x:c r="C73" s="6" t="str">
        <x:f>IF(B73="","Needs decision","Ready")</x:f>
        <x:v>Ready</x:v>
      </x:c>
      <x:c r="D73" s="6" t="str">
        <x:v>平</x:v>
      </x:c>
      <x:c r="E73" s="6" t="str">
        <x:v>tan (A)</x:v>
      </x:c>
      <x:c r="F73" s="6" t="str">
        <x:v>1</x:v>
      </x:c>
      <x:c r="G73" s="6" t="str"/>
      <x:c r="H73" s="6" t="str">
        <x:f>IF(B73="平","平",IF(B73="","","仄"))</x:f>
        <x:v>平</x:v>
      </x:c>
      <x:c r="I73" s="6" t="str">
        <x:f>IF(D72="","",IF(AND(ISNUMBER(SEARCH("平",D72)),OR(ISNUMBER(SEARCH("上",D72)),ISNUMBER(SEARCH("去",D72)),ISNUMBER(SEARCH("入",D72)))),"Ambiguous",IF(ISNUMBER(SEARCH("平",D72)),"平","仄")))</x:f>
        <x:v>平</x:v>
      </x:c>
      <x:c r="J73" s="7" t="str"/>
    </x:row>
    <x:row r="74">
      <x:c r="A74" s="5" t="str">
        <x:v>主</x:v>
      </x:c>
      <x:c r="B74" s="6" t="str">
        <x:v>上</x:v>
      </x:c>
      <x:c r="C74" s="6" t="str">
        <x:f>IF(B74="","Needs decision","Ready")</x:f>
        <x:v>Ready</x:v>
      </x:c>
      <x:c r="D74" s="6" t="str">
        <x:v>上</x:v>
      </x:c>
      <x:c r="E74" s="6" t="str">
        <x:v>tsyuX (B)</x:v>
      </x:c>
      <x:c r="F74" s="6" t="str">
        <x:v>1</x:v>
      </x:c>
      <x:c r="G74" s="6" t="str"/>
      <x:c r="H74" s="6" t="str">
        <x:f>IF(B74="平","平",IF(B74="","","仄"))</x:f>
        <x:v>仄</x:v>
      </x:c>
      <x:c r="I74" s="6" t="str">
        <x:f>IF(D73="","",IF(AND(ISNUMBER(SEARCH("平",D73)),OR(ISNUMBER(SEARCH("上",D73)),ISNUMBER(SEARCH("去",D73)),ISNUMBER(SEARCH("入",D73)))),"Ambiguous",IF(ISNUMBER(SEARCH("平",D73)),"平","仄")))</x:f>
        <x:v>平</x:v>
      </x:c>
      <x:c r="J74" s="7" t="str"/>
    </x:row>
    <x:row r="75">
      <x:c r="A75" s="5" t="str">
        <x:v>丼</x:v>
      </x:c>
      <x:c r="B75" s="6" t="str">
        <x:v>上</x:v>
      </x:c>
      <x:c r="C75" s="6" t="str">
        <x:f>IF(B75="","Needs decision","Ready")</x:f>
        <x:v>Ready</x:v>
      </x:c>
      <x:c r="D75" s="6" t="str">
        <x:v>上</x:v>
      </x:c>
      <x:c r="E75" s="6" t="str">
        <x:v>tsjengX (B)</x:v>
      </x:c>
      <x:c r="F75" s="6" t="str">
        <x:v>1</x:v>
      </x:c>
      <x:c r="G75" s="6" t="str"/>
      <x:c r="H75" s="6" t="str">
        <x:f>IF(B75="平","平",IF(B75="","","仄"))</x:f>
        <x:v>仄</x:v>
      </x:c>
      <x:c r="I75" s="6" t="str">
        <x:f>IF(D74="","",IF(AND(ISNUMBER(SEARCH("平",D74)),OR(ISNUMBER(SEARCH("上",D74)),ISNUMBER(SEARCH("去",D74)),ISNUMBER(SEARCH("入",D74)))),"Ambiguous",IF(ISNUMBER(SEARCH("平",D74)),"平","仄")))</x:f>
        <x:v>仄</x:v>
      </x:c>
      <x:c r="J75" s="7" t="str"/>
    </x:row>
    <x:row r="76">
      <x:c r="A76" s="5" t="str">
        <x:v>乂</x:v>
      </x:c>
      <x:c r="B76" s="6" t="str">
        <x:v>去</x:v>
      </x:c>
      <x:c r="C76" s="6" t="str">
        <x:f>IF(B76="","Needs decision","Ready")</x:f>
        <x:v>Ready</x:v>
      </x:c>
      <x:c r="D76" s="6" t="str">
        <x:v>去</x:v>
      </x:c>
      <x:c r="E76" s="6" t="str">
        <x:v>ngjojH (C)</x:v>
      </x:c>
      <x:c r="F76" s="6" t="str">
        <x:v>1</x:v>
      </x:c>
      <x:c r="G76" s="6" t="str"/>
      <x:c r="H76" s="6" t="str">
        <x:f>IF(B76="平","平",IF(B76="","","仄"))</x:f>
        <x:v>仄</x:v>
      </x:c>
      <x:c r="I76" s="6" t="str">
        <x:f>IF(D75="","",IF(AND(ISNUMBER(SEARCH("平",D75)),OR(ISNUMBER(SEARCH("上",D75)),ISNUMBER(SEARCH("去",D75)),ISNUMBER(SEARCH("入",D75)))),"Ambiguous",IF(ISNUMBER(SEARCH("平",D75)),"平","仄")))</x:f>
        <x:v>仄</x:v>
      </x:c>
      <x:c r="J76" s="7" t="str"/>
    </x:row>
    <x:row r="77">
      <x:c r="A77" s="5" t="str">
        <x:v>乃</x:v>
      </x:c>
      <x:c r="B77" s="6" t="str">
        <x:v>上</x:v>
      </x:c>
      <x:c r="C77" s="6" t="str">
        <x:f>IF(B77="","Needs decision","Ready")</x:f>
        <x:v>Ready</x:v>
      </x:c>
      <x:c r="D77" s="6" t="str">
        <x:v>上</x:v>
      </x:c>
      <x:c r="E77" s="6" t="str">
        <x:v>nojX (B)</x:v>
      </x:c>
      <x:c r="F77" s="6" t="str">
        <x:v>1</x:v>
      </x:c>
      <x:c r="G77" s="6" t="str"/>
      <x:c r="H77" s="6" t="str">
        <x:f>IF(B77="平","平",IF(B77="","","仄"))</x:f>
        <x:v>仄</x:v>
      </x:c>
      <x:c r="I77" s="6" t="str">
        <x:f>IF(D76="","",IF(AND(ISNUMBER(SEARCH("平",D76)),OR(ISNUMBER(SEARCH("上",D76)),ISNUMBER(SEARCH("去",D76)),ISNUMBER(SEARCH("入",D76)))),"Ambiguous",IF(ISNUMBER(SEARCH("平",D76)),"平","仄")))</x:f>
        <x:v>仄</x:v>
      </x:c>
      <x:c r="J77" s="7" t="str"/>
    </x:row>
    <x:row r="78">
      <x:c r="A78" s="5" t="str">
        <x:v>久</x:v>
      </x:c>
      <x:c r="B78" s="6" t="str">
        <x:v>上</x:v>
      </x:c>
      <x:c r="C78" s="6" t="str">
        <x:f>IF(B78="","Needs decision","Ready")</x:f>
        <x:v>Ready</x:v>
      </x:c>
      <x:c r="D78" s="6" t="str">
        <x:v>上</x:v>
      </x:c>
      <x:c r="E78" s="6" t="str">
        <x:v>kjuwX (B)</x:v>
      </x:c>
      <x:c r="F78" s="6" t="str">
        <x:v>1</x:v>
      </x:c>
      <x:c r="G78" s="6" t="str"/>
      <x:c r="H78" s="6" t="str">
        <x:f>IF(B78="平","平",IF(B78="","","仄"))</x:f>
        <x:v>仄</x:v>
      </x:c>
      <x:c r="I78" s="6" t="str">
        <x:f>IF(D77="","",IF(AND(ISNUMBER(SEARCH("平",D77)),OR(ISNUMBER(SEARCH("上",D77)),ISNUMBER(SEARCH("去",D77)),ISNUMBER(SEARCH("入",D77)))),"Ambiguous",IF(ISNUMBER(SEARCH("平",D77)),"平","仄")))</x:f>
        <x:v>仄</x:v>
      </x:c>
      <x:c r="J78" s="7" t="str"/>
    </x:row>
    <x:row r="79">
      <x:c r="A79" s="5" t="str">
        <x:v>乇</x:v>
      </x:c>
      <x:c r="B79" s="6" t="str">
        <x:v>入</x:v>
      </x:c>
      <x:c r="C79" s="6" t="str">
        <x:f>IF(B79="","Needs decision","Ready")</x:f>
        <x:v>Ready</x:v>
      </x:c>
      <x:c r="D79" s="6" t="str">
        <x:v>入</x:v>
      </x:c>
      <x:c r="E79" s="6" t="str">
        <x:v>traek (D)</x:v>
      </x:c>
      <x:c r="F79" s="6" t="str">
        <x:v>1</x:v>
      </x:c>
      <x:c r="G79" s="6" t="str"/>
      <x:c r="H79" s="6" t="str">
        <x:f>IF(B79="平","平",IF(B79="","","仄"))</x:f>
        <x:v>仄</x:v>
      </x:c>
      <x:c r="I79" s="6" t="str">
        <x:f>IF(D78="","",IF(AND(ISNUMBER(SEARCH("平",D78)),OR(ISNUMBER(SEARCH("上",D78)),ISNUMBER(SEARCH("去",D78)),ISNUMBER(SEARCH("入",D78)))),"Ambiguous",IF(ISNUMBER(SEARCH("平",D78)),"平","仄")))</x:f>
        <x:v>仄</x:v>
      </x:c>
      <x:c r="J79" s="7" t="str"/>
    </x:row>
    <x:row r="80">
      <x:c r="A80" s="5" t="str">
        <x:v>之</x:v>
      </x:c>
      <x:c r="B80" s="6" t="str">
        <x:v>平</x:v>
      </x:c>
      <x:c r="C80" s="6" t="str">
        <x:f>IF(B80="","Needs decision","Ready")</x:f>
        <x:v>Ready</x:v>
      </x:c>
      <x:c r="D80" s="6" t="str">
        <x:v>平</x:v>
      </x:c>
      <x:c r="E80" s="6" t="str">
        <x:v>tsyi (A)</x:v>
      </x:c>
      <x:c r="F80" s="6" t="str">
        <x:v>1</x:v>
      </x:c>
      <x:c r="G80" s="6" t="str"/>
      <x:c r="H80" s="6" t="str">
        <x:f>IF(B80="平","平",IF(B80="","","仄"))</x:f>
        <x:v>平</x:v>
      </x:c>
      <x:c r="I80" s="6" t="str">
        <x:f>IF(D79="","",IF(AND(ISNUMBER(SEARCH("平",D79)),OR(ISNUMBER(SEARCH("上",D79)),ISNUMBER(SEARCH("去",D79)),ISNUMBER(SEARCH("入",D79)))),"Ambiguous",IF(ISNUMBER(SEARCH("平",D79)),"平","仄")))</x:f>
        <x:v>仄</x:v>
      </x:c>
      <x:c r="J80" s="7" t="str"/>
    </x:row>
    <x:row r="81">
      <x:c r="A81" s="5" t="str">
        <x:v>乍</x:v>
      </x:c>
      <x:c r="B81" s="6" t="str">
        <x:v>去</x:v>
      </x:c>
      <x:c r="C81" s="6" t="str">
        <x:f>IF(B81="","Needs decision","Ready")</x:f>
        <x:v>Ready</x:v>
      </x:c>
      <x:c r="D81" s="6" t="str">
        <x:v>去</x:v>
      </x:c>
      <x:c r="E81" s="6" t="str">
        <x:v>dzraeH (C)</x:v>
      </x:c>
      <x:c r="F81" s="6" t="str">
        <x:v>1</x:v>
      </x:c>
      <x:c r="G81" s="6" t="str"/>
      <x:c r="H81" s="6" t="str">
        <x:f>IF(B81="平","平",IF(B81="","","仄"))</x:f>
        <x:v>仄</x:v>
      </x:c>
      <x:c r="I81" s="6" t="str">
        <x:f>IF(D80="","",IF(AND(ISNUMBER(SEARCH("平",D80)),OR(ISNUMBER(SEARCH("上",D80)),ISNUMBER(SEARCH("去",D80)),ISNUMBER(SEARCH("入",D80)))),"Ambiguous",IF(ISNUMBER(SEARCH("平",D80)),"平","仄")))</x:f>
        <x:v>平</x:v>
      </x:c>
      <x:c r="J81" s="7" t="str"/>
    </x:row>
    <x:row r="82">
      <x:c r="A82" s="5" t="str">
        <x:v>乎</x:v>
      </x:c>
      <x:c r="B82" s="6" t="str">
        <x:v>平</x:v>
      </x:c>
      <x:c r="C82" s="6" t="str">
        <x:f>IF(B82="","Needs decision","Ready")</x:f>
        <x:v>Ready</x:v>
      </x:c>
      <x:c r="D82" s="6" t="str">
        <x:v>平</x:v>
      </x:c>
      <x:c r="E82" s="6" t="str">
        <x:v>hu (A)</x:v>
      </x:c>
      <x:c r="F82" s="6" t="str">
        <x:v>1</x:v>
      </x:c>
      <x:c r="G82" s="6" t="str"/>
      <x:c r="H82" s="6" t="str">
        <x:f>IF(B82="平","平",IF(B82="","","仄"))</x:f>
        <x:v>平</x:v>
      </x:c>
      <x:c r="I82" s="6" t="str">
        <x:f>IF(D81="","",IF(AND(ISNUMBER(SEARCH("平",D81)),OR(ISNUMBER(SEARCH("上",D81)),ISNUMBER(SEARCH("去",D81)),ISNUMBER(SEARCH("入",D81)))),"Ambiguous",IF(ISNUMBER(SEARCH("平",D81)),"平","仄")))</x:f>
        <x:v>仄</x:v>
      </x:c>
      <x:c r="J82" s="7" t="str"/>
    </x:row>
    <x:row r="83">
      <x:c r="A83" s="5" t="str">
        <x:v>乏</x:v>
      </x:c>
      <x:c r="B83" s="6" t="str">
        <x:v>入</x:v>
      </x:c>
      <x:c r="C83" s="6" t="str">
        <x:f>IF(B83="","Needs decision","Ready")</x:f>
        <x:v>Ready</x:v>
      </x:c>
      <x:c r="D83" s="6" t="str">
        <x:v>入</x:v>
      </x:c>
      <x:c r="E83" s="6" t="str">
        <x:v>bjop (D)</x:v>
      </x:c>
      <x:c r="F83" s="6" t="str">
        <x:v>1</x:v>
      </x:c>
      <x:c r="G83" s="6" t="str"/>
      <x:c r="H83" s="6" t="str">
        <x:f>IF(B83="平","平",IF(B83="","","仄"))</x:f>
        <x:v>仄</x:v>
      </x:c>
      <x:c r="I83" s="6" t="str">
        <x:f>IF(D82="","",IF(AND(ISNUMBER(SEARCH("平",D82)),OR(ISNUMBER(SEARCH("上",D82)),ISNUMBER(SEARCH("去",D82)),ISNUMBER(SEARCH("入",D82)))),"Ambiguous",IF(ISNUMBER(SEARCH("平",D82)),"平","仄")))</x:f>
        <x:v>平</x:v>
      </x:c>
      <x:c r="J83" s="7" t="str"/>
    </x:row>
    <x:row r="84">
      <x:c r="A84" s="5" t="str">
        <x:v>乖</x:v>
      </x:c>
      <x:c r="B84" s="6" t="str">
        <x:v>平</x:v>
      </x:c>
      <x:c r="C84" s="6" t="str">
        <x:f>IF(B84="","Needs decision","Ready")</x:f>
        <x:v>Ready</x:v>
      </x:c>
      <x:c r="D84" s="6" t="str">
        <x:v>平</x:v>
      </x:c>
      <x:c r="E84" s="6" t="str">
        <x:v>kweaj (A)</x:v>
      </x:c>
      <x:c r="F84" s="6" t="str">
        <x:v>1</x:v>
      </x:c>
      <x:c r="G84" s="6" t="str"/>
      <x:c r="H84" s="6" t="str">
        <x:f>IF(B84="平","平",IF(B84="","","仄"))</x:f>
        <x:v>平</x:v>
      </x:c>
      <x:c r="I84" s="6" t="str">
        <x:f>IF(D83="","",IF(AND(ISNUMBER(SEARCH("平",D83)),OR(ISNUMBER(SEARCH("上",D83)),ISNUMBER(SEARCH("去",D83)),ISNUMBER(SEARCH("入",D83)))),"Ambiguous",IF(ISNUMBER(SEARCH("平",D83)),"平","仄")))</x:f>
        <x:v>仄</x:v>
      </x:c>
      <x:c r="J84" s="7" t="str"/>
    </x:row>
    <x:row r="85">
      <x:c r="A85" s="5" t="str">
        <x:v>乘</x:v>
      </x:c>
      <x:c r="B85" s="6" t="str"/>
      <x:c r="C85" s="6" t="str">
        <x:f>IF(B85="","Needs decision","Ready")</x:f>
        <x:v>Needs decision</x:v>
      </x:c>
      <x:c r="D85" s="6" t="str">
        <x:v>平/去</x:v>
      </x:c>
      <x:c r="E85" s="6" t="str">
        <x:v>zying (A); zyingH (C)</x:v>
      </x:c>
      <x:c r="F85" s="6" t="str">
        <x:v>2</x:v>
      </x:c>
      <x:c r="G85" s="6" t="str"/>
      <x:c r="H85" s="6" t="str">
        <x:f>IF(B85="平","平",IF(B85="","","仄"))</x:f>
      </x:c>
      <x:c r="I85" s="6" t="str">
        <x:f>IF(D84="","",IF(AND(ISNUMBER(SEARCH("平",D84)),OR(ISNUMBER(SEARCH("上",D84)),ISNUMBER(SEARCH("去",D84)),ISNUMBER(SEARCH("入",D84)))),"Ambiguous",IF(ISNUMBER(SEARCH("平",D84)),"平","仄")))</x:f>
        <x:v>平</x:v>
      </x:c>
      <x:c r="J85" s="7" t="str"/>
    </x:row>
    <x:row r="86">
      <x:c r="A86" s="5" t="str">
        <x:v>乙</x:v>
      </x:c>
      <x:c r="B86" s="6" t="str">
        <x:v>入</x:v>
      </x:c>
      <x:c r="C86" s="6" t="str">
        <x:f>IF(B86="","Needs decision","Ready")</x:f>
        <x:v>Ready</x:v>
      </x:c>
      <x:c r="D86" s="6" t="str">
        <x:v>入</x:v>
      </x:c>
      <x:c r="E86" s="6" t="str">
        <x:v>'it (D)</x:v>
      </x:c>
      <x:c r="F86" s="6" t="str">
        <x:v>1</x:v>
      </x:c>
      <x:c r="G86" s="6" t="str"/>
      <x:c r="H86" s="6" t="str">
        <x:f>IF(B86="平","平",IF(B86="","","仄"))</x:f>
        <x:v>仄</x:v>
      </x:c>
      <x:c r="I86" s="6" t="str">
        <x:f>IF(D85="","",IF(AND(ISNUMBER(SEARCH("平",D85)),OR(ISNUMBER(SEARCH("上",D85)),ISNUMBER(SEARCH("去",D85)),ISNUMBER(SEARCH("入",D85)))),"Ambiguous",IF(ISNUMBER(SEARCH("平",D85)),"平","仄")))</x:f>
        <x:v>Ambiguous</x:v>
      </x:c>
      <x:c r="J86" s="7" t="str"/>
    </x:row>
    <x:row r="87">
      <x:c r="A87" s="5" t="str">
        <x:v>九</x:v>
      </x:c>
      <x:c r="B87" s="6" t="str">
        <x:v>上</x:v>
      </x:c>
      <x:c r="C87" s="6" t="str">
        <x:f>IF(B87="","Needs decision","Ready")</x:f>
        <x:v>Ready</x:v>
      </x:c>
      <x:c r="D87" s="6" t="str">
        <x:v>上</x:v>
      </x:c>
      <x:c r="E87" s="6" t="str">
        <x:v>kjuwX (B)</x:v>
      </x:c>
      <x:c r="F87" s="6" t="str">
        <x:v>1</x:v>
      </x:c>
      <x:c r="G87" s="6" t="str"/>
      <x:c r="H87" s="6" t="str">
        <x:f>IF(B87="平","平",IF(B87="","","仄"))</x:f>
        <x:v>仄</x:v>
      </x:c>
      <x:c r="I87" s="6" t="str">
        <x:f>IF(D86="","",IF(AND(ISNUMBER(SEARCH("平",D86)),OR(ISNUMBER(SEARCH("上",D86)),ISNUMBER(SEARCH("去",D86)),ISNUMBER(SEARCH("入",D86)))),"Ambiguous",IF(ISNUMBER(SEARCH("平",D86)),"平","仄")))</x:f>
        <x:v>仄</x:v>
      </x:c>
      <x:c r="J87" s="7" t="str"/>
    </x:row>
    <x:row r="88">
      <x:c r="A88" s="5" t="str">
        <x:v>乞</x:v>
      </x:c>
      <x:c r="B88" s="6" t="str">
        <x:v>入</x:v>
      </x:c>
      <x:c r="C88" s="6" t="str">
        <x:f>IF(B88="","Needs decision","Ready")</x:f>
        <x:v>Ready</x:v>
      </x:c>
      <x:c r="D88" s="6" t="str">
        <x:v>入</x:v>
      </x:c>
      <x:c r="E88" s="6" t="str">
        <x:v>khj+t (D)</x:v>
      </x:c>
      <x:c r="F88" s="6" t="str">
        <x:v>1</x:v>
      </x:c>
      <x:c r="G88" s="6" t="str"/>
      <x:c r="H88" s="6" t="str">
        <x:f>IF(B88="平","平",IF(B88="","","仄"))</x:f>
        <x:v>仄</x:v>
      </x:c>
      <x:c r="I88" s="6" t="str">
        <x:f>IF(D87="","",IF(AND(ISNUMBER(SEARCH("平",D87)),OR(ISNUMBER(SEARCH("上",D87)),ISNUMBER(SEARCH("去",D87)),ISNUMBER(SEARCH("入",D87)))),"Ambiguous",IF(ISNUMBER(SEARCH("平",D87)),"平","仄")))</x:f>
        <x:v>仄</x:v>
      </x:c>
      <x:c r="J88" s="7" t="str"/>
    </x:row>
    <x:row r="89">
      <x:c r="A89" s="5" t="str">
        <x:v>也</x:v>
      </x:c>
      <x:c r="B89" s="6" t="str">
        <x:v>上</x:v>
      </x:c>
      <x:c r="C89" s="6" t="str">
        <x:f>IF(B89="","Needs decision","Ready")</x:f>
        <x:v>Ready</x:v>
      </x:c>
      <x:c r="D89" s="6" t="str">
        <x:v>上</x:v>
      </x:c>
      <x:c r="E89" s="6" t="str">
        <x:v>yaeX (B)</x:v>
      </x:c>
      <x:c r="F89" s="6" t="str">
        <x:v>1</x:v>
      </x:c>
      <x:c r="G89" s="6" t="str"/>
      <x:c r="H89" s="6" t="str">
        <x:f>IF(B89="平","平",IF(B89="","","仄"))</x:f>
        <x:v>仄</x:v>
      </x:c>
      <x:c r="I89" s="6" t="str">
        <x:f>IF(D88="","",IF(AND(ISNUMBER(SEARCH("平",D88)),OR(ISNUMBER(SEARCH("上",D88)),ISNUMBER(SEARCH("去",D88)),ISNUMBER(SEARCH("入",D88)))),"Ambiguous",IF(ISNUMBER(SEARCH("平",D88)),"平","仄")))</x:f>
        <x:v>仄</x:v>
      </x:c>
      <x:c r="J89" s="7" t="str"/>
    </x:row>
    <x:row r="90">
      <x:c r="A90" s="5" t="str">
        <x:v>乳</x:v>
      </x:c>
      <x:c r="B90" s="6" t="str">
        <x:v>上</x:v>
      </x:c>
      <x:c r="C90" s="6" t="str">
        <x:f>IF(B90="","Needs decision","Ready")</x:f>
        <x:v>Ready</x:v>
      </x:c>
      <x:c r="D90" s="6" t="str">
        <x:v>上</x:v>
      </x:c>
      <x:c r="E90" s="6" t="str">
        <x:v>nyuX (B)</x:v>
      </x:c>
      <x:c r="F90" s="6" t="str">
        <x:v>1</x:v>
      </x:c>
      <x:c r="G90" s="6" t="str"/>
      <x:c r="H90" s="6" t="str">
        <x:f>IF(B90="平","平",IF(B90="","","仄"))</x:f>
        <x:v>仄</x:v>
      </x:c>
      <x:c r="I90" s="6" t="str">
        <x:f>IF(D89="","",IF(AND(ISNUMBER(SEARCH("平",D89)),OR(ISNUMBER(SEARCH("上",D89)),ISNUMBER(SEARCH("去",D89)),ISNUMBER(SEARCH("入",D89)))),"Ambiguous",IF(ISNUMBER(SEARCH("平",D89)),"平","仄")))</x:f>
        <x:v>仄</x:v>
      </x:c>
      <x:c r="J90" s="7" t="str"/>
    </x:row>
    <x:row r="91">
      <x:c r="A91" s="5" t="str">
        <x:v>乾</x:v>
      </x:c>
      <x:c r="B91" s="6" t="str">
        <x:v>平</x:v>
      </x:c>
      <x:c r="C91" s="6" t="str">
        <x:f>IF(B91="","Needs decision","Ready")</x:f>
        <x:v>Ready</x:v>
      </x:c>
      <x:c r="D91" s="6" t="str">
        <x:v>平</x:v>
      </x:c>
      <x:c r="E91" s="6" t="str">
        <x:v>kan (A); gjen (A)</x:v>
      </x:c>
      <x:c r="F91" s="6" t="str">
        <x:v>2</x:v>
      </x:c>
      <x:c r="G91" s="6" t="str"/>
      <x:c r="H91" s="6" t="str">
        <x:f>IF(B91="平","平",IF(B91="","","仄"))</x:f>
        <x:v>平</x:v>
      </x:c>
      <x:c r="I91" s="6" t="str">
        <x:f>IF(D90="","",IF(AND(ISNUMBER(SEARCH("平",D90)),OR(ISNUMBER(SEARCH("上",D90)),ISNUMBER(SEARCH("去",D90)),ISNUMBER(SEARCH("入",D90)))),"Ambiguous",IF(ISNUMBER(SEARCH("平",D90)),"平","仄")))</x:f>
        <x:v>仄</x:v>
      </x:c>
      <x:c r="J91" s="7" t="str"/>
    </x:row>
    <x:row r="92">
      <x:c r="A92" s="5" t="str">
        <x:v>亂</x:v>
      </x:c>
      <x:c r="B92" s="6" t="str">
        <x:v>去</x:v>
      </x:c>
      <x:c r="C92" s="6" t="str">
        <x:f>IF(B92="","Needs decision","Ready")</x:f>
        <x:v>Ready</x:v>
      </x:c>
      <x:c r="D92" s="6" t="str">
        <x:v>去</x:v>
      </x:c>
      <x:c r="E92" s="6" t="str">
        <x:v>lwanH (C)</x:v>
      </x:c>
      <x:c r="F92" s="6" t="str">
        <x:v>1</x:v>
      </x:c>
      <x:c r="G92" s="6" t="str"/>
      <x:c r="H92" s="6" t="str">
        <x:f>IF(B92="平","平",IF(B92="","","仄"))</x:f>
        <x:v>仄</x:v>
      </x:c>
      <x:c r="I92" s="6" t="str">
        <x:f>IF(D91="","",IF(AND(ISNUMBER(SEARCH("平",D91)),OR(ISNUMBER(SEARCH("上",D91)),ISNUMBER(SEARCH("去",D91)),ISNUMBER(SEARCH("入",D91)))),"Ambiguous",IF(ISNUMBER(SEARCH("平",D91)),"平","仄")))</x:f>
        <x:v>平</x:v>
      </x:c>
      <x:c r="J92" s="7" t="str"/>
    </x:row>
    <x:row r="93">
      <x:c r="A93" s="5" t="str">
        <x:v>了</x:v>
      </x:c>
      <x:c r="B93" s="6" t="str">
        <x:v>上</x:v>
      </x:c>
      <x:c r="C93" s="6" t="str">
        <x:f>IF(B93="","Needs decision","Ready")</x:f>
        <x:v>Ready</x:v>
      </x:c>
      <x:c r="D93" s="6" t="str"/>
      <x:c r="E93" s="6" t="str"/>
      <x:c r="F93" s="6" t="str"/>
      <x:c r="G93" s="6" t="str"/>
      <x:c r="H93" s="6" t="str">
        <x:f>IF(B93="平","平",IF(B93="","","仄"))</x:f>
        <x:v>仄</x:v>
      </x:c>
      <x:c r="I93" s="6" t="str">
        <x:f>IF(D92="","",IF(AND(ISNUMBER(SEARCH("平",D92)),OR(ISNUMBER(SEARCH("上",D92)),ISNUMBER(SEARCH("去",D92)),ISNUMBER(SEARCH("入",D92)))),"Ambiguous",IF(ISNUMBER(SEARCH("平",D92)),"平","仄")))</x:f>
        <x:v>仄</x:v>
      </x:c>
      <x:c r="J93" s="7" t="str"/>
    </x:row>
    <x:row r="94">
      <x:c r="A94" s="5" t="str">
        <x:v>予</x:v>
      </x:c>
      <x:c r="B94" s="6" t="str">
        <x:v>上</x:v>
      </x:c>
      <x:c r="C94" s="6" t="str">
        <x:f>IF(B94="","Needs decision","Ready")</x:f>
        <x:v>Ready</x:v>
      </x:c>
      <x:c r="D94" s="6" t="str">
        <x:v>平/上</x:v>
      </x:c>
      <x:c r="E94" s="6" t="str">
        <x:v>yo (A); yoX (B)</x:v>
      </x:c>
      <x:c r="F94" s="6" t="str">
        <x:v>2</x:v>
      </x:c>
      <x:c r="G94" s="6" t="str"/>
      <x:c r="H94" s="6" t="str">
        <x:f>IF(B94="平","平",IF(B94="","","仄"))</x:f>
        <x:v>仄</x:v>
      </x:c>
      <x:c r="I94" s="6" t="str">
        <x:f>IF(D93="","",IF(AND(ISNUMBER(SEARCH("平",D93)),OR(ISNUMBER(SEARCH("上",D93)),ISNUMBER(SEARCH("去",D93)),ISNUMBER(SEARCH("入",D93)))),"Ambiguous",IF(ISNUMBER(SEARCH("平",D93)),"平","仄")))</x:f>
      </x:c>
      <x:c r="J94" s="7" t="str"/>
    </x:row>
    <x:row r="95">
      <x:c r="A95" s="5" t="str">
        <x:v>事</x:v>
      </x:c>
      <x:c r="B95" s="6" t="str">
        <x:v>去</x:v>
      </x:c>
      <x:c r="C95" s="6" t="str">
        <x:f>IF(B95="","Needs decision","Ready")</x:f>
        <x:v>Ready</x:v>
      </x:c>
      <x:c r="D95" s="6" t="str">
        <x:v>去</x:v>
      </x:c>
      <x:c r="E95" s="6" t="str">
        <x:v>dzriH (C)</x:v>
      </x:c>
      <x:c r="F95" s="6" t="str">
        <x:v>1</x:v>
      </x:c>
      <x:c r="G95" s="6" t="str"/>
      <x:c r="H95" s="6" t="str">
        <x:f>IF(B95="平","平",IF(B95="","","仄"))</x:f>
        <x:v>仄</x:v>
      </x:c>
      <x:c r="I95" s="6" t="str">
        <x:f>IF(D94="","",IF(AND(ISNUMBER(SEARCH("平",D94)),OR(ISNUMBER(SEARCH("上",D94)),ISNUMBER(SEARCH("去",D94)),ISNUMBER(SEARCH("入",D94)))),"Ambiguous",IF(ISNUMBER(SEARCH("平",D94)),"平","仄")))</x:f>
        <x:v>Ambiguous</x:v>
      </x:c>
      <x:c r="J95" s="7" t="str"/>
    </x:row>
    <x:row r="96">
      <x:c r="A96" s="5" t="str">
        <x:v>二</x:v>
      </x:c>
      <x:c r="B96" s="6" t="str">
        <x:v>去</x:v>
      </x:c>
      <x:c r="C96" s="6" t="str">
        <x:f>IF(B96="","Needs decision","Ready")</x:f>
        <x:v>Ready</x:v>
      </x:c>
      <x:c r="D96" s="6" t="str">
        <x:v>去</x:v>
      </x:c>
      <x:c r="E96" s="6" t="str">
        <x:v>nyijH (C)</x:v>
      </x:c>
      <x:c r="F96" s="6" t="str">
        <x:v>1</x:v>
      </x:c>
      <x:c r="G96" s="6" t="str"/>
      <x:c r="H96" s="6" t="str">
        <x:f>IF(B96="平","平",IF(B96="","","仄"))</x:f>
        <x:v>仄</x:v>
      </x:c>
      <x:c r="I96" s="6" t="str">
        <x:f>IF(D95="","",IF(AND(ISNUMBER(SEARCH("平",D95)),OR(ISNUMBER(SEARCH("上",D95)),ISNUMBER(SEARCH("去",D95)),ISNUMBER(SEARCH("入",D95)))),"Ambiguous",IF(ISNUMBER(SEARCH("平",D95)),"平","仄")))</x:f>
        <x:v>仄</x:v>
      </x:c>
      <x:c r="J96" s="7" t="str"/>
    </x:row>
    <x:row r="97">
      <x:c r="A97" s="5" t="str">
        <x:v>于</x:v>
      </x:c>
      <x:c r="B97" s="6" t="str">
        <x:v>平</x:v>
      </x:c>
      <x:c r="C97" s="6" t="str">
        <x:f>IF(B97="","Needs decision","Ready")</x:f>
        <x:v>Ready</x:v>
      </x:c>
      <x:c r="D97" s="6" t="str">
        <x:v>平</x:v>
      </x:c>
      <x:c r="E97" s="6" t="str">
        <x:v>hju (A)</x:v>
      </x:c>
      <x:c r="F97" s="6" t="str">
        <x:v>1</x:v>
      </x:c>
      <x:c r="G97" s="6" t="str"/>
      <x:c r="H97" s="6" t="str">
        <x:f>IF(B97="平","平",IF(B97="","","仄"))</x:f>
        <x:v>平</x:v>
      </x:c>
      <x:c r="I97" s="6" t="str">
        <x:f>IF(D96="","",IF(AND(ISNUMBER(SEARCH("平",D96)),OR(ISNUMBER(SEARCH("上",D96)),ISNUMBER(SEARCH("去",D96)),ISNUMBER(SEARCH("入",D96)))),"Ambiguous",IF(ISNUMBER(SEARCH("平",D96)),"平","仄")))</x:f>
        <x:v>仄</x:v>
      </x:c>
      <x:c r="J97" s="7" t="str"/>
    </x:row>
    <x:row r="98">
      <x:c r="A98" s="5" t="str">
        <x:v>云</x:v>
      </x:c>
      <x:c r="B98" s="6" t="str">
        <x:v>平</x:v>
      </x:c>
      <x:c r="C98" s="6" t="str">
        <x:f>IF(B98="","Needs decision","Ready")</x:f>
        <x:v>Ready</x:v>
      </x:c>
      <x:c r="D98" s="6" t="str">
        <x:v>平</x:v>
      </x:c>
      <x:c r="E98" s="6" t="str">
        <x:v>hjun (A)</x:v>
      </x:c>
      <x:c r="F98" s="6" t="str">
        <x:v>1</x:v>
      </x:c>
      <x:c r="G98" s="6" t="str"/>
      <x:c r="H98" s="6" t="str">
        <x:f>IF(B98="平","平",IF(B98="","","仄"))</x:f>
        <x:v>平</x:v>
      </x:c>
      <x:c r="I98" s="6" t="str">
        <x:f>IF(D97="","",IF(AND(ISNUMBER(SEARCH("平",D97)),OR(ISNUMBER(SEARCH("上",D97)),ISNUMBER(SEARCH("去",D97)),ISNUMBER(SEARCH("入",D97)))),"Ambiguous",IF(ISNUMBER(SEARCH("平",D97)),"平","仄")))</x:f>
        <x:v>平</x:v>
      </x:c>
      <x:c r="J98" s="7" t="str"/>
    </x:row>
    <x:row r="99">
      <x:c r="A99" s="5" t="str">
        <x:v>互</x:v>
      </x:c>
      <x:c r="B99" s="6" t="str">
        <x:v>去</x:v>
      </x:c>
      <x:c r="C99" s="6" t="str">
        <x:f>IF(B99="","Needs decision","Ready")</x:f>
        <x:v>Ready</x:v>
      </x:c>
      <x:c r="D99" s="6" t="str">
        <x:v>去</x:v>
      </x:c>
      <x:c r="E99" s="6" t="str">
        <x:v>huH (C)</x:v>
      </x:c>
      <x:c r="F99" s="6" t="str">
        <x:v>1</x:v>
      </x:c>
      <x:c r="G99" s="6" t="str"/>
      <x:c r="H99" s="6" t="str">
        <x:f>IF(B99="平","平",IF(B99="","","仄"))</x:f>
        <x:v>仄</x:v>
      </x:c>
      <x:c r="I99" s="6" t="str">
        <x:f>IF(D98="","",IF(AND(ISNUMBER(SEARCH("平",D98)),OR(ISNUMBER(SEARCH("上",D98)),ISNUMBER(SEARCH("去",D98)),ISNUMBER(SEARCH("入",D98)))),"Ambiguous",IF(ISNUMBER(SEARCH("平",D98)),"平","仄")))</x:f>
        <x:v>平</x:v>
      </x:c>
      <x:c r="J99" s="7" t="str"/>
    </x:row>
    <x:row r="100">
      <x:c r="A100" s="5" t="str">
        <x:v>五</x:v>
      </x:c>
      <x:c r="B100" s="6" t="str">
        <x:v>上</x:v>
      </x:c>
      <x:c r="C100" s="6" t="str">
        <x:f>IF(B100="","Needs decision","Ready")</x:f>
        <x:v>Ready</x:v>
      </x:c>
      <x:c r="D100" s="6" t="str">
        <x:v>上</x:v>
      </x:c>
      <x:c r="E100" s="6" t="str">
        <x:v>nguX (B)</x:v>
      </x:c>
      <x:c r="F100" s="6" t="str">
        <x:v>1</x:v>
      </x:c>
      <x:c r="G100" s="6" t="str"/>
      <x:c r="H100" s="6" t="str">
        <x:f>IF(B100="平","平",IF(B100="","","仄"))</x:f>
        <x:v>仄</x:v>
      </x:c>
      <x:c r="I100" s="6" t="str">
        <x:f>IF(D99="","",IF(AND(ISNUMBER(SEARCH("平",D99)),OR(ISNUMBER(SEARCH("上",D99)),ISNUMBER(SEARCH("去",D99)),ISNUMBER(SEARCH("入",D99)))),"Ambiguous",IF(ISNUMBER(SEARCH("平",D99)),"平","仄")))</x:f>
        <x:v>仄</x:v>
      </x:c>
      <x:c r="J100" s="7" t="str"/>
    </x:row>
    <x:row r="101">
      <x:c r="A101" s="5" t="str">
        <x:v>井</x:v>
      </x:c>
      <x:c r="B101" s="6" t="str">
        <x:v>上</x:v>
      </x:c>
      <x:c r="C101" s="6" t="str">
        <x:f>IF(B101="","Needs decision","Ready")</x:f>
        <x:v>Ready</x:v>
      </x:c>
      <x:c r="D101" s="6" t="str">
        <x:v>上</x:v>
      </x:c>
      <x:c r="E101" s="6" t="str">
        <x:v>tsjengX (B)</x:v>
      </x:c>
      <x:c r="F101" s="6" t="str">
        <x:v>1</x:v>
      </x:c>
      <x:c r="G101" s="6" t="str"/>
      <x:c r="H101" s="6" t="str">
        <x:f>IF(B101="平","平",IF(B101="","","仄"))</x:f>
        <x:v>仄</x:v>
      </x:c>
      <x:c r="I101" s="6" t="str">
        <x:f>IF(D100="","",IF(AND(ISNUMBER(SEARCH("平",D100)),OR(ISNUMBER(SEARCH("上",D100)),ISNUMBER(SEARCH("去",D100)),ISNUMBER(SEARCH("入",D100)))),"Ambiguous",IF(ISNUMBER(SEARCH("平",D100)),"平","仄")))</x:f>
        <x:v>仄</x:v>
      </x:c>
      <x:c r="J101" s="7" t="str"/>
    </x:row>
    <x:row r="102">
      <x:c r="A102" s="5" t="str">
        <x:v>亘</x:v>
      </x:c>
      <x:c r="B102" s="6" t="str">
        <x:v>平</x:v>
      </x:c>
      <x:c r="C102" s="6" t="str">
        <x:f>IF(B102="","Needs decision","Ready")</x:f>
        <x:v>Ready</x:v>
      </x:c>
      <x:c r="D102" s="6" t="str">
        <x:v>平</x:v>
      </x:c>
      <x:c r="E102" s="6" t="str">
        <x:v>hwan (A); sjwen (A)</x:v>
      </x:c>
      <x:c r="F102" s="6" t="str">
        <x:v>2</x:v>
      </x:c>
      <x:c r="G102" s="6" t="str"/>
      <x:c r="H102" s="6" t="str">
        <x:f>IF(B102="平","平",IF(B102="","","仄"))</x:f>
        <x:v>平</x:v>
      </x:c>
      <x:c r="I102" s="6" t="str">
        <x:f>IF(D101="","",IF(AND(ISNUMBER(SEARCH("平",D101)),OR(ISNUMBER(SEARCH("上",D101)),ISNUMBER(SEARCH("去",D101)),ISNUMBER(SEARCH("入",D101)))),"Ambiguous",IF(ISNUMBER(SEARCH("平",D101)),"平","仄")))</x:f>
        <x:v>仄</x:v>
      </x:c>
      <x:c r="J102" s="7" t="str"/>
    </x:row>
    <x:row r="103">
      <x:c r="A103" s="5" t="str">
        <x:v>亙</x:v>
      </x:c>
      <x:c r="B103" s="6" t="str">
        <x:v>去</x:v>
      </x:c>
      <x:c r="C103" s="6" t="str">
        <x:f>IF(B103="","Needs decision","Ready")</x:f>
        <x:v>Ready</x:v>
      </x:c>
      <x:c r="D103" s="6" t="str">
        <x:v>去</x:v>
      </x:c>
      <x:c r="E103" s="6" t="str">
        <x:v>kongH (C)</x:v>
      </x:c>
      <x:c r="F103" s="6" t="str">
        <x:v>1</x:v>
      </x:c>
      <x:c r="G103" s="6" t="str"/>
      <x:c r="H103" s="6" t="str">
        <x:f>IF(B103="平","平",IF(B103="","","仄"))</x:f>
        <x:v>仄</x:v>
      </x:c>
      <x:c r="I103" s="6" t="str">
        <x:f>IF(D102="","",IF(AND(ISNUMBER(SEARCH("平",D102)),OR(ISNUMBER(SEARCH("上",D102)),ISNUMBER(SEARCH("去",D102)),ISNUMBER(SEARCH("入",D102)))),"Ambiguous",IF(ISNUMBER(SEARCH("平",D102)),"平","仄")))</x:f>
        <x:v>平</x:v>
      </x:c>
      <x:c r="J103" s="7" t="str"/>
    </x:row>
    <x:row r="104">
      <x:c r="A104" s="5" t="str">
        <x:v>亞</x:v>
      </x:c>
      <x:c r="B104" s="6" t="str">
        <x:v>去</x:v>
      </x:c>
      <x:c r="C104" s="6" t="str">
        <x:f>IF(B104="","Needs decision","Ready")</x:f>
        <x:v>Ready</x:v>
      </x:c>
      <x:c r="D104" s="6" t="str">
        <x:v>去</x:v>
      </x:c>
      <x:c r="E104" s="6" t="str">
        <x:v>'aeH (C)</x:v>
      </x:c>
      <x:c r="F104" s="6" t="str">
        <x:v>1</x:v>
      </x:c>
      <x:c r="G104" s="6" t="str"/>
      <x:c r="H104" s="6" t="str">
        <x:f>IF(B104="平","平",IF(B104="","","仄"))</x:f>
        <x:v>仄</x:v>
      </x:c>
      <x:c r="I104" s="6" t="str">
        <x:f>IF(D103="","",IF(AND(ISNUMBER(SEARCH("平",D103)),OR(ISNUMBER(SEARCH("上",D103)),ISNUMBER(SEARCH("去",D103)),ISNUMBER(SEARCH("入",D103)))),"Ambiguous",IF(ISNUMBER(SEARCH("平",D103)),"平","仄")))</x:f>
        <x:v>仄</x:v>
      </x:c>
      <x:c r="J104" s="7" t="str"/>
    </x:row>
    <x:row r="105">
      <x:c r="A105" s="5" t="str">
        <x:v>亟</x:v>
      </x:c>
      <x:c r="B105" s="6" t="str"/>
      <x:c r="C105" s="6" t="str">
        <x:f>IF(B105="","Needs decision","Ready")</x:f>
        <x:v>Needs decision</x:v>
      </x:c>
      <x:c r="D105" s="6" t="str">
        <x:v>入/去</x:v>
      </x:c>
      <x:c r="E105" s="6" t="str">
        <x:v>kik (D); khiH (C)</x:v>
      </x:c>
      <x:c r="F105" s="6" t="str">
        <x:v>2</x:v>
      </x:c>
      <x:c r="G105" s="6" t="str"/>
      <x:c r="H105" s="6" t="str">
        <x:f>IF(B105="平","平",IF(B105="","","仄"))</x:f>
      </x:c>
      <x:c r="I105" s="6" t="str">
        <x:f>IF(D104="","",IF(AND(ISNUMBER(SEARCH("平",D104)),OR(ISNUMBER(SEARCH("上",D104)),ISNUMBER(SEARCH("去",D104)),ISNUMBER(SEARCH("入",D104)))),"Ambiguous",IF(ISNUMBER(SEARCH("平",D104)),"平","仄")))</x:f>
        <x:v>仄</x:v>
      </x:c>
      <x:c r="J105" s="7" t="str"/>
    </x:row>
    <x:row r="106">
      <x:c r="A106" s="5" t="str">
        <x:v>亡</x:v>
      </x:c>
      <x:c r="B106" s="6" t="str">
        <x:v>平</x:v>
      </x:c>
      <x:c r="C106" s="6" t="str">
        <x:f>IF(B106="","Needs decision","Ready")</x:f>
        <x:v>Ready</x:v>
      </x:c>
      <x:c r="D106" s="6" t="str">
        <x:v>平</x:v>
      </x:c>
      <x:c r="E106" s="6" t="str">
        <x:v>mjang (A)</x:v>
      </x:c>
      <x:c r="F106" s="6" t="str">
        <x:v>1</x:v>
      </x:c>
      <x:c r="G106" s="6" t="str"/>
      <x:c r="H106" s="6" t="str">
        <x:f>IF(B106="平","平",IF(B106="","","仄"))</x:f>
        <x:v>平</x:v>
      </x:c>
      <x:c r="I106" s="6" t="str">
        <x:f>IF(D105="","",IF(AND(ISNUMBER(SEARCH("平",D105)),OR(ISNUMBER(SEARCH("上",D105)),ISNUMBER(SEARCH("去",D105)),ISNUMBER(SEARCH("入",D105)))),"Ambiguous",IF(ISNUMBER(SEARCH("平",D105)),"平","仄")))</x:f>
        <x:v>仄</x:v>
      </x:c>
      <x:c r="J106" s="7" t="str"/>
    </x:row>
    <x:row r="107">
      <x:c r="A107" s="5" t="str">
        <x:v>亢</x:v>
      </x:c>
      <x:c r="B107" s="6" t="str">
        <x:v>平</x:v>
      </x:c>
      <x:c r="C107" s="6" t="str">
        <x:f>IF(B107="","Needs decision","Ready")</x:f>
        <x:v>Ready</x:v>
      </x:c>
      <x:c r="D107" s="6" t="str">
        <x:v>平</x:v>
      </x:c>
      <x:c r="E107" s="6" t="str">
        <x:v>kang (A)</x:v>
      </x:c>
      <x:c r="F107" s="6" t="str">
        <x:v>1</x:v>
      </x:c>
      <x:c r="G107" s="6" t="str"/>
      <x:c r="H107" s="6" t="str">
        <x:f>IF(B107="平","平",IF(B107="","","仄"))</x:f>
        <x:v>平</x:v>
      </x:c>
      <x:c r="I107" s="6" t="str">
        <x:f>IF(D106="","",IF(AND(ISNUMBER(SEARCH("平",D106)),OR(ISNUMBER(SEARCH("上",D106)),ISNUMBER(SEARCH("去",D106)),ISNUMBER(SEARCH("入",D106)))),"Ambiguous",IF(ISNUMBER(SEARCH("平",D106)),"平","仄")))</x:f>
        <x:v>平</x:v>
      </x:c>
      <x:c r="J107" s="7" t="str"/>
    </x:row>
    <x:row r="108">
      <x:c r="A108" s="5" t="str">
        <x:v>交</x:v>
      </x:c>
      <x:c r="B108" s="6" t="str">
        <x:v>平</x:v>
      </x:c>
      <x:c r="C108" s="6" t="str">
        <x:f>IF(B108="","Needs decision","Ready")</x:f>
        <x:v>Ready</x:v>
      </x:c>
      <x:c r="D108" s="6" t="str">
        <x:v>平</x:v>
      </x:c>
      <x:c r="E108" s="6" t="str">
        <x:v>kaew (A)</x:v>
      </x:c>
      <x:c r="F108" s="6" t="str">
        <x:v>1</x:v>
      </x:c>
      <x:c r="G108" s="6" t="str"/>
      <x:c r="H108" s="6" t="str">
        <x:f>IF(B108="平","平",IF(B108="","","仄"))</x:f>
        <x:v>平</x:v>
      </x:c>
      <x:c r="I108" s="6" t="str">
        <x:f>IF(D107="","",IF(AND(ISNUMBER(SEARCH("平",D107)),OR(ISNUMBER(SEARCH("上",D107)),ISNUMBER(SEARCH("去",D107)),ISNUMBER(SEARCH("入",D107)))),"Ambiguous",IF(ISNUMBER(SEARCH("平",D107)),"平","仄")))</x:f>
        <x:v>平</x:v>
      </x:c>
      <x:c r="J108" s="7" t="str"/>
    </x:row>
    <x:row r="109">
      <x:c r="A109" s="5" t="str">
        <x:v>亥</x:v>
      </x:c>
      <x:c r="B109" s="6" t="str">
        <x:v>上</x:v>
      </x:c>
      <x:c r="C109" s="6" t="str">
        <x:f>IF(B109="","Needs decision","Ready")</x:f>
        <x:v>Ready</x:v>
      </x:c>
      <x:c r="D109" s="6" t="str">
        <x:v>上</x:v>
      </x:c>
      <x:c r="E109" s="6" t="str">
        <x:v>hojX (B)</x:v>
      </x:c>
      <x:c r="F109" s="6" t="str">
        <x:v>1</x:v>
      </x:c>
      <x:c r="G109" s="6" t="str"/>
      <x:c r="H109" s="6" t="str">
        <x:f>IF(B109="平","平",IF(B109="","","仄"))</x:f>
        <x:v>仄</x:v>
      </x:c>
      <x:c r="I109" s="6" t="str">
        <x:f>IF(D108="","",IF(AND(ISNUMBER(SEARCH("平",D108)),OR(ISNUMBER(SEARCH("上",D108)),ISNUMBER(SEARCH("去",D108)),ISNUMBER(SEARCH("入",D108)))),"Ambiguous",IF(ISNUMBER(SEARCH("平",D108)),"平","仄")))</x:f>
        <x:v>平</x:v>
      </x:c>
      <x:c r="J109" s="7" t="str"/>
    </x:row>
    <x:row r="110">
      <x:c r="A110" s="5" t="str">
        <x:v>亦</x:v>
      </x:c>
      <x:c r="B110" s="6" t="str">
        <x:v>入</x:v>
      </x:c>
      <x:c r="C110" s="6" t="str">
        <x:f>IF(B110="","Needs decision","Ready")</x:f>
        <x:v>Ready</x:v>
      </x:c>
      <x:c r="D110" s="6" t="str">
        <x:v>入</x:v>
      </x:c>
      <x:c r="E110" s="6" t="str">
        <x:v>yek (D)</x:v>
      </x:c>
      <x:c r="F110" s="6" t="str">
        <x:v>1</x:v>
      </x:c>
      <x:c r="G110" s="6" t="str"/>
      <x:c r="H110" s="6" t="str">
        <x:f>IF(B110="平","平",IF(B110="","","仄"))</x:f>
        <x:v>仄</x:v>
      </x:c>
      <x:c r="I110" s="6" t="str">
        <x:f>IF(D109="","",IF(AND(ISNUMBER(SEARCH("平",D109)),OR(ISNUMBER(SEARCH("上",D109)),ISNUMBER(SEARCH("去",D109)),ISNUMBER(SEARCH("入",D109)))),"Ambiguous",IF(ISNUMBER(SEARCH("平",D109)),"平","仄")))</x:f>
        <x:v>仄</x:v>
      </x:c>
      <x:c r="J110" s="7" t="str"/>
    </x:row>
    <x:row r="111">
      <x:c r="A111" s="5" t="str">
        <x:v>亨</x:v>
      </x:c>
      <x:c r="B111" s="6" t="str">
        <x:v>平</x:v>
      </x:c>
      <x:c r="C111" s="6" t="str">
        <x:f>IF(B111="","Needs decision","Ready")</x:f>
        <x:v>Ready</x:v>
      </x:c>
      <x:c r="D111" s="6" t="str">
        <x:v>平/上</x:v>
      </x:c>
      <x:c r="E111" s="6" t="str">
        <x:v>xaeng (A); phaeng (A); xjangX (B)</x:v>
      </x:c>
      <x:c r="F111" s="6" t="str">
        <x:v>3</x:v>
      </x:c>
      <x:c r="G111" s="6" t="str">
        <x:v>User workbook edit 2026-09-03</x:v>
      </x:c>
      <x:c r="H111" s="6" t="str">
        <x:f>IF(B111="平","平",IF(B111="","","仄"))</x:f>
        <x:v>平</x:v>
      </x:c>
      <x:c r="I111" s="6" t="str">
        <x:f>IF(D110="","",IF(AND(ISNUMBER(SEARCH("平",D110)),OR(ISNUMBER(SEARCH("上",D110)),ISNUMBER(SEARCH("去",D110)),ISNUMBER(SEARCH("入",D110)))),"Ambiguous",IF(ISNUMBER(SEARCH("平",D110)),"平","仄")))</x:f>
        <x:v>仄</x:v>
      </x:c>
      <x:c r="J111" s="7" t="str">
        <x:v>manual user correction</x:v>
      </x:c>
    </x:row>
    <x:row r="112">
      <x:c r="A112" s="5" t="str">
        <x:v>享</x:v>
      </x:c>
      <x:c r="B112" s="6" t="str">
        <x:v>上</x:v>
      </x:c>
      <x:c r="C112" s="6" t="str">
        <x:f>IF(B112="","Needs decision","Ready")</x:f>
        <x:v>Ready</x:v>
      </x:c>
      <x:c r="D112" s="6" t="str">
        <x:v>平/上</x:v>
      </x:c>
      <x:c r="E112" s="6" t="str">
        <x:v>xaeng (A); xjangX (B)</x:v>
      </x:c>
      <x:c r="F112" s="6" t="str">
        <x:v>2</x:v>
      </x:c>
      <x:c r="G112" s="6" t="str">
        <x:v>User workbook edit 2026-09-03</x:v>
      </x:c>
      <x:c r="H112" s="6" t="str">
        <x:f>IF(B112="平","平",IF(B112="","","仄"))</x:f>
        <x:v>仄</x:v>
      </x:c>
      <x:c r="I112" s="6" t="str">
        <x:f>IF(D111="","",IF(AND(ISNUMBER(SEARCH("平",D111)),OR(ISNUMBER(SEARCH("上",D111)),ISNUMBER(SEARCH("去",D111)),ISNUMBER(SEARCH("入",D111)))),"Ambiguous",IF(ISNUMBER(SEARCH("平",D111)),"平","仄")))</x:f>
        <x:v>Ambiguous</x:v>
      </x:c>
      <x:c r="J112" s="7" t="str">
        <x:v>manual user correction</x:v>
      </x:c>
    </x:row>
    <x:row r="113">
      <x:c r="A113" s="5" t="str">
        <x:v>京</x:v>
      </x:c>
      <x:c r="B113" s="6" t="str">
        <x:v>平</x:v>
      </x:c>
      <x:c r="C113" s="6" t="str">
        <x:f>IF(B113="","Needs decision","Ready")</x:f>
        <x:v>Ready</x:v>
      </x:c>
      <x:c r="D113" s="6" t="str">
        <x:v>平</x:v>
      </x:c>
      <x:c r="E113" s="6" t="str">
        <x:v>kjaeng (A)</x:v>
      </x:c>
      <x:c r="F113" s="6" t="str">
        <x:v>1</x:v>
      </x:c>
      <x:c r="G113" s="6" t="str"/>
      <x:c r="H113" s="6" t="str">
        <x:f>IF(B113="平","平",IF(B113="","","仄"))</x:f>
        <x:v>平</x:v>
      </x:c>
      <x:c r="I113" s="6" t="str">
        <x:f>IF(D112="","",IF(AND(ISNUMBER(SEARCH("平",D112)),OR(ISNUMBER(SEARCH("上",D112)),ISNUMBER(SEARCH("去",D112)),ISNUMBER(SEARCH("入",D112)))),"Ambiguous",IF(ISNUMBER(SEARCH("平",D112)),"平","仄")))</x:f>
        <x:v>Ambiguous</x:v>
      </x:c>
      <x:c r="J113" s="7" t="str"/>
    </x:row>
    <x:row r="114">
      <x:c r="A114" s="5" t="str">
        <x:v>亭</x:v>
      </x:c>
      <x:c r="B114" s="6" t="str">
        <x:v>平</x:v>
      </x:c>
      <x:c r="C114" s="6" t="str">
        <x:f>IF(B114="","Needs decision","Ready")</x:f>
        <x:v>Ready</x:v>
      </x:c>
      <x:c r="D114" s="6" t="str">
        <x:v>平</x:v>
      </x:c>
      <x:c r="E114" s="6" t="str">
        <x:v>deng (A)</x:v>
      </x:c>
      <x:c r="F114" s="6" t="str">
        <x:v>1</x:v>
      </x:c>
      <x:c r="G114" s="6" t="str"/>
      <x:c r="H114" s="6" t="str">
        <x:f>IF(B114="平","平",IF(B114="","","仄"))</x:f>
        <x:v>平</x:v>
      </x:c>
      <x:c r="I114" s="6" t="str">
        <x:f>IF(D113="","",IF(AND(ISNUMBER(SEARCH("平",D113)),OR(ISNUMBER(SEARCH("上",D113)),ISNUMBER(SEARCH("去",D113)),ISNUMBER(SEARCH("入",D113)))),"Ambiguous",IF(ISNUMBER(SEARCH("平",D113)),"平","仄")))</x:f>
        <x:v>平</x:v>
      </x:c>
      <x:c r="J114" s="7" t="str"/>
    </x:row>
    <x:row r="115">
      <x:c r="A115" s="5" t="str">
        <x:v>亮</x:v>
      </x:c>
      <x:c r="B115" s="6" t="str">
        <x:v>去</x:v>
      </x:c>
      <x:c r="C115" s="6" t="str">
        <x:f>IF(B115="","Needs decision","Ready")</x:f>
        <x:v>Ready</x:v>
      </x:c>
      <x:c r="D115" s="6" t="str">
        <x:v>去</x:v>
      </x:c>
      <x:c r="E115" s="6" t="str">
        <x:v>ljangH (C)</x:v>
      </x:c>
      <x:c r="F115" s="6" t="str">
        <x:v>1</x:v>
      </x:c>
      <x:c r="G115" s="6" t="str"/>
      <x:c r="H115" s="6" t="str">
        <x:f>IF(B115="平","平",IF(B115="","","仄"))</x:f>
        <x:v>仄</x:v>
      </x:c>
      <x:c r="I115" s="6" t="str">
        <x:f>IF(D114="","",IF(AND(ISNUMBER(SEARCH("平",D114)),OR(ISNUMBER(SEARCH("上",D114)),ISNUMBER(SEARCH("去",D114)),ISNUMBER(SEARCH("入",D114)))),"Ambiguous",IF(ISNUMBER(SEARCH("平",D114)),"平","仄")))</x:f>
        <x:v>平</x:v>
      </x:c>
      <x:c r="J115" s="7" t="str"/>
    </x:row>
    <x:row r="116">
      <x:c r="A116" s="5" t="str">
        <x:v>亶</x:v>
      </x:c>
      <x:c r="B116" s="6" t="str">
        <x:v>上</x:v>
      </x:c>
      <x:c r="C116" s="6" t="str">
        <x:f>IF(B116="","Needs decision","Ready")</x:f>
        <x:v>Ready</x:v>
      </x:c>
      <x:c r="D116" s="6" t="str">
        <x:v>上</x:v>
      </x:c>
      <x:c r="E116" s="6" t="str">
        <x:v>tanX (B)</x:v>
      </x:c>
      <x:c r="F116" s="6" t="str">
        <x:v>1</x:v>
      </x:c>
      <x:c r="G116" s="6" t="str"/>
      <x:c r="H116" s="6" t="str">
        <x:f>IF(B116="平","平",IF(B116="","","仄"))</x:f>
        <x:v>仄</x:v>
      </x:c>
      <x:c r="I116" s="6" t="str">
        <x:f>IF(D115="","",IF(AND(ISNUMBER(SEARCH("平",D115)),OR(ISNUMBER(SEARCH("上",D115)),ISNUMBER(SEARCH("去",D115)),ISNUMBER(SEARCH("入",D115)))),"Ambiguous",IF(ISNUMBER(SEARCH("平",D115)),"平","仄")))</x:f>
        <x:v>仄</x:v>
      </x:c>
      <x:c r="J116" s="7" t="str"/>
    </x:row>
    <x:row r="117">
      <x:c r="A117" s="5" t="str">
        <x:v>亹</x:v>
      </x:c>
      <x:c r="B117" s="6" t="str"/>
      <x:c r="C117" s="6" t="str">
        <x:f>IF(B117="","Needs decision","Ready")</x:f>
        <x:v>Needs decision</x:v>
      </x:c>
      <x:c r="D117" s="6" t="str">
        <x:v>平/上</x:v>
      </x:c>
      <x:c r="E117" s="6" t="str">
        <x:v>mwon (A); mj+jX (B)</x:v>
      </x:c>
      <x:c r="F117" s="6" t="str">
        <x:v>2</x:v>
      </x:c>
      <x:c r="G117" s="6" t="str"/>
      <x:c r="H117" s="6" t="str">
        <x:f>IF(B117="平","平",IF(B117="","","仄"))</x:f>
      </x:c>
      <x:c r="I117" s="6" t="str">
        <x:f>IF(D116="","",IF(AND(ISNUMBER(SEARCH("平",D116)),OR(ISNUMBER(SEARCH("上",D116)),ISNUMBER(SEARCH("去",D116)),ISNUMBER(SEARCH("入",D116)))),"Ambiguous",IF(ISNUMBER(SEARCH("平",D116)),"平","仄")))</x:f>
        <x:v>仄</x:v>
      </x:c>
      <x:c r="J117" s="7" t="str"/>
    </x:row>
    <x:row r="118">
      <x:c r="A118" s="5" t="str">
        <x:v>人</x:v>
      </x:c>
      <x:c r="B118" s="6" t="str">
        <x:v>平</x:v>
      </x:c>
      <x:c r="C118" s="6" t="str">
        <x:f>IF(B118="","Needs decision","Ready")</x:f>
        <x:v>Ready</x:v>
      </x:c>
      <x:c r="D118" s="6" t="str">
        <x:v>平</x:v>
      </x:c>
      <x:c r="E118" s="6" t="str">
        <x:v>nyin (A)</x:v>
      </x:c>
      <x:c r="F118" s="6" t="str">
        <x:v>1</x:v>
      </x:c>
      <x:c r="G118" s="6" t="str"/>
      <x:c r="H118" s="6" t="str">
        <x:f>IF(B118="平","平",IF(B118="","","仄"))</x:f>
        <x:v>平</x:v>
      </x:c>
      <x:c r="I118" s="6" t="str">
        <x:f>IF(D117="","",IF(AND(ISNUMBER(SEARCH("平",D117)),OR(ISNUMBER(SEARCH("上",D117)),ISNUMBER(SEARCH("去",D117)),ISNUMBER(SEARCH("入",D117)))),"Ambiguous",IF(ISNUMBER(SEARCH("平",D117)),"平","仄")))</x:f>
        <x:v>Ambiguous</x:v>
      </x:c>
      <x:c r="J118" s="7" t="str"/>
    </x:row>
    <x:row r="119">
      <x:c r="A119" s="5" t="str">
        <x:v>什</x:v>
      </x:c>
      <x:c r="B119" s="6" t="str">
        <x:v>入</x:v>
      </x:c>
      <x:c r="C119" s="6" t="str">
        <x:f>IF(B119="","Needs decision","Ready")</x:f>
        <x:v>Ready</x:v>
      </x:c>
      <x:c r="D119" s="6" t="str">
        <x:v>入</x:v>
      </x:c>
      <x:c r="E119" s="6" t="str">
        <x:v>dzyip (D)</x:v>
      </x:c>
      <x:c r="F119" s="6" t="str">
        <x:v>1</x:v>
      </x:c>
      <x:c r="G119" s="6" t="str"/>
      <x:c r="H119" s="6" t="str">
        <x:f>IF(B119="平","平",IF(B119="","","仄"))</x:f>
        <x:v>仄</x:v>
      </x:c>
      <x:c r="I119" s="6" t="str">
        <x:f>IF(D118="","",IF(AND(ISNUMBER(SEARCH("平",D118)),OR(ISNUMBER(SEARCH("上",D118)),ISNUMBER(SEARCH("去",D118)),ISNUMBER(SEARCH("入",D118)))),"Ambiguous",IF(ISNUMBER(SEARCH("平",D118)),"平","仄")))</x:f>
        <x:v>平</x:v>
      </x:c>
      <x:c r="J119" s="7" t="str"/>
    </x:row>
    <x:row r="120">
      <x:c r="A120" s="5" t="str">
        <x:v>仁</x:v>
      </x:c>
      <x:c r="B120" s="6" t="str">
        <x:v>平</x:v>
      </x:c>
      <x:c r="C120" s="6" t="str">
        <x:f>IF(B120="","Needs decision","Ready")</x:f>
        <x:v>Ready</x:v>
      </x:c>
      <x:c r="D120" s="6" t="str">
        <x:v>平</x:v>
      </x:c>
      <x:c r="E120" s="6" t="str">
        <x:v>nyin (A)</x:v>
      </x:c>
      <x:c r="F120" s="6" t="str">
        <x:v>1</x:v>
      </x:c>
      <x:c r="G120" s="6" t="str"/>
      <x:c r="H120" s="6" t="str">
        <x:f>IF(B120="平","平",IF(B120="","","仄"))</x:f>
        <x:v>平</x:v>
      </x:c>
      <x:c r="I120" s="6" t="str">
        <x:f>IF(D119="","",IF(AND(ISNUMBER(SEARCH("平",D119)),OR(ISNUMBER(SEARCH("上",D119)),ISNUMBER(SEARCH("去",D119)),ISNUMBER(SEARCH("入",D119)))),"Ambiguous",IF(ISNUMBER(SEARCH("平",D119)),"平","仄")))</x:f>
        <x:v>仄</x:v>
      </x:c>
      <x:c r="J120" s="7" t="str"/>
    </x:row>
    <x:row r="121">
      <x:c r="A121" s="5" t="str">
        <x:v>仄</x:v>
      </x:c>
      <x:c r="B121" s="6" t="str">
        <x:v>入</x:v>
      </x:c>
      <x:c r="C121" s="6" t="str">
        <x:f>IF(B121="","Needs decision","Ready")</x:f>
        <x:v>Ready</x:v>
      </x:c>
      <x:c r="D121" s="6" t="str">
        <x:v>入</x:v>
      </x:c>
      <x:c r="E121" s="6" t="str">
        <x:v>tsrik (D)</x:v>
      </x:c>
      <x:c r="F121" s="6" t="str">
        <x:v>1</x:v>
      </x:c>
      <x:c r="G121" s="6" t="str"/>
      <x:c r="H121" s="6" t="str">
        <x:f>IF(B121="平","平",IF(B121="","","仄"))</x:f>
        <x:v>仄</x:v>
      </x:c>
      <x:c r="I121" s="6" t="str">
        <x:f>IF(D120="","",IF(AND(ISNUMBER(SEARCH("平",D120)),OR(ISNUMBER(SEARCH("上",D120)),ISNUMBER(SEARCH("去",D120)),ISNUMBER(SEARCH("入",D120)))),"Ambiguous",IF(ISNUMBER(SEARCH("平",D120)),"平","仄")))</x:f>
        <x:v>平</x:v>
      </x:c>
      <x:c r="J121" s="7" t="str"/>
    </x:row>
    <x:row r="122">
      <x:c r="A122" s="5" t="str">
        <x:v>仆</x:v>
      </x:c>
      <x:c r="B122" s="6" t="str">
        <x:v>去</x:v>
      </x:c>
      <x:c r="C122" s="6" t="str">
        <x:f>IF(B122="","Needs decision","Ready")</x:f>
        <x:v>Ready</x:v>
      </x:c>
      <x:c r="D122" s="6" t="str">
        <x:v>去</x:v>
      </x:c>
      <x:c r="E122" s="6" t="str">
        <x:v>phjuH (C); phjuwH (C); phuwH (C)</x:v>
      </x:c>
      <x:c r="F122" s="6" t="str">
        <x:v>3</x:v>
      </x:c>
      <x:c r="G122" s="6" t="str"/>
      <x:c r="H122" s="6" t="str">
        <x:f>IF(B122="平","平",IF(B122="","","仄"))</x:f>
        <x:v>仄</x:v>
      </x:c>
      <x:c r="I122" s="6" t="str">
        <x:f>IF(D121="","",IF(AND(ISNUMBER(SEARCH("平",D121)),OR(ISNUMBER(SEARCH("上",D121)),ISNUMBER(SEARCH("去",D121)),ISNUMBER(SEARCH("入",D121)))),"Ambiguous",IF(ISNUMBER(SEARCH("平",D121)),"平","仄")))</x:f>
        <x:v>仄</x:v>
      </x:c>
      <x:c r="J122" s="7" t="str"/>
    </x:row>
    <x:row r="123">
      <x:c r="A123" s="5" t="str">
        <x:v>仇</x:v>
      </x:c>
      <x:c r="B123" s="6" t="str">
        <x:v>平</x:v>
      </x:c>
      <x:c r="C123" s="6" t="str">
        <x:f>IF(B123="","Needs decision","Ready")</x:f>
        <x:v>Ready</x:v>
      </x:c>
      <x:c r="D123" s="6" t="str">
        <x:v>平</x:v>
      </x:c>
      <x:c r="E123" s="6" t="str">
        <x:v>gjuw (A)</x:v>
      </x:c>
      <x:c r="F123" s="6" t="str">
        <x:v>1</x:v>
      </x:c>
      <x:c r="G123" s="6" t="str"/>
      <x:c r="H123" s="6" t="str">
        <x:f>IF(B123="平","平",IF(B123="","","仄"))</x:f>
        <x:v>平</x:v>
      </x:c>
      <x:c r="I123" s="6" t="str">
        <x:f>IF(D122="","",IF(AND(ISNUMBER(SEARCH("平",D122)),OR(ISNUMBER(SEARCH("上",D122)),ISNUMBER(SEARCH("去",D122)),ISNUMBER(SEARCH("入",D122)))),"Ambiguous",IF(ISNUMBER(SEARCH("平",D122)),"平","仄")))</x:f>
        <x:v>仄</x:v>
      </x:c>
      <x:c r="J123" s="7" t="str"/>
    </x:row>
    <x:row r="124">
      <x:c r="A124" s="5" t="str">
        <x:v>今</x:v>
      </x:c>
      <x:c r="B124" s="6" t="str">
        <x:v>平</x:v>
      </x:c>
      <x:c r="C124" s="6" t="str">
        <x:f>IF(B124="","Needs decision","Ready")</x:f>
        <x:v>Ready</x:v>
      </x:c>
      <x:c r="D124" s="6" t="str">
        <x:v>平</x:v>
      </x:c>
      <x:c r="E124" s="6" t="str">
        <x:v>kim (A)</x:v>
      </x:c>
      <x:c r="F124" s="6" t="str">
        <x:v>1</x:v>
      </x:c>
      <x:c r="G124" s="6" t="str"/>
      <x:c r="H124" s="6" t="str">
        <x:f>IF(B124="平","平",IF(B124="","","仄"))</x:f>
        <x:v>平</x:v>
      </x:c>
      <x:c r="I124" s="6" t="str">
        <x:f>IF(D123="","",IF(AND(ISNUMBER(SEARCH("平",D123)),OR(ISNUMBER(SEARCH("上",D123)),ISNUMBER(SEARCH("去",D123)),ISNUMBER(SEARCH("入",D123)))),"Ambiguous",IF(ISNUMBER(SEARCH("平",D123)),"平","仄")))</x:f>
        <x:v>平</x:v>
      </x:c>
      <x:c r="J124" s="7" t="str"/>
    </x:row>
    <x:row r="125">
      <x:c r="A125" s="5" t="str">
        <x:v>介</x:v>
      </x:c>
      <x:c r="B125" s="6" t="str">
        <x:v>去</x:v>
      </x:c>
      <x:c r="C125" s="6" t="str">
        <x:f>IF(B125="","Needs decision","Ready")</x:f>
        <x:v>Ready</x:v>
      </x:c>
      <x:c r="D125" s="6" t="str">
        <x:v>去</x:v>
      </x:c>
      <x:c r="E125" s="6" t="str">
        <x:v>keajH (C)</x:v>
      </x:c>
      <x:c r="F125" s="6" t="str">
        <x:v>1</x:v>
      </x:c>
      <x:c r="G125" s="6" t="str"/>
      <x:c r="H125" s="6" t="str">
        <x:f>IF(B125="平","平",IF(B125="","","仄"))</x:f>
        <x:v>仄</x:v>
      </x:c>
      <x:c r="I125" s="6" t="str">
        <x:f>IF(D124="","",IF(AND(ISNUMBER(SEARCH("平",D124)),OR(ISNUMBER(SEARCH("上",D124)),ISNUMBER(SEARCH("去",D124)),ISNUMBER(SEARCH("入",D124)))),"Ambiguous",IF(ISNUMBER(SEARCH("平",D124)),"平","仄")))</x:f>
        <x:v>平</x:v>
      </x:c>
      <x:c r="J125" s="7" t="str"/>
    </x:row>
    <x:row r="126">
      <x:c r="A126" s="5" t="str">
        <x:v>仍</x:v>
      </x:c>
      <x:c r="B126" s="6" t="str">
        <x:v>平</x:v>
      </x:c>
      <x:c r="C126" s="6" t="str">
        <x:f>IF(B126="","Needs decision","Ready")</x:f>
        <x:v>Ready</x:v>
      </x:c>
      <x:c r="D126" s="6" t="str">
        <x:v>平</x:v>
      </x:c>
      <x:c r="E126" s="6" t="str">
        <x:v>nying (A)</x:v>
      </x:c>
      <x:c r="F126" s="6" t="str">
        <x:v>1</x:v>
      </x:c>
      <x:c r="G126" s="6" t="str"/>
      <x:c r="H126" s="6" t="str">
        <x:f>IF(B126="平","平",IF(B126="","","仄"))</x:f>
        <x:v>平</x:v>
      </x:c>
      <x:c r="I126" s="6" t="str">
        <x:f>IF(D125="","",IF(AND(ISNUMBER(SEARCH("平",D125)),OR(ISNUMBER(SEARCH("上",D125)),ISNUMBER(SEARCH("去",D125)),ISNUMBER(SEARCH("入",D125)))),"Ambiguous",IF(ISNUMBER(SEARCH("平",D125)),"平","仄")))</x:f>
        <x:v>仄</x:v>
      </x:c>
      <x:c r="J126" s="7" t="str"/>
    </x:row>
    <x:row r="127">
      <x:c r="A127" s="5" t="str">
        <x:v>仕</x:v>
      </x:c>
      <x:c r="B127" s="6" t="str">
        <x:v>上</x:v>
      </x:c>
      <x:c r="C127" s="6" t="str">
        <x:f>IF(B127="","Needs decision","Ready")</x:f>
        <x:v>Ready</x:v>
      </x:c>
      <x:c r="D127" s="6" t="str">
        <x:v>上</x:v>
      </x:c>
      <x:c r="E127" s="6" t="str">
        <x:v>dzriX (B)</x:v>
      </x:c>
      <x:c r="F127" s="6" t="str">
        <x:v>1</x:v>
      </x:c>
      <x:c r="G127" s="6" t="str"/>
      <x:c r="H127" s="6" t="str">
        <x:f>IF(B127="平","平",IF(B127="","","仄"))</x:f>
        <x:v>仄</x:v>
      </x:c>
      <x:c r="I127" s="6" t="str">
        <x:f>IF(D126="","",IF(AND(ISNUMBER(SEARCH("平",D126)),OR(ISNUMBER(SEARCH("上",D126)),ISNUMBER(SEARCH("去",D126)),ISNUMBER(SEARCH("入",D126)))),"Ambiguous",IF(ISNUMBER(SEARCH("平",D126)),"平","仄")))</x:f>
        <x:v>平</x:v>
      </x:c>
      <x:c r="J127" s="7" t="str"/>
    </x:row>
    <x:row r="128">
      <x:c r="A128" s="5" t="str">
        <x:v>他</x:v>
      </x:c>
      <x:c r="B128" s="6" t="str">
        <x:v>平</x:v>
      </x:c>
      <x:c r="C128" s="6" t="str">
        <x:f>IF(B128="","Needs decision","Ready")</x:f>
        <x:v>Ready</x:v>
      </x:c>
      <x:c r="D128" s="6" t="str">
        <x:v>平</x:v>
      </x:c>
      <x:c r="E128" s="6" t="str">
        <x:v>tha (A)</x:v>
      </x:c>
      <x:c r="F128" s="6" t="str">
        <x:v>1</x:v>
      </x:c>
      <x:c r="G128" s="6" t="str"/>
      <x:c r="H128" s="6" t="str">
        <x:f>IF(B128="平","平",IF(B128="","","仄"))</x:f>
        <x:v>平</x:v>
      </x:c>
      <x:c r="I128" s="6" t="str">
        <x:f>IF(D127="","",IF(AND(ISNUMBER(SEARCH("平",D127)),OR(ISNUMBER(SEARCH("上",D127)),ISNUMBER(SEARCH("去",D127)),ISNUMBER(SEARCH("入",D127)))),"Ambiguous",IF(ISNUMBER(SEARCH("平",D127)),"平","仄")))</x:f>
        <x:v>仄</x:v>
      </x:c>
      <x:c r="J128" s="7" t="str"/>
    </x:row>
    <x:row r="129">
      <x:c r="A129" s="5" t="str">
        <x:v>仗</x:v>
      </x:c>
      <x:c r="B129" s="6" t="str">
        <x:v>去</x:v>
      </x:c>
      <x:c r="C129" s="6" t="str">
        <x:f>IF(B129="","Needs decision","Ready")</x:f>
        <x:v>Ready</x:v>
      </x:c>
      <x:c r="D129" s="6" t="str">
        <x:v>上/去</x:v>
      </x:c>
      <x:c r="E129" s="6" t="str">
        <x:v>drjangH [ɖjɑŋh] (去); drjangX [ɖjɑŋʔ] (上)</x:v>
      </x:c>
      <x:c r="F129" s="6" t="str">
        <x:v>2</x:v>
      </x:c>
      <x:c r="G129" s="6" t="str">
        <x:v>Tang 300 gap; frequency 1; ambiguous in Xun Gong; User workbook edit 2026-09-03</x:v>
      </x:c>
      <x:c r="H129" s="6" t="str">
        <x:f>IF(B129="平","平",IF(B129="","","仄"))</x:f>
        <x:v>仄</x:v>
      </x:c>
      <x:c r="I129" s="6" t="str">
        <x:f>IF(D128="","",IF(AND(ISNUMBER(SEARCH("平",D128)),OR(ISNUMBER(SEARCH("上",D128)),ISNUMBER(SEARCH("去",D128)),ISNUMBER(SEARCH("入",D128)))),"Ambiguous",IF(ISNUMBER(SEARCH("平",D128)),"平","仄")))</x:f>
        <x:v>平</x:v>
      </x:c>
      <x:c r="J129" s="7" t="str">
        <x:v>manual user correction</x:v>
      </x:c>
    </x:row>
    <x:row r="130">
      <x:c r="A130" s="5" t="str">
        <x:v>付</x:v>
      </x:c>
      <x:c r="B130" s="6" t="str">
        <x:v>去</x:v>
      </x:c>
      <x:c r="C130" s="6" t="str">
        <x:f>IF(B130="","Needs decision","Ready")</x:f>
        <x:v>Ready</x:v>
      </x:c>
      <x:c r="D130" s="6" t="str">
        <x:v>去</x:v>
      </x:c>
      <x:c r="E130" s="6" t="str">
        <x:v>pjuH (C)</x:v>
      </x:c>
      <x:c r="F130" s="6" t="str">
        <x:v>1</x:v>
      </x:c>
      <x:c r="G130" s="6" t="str"/>
      <x:c r="H130" s="6" t="str">
        <x:f>IF(B130="平","平",IF(B130="","","仄"))</x:f>
        <x:v>仄</x:v>
      </x:c>
      <x:c r="I130" s="6" t="str">
        <x:f>IF(D129="","",IF(AND(ISNUMBER(SEARCH("平",D129)),OR(ISNUMBER(SEARCH("上",D129)),ISNUMBER(SEARCH("去",D129)),ISNUMBER(SEARCH("入",D129)))),"Ambiguous",IF(ISNUMBER(SEARCH("平",D129)),"平","仄")))</x:f>
        <x:v>仄</x:v>
      </x:c>
      <x:c r="J130" s="7" t="str"/>
    </x:row>
    <x:row r="131">
      <x:c r="A131" s="5" t="str">
        <x:v>仙</x:v>
      </x:c>
      <x:c r="B131" s="6" t="str">
        <x:v>平</x:v>
      </x:c>
      <x:c r="C131" s="6" t="str">
        <x:f>IF(B131="","Needs decision","Ready")</x:f>
        <x:v>Ready</x:v>
      </x:c>
      <x:c r="D131" s="6" t="str">
        <x:v>平</x:v>
      </x:c>
      <x:c r="E131" s="6" t="str">
        <x:v>sjen (A)</x:v>
      </x:c>
      <x:c r="F131" s="6" t="str">
        <x:v>1</x:v>
      </x:c>
      <x:c r="G131" s="6" t="str"/>
      <x:c r="H131" s="6" t="str">
        <x:f>IF(B131="平","平",IF(B131="","","仄"))</x:f>
        <x:v>平</x:v>
      </x:c>
      <x:c r="I131" s="6" t="str">
        <x:f>IF(D130="","",IF(AND(ISNUMBER(SEARCH("平",D130)),OR(ISNUMBER(SEARCH("上",D130)),ISNUMBER(SEARCH("去",D130)),ISNUMBER(SEARCH("入",D130)))),"Ambiguous",IF(ISNUMBER(SEARCH("平",D130)),"平","仄")))</x:f>
        <x:v>仄</x:v>
      </x:c>
      <x:c r="J131" s="7" t="str"/>
    </x:row>
    <x:row r="132">
      <x:c r="A132" s="5" t="str">
        <x:v>仞</x:v>
      </x:c>
      <x:c r="B132" s="6" t="str">
        <x:v>去</x:v>
      </x:c>
      <x:c r="C132" s="6" t="str">
        <x:f>IF(B132="","Needs decision","Ready")</x:f>
        <x:v>Ready</x:v>
      </x:c>
      <x:c r="D132" s="6" t="str">
        <x:v>去</x:v>
      </x:c>
      <x:c r="E132" s="6" t="str">
        <x:v>nyinH [ɲinh] (去)</x:v>
      </x:c>
      <x:c r="F132" s="6" t="str">
        <x:v>1</x:v>
      </x:c>
      <x:c r="G132" s="6" t="str">
        <x:v>Tang 300 gap; frequency 1; provisional from Xun Gong</x:v>
      </x:c>
      <x:c r="H132" s="6" t="str">
        <x:f>IF(B132="平","平",IF(B132="","","仄"))</x:f>
        <x:v>仄</x:v>
      </x:c>
      <x:c r="I132" s="6" t="str">
        <x:f>IF(D131="","",IF(AND(ISNUMBER(SEARCH("平",D131)),OR(ISNUMBER(SEARCH("上",D131)),ISNUMBER(SEARCH("去",D131)),ISNUMBER(SEARCH("入",D131)))),"Ambiguous",IF(ISNUMBER(SEARCH("平",D131)),"平","仄")))</x:f>
        <x:v>平</x:v>
      </x:c>
      <x:c r="J132" s="7" t="str">
        <x:v>Xun Gong, Tang 300 gap fill</x:v>
      </x:c>
    </x:row>
    <x:row r="133">
      <x:c r="A133" s="5" t="str">
        <x:v>仡</x:v>
      </x:c>
      <x:c r="B133" s="6" t="str">
        <x:v>入</x:v>
      </x:c>
      <x:c r="C133" s="6" t="str">
        <x:f>IF(B133="","Needs decision","Ready")</x:f>
        <x:v>Ready</x:v>
      </x:c>
      <x:c r="D133" s="6" t="str">
        <x:v>入</x:v>
      </x:c>
      <x:c r="E133" s="6" t="str">
        <x:v>ngj+t (D)</x:v>
      </x:c>
      <x:c r="F133" s="6" t="str">
        <x:v>1</x:v>
      </x:c>
      <x:c r="G133" s="6" t="str"/>
      <x:c r="H133" s="6" t="str">
        <x:f>IF(B133="平","平",IF(B133="","","仄"))</x:f>
        <x:v>仄</x:v>
      </x:c>
      <x:c r="I133" s="6" t="str">
        <x:f>IF(D132="","",IF(AND(ISNUMBER(SEARCH("平",D132)),OR(ISNUMBER(SEARCH("上",D132)),ISNUMBER(SEARCH("去",D132)),ISNUMBER(SEARCH("入",D132)))),"Ambiguous",IF(ISNUMBER(SEARCH("平",D132)),"平","仄")))</x:f>
        <x:v>仄</x:v>
      </x:c>
      <x:c r="J133" s="7" t="str"/>
    </x:row>
    <x:row r="134">
      <x:c r="A134" s="5" t="str">
        <x:v>代</x:v>
      </x:c>
      <x:c r="B134" s="6" t="str">
        <x:v>去</x:v>
      </x:c>
      <x:c r="C134" s="6" t="str">
        <x:f>IF(B134="","Needs decision","Ready")</x:f>
        <x:v>Ready</x:v>
      </x:c>
      <x:c r="D134" s="6" t="str">
        <x:v>去</x:v>
      </x:c>
      <x:c r="E134" s="6" t="str">
        <x:v>dojH (C)</x:v>
      </x:c>
      <x:c r="F134" s="6" t="str">
        <x:v>1</x:v>
      </x:c>
      <x:c r="G134" s="6" t="str"/>
      <x:c r="H134" s="6" t="str">
        <x:f>IF(B134="平","平",IF(B134="","","仄"))</x:f>
        <x:v>仄</x:v>
      </x:c>
      <x:c r="I134" s="6" t="str">
        <x:f>IF(D133="","",IF(AND(ISNUMBER(SEARCH("平",D133)),OR(ISNUMBER(SEARCH("上",D133)),ISNUMBER(SEARCH("去",D133)),ISNUMBER(SEARCH("入",D133)))),"Ambiguous",IF(ISNUMBER(SEARCH("平",D133)),"平","仄")))</x:f>
        <x:v>仄</x:v>
      </x:c>
      <x:c r="J134" s="7" t="str"/>
    </x:row>
    <x:row r="135">
      <x:c r="A135" s="5" t="str">
        <x:v>令</x:v>
      </x:c>
      <x:c r="B135" s="6" t="str"/>
      <x:c r="C135" s="6" t="str">
        <x:f>IF(B135="","Needs decision","Ready")</x:f>
        <x:v>Needs decision</x:v>
      </x:c>
      <x:c r="D135" s="6" t="str">
        <x:v>平/去</x:v>
      </x:c>
      <x:c r="E135" s="6" t="str">
        <x:v>leng (A); ljeng (A); ljengH (C)</x:v>
      </x:c>
      <x:c r="F135" s="6" t="str">
        <x:v>3</x:v>
      </x:c>
      <x:c r="G135" s="6" t="str"/>
      <x:c r="H135" s="6" t="str">
        <x:f>IF(B135="平","平",IF(B135="","","仄"))</x:f>
      </x:c>
      <x:c r="I135" s="6" t="str">
        <x:f>IF(D134="","",IF(AND(ISNUMBER(SEARCH("平",D134)),OR(ISNUMBER(SEARCH("上",D134)),ISNUMBER(SEARCH("去",D134)),ISNUMBER(SEARCH("入",D134)))),"Ambiguous",IF(ISNUMBER(SEARCH("平",D134)),"平","仄")))</x:f>
        <x:v>仄</x:v>
      </x:c>
      <x:c r="J135" s="7" t="str"/>
    </x:row>
    <x:row r="136">
      <x:c r="A136" s="5" t="str">
        <x:v>以</x:v>
      </x:c>
      <x:c r="B136" s="6" t="str">
        <x:v>上</x:v>
      </x:c>
      <x:c r="C136" s="6" t="str">
        <x:f>IF(B136="","Needs decision","Ready")</x:f>
        <x:v>Ready</x:v>
      </x:c>
      <x:c r="D136" s="6" t="str">
        <x:v>上</x:v>
      </x:c>
      <x:c r="E136" s="6" t="str">
        <x:v>yiX (B)</x:v>
      </x:c>
      <x:c r="F136" s="6" t="str">
        <x:v>1</x:v>
      </x:c>
      <x:c r="G136" s="6" t="str"/>
      <x:c r="H136" s="6" t="str">
        <x:f>IF(B136="平","平",IF(B136="","","仄"))</x:f>
        <x:v>仄</x:v>
      </x:c>
      <x:c r="I136" s="6" t="str">
        <x:f>IF(D135="","",IF(AND(ISNUMBER(SEARCH("平",D135)),OR(ISNUMBER(SEARCH("上",D135)),ISNUMBER(SEARCH("去",D135)),ISNUMBER(SEARCH("入",D135)))),"Ambiguous",IF(ISNUMBER(SEARCH("平",D135)),"平","仄")))</x:f>
        <x:v>Ambiguous</x:v>
      </x:c>
      <x:c r="J136" s="7" t="str"/>
    </x:row>
    <x:row r="137">
      <x:c r="A137" s="5" t="str">
        <x:v>仰</x:v>
      </x:c>
      <x:c r="B137" s="6" t="str">
        <x:v>上</x:v>
      </x:c>
      <x:c r="C137" s="6" t="str">
        <x:f>IF(B137="","Needs decision","Ready")</x:f>
        <x:v>Ready</x:v>
      </x:c>
      <x:c r="D137" s="6" t="str">
        <x:v>上</x:v>
      </x:c>
      <x:c r="E137" s="6" t="str">
        <x:v>ngjangX (B)</x:v>
      </x:c>
      <x:c r="F137" s="6" t="str">
        <x:v>1</x:v>
      </x:c>
      <x:c r="G137" s="6" t="str"/>
      <x:c r="H137" s="6" t="str">
        <x:f>IF(B137="平","平",IF(B137="","","仄"))</x:f>
        <x:v>仄</x:v>
      </x:c>
      <x:c r="I137" s="6" t="str">
        <x:f>IF(D136="","",IF(AND(ISNUMBER(SEARCH("平",D136)),OR(ISNUMBER(SEARCH("上",D136)),ISNUMBER(SEARCH("去",D136)),ISNUMBER(SEARCH("入",D136)))),"Ambiguous",IF(ISNUMBER(SEARCH("平",D136)),"平","仄")))</x:f>
        <x:v>仄</x:v>
      </x:c>
      <x:c r="J137" s="7" t="str"/>
    </x:row>
    <x:row r="138">
      <x:c r="A138" s="5" t="str">
        <x:v>仲</x:v>
      </x:c>
      <x:c r="B138" s="6" t="str">
        <x:v>去</x:v>
      </x:c>
      <x:c r="C138" s="6" t="str">
        <x:f>IF(B138="","Needs decision","Ready")</x:f>
        <x:v>Ready</x:v>
      </x:c>
      <x:c r="D138" s="6" t="str">
        <x:v>去</x:v>
      </x:c>
      <x:c r="E138" s="6" t="str">
        <x:v>drjuwngH (C)</x:v>
      </x:c>
      <x:c r="F138" s="6" t="str">
        <x:v>1</x:v>
      </x:c>
      <x:c r="G138" s="6" t="str"/>
      <x:c r="H138" s="6" t="str">
        <x:f>IF(B138="平","平",IF(B138="","","仄"))</x:f>
        <x:v>仄</x:v>
      </x:c>
      <x:c r="I138" s="6" t="str">
        <x:f>IF(D137="","",IF(AND(ISNUMBER(SEARCH("平",D137)),OR(ISNUMBER(SEARCH("上",D137)),ISNUMBER(SEARCH("去",D137)),ISNUMBER(SEARCH("入",D137)))),"Ambiguous",IF(ISNUMBER(SEARCH("平",D137)),"平","仄")))</x:f>
        <x:v>仄</x:v>
      </x:c>
      <x:c r="J138" s="7" t="str"/>
    </x:row>
    <x:row r="139">
      <x:c r="A139" s="5" t="str">
        <x:v>件</x:v>
      </x:c>
      <x:c r="B139" s="6" t="str">
        <x:v>上</x:v>
      </x:c>
      <x:c r="C139" s="6" t="str">
        <x:f>IF(B139="","Needs decision","Ready")</x:f>
        <x:v>Ready</x:v>
      </x:c>
      <x:c r="D139" s="6" t="str">
        <x:v>上</x:v>
      </x:c>
      <x:c r="E139" s="6" t="str">
        <x:v>gjenX (B)</x:v>
      </x:c>
      <x:c r="F139" s="6" t="str">
        <x:v>1</x:v>
      </x:c>
      <x:c r="G139" s="6" t="str"/>
      <x:c r="H139" s="6" t="str">
        <x:f>IF(B139="平","平",IF(B139="","","仄"))</x:f>
        <x:v>仄</x:v>
      </x:c>
      <x:c r="I139" s="6" t="str">
        <x:f>IF(D138="","",IF(AND(ISNUMBER(SEARCH("平",D138)),OR(ISNUMBER(SEARCH("上",D138)),ISNUMBER(SEARCH("去",D138)),ISNUMBER(SEARCH("入",D138)))),"Ambiguous",IF(ISNUMBER(SEARCH("平",D138)),"平","仄")))</x:f>
        <x:v>仄</x:v>
      </x:c>
      <x:c r="J139" s="7" t="str"/>
    </x:row>
    <x:row r="140">
      <x:c r="A140" s="5" t="str">
        <x:v>任</x:v>
      </x:c>
      <x:c r="B140" s="6" t="str">
        <x:v>去</x:v>
      </x:c>
      <x:c r="C140" s="6" t="str">
        <x:f>IF(B140="","Needs decision","Ready")</x:f>
        <x:v>Ready</x:v>
      </x:c>
      <x:c r="D140" s="6" t="str">
        <x:v>去</x:v>
      </x:c>
      <x:c r="E140" s="6" t="str">
        <x:v>nyimH (C)</x:v>
      </x:c>
      <x:c r="F140" s="6" t="str">
        <x:v>1</x:v>
      </x:c>
      <x:c r="G140" s="6" t="str"/>
      <x:c r="H140" s="6" t="str">
        <x:f>IF(B140="平","平",IF(B140="","","仄"))</x:f>
        <x:v>仄</x:v>
      </x:c>
      <x:c r="I140" s="6" t="str">
        <x:f>IF(D139="","",IF(AND(ISNUMBER(SEARCH("平",D139)),OR(ISNUMBER(SEARCH("上",D139)),ISNUMBER(SEARCH("去",D139)),ISNUMBER(SEARCH("入",D139)))),"Ambiguous",IF(ISNUMBER(SEARCH("平",D139)),"平","仄")))</x:f>
        <x:v>仄</x:v>
      </x:c>
      <x:c r="J140" s="7" t="str"/>
    </x:row>
    <x:row r="141">
      <x:c r="A141" s="5" t="str">
        <x:v>企</x:v>
      </x:c>
      <x:c r="B141" s="6" t="str">
        <x:v>上</x:v>
      </x:c>
      <x:c r="C141" s="6" t="str">
        <x:f>IF(B141="","Needs decision","Ready")</x:f>
        <x:v>Ready</x:v>
      </x:c>
      <x:c r="D141" s="6" t="str">
        <x:v>上/去</x:v>
      </x:c>
      <x:c r="E141" s="6" t="str">
        <x:v>khjieX (B); khjieH (C)</x:v>
      </x:c>
      <x:c r="F141" s="6" t="str">
        <x:v>2</x:v>
      </x:c>
      <x:c r="G141" s="6" t="str">
        <x:v>User workbook edit 2026-09-03</x:v>
      </x:c>
      <x:c r="H141" s="6" t="str">
        <x:f>IF(B141="平","平",IF(B141="","","仄"))</x:f>
        <x:v>仄</x:v>
      </x:c>
      <x:c r="I141" s="6" t="str">
        <x:f>IF(D140="","",IF(AND(ISNUMBER(SEARCH("平",D140)),OR(ISNUMBER(SEARCH("上",D140)),ISNUMBER(SEARCH("去",D140)),ISNUMBER(SEARCH("入",D140)))),"Ambiguous",IF(ISNUMBER(SEARCH("平",D140)),"平","仄")))</x:f>
        <x:v>仄</x:v>
      </x:c>
      <x:c r="J141" s="7" t="str">
        <x:v>manual user correction</x:v>
      </x:c>
    </x:row>
    <x:row r="142">
      <x:c r="A142" s="5" t="str">
        <x:v>伊</x:v>
      </x:c>
      <x:c r="B142" s="6" t="str">
        <x:v>平</x:v>
      </x:c>
      <x:c r="C142" s="6" t="str">
        <x:f>IF(B142="","Needs decision","Ready")</x:f>
        <x:v>Ready</x:v>
      </x:c>
      <x:c r="D142" s="6" t="str">
        <x:v>平</x:v>
      </x:c>
      <x:c r="E142" s="6" t="str">
        <x:v>'jij (A)</x:v>
      </x:c>
      <x:c r="F142" s="6" t="str">
        <x:v>1</x:v>
      </x:c>
      <x:c r="G142" s="6" t="str"/>
      <x:c r="H142" s="6" t="str">
        <x:f>IF(B142="平","平",IF(B142="","","仄"))</x:f>
        <x:v>平</x:v>
      </x:c>
      <x:c r="I142" s="6" t="str">
        <x:f>IF(D141="","",IF(AND(ISNUMBER(SEARCH("平",D141)),OR(ISNUMBER(SEARCH("上",D141)),ISNUMBER(SEARCH("去",D141)),ISNUMBER(SEARCH("入",D141)))),"Ambiguous",IF(ISNUMBER(SEARCH("平",D141)),"平","仄")))</x:f>
        <x:v>仄</x:v>
      </x:c>
      <x:c r="J142" s="7" t="str"/>
    </x:row>
    <x:row r="143">
      <x:c r="A143" s="5" t="str">
        <x:v>伍</x:v>
      </x:c>
      <x:c r="B143" s="6" t="str">
        <x:v>上</x:v>
      </x:c>
      <x:c r="C143" s="6" t="str">
        <x:f>IF(B143="","Needs decision","Ready")</x:f>
        <x:v>Ready</x:v>
      </x:c>
      <x:c r="D143" s="6" t="str">
        <x:v>上</x:v>
      </x:c>
      <x:c r="E143" s="6" t="str">
        <x:v>nguX (B)</x:v>
      </x:c>
      <x:c r="F143" s="6" t="str">
        <x:v>1</x:v>
      </x:c>
      <x:c r="G143" s="6" t="str"/>
      <x:c r="H143" s="6" t="str">
        <x:f>IF(B143="平","平",IF(B143="","","仄"))</x:f>
        <x:v>仄</x:v>
      </x:c>
      <x:c r="I143" s="6" t="str">
        <x:f>IF(D142="","",IF(AND(ISNUMBER(SEARCH("平",D142)),OR(ISNUMBER(SEARCH("上",D142)),ISNUMBER(SEARCH("去",D142)),ISNUMBER(SEARCH("入",D142)))),"Ambiguous",IF(ISNUMBER(SEARCH("平",D142)),"平","仄")))</x:f>
        <x:v>平</x:v>
      </x:c>
      <x:c r="J143" s="7" t="str"/>
    </x:row>
    <x:row r="144">
      <x:c r="A144" s="5" t="str">
        <x:v>伎</x:v>
      </x:c>
      <x:c r="B144" s="6" t="str">
        <x:v>上</x:v>
      </x:c>
      <x:c r="C144" s="6" t="str">
        <x:f>IF(B144="","Needs decision","Ready")</x:f>
        <x:v>Ready</x:v>
      </x:c>
      <x:c r="D144" s="6" t="str">
        <x:v>上</x:v>
      </x:c>
      <x:c r="E144" s="6" t="str">
        <x:v>gjeX (B)</x:v>
      </x:c>
      <x:c r="F144" s="6" t="str">
        <x:v>1</x:v>
      </x:c>
      <x:c r="G144" s="6" t="str"/>
      <x:c r="H144" s="6" t="str">
        <x:f>IF(B144="平","平",IF(B144="","","仄"))</x:f>
        <x:v>仄</x:v>
      </x:c>
      <x:c r="I144" s="6" t="str">
        <x:f>IF(D143="","",IF(AND(ISNUMBER(SEARCH("平",D143)),OR(ISNUMBER(SEARCH("上",D143)),ISNUMBER(SEARCH("去",D143)),ISNUMBER(SEARCH("入",D143)))),"Ambiguous",IF(ISNUMBER(SEARCH("平",D143)),"平","仄")))</x:f>
        <x:v>仄</x:v>
      </x:c>
      <x:c r="J144" s="7" t="str"/>
    </x:row>
    <x:row r="145">
      <x:c r="A145" s="5" t="str">
        <x:v>伏</x:v>
      </x:c>
      <x:c r="B145" s="6" t="str">
        <x:v>入</x:v>
      </x:c>
      <x:c r="C145" s="6" t="str">
        <x:f>IF(B145="","Needs decision","Ready")</x:f>
        <x:v>Ready</x:v>
      </x:c>
      <x:c r="D145" s="6" t="str">
        <x:v>去/入</x:v>
      </x:c>
      <x:c r="E145" s="6" t="str">
        <x:v>bjuwH (C); bjuwk (D)</x:v>
      </x:c>
      <x:c r="F145" s="6" t="str">
        <x:v>2</x:v>
      </x:c>
      <x:c r="G145" s="6" t="str">
        <x:v>User workbook edit 2026-09-03</x:v>
      </x:c>
      <x:c r="H145" s="6" t="str">
        <x:f>IF(B145="平","平",IF(B145="","","仄"))</x:f>
        <x:v>仄</x:v>
      </x:c>
      <x:c r="I145" s="6" t="str">
        <x:f>IF(D144="","",IF(AND(ISNUMBER(SEARCH("平",D144)),OR(ISNUMBER(SEARCH("上",D144)),ISNUMBER(SEARCH("去",D144)),ISNUMBER(SEARCH("入",D144)))),"Ambiguous",IF(ISNUMBER(SEARCH("平",D144)),"平","仄")))</x:f>
        <x:v>仄</x:v>
      </x:c>
      <x:c r="J145" s="7" t="str">
        <x:v>manual user correction</x:v>
      </x:c>
    </x:row>
    <x:row r="146">
      <x:c r="A146" s="5" t="str">
        <x:v>伐</x:v>
      </x:c>
      <x:c r="B146" s="6" t="str">
        <x:v>入</x:v>
      </x:c>
      <x:c r="C146" s="6" t="str">
        <x:f>IF(B146="","Needs decision","Ready")</x:f>
        <x:v>Ready</x:v>
      </x:c>
      <x:c r="D146" s="6" t="str">
        <x:v>入</x:v>
      </x:c>
      <x:c r="E146" s="6" t="str">
        <x:v>bjot (D)</x:v>
      </x:c>
      <x:c r="F146" s="6" t="str">
        <x:v>1</x:v>
      </x:c>
      <x:c r="G146" s="6" t="str"/>
      <x:c r="H146" s="6" t="str">
        <x:f>IF(B146="平","平",IF(B146="","","仄"))</x:f>
        <x:v>仄</x:v>
      </x:c>
      <x:c r="I146" s="6" t="str">
        <x:f>IF(D145="","",IF(AND(ISNUMBER(SEARCH("平",D145)),OR(ISNUMBER(SEARCH("上",D145)),ISNUMBER(SEARCH("去",D145)),ISNUMBER(SEARCH("入",D145)))),"Ambiguous",IF(ISNUMBER(SEARCH("平",D145)),"平","仄")))</x:f>
        <x:v>仄</x:v>
      </x:c>
      <x:c r="J146" s="7" t="str"/>
    </x:row>
    <x:row r="147">
      <x:c r="A147" s="5" t="str">
        <x:v>休</x:v>
      </x:c>
      <x:c r="B147" s="6" t="str">
        <x:v>平</x:v>
      </x:c>
      <x:c r="C147" s="6" t="str">
        <x:f>IF(B147="","Needs decision","Ready")</x:f>
        <x:v>Ready</x:v>
      </x:c>
      <x:c r="D147" s="6" t="str">
        <x:v>平</x:v>
      </x:c>
      <x:c r="E147" s="6" t="str">
        <x:v>xjuw (A)</x:v>
      </x:c>
      <x:c r="F147" s="6" t="str">
        <x:v>1</x:v>
      </x:c>
      <x:c r="G147" s="6" t="str"/>
      <x:c r="H147" s="6" t="str">
        <x:f>IF(B147="平","平",IF(B147="","","仄"))</x:f>
        <x:v>平</x:v>
      </x:c>
      <x:c r="I147" s="6" t="str">
        <x:f>IF(D146="","",IF(AND(ISNUMBER(SEARCH("平",D146)),OR(ISNUMBER(SEARCH("上",D146)),ISNUMBER(SEARCH("去",D146)),ISNUMBER(SEARCH("入",D146)))),"Ambiguous",IF(ISNUMBER(SEARCH("平",D146)),"平","仄")))</x:f>
        <x:v>仄</x:v>
      </x:c>
      <x:c r="J147" s="7" t="str"/>
    </x:row>
    <x:row r="148">
      <x:c r="A148" s="5" t="str">
        <x:v>伕</x:v>
      </x:c>
      <x:c r="B148" s="6" t="str">
        <x:v>平</x:v>
      </x:c>
      <x:c r="C148" s="6" t="str">
        <x:f>IF(B148="","Needs decision","Ready")</x:f>
        <x:v>Ready</x:v>
      </x:c>
      <x:c r="D148" s="6" t="str">
        <x:v>平</x:v>
      </x:c>
      <x:c r="E148" s="6" t="str"/>
      <x:c r="F148" s="6" t="str"/>
      <x:c r="G148" s="6" t="str">
        <x:v>Manual user correction/addition</x:v>
      </x:c>
      <x:c r="H148" s="6" t="str">
        <x:f>IF(B148="平","平",IF(B148="","","仄"))</x:f>
        <x:v>平</x:v>
      </x:c>
      <x:c r="I148" s="6" t="str">
        <x:v>平</x:v>
      </x:c>
      <x:c r="J148" s="7" t="str">
        <x:v>manual user correction</x:v>
      </x:c>
    </x:row>
    <x:row r="149">
      <x:c r="A149" s="5" t="str">
        <x:v>伯</x:v>
      </x:c>
      <x:c r="B149" s="6" t="str">
        <x:v>入</x:v>
      </x:c>
      <x:c r="C149" s="6" t="str">
        <x:f>IF(B149="","Needs decision","Ready")</x:f>
        <x:v>Ready</x:v>
      </x:c>
      <x:c r="D149" s="6" t="str">
        <x:v>入</x:v>
      </x:c>
      <x:c r="E149" s="6" t="str">
        <x:v>paek (D)</x:v>
      </x:c>
      <x:c r="F149" s="6" t="str">
        <x:v>1</x:v>
      </x:c>
      <x:c r="G149" s="6" t="str"/>
      <x:c r="H149" s="6" t="str">
        <x:f>IF(B149="平","平",IF(B149="","","仄"))</x:f>
        <x:v>仄</x:v>
      </x:c>
      <x:c r="I149" s="6" t="str">
        <x:f>IF(D147="","",IF(AND(ISNUMBER(SEARCH("平",D147)),OR(ISNUMBER(SEARCH("上",D147)),ISNUMBER(SEARCH("去",D147)),ISNUMBER(SEARCH("入",D147)))),"Ambiguous",IF(ISNUMBER(SEARCH("平",D147)),"平","仄")))</x:f>
        <x:v>平</x:v>
      </x:c>
      <x:c r="J149" s="7" t="str"/>
    </x:row>
    <x:row r="150">
      <x:c r="A150" s="5" t="str">
        <x:v>估</x:v>
      </x:c>
      <x:c r="B150" s="6" t="str">
        <x:v>上</x:v>
      </x:c>
      <x:c r="C150" s="6" t="str">
        <x:f>IF(B150="","Needs decision","Ready")</x:f>
        <x:v>Ready</x:v>
      </x:c>
      <x:c r="D150" s="6" t="str">
        <x:v>上</x:v>
      </x:c>
      <x:c r="E150" s="6" t="str">
        <x:v>kuX [qoʔ] (上)</x:v>
      </x:c>
      <x:c r="F150" s="6" t="str">
        <x:v>1</x:v>
      </x:c>
      <x:c r="G150" s="6" t="str">
        <x:v>Tang 300 gap; frequency 1; provisional from Xun Gong</x:v>
      </x:c>
      <x:c r="H150" s="6" t="str">
        <x:f>IF(B150="平","平",IF(B150="","","仄"))</x:f>
        <x:v>仄</x:v>
      </x:c>
      <x:c r="I150" s="6" t="str">
        <x:f>IF(D148="","",IF(AND(ISNUMBER(SEARCH("平",D148)),OR(ISNUMBER(SEARCH("上",D148)),ISNUMBER(SEARCH("去",D148)),ISNUMBER(SEARCH("入",D148)))),"Ambiguous",IF(ISNUMBER(SEARCH("平",D148)),"平","仄")))</x:f>
        <x:v>平</x:v>
      </x:c>
      <x:c r="J150" s="7" t="str">
        <x:v>Xun Gong, Tang 300 gap fill</x:v>
      </x:c>
    </x:row>
    <x:row r="151">
      <x:c r="A151" s="5" t="str">
        <x:v>伴</x:v>
      </x:c>
      <x:c r="B151" s="6" t="str">
        <x:v>上</x:v>
      </x:c>
      <x:c r="C151" s="6" t="str">
        <x:f>IF(B151="","Needs decision","Ready")</x:f>
        <x:v>Ready</x:v>
      </x:c>
      <x:c r="D151" s="6" t="str">
        <x:v>上</x:v>
      </x:c>
      <x:c r="E151" s="6" t="str">
        <x:v>banX (B)</x:v>
      </x:c>
      <x:c r="F151" s="6" t="str">
        <x:v>1</x:v>
      </x:c>
      <x:c r="G151" s="6" t="str"/>
      <x:c r="H151" s="6" t="str">
        <x:f>IF(B151="平","平",IF(B151="","","仄"))</x:f>
        <x:v>仄</x:v>
      </x:c>
      <x:c r="I151" s="6" t="str">
        <x:f>IF(D149="","",IF(AND(ISNUMBER(SEARCH("平",D149)),OR(ISNUMBER(SEARCH("上",D149)),ISNUMBER(SEARCH("去",D149)),ISNUMBER(SEARCH("入",D149)))),"Ambiguous",IF(ISNUMBER(SEARCH("平",D149)),"平","仄")))</x:f>
        <x:v>仄</x:v>
      </x:c>
      <x:c r="J151" s="7" t="str"/>
    </x:row>
    <x:row r="152">
      <x:c r="A152" s="5" t="str">
        <x:v>伶</x:v>
      </x:c>
      <x:c r="B152" s="6" t="str">
        <x:v>平</x:v>
      </x:c>
      <x:c r="C152" s="6" t="str">
        <x:f>IF(B152="","Needs decision","Ready")</x:f>
        <x:v>Ready</x:v>
      </x:c>
      <x:c r="D152" s="6" t="str">
        <x:v>平</x:v>
      </x:c>
      <x:c r="E152" s="6" t="str">
        <x:v>leng [l̙eŋ] (平)</x:v>
      </x:c>
      <x:c r="F152" s="6" t="str">
        <x:v>1</x:v>
      </x:c>
      <x:c r="G152" s="6" t="str">
        <x:v>Tang 300 gap; frequency 1; provisional from Xun Gong</x:v>
      </x:c>
      <x:c r="H152" s="6" t="str">
        <x:f>IF(B152="平","平",IF(B152="","","仄"))</x:f>
        <x:v>平</x:v>
      </x:c>
      <x:c r="I152" s="6" t="str">
        <x:f>IF(D150="","",IF(AND(ISNUMBER(SEARCH("平",D150)),OR(ISNUMBER(SEARCH("上",D150)),ISNUMBER(SEARCH("去",D150)),ISNUMBER(SEARCH("入",D150)))),"Ambiguous",IF(ISNUMBER(SEARCH("平",D150)),"平","仄")))</x:f>
        <x:v>仄</x:v>
      </x:c>
      <x:c r="J152" s="7" t="str">
        <x:v>Xun Gong, Tang 300 gap fill</x:v>
      </x:c>
    </x:row>
    <x:row r="153">
      <x:c r="A153" s="5" t="str">
        <x:v>伸</x:v>
      </x:c>
      <x:c r="B153" s="6" t="str">
        <x:v>平</x:v>
      </x:c>
      <x:c r="C153" s="6" t="str">
        <x:f>IF(B153="","Needs decision","Ready")</x:f>
        <x:v>Ready</x:v>
      </x:c>
      <x:c r="D153" s="6" t="str">
        <x:v>平</x:v>
      </x:c>
      <x:c r="E153" s="6" t="str">
        <x:v>syin (A)</x:v>
      </x:c>
      <x:c r="F153" s="6" t="str">
        <x:v>1</x:v>
      </x:c>
      <x:c r="G153" s="6" t="str"/>
      <x:c r="H153" s="6" t="str">
        <x:f>IF(B153="平","平",IF(B153="","","仄"))</x:f>
        <x:v>平</x:v>
      </x:c>
      <x:c r="I153" s="6" t="str">
        <x:f>IF(D151="","",IF(AND(ISNUMBER(SEARCH("平",D151)),OR(ISNUMBER(SEARCH("上",D151)),ISNUMBER(SEARCH("去",D151)),ISNUMBER(SEARCH("入",D151)))),"Ambiguous",IF(ISNUMBER(SEARCH("平",D151)),"平","仄")))</x:f>
        <x:v>仄</x:v>
      </x:c>
      <x:c r="J153" s="7" t="str"/>
    </x:row>
    <x:row r="154">
      <x:c r="A154" s="5" t="str">
        <x:v>伺</x:v>
      </x:c>
      <x:c r="B154" s="6" t="str">
        <x:v>去</x:v>
      </x:c>
      <x:c r="C154" s="6" t="str">
        <x:f>IF(B154="","Needs decision","Ready")</x:f>
        <x:v>Ready</x:v>
      </x:c>
      <x:c r="D154" s="6" t="str">
        <x:v>平/去</x:v>
      </x:c>
      <x:c r="E154" s="6" t="str">
        <x:v>si [sjɨ] (平); siH [sjɨh] (去)</x:v>
      </x:c>
      <x:c r="F154" s="6" t="str">
        <x:v>2</x:v>
      </x:c>
      <x:c r="G154" s="6" t="str">
        <x:v>Tang 300 gap; frequency 1; ambiguous in Xun Gong; User workbook edit 2026-09-03</x:v>
      </x:c>
      <x:c r="H154" s="6" t="str">
        <x:f>IF(B154="平","平",IF(B154="","","仄"))</x:f>
        <x:v>仄</x:v>
      </x:c>
      <x:c r="I154" s="6" t="str">
        <x:f>IF(D152="","",IF(AND(ISNUMBER(SEARCH("平",D152)),OR(ISNUMBER(SEARCH("上",D152)),ISNUMBER(SEARCH("去",D152)),ISNUMBER(SEARCH("入",D152)))),"Ambiguous",IF(ISNUMBER(SEARCH("平",D152)),"平","仄")))</x:f>
        <x:v>平</x:v>
      </x:c>
      <x:c r="J154" s="7" t="str">
        <x:v>manual user correction</x:v>
      </x:c>
    </x:row>
    <x:row r="155">
      <x:c r="A155" s="5" t="str">
        <x:v>似</x:v>
      </x:c>
      <x:c r="B155" s="6" t="str">
        <x:v>上</x:v>
      </x:c>
      <x:c r="C155" s="6" t="str">
        <x:f>IF(B155="","Needs decision","Ready")</x:f>
        <x:v>Ready</x:v>
      </x:c>
      <x:c r="D155" s="6" t="str">
        <x:v>上</x:v>
      </x:c>
      <x:c r="E155" s="6" t="str">
        <x:v>ziX (B)</x:v>
      </x:c>
      <x:c r="F155" s="6" t="str">
        <x:v>1</x:v>
      </x:c>
      <x:c r="G155" s="6" t="str"/>
      <x:c r="H155" s="6" t="str">
        <x:f>IF(B155="平","平",IF(B155="","","仄"))</x:f>
        <x:v>仄</x:v>
      </x:c>
      <x:c r="I155" s="6" t="str">
        <x:f>IF(D153="","",IF(AND(ISNUMBER(SEARCH("平",D153)),OR(ISNUMBER(SEARCH("上",D153)),ISNUMBER(SEARCH("去",D153)),ISNUMBER(SEARCH("入",D153)))),"Ambiguous",IF(ISNUMBER(SEARCH("平",D153)),"平","仄")))</x:f>
        <x:v>平</x:v>
      </x:c>
      <x:c r="J155" s="7" t="str"/>
    </x:row>
    <x:row r="156">
      <x:c r="A156" s="5" t="str">
        <x:v>佃</x:v>
      </x:c>
      <x:c r="B156" s="6" t="str">
        <x:v>去</x:v>
      </x:c>
      <x:c r="C156" s="6" t="str">
        <x:f>IF(B156="","Needs decision","Ready")</x:f>
        <x:v>Ready</x:v>
      </x:c>
      <x:c r="D156" s="6" t="str">
        <x:v>去</x:v>
      </x:c>
      <x:c r="E156" s="6" t="str">
        <x:v>denH (C)</x:v>
      </x:c>
      <x:c r="F156" s="6" t="str">
        <x:v>1</x:v>
      </x:c>
      <x:c r="G156" s="6" t="str"/>
      <x:c r="H156" s="6" t="str">
        <x:f>IF(B156="平","平",IF(B156="","","仄"))</x:f>
        <x:v>仄</x:v>
      </x:c>
      <x:c r="I156" s="6" t="str">
        <x:f>IF(D154="","",IF(AND(ISNUMBER(SEARCH("平",D154)),OR(ISNUMBER(SEARCH("上",D154)),ISNUMBER(SEARCH("去",D154)),ISNUMBER(SEARCH("入",D154)))),"Ambiguous",IF(ISNUMBER(SEARCH("平",D154)),"平","仄")))</x:f>
        <x:v>Ambiguous</x:v>
      </x:c>
      <x:c r="J156" s="7" t="str"/>
    </x:row>
    <x:row r="157">
      <x:c r="A157" s="5" t="str">
        <x:v>但</x:v>
      </x:c>
      <x:c r="B157" s="6" t="str">
        <x:v>上</x:v>
      </x:c>
      <x:c r="C157" s="6" t="str">
        <x:f>IF(B157="","Needs decision","Ready")</x:f>
        <x:v>Ready</x:v>
      </x:c>
      <x:c r="D157" s="6" t="str">
        <x:v>上</x:v>
      </x:c>
      <x:c r="E157" s="6" t="str">
        <x:v>danX (B)</x:v>
      </x:c>
      <x:c r="F157" s="6" t="str">
        <x:v>1</x:v>
      </x:c>
      <x:c r="G157" s="6" t="str"/>
      <x:c r="H157" s="6" t="str">
        <x:f>IF(B157="平","平",IF(B157="","","仄"))</x:f>
        <x:v>仄</x:v>
      </x:c>
      <x:c r="I157" s="6" t="str">
        <x:f>IF(D155="","",IF(AND(ISNUMBER(SEARCH("平",D155)),OR(ISNUMBER(SEARCH("上",D155)),ISNUMBER(SEARCH("去",D155)),ISNUMBER(SEARCH("入",D155)))),"Ambiguous",IF(ISNUMBER(SEARCH("平",D155)),"平","仄")))</x:f>
        <x:v>仄</x:v>
      </x:c>
      <x:c r="J157" s="7" t="str"/>
    </x:row>
    <x:row r="158">
      <x:c r="A158" s="5" t="str">
        <x:v>佇</x:v>
      </x:c>
      <x:c r="B158" s="6" t="str">
        <x:v>上</x:v>
      </x:c>
      <x:c r="C158" s="6" t="str">
        <x:f>IF(B158="","Needs decision","Ready")</x:f>
        <x:v>Ready</x:v>
      </x:c>
      <x:c r="D158" s="6" t="str">
        <x:v>上</x:v>
      </x:c>
      <x:c r="E158" s="6" t="str">
        <x:v>drjoX [澄開三魚上] ɖjəʔ</x:v>
      </x:c>
      <x:c r="F158" s="6" t="str">
        <x:v>1</x:v>
      </x:c>
      <x:c r="G158" s="6" t="str">
        <x:v>Targeted preliminary fill from Xun Gong; review if uncertain</x:v>
      </x:c>
      <x:c r="H158" s="6" t="str">
        <x:f>IF(B158="平","平",IF(B158="","","仄"))</x:f>
        <x:v>仄</x:v>
      </x:c>
      <x:c r="I158" s="6" t="str">
        <x:f>IF(D156="","",IF(AND(ISNUMBER(SEARCH("平",D156)),OR(ISNUMBER(SEARCH("上",D156)),ISNUMBER(SEARCH("去",D156)),ISNUMBER(SEARCH("入",D156)))),"Ambiguous",IF(ISNUMBER(SEARCH("平",D156)),"平","仄")))</x:f>
        <x:v>仄</x:v>
      </x:c>
      <x:c r="J158" s="7" t="str">
        <x:v>Xun Gong character-readings.csv</x:v>
      </x:c>
    </x:row>
    <x:row r="159">
      <x:c r="A159" s="5" t="str">
        <x:v>位</x:v>
      </x:c>
      <x:c r="B159" s="6" t="str">
        <x:v>去</x:v>
      </x:c>
      <x:c r="C159" s="6" t="str">
        <x:f>IF(B159="","Needs decision","Ready")</x:f>
        <x:v>Ready</x:v>
      </x:c>
      <x:c r="D159" s="6" t="str">
        <x:v>去</x:v>
      </x:c>
      <x:c r="E159" s="6" t="str">
        <x:v>hwijH (C)</x:v>
      </x:c>
      <x:c r="F159" s="6" t="str">
        <x:v>1</x:v>
      </x:c>
      <x:c r="G159" s="6" t="str"/>
      <x:c r="H159" s="6" t="str">
        <x:f>IF(B159="平","平",IF(B159="","","仄"))</x:f>
        <x:v>仄</x:v>
      </x:c>
      <x:c r="I159" s="6" t="str">
        <x:f>IF(D157="","",IF(AND(ISNUMBER(SEARCH("平",D157)),OR(ISNUMBER(SEARCH("上",D157)),ISNUMBER(SEARCH("去",D157)),ISNUMBER(SEARCH("入",D157)))),"Ambiguous",IF(ISNUMBER(SEARCH("平",D157)),"平","仄")))</x:f>
        <x:v>仄</x:v>
      </x:c>
      <x:c r="J159" s="7" t="str"/>
    </x:row>
    <x:row r="160">
      <x:c r="A160" s="5" t="str">
        <x:v>低</x:v>
      </x:c>
      <x:c r="B160" s="6" t="str">
        <x:v>平</x:v>
      </x:c>
      <x:c r="C160" s="6" t="str">
        <x:f>IF(B160="","Needs decision","Ready")</x:f>
        <x:v>Ready</x:v>
      </x:c>
      <x:c r="D160" s="6" t="str">
        <x:v>平</x:v>
      </x:c>
      <x:c r="E160" s="6" t="str"/>
      <x:c r="F160" s="6" t="str"/>
      <x:c r="G160" s="6" t="str">
        <x:v>Manual user correction/addition</x:v>
      </x:c>
      <x:c r="H160" s="6" t="str">
        <x:f>IF(B160="平","平",IF(B160="","","仄"))</x:f>
        <x:v>平</x:v>
      </x:c>
      <x:c r="I160" s="6" t="str">
        <x:f>IF(D158="","",IF(AND(ISNUMBER(SEARCH("平",D158)),OR(ISNUMBER(SEARCH("上",D158)),ISNUMBER(SEARCH("去",D158)),ISNUMBER(SEARCH("入",D158)))),"Ambiguous",IF(ISNUMBER(SEARCH("平",D158)),"平","仄")))</x:f>
        <x:v>仄</x:v>
      </x:c>
      <x:c r="J160" s="7" t="str">
        <x:v>manual user correction</x:v>
      </x:c>
    </x:row>
    <x:row r="161">
      <x:c r="A161" s="5" t="str">
        <x:v>住</x:v>
      </x:c>
      <x:c r="B161" s="6" t="str">
        <x:v>去</x:v>
      </x:c>
      <x:c r="C161" s="6" t="str">
        <x:f>IF(B161="","Needs decision","Ready")</x:f>
        <x:v>Ready</x:v>
      </x:c>
      <x:c r="D161" s="6" t="str">
        <x:v>去</x:v>
      </x:c>
      <x:c r="E161" s="6" t="str">
        <x:v>drjuH (C)</x:v>
      </x:c>
      <x:c r="F161" s="6" t="str">
        <x:v>1</x:v>
      </x:c>
      <x:c r="G161" s="6" t="str"/>
      <x:c r="H161" s="6" t="str">
        <x:f>IF(B161="平","平",IF(B161="","","仄"))</x:f>
        <x:v>仄</x:v>
      </x:c>
      <x:c r="I161" s="6" t="str">
        <x:f>IF(D159="","",IF(AND(ISNUMBER(SEARCH("平",D159)),OR(ISNUMBER(SEARCH("上",D159)),ISNUMBER(SEARCH("去",D159)),ISNUMBER(SEARCH("入",D159)))),"Ambiguous",IF(ISNUMBER(SEARCH("平",D159)),"平","仄")))</x:f>
        <x:v>仄</x:v>
      </x:c>
      <x:c r="J161" s="7" t="str"/>
    </x:row>
    <x:row r="162">
      <x:c r="A162" s="5" t="str">
        <x:v>佐</x:v>
      </x:c>
      <x:c r="B162" s="6" t="str">
        <x:v>去</x:v>
      </x:c>
      <x:c r="C162" s="6" t="str">
        <x:f>IF(B162="","Needs decision","Ready")</x:f>
        <x:v>Ready</x:v>
      </x:c>
      <x:c r="D162" s="6" t="str">
        <x:v>去</x:v>
      </x:c>
      <x:c r="E162" s="6" t="str">
        <x:v>tsaH (C)</x:v>
      </x:c>
      <x:c r="F162" s="6" t="str">
        <x:v>1</x:v>
      </x:c>
      <x:c r="G162" s="6" t="str"/>
      <x:c r="H162" s="6" t="str">
        <x:f>IF(B162="平","平",IF(B162="","","仄"))</x:f>
        <x:v>仄</x:v>
      </x:c>
      <x:c r="I162" s="6" t="str">
        <x:f>IF(D160="","",IF(AND(ISNUMBER(SEARCH("平",D160)),OR(ISNUMBER(SEARCH("上",D160)),ISNUMBER(SEARCH("去",D160)),ISNUMBER(SEARCH("入",D160)))),"Ambiguous",IF(ISNUMBER(SEARCH("平",D160)),"平","仄")))</x:f>
        <x:v>平</x:v>
      </x:c>
      <x:c r="J162" s="7" t="str"/>
    </x:row>
    <x:row r="163">
      <x:c r="A163" s="5" t="str">
        <x:v>佑</x:v>
      </x:c>
      <x:c r="B163" s="6" t="str">
        <x:v>去</x:v>
      </x:c>
      <x:c r="C163" s="6" t="str">
        <x:f>IF(B163="","Needs decision","Ready")</x:f>
        <x:v>Ready</x:v>
      </x:c>
      <x:c r="D163" s="6" t="str">
        <x:v>去</x:v>
      </x:c>
      <x:c r="E163" s="6" t="str">
        <x:v>hjuwH (C)</x:v>
      </x:c>
      <x:c r="F163" s="6" t="str">
        <x:v>1</x:v>
      </x:c>
      <x:c r="G163" s="6" t="str"/>
      <x:c r="H163" s="6" t="str">
        <x:f>IF(B163="平","平",IF(B163="","","仄"))</x:f>
        <x:v>仄</x:v>
      </x:c>
      <x:c r="I163" s="6" t="str">
        <x:f>IF(D161="","",IF(AND(ISNUMBER(SEARCH("平",D161)),OR(ISNUMBER(SEARCH("上",D161)),ISNUMBER(SEARCH("去",D161)),ISNUMBER(SEARCH("入",D161)))),"Ambiguous",IF(ISNUMBER(SEARCH("平",D161)),"平","仄")))</x:f>
        <x:v>仄</x:v>
      </x:c>
      <x:c r="J163" s="7" t="str"/>
    </x:row>
    <x:row r="164">
      <x:c r="A164" s="5" t="str">
        <x:v>何</x:v>
      </x:c>
      <x:c r="B164" s="6" t="str">
        <x:v>平</x:v>
      </x:c>
      <x:c r="C164" s="6" t="str">
        <x:f>IF(B164="","Needs decision","Ready")</x:f>
        <x:v>Ready</x:v>
      </x:c>
      <x:c r="D164" s="6" t="str">
        <x:v>平</x:v>
      </x:c>
      <x:c r="E164" s="6" t="str">
        <x:v>ha (A)</x:v>
      </x:c>
      <x:c r="F164" s="6" t="str">
        <x:v>1</x:v>
      </x:c>
      <x:c r="G164" s="6" t="str"/>
      <x:c r="H164" s="6" t="str">
        <x:f>IF(B164="平","平",IF(B164="","","仄"))</x:f>
        <x:v>平</x:v>
      </x:c>
      <x:c r="I164" s="6" t="str">
        <x:f>IF(D162="","",IF(AND(ISNUMBER(SEARCH("平",D162)),OR(ISNUMBER(SEARCH("上",D162)),ISNUMBER(SEARCH("去",D162)),ISNUMBER(SEARCH("入",D162)))),"Ambiguous",IF(ISNUMBER(SEARCH("平",D162)),"平","仄")))</x:f>
        <x:v>仄</x:v>
      </x:c>
      <x:c r="J164" s="7" t="str"/>
    </x:row>
    <x:row r="165">
      <x:c r="A165" s="5" t="str">
        <x:v>佗</x:v>
      </x:c>
      <x:c r="B165" s="6" t="str">
        <x:v>平</x:v>
      </x:c>
      <x:c r="C165" s="6" t="str">
        <x:f>IF(B165="","Needs decision","Ready")</x:f>
        <x:v>Ready</x:v>
      </x:c>
      <x:c r="D165" s="6" t="str">
        <x:v>平</x:v>
      </x:c>
      <x:c r="E165" s="6" t="str">
        <x:v>tha (A)</x:v>
      </x:c>
      <x:c r="F165" s="6" t="str">
        <x:v>1</x:v>
      </x:c>
      <x:c r="G165" s="6" t="str"/>
      <x:c r="H165" s="6" t="str">
        <x:f>IF(B165="平","平",IF(B165="","","仄"))</x:f>
        <x:v>平</x:v>
      </x:c>
      <x:c r="I165" s="6" t="str">
        <x:f>IF(D163="","",IF(AND(ISNUMBER(SEARCH("平",D163)),OR(ISNUMBER(SEARCH("上",D163)),ISNUMBER(SEARCH("去",D163)),ISNUMBER(SEARCH("入",D163)))),"Ambiguous",IF(ISNUMBER(SEARCH("平",D163)),"平","仄")))</x:f>
        <x:v>仄</x:v>
      </x:c>
      <x:c r="J165" s="7" t="str"/>
    </x:row>
    <x:row r="166">
      <x:c r="A166" s="5" t="str">
        <x:v>余</x:v>
      </x:c>
      <x:c r="B166" s="6" t="str">
        <x:v>平</x:v>
      </x:c>
      <x:c r="C166" s="6" t="str">
        <x:f>IF(B166="","Needs decision","Ready")</x:f>
        <x:v>Ready</x:v>
      </x:c>
      <x:c r="D166" s="6" t="str">
        <x:v>平</x:v>
      </x:c>
      <x:c r="E166" s="6" t="str">
        <x:v>yo (A)</x:v>
      </x:c>
      <x:c r="F166" s="6" t="str">
        <x:v>1</x:v>
      </x:c>
      <x:c r="G166" s="6" t="str"/>
      <x:c r="H166" s="6" t="str">
        <x:f>IF(B166="平","平",IF(B166="","","仄"))</x:f>
        <x:v>平</x:v>
      </x:c>
      <x:c r="I166" s="6" t="str">
        <x:f>IF(D164="","",IF(AND(ISNUMBER(SEARCH("平",D164)),OR(ISNUMBER(SEARCH("上",D164)),ISNUMBER(SEARCH("去",D164)),ISNUMBER(SEARCH("入",D164)))),"Ambiguous",IF(ISNUMBER(SEARCH("平",D164)),"平","仄")))</x:f>
        <x:v>平</x:v>
      </x:c>
      <x:c r="J166" s="7" t="str"/>
    </x:row>
    <x:row r="167">
      <x:c r="A167" s="5" t="str">
        <x:v>佚</x:v>
      </x:c>
      <x:c r="B167" s="6" t="str">
        <x:v>入</x:v>
      </x:c>
      <x:c r="C167" s="6" t="str">
        <x:f>IF(B167="","Needs decision","Ready")</x:f>
        <x:v>Ready</x:v>
      </x:c>
      <x:c r="D167" s="6" t="str">
        <x:v>入</x:v>
      </x:c>
      <x:c r="E167" s="6" t="str"/>
      <x:c r="F167" s="6" t="str"/>
      <x:c r="G167" s="6" t="str">
        <x:v>Manual user correction/addition</x:v>
      </x:c>
      <x:c r="H167" s="6" t="str">
        <x:f>IF(B167="平","平",IF(B167="","","仄"))</x:f>
        <x:v>仄</x:v>
      </x:c>
      <x:c r="I167" s="6" t="str">
        <x:v>仄</x:v>
      </x:c>
      <x:c r="J167" s="7" t="str">
        <x:v>manual user correction</x:v>
      </x:c>
    </x:row>
    <x:row r="168">
      <x:c r="A168" s="5" t="str">
        <x:v>佛</x:v>
      </x:c>
      <x:c r="B168" s="6" t="str">
        <x:v>入</x:v>
      </x:c>
      <x:c r="C168" s="6" t="str">
        <x:f>IF(B168="","Needs decision","Ready")</x:f>
        <x:v>Ready</x:v>
      </x:c>
      <x:c r="D168" s="6" t="str">
        <x:v>入</x:v>
      </x:c>
      <x:c r="E168" s="6" t="str">
        <x:v>bjut (D)</x:v>
      </x:c>
      <x:c r="F168" s="6" t="str">
        <x:v>1</x:v>
      </x:c>
      <x:c r="G168" s="6" t="str"/>
      <x:c r="H168" s="6" t="str">
        <x:f>IF(B168="平","平",IF(B168="","","仄"))</x:f>
        <x:v>仄</x:v>
      </x:c>
      <x:c r="I168" s="6" t="str">
        <x:f>IF(D165="","",IF(AND(ISNUMBER(SEARCH("平",D165)),OR(ISNUMBER(SEARCH("上",D165)),ISNUMBER(SEARCH("去",D165)),ISNUMBER(SEARCH("入",D165)))),"Ambiguous",IF(ISNUMBER(SEARCH("平",D165)),"平","仄")))</x:f>
        <x:v>平</x:v>
      </x:c>
      <x:c r="J168" s="7" t="str"/>
    </x:row>
    <x:row r="169">
      <x:c r="A169" s="5" t="str">
        <x:v>作</x:v>
      </x:c>
      <x:c r="B169" s="6" t="str">
        <x:v>入</x:v>
      </x:c>
      <x:c r="C169" s="6" t="str">
        <x:f>IF(B169="","Needs decision","Ready")</x:f>
        <x:v>Ready</x:v>
      </x:c>
      <x:c r="D169" s="6" t="str">
        <x:v>入/去</x:v>
      </x:c>
      <x:c r="E169" s="6" t="str">
        <x:v>tsak (D); tsuH (C)</x:v>
      </x:c>
      <x:c r="F169" s="6" t="str">
        <x:v>2</x:v>
      </x:c>
      <x:c r="G169" s="6" t="str">
        <x:v>User workbook edit 2026-09-03</x:v>
      </x:c>
      <x:c r="H169" s="6" t="str">
        <x:f>IF(B169="平","平",IF(B169="","","仄"))</x:f>
        <x:v>仄</x:v>
      </x:c>
      <x:c r="I169" s="6" t="str">
        <x:f>IF(D166="","",IF(AND(ISNUMBER(SEARCH("平",D166)),OR(ISNUMBER(SEARCH("上",D166)),ISNUMBER(SEARCH("去",D166)),ISNUMBER(SEARCH("入",D166)))),"Ambiguous",IF(ISNUMBER(SEARCH("平",D166)),"平","仄")))</x:f>
        <x:v>平</x:v>
      </x:c>
      <x:c r="J169" s="7" t="str">
        <x:v>manual user correction</x:v>
      </x:c>
    </x:row>
    <x:row r="170">
      <x:c r="A170" s="5" t="str">
        <x:v>佞</x:v>
      </x:c>
      <x:c r="B170" s="6" t="str">
        <x:v>去</x:v>
      </x:c>
      <x:c r="C170" s="6" t="str">
        <x:f>IF(B170="","Needs decision","Ready")</x:f>
        <x:v>Ready</x:v>
      </x:c>
      <x:c r="D170" s="6" t="str">
        <x:v>去</x:v>
      </x:c>
      <x:c r="E170" s="6" t="str">
        <x:v>nengH (C)</x:v>
      </x:c>
      <x:c r="F170" s="6" t="str">
        <x:v>1</x:v>
      </x:c>
      <x:c r="G170" s="6" t="str"/>
      <x:c r="H170" s="6" t="str">
        <x:f>IF(B170="平","平",IF(B170="","","仄"))</x:f>
        <x:v>仄</x:v>
      </x:c>
      <x:c r="I170" s="6" t="str">
        <x:f>IF(D167="","",IF(AND(ISNUMBER(SEARCH("平",D167)),OR(ISNUMBER(SEARCH("上",D167)),ISNUMBER(SEARCH("去",D167)),ISNUMBER(SEARCH("入",D167)))),"Ambiguous",IF(ISNUMBER(SEARCH("平",D167)),"平","仄")))</x:f>
        <x:v>仄</x:v>
      </x:c>
      <x:c r="J170" s="7" t="str"/>
    </x:row>
    <x:row r="171">
      <x:c r="A171" s="5" t="str">
        <x:v>佩</x:v>
      </x:c>
      <x:c r="B171" s="6" t="str">
        <x:v>去</x:v>
      </x:c>
      <x:c r="C171" s="6" t="str">
        <x:f>IF(B171="","Needs decision","Ready")</x:f>
        <x:v>Ready</x:v>
      </x:c>
      <x:c r="D171" s="6" t="str">
        <x:v>去</x:v>
      </x:c>
      <x:c r="E171" s="6" t="str">
        <x:v>bwojH (C)</x:v>
      </x:c>
      <x:c r="F171" s="6" t="str">
        <x:v>1</x:v>
      </x:c>
      <x:c r="G171" s="6" t="str"/>
      <x:c r="H171" s="6" t="str">
        <x:f>IF(B171="平","平",IF(B171="","","仄"))</x:f>
        <x:v>仄</x:v>
      </x:c>
      <x:c r="I171" s="6" t="str">
        <x:f>IF(D168="","",IF(AND(ISNUMBER(SEARCH("平",D168)),OR(ISNUMBER(SEARCH("上",D168)),ISNUMBER(SEARCH("去",D168)),ISNUMBER(SEARCH("入",D168)))),"Ambiguous",IF(ISNUMBER(SEARCH("平",D168)),"平","仄")))</x:f>
        <x:v>仄</x:v>
      </x:c>
      <x:c r="J171" s="7" t="str"/>
    </x:row>
    <x:row r="172">
      <x:c r="A172" s="5" t="str">
        <x:v>佳</x:v>
      </x:c>
      <x:c r="B172" s="6" t="str">
        <x:v>平</x:v>
      </x:c>
      <x:c r="C172" s="6" t="str">
        <x:f>IF(B172="","Needs decision","Ready")</x:f>
        <x:v>Ready</x:v>
      </x:c>
      <x:c r="D172" s="6" t="str">
        <x:v>平</x:v>
      </x:c>
      <x:c r="E172" s="6" t="str">
        <x:v>kea (A)</x:v>
      </x:c>
      <x:c r="F172" s="6" t="str">
        <x:v>1</x:v>
      </x:c>
      <x:c r="G172" s="6" t="str"/>
      <x:c r="H172" s="6" t="str">
        <x:f>IF(B172="平","平",IF(B172="","","仄"))</x:f>
        <x:v>平</x:v>
      </x:c>
      <x:c r="I172" s="6" t="str">
        <x:f>IF(D169="","",IF(AND(ISNUMBER(SEARCH("平",D169)),OR(ISNUMBER(SEARCH("上",D169)),ISNUMBER(SEARCH("去",D169)),ISNUMBER(SEARCH("入",D169)))),"Ambiguous",IF(ISNUMBER(SEARCH("平",D169)),"平","仄")))</x:f>
        <x:v>仄</x:v>
      </x:c>
      <x:c r="J172" s="7" t="str"/>
    </x:row>
    <x:row r="173">
      <x:c r="A173" s="5" t="str">
        <x:v>佶</x:v>
      </x:c>
      <x:c r="B173" s="6" t="str">
        <x:v>入</x:v>
      </x:c>
      <x:c r="C173" s="6" t="str">
        <x:f>IF(B173="","Needs decision","Ready")</x:f>
        <x:v>Ready</x:v>
      </x:c>
      <x:c r="D173" s="6" t="str">
        <x:v>入</x:v>
      </x:c>
      <x:c r="E173" s="6" t="str">
        <x:v>git (D)</x:v>
      </x:c>
      <x:c r="F173" s="6" t="str">
        <x:v>1</x:v>
      </x:c>
      <x:c r="G173" s="6" t="str"/>
      <x:c r="H173" s="6" t="str">
        <x:f>IF(B173="平","平",IF(B173="","","仄"))</x:f>
        <x:v>仄</x:v>
      </x:c>
      <x:c r="I173" s="6" t="str">
        <x:f>IF(D170="","",IF(AND(ISNUMBER(SEARCH("平",D170)),OR(ISNUMBER(SEARCH("上",D170)),ISNUMBER(SEARCH("去",D170)),ISNUMBER(SEARCH("入",D170)))),"Ambiguous",IF(ISNUMBER(SEARCH("平",D170)),"平","仄")))</x:f>
        <x:v>仄</x:v>
      </x:c>
      <x:c r="J173" s="7" t="str"/>
    </x:row>
    <x:row r="174">
      <x:c r="A174" s="5" t="str">
        <x:v>佾</x:v>
      </x:c>
      <x:c r="B174" s="6" t="str">
        <x:v>入</x:v>
      </x:c>
      <x:c r="C174" s="6" t="str">
        <x:f>IF(B174="","Needs decision","Ready")</x:f>
        <x:v>Ready</x:v>
      </x:c>
      <x:c r="D174" s="6" t="str">
        <x:v>入</x:v>
      </x:c>
      <x:c r="E174" s="6" t="str">
        <x:v>yit (D)</x:v>
      </x:c>
      <x:c r="F174" s="6" t="str">
        <x:v>1</x:v>
      </x:c>
      <x:c r="G174" s="6" t="str"/>
      <x:c r="H174" s="6" t="str">
        <x:f>IF(B174="平","平",IF(B174="","","仄"))</x:f>
        <x:v>仄</x:v>
      </x:c>
      <x:c r="I174" s="6" t="str">
        <x:f>IF(D171="","",IF(AND(ISNUMBER(SEARCH("平",D171)),OR(ISNUMBER(SEARCH("上",D171)),ISNUMBER(SEARCH("去",D171)),ISNUMBER(SEARCH("入",D171)))),"Ambiguous",IF(ISNUMBER(SEARCH("平",D171)),"平","仄")))</x:f>
        <x:v>仄</x:v>
      </x:c>
      <x:c r="J174" s="7" t="str"/>
    </x:row>
    <x:row r="175">
      <x:c r="A175" s="5" t="str">
        <x:v>使</x:v>
      </x:c>
      <x:c r="B175" s="6" t="str">
        <x:v>上</x:v>
      </x:c>
      <x:c r="C175" s="6" t="str">
        <x:f>IF(B175="","Needs decision","Ready")</x:f>
        <x:v>Ready</x:v>
      </x:c>
      <x:c r="D175" s="6" t="str">
        <x:v>上/去</x:v>
      </x:c>
      <x:c r="E175" s="6" t="str">
        <x:v>sriX (B); sriH (C)</x:v>
      </x:c>
      <x:c r="F175" s="6" t="str">
        <x:v>2</x:v>
      </x:c>
      <x:c r="G175" s="6" t="str">
        <x:v>User workbook edit 2026-09-03</x:v>
      </x:c>
      <x:c r="H175" s="6" t="str">
        <x:f>IF(B175="平","平",IF(B175="","","仄"))</x:f>
        <x:v>仄</x:v>
      </x:c>
      <x:c r="I175" s="6" t="str">
        <x:f>IF(D172="","",IF(AND(ISNUMBER(SEARCH("平",D172)),OR(ISNUMBER(SEARCH("上",D172)),ISNUMBER(SEARCH("去",D172)),ISNUMBER(SEARCH("入",D172)))),"Ambiguous",IF(ISNUMBER(SEARCH("平",D172)),"平","仄")))</x:f>
        <x:v>平</x:v>
      </x:c>
      <x:c r="J175" s="7" t="str">
        <x:v>manual user correction</x:v>
      </x:c>
    </x:row>
    <x:row r="176">
      <x:c r="A176" s="5" t="str">
        <x:v>來</x:v>
      </x:c>
      <x:c r="B176" s="6" t="str">
        <x:v>平</x:v>
      </x:c>
      <x:c r="C176" s="6" t="str">
        <x:f>IF(B176="","Needs decision","Ready")</x:f>
        <x:v>Ready</x:v>
      </x:c>
      <x:c r="D176" s="6" t="str">
        <x:v>平</x:v>
      </x:c>
      <x:c r="E176" s="6" t="str">
        <x:v>loj (A)</x:v>
      </x:c>
      <x:c r="F176" s="6" t="str">
        <x:v>1</x:v>
      </x:c>
      <x:c r="G176" s="6" t="str"/>
      <x:c r="H176" s="6" t="str">
        <x:f>IF(B176="平","平",IF(B176="","","仄"))</x:f>
        <x:v>平</x:v>
      </x:c>
      <x:c r="I176" s="6" t="str">
        <x:f>IF(D173="","",IF(AND(ISNUMBER(SEARCH("平",D173)),OR(ISNUMBER(SEARCH("上",D173)),ISNUMBER(SEARCH("去",D173)),ISNUMBER(SEARCH("入",D173)))),"Ambiguous",IF(ISNUMBER(SEARCH("平",D173)),"平","仄")))</x:f>
        <x:v>仄</x:v>
      </x:c>
      <x:c r="J176" s="7" t="str"/>
    </x:row>
    <x:row r="177">
      <x:c r="A177" s="5" t="str">
        <x:v>侈</x:v>
      </x:c>
      <x:c r="B177" s="6" t="str">
        <x:v>上</x:v>
      </x:c>
      <x:c r="C177" s="6" t="str">
        <x:f>IF(B177="","Needs decision","Ready")</x:f>
        <x:v>Ready</x:v>
      </x:c>
      <x:c r="D177" s="6" t="str">
        <x:v>上</x:v>
      </x:c>
      <x:c r="E177" s="6" t="str">
        <x:v>tsyheX (B)</x:v>
      </x:c>
      <x:c r="F177" s="6" t="str">
        <x:v>1</x:v>
      </x:c>
      <x:c r="G177" s="6" t="str"/>
      <x:c r="H177" s="6" t="str">
        <x:f>IF(B177="平","平",IF(B177="","","仄"))</x:f>
        <x:v>仄</x:v>
      </x:c>
      <x:c r="I177" s="6" t="str">
        <x:f>IF(D174="","",IF(AND(ISNUMBER(SEARCH("平",D174)),OR(ISNUMBER(SEARCH("上",D174)),ISNUMBER(SEARCH("去",D174)),ISNUMBER(SEARCH("入",D174)))),"Ambiguous",IF(ISNUMBER(SEARCH("平",D174)),"平","仄")))</x:f>
        <x:v>仄</x:v>
      </x:c>
      <x:c r="J177" s="7" t="str"/>
    </x:row>
    <x:row r="178">
      <x:c r="A178" s="5" t="str">
        <x:v>例</x:v>
      </x:c>
      <x:c r="B178" s="6" t="str">
        <x:v>去</x:v>
      </x:c>
      <x:c r="C178" s="6" t="str">
        <x:f>IF(B178="","Needs decision","Ready")</x:f>
        <x:v>Ready</x:v>
      </x:c>
      <x:c r="D178" s="6" t="str">
        <x:v>去</x:v>
      </x:c>
      <x:c r="E178" s="6" t="str"/>
      <x:c r="F178" s="6" t="str"/>
      <x:c r="G178" s="6" t="str">
        <x:v>Manual user correction/addition</x:v>
      </x:c>
      <x:c r="H178" s="6" t="str">
        <x:f>IF(B178="平","平",IF(B178="","","仄"))</x:f>
        <x:v>仄</x:v>
      </x:c>
      <x:c r="I178" s="6" t="str">
        <x:f>IF(D175="","",IF(AND(ISNUMBER(SEARCH("平",D175)),OR(ISNUMBER(SEARCH("上",D175)),ISNUMBER(SEARCH("去",D175)),ISNUMBER(SEARCH("入",D175)))),"Ambiguous",IF(ISNUMBER(SEARCH("平",D175)),"平","仄")))</x:f>
        <x:v>仄</x:v>
      </x:c>
      <x:c r="J178" s="7" t="str">
        <x:v>manual user correction</x:v>
      </x:c>
    </x:row>
    <x:row r="179">
      <x:c r="A179" s="5" t="str">
        <x:v>侍</x:v>
      </x:c>
      <x:c r="B179" s="6" t="str">
        <x:v>去</x:v>
      </x:c>
      <x:c r="C179" s="6" t="str">
        <x:f>IF(B179="","Needs decision","Ready")</x:f>
        <x:v>Ready</x:v>
      </x:c>
      <x:c r="D179" s="6" t="str">
        <x:v>去</x:v>
      </x:c>
      <x:c r="E179" s="6" t="str">
        <x:v>dzyiH (C)</x:v>
      </x:c>
      <x:c r="F179" s="6" t="str">
        <x:v>1</x:v>
      </x:c>
      <x:c r="G179" s="6" t="str"/>
      <x:c r="H179" s="6" t="str">
        <x:f>IF(B179="平","平",IF(B179="","","仄"))</x:f>
        <x:v>仄</x:v>
      </x:c>
      <x:c r="I179" s="6" t="str">
        <x:f>IF(D176="","",IF(AND(ISNUMBER(SEARCH("平",D176)),OR(ISNUMBER(SEARCH("上",D176)),ISNUMBER(SEARCH("去",D176)),ISNUMBER(SEARCH("入",D176)))),"Ambiguous",IF(ISNUMBER(SEARCH("平",D176)),"平","仄")))</x:f>
        <x:v>平</x:v>
      </x:c>
      <x:c r="J179" s="7" t="str"/>
    </x:row>
    <x:row r="180">
      <x:c r="A180" s="5" t="str">
        <x:v>侏</x:v>
      </x:c>
      <x:c r="B180" s="6" t="str">
        <x:v>平</x:v>
      </x:c>
      <x:c r="C180" s="6" t="str">
        <x:f>IF(B180="","Needs decision","Ready")</x:f>
        <x:v>Ready</x:v>
      </x:c>
      <x:c r="D180" s="6" t="str">
        <x:v>平</x:v>
      </x:c>
      <x:c r="E180" s="6" t="str">
        <x:v>tsyu (A)</x:v>
      </x:c>
      <x:c r="F180" s="6" t="str">
        <x:v>1</x:v>
      </x:c>
      <x:c r="G180" s="6" t="str"/>
      <x:c r="H180" s="6" t="str">
        <x:f>IF(B180="平","平",IF(B180="","","仄"))</x:f>
        <x:v>平</x:v>
      </x:c>
      <x:c r="I180" s="6" t="str">
        <x:f>IF(D177="","",IF(AND(ISNUMBER(SEARCH("平",D177)),OR(ISNUMBER(SEARCH("上",D177)),ISNUMBER(SEARCH("去",D177)),ISNUMBER(SEARCH("入",D177)))),"Ambiguous",IF(ISNUMBER(SEARCH("平",D177)),"平","仄")))</x:f>
        <x:v>仄</x:v>
      </x:c>
      <x:c r="J180" s="7" t="str"/>
    </x:row>
    <x:row r="181">
      <x:c r="A181" s="5" t="str">
        <x:v>侐</x:v>
      </x:c>
      <x:c r="B181" s="6" t="str"/>
      <x:c r="C181" s="6" t="str">
        <x:f>IF(B181="","Needs decision","Ready")</x:f>
        <x:v>Needs decision</x:v>
      </x:c>
      <x:c r="D181" s="6" t="str">
        <x:v>去/入</x:v>
      </x:c>
      <x:c r="E181" s="6" t="str">
        <x:v>xjwijH (C); xwik (D)</x:v>
      </x:c>
      <x:c r="F181" s="6" t="str">
        <x:v>2</x:v>
      </x:c>
      <x:c r="G181" s="6" t="str"/>
      <x:c r="H181" s="6" t="str">
        <x:f>IF(B181="平","平",IF(B181="","","仄"))</x:f>
      </x:c>
      <x:c r="I181" s="6" t="str">
        <x:f>IF(D178="","",IF(AND(ISNUMBER(SEARCH("平",D178)),OR(ISNUMBER(SEARCH("上",D178)),ISNUMBER(SEARCH("去",D178)),ISNUMBER(SEARCH("入",D178)))),"Ambiguous",IF(ISNUMBER(SEARCH("平",D178)),"平","仄")))</x:f>
        <x:v>仄</x:v>
      </x:c>
      <x:c r="J181" s="7" t="str"/>
    </x:row>
    <x:row r="182">
      <x:c r="A182" s="5" t="str">
        <x:v>供</x:v>
      </x:c>
      <x:c r="B182" s="6" t="str">
        <x:v>平</x:v>
      </x:c>
      <x:c r="C182" s="6" t="str">
        <x:f>IF(B182="","Needs decision","Ready")</x:f>
        <x:v>Ready</x:v>
      </x:c>
      <x:c r="D182" s="6" t="str">
        <x:v>平</x:v>
      </x:c>
      <x:c r="E182" s="6" t="str">
        <x:v>kjowng (A)</x:v>
      </x:c>
      <x:c r="F182" s="6" t="str">
        <x:v>1</x:v>
      </x:c>
      <x:c r="G182" s="6" t="str"/>
      <x:c r="H182" s="6" t="str">
        <x:f>IF(B182="平","平",IF(B182="","","仄"))</x:f>
        <x:v>平</x:v>
      </x:c>
      <x:c r="I182" s="6" t="str">
        <x:f>IF(D179="","",IF(AND(ISNUMBER(SEARCH("平",D179)),OR(ISNUMBER(SEARCH("上",D179)),ISNUMBER(SEARCH("去",D179)),ISNUMBER(SEARCH("入",D179)))),"Ambiguous",IF(ISNUMBER(SEARCH("平",D179)),"平","仄")))</x:f>
        <x:v>仄</x:v>
      </x:c>
      <x:c r="J182" s="7" t="str"/>
    </x:row>
    <x:row r="183">
      <x:c r="A183" s="5" t="str">
        <x:v>依</x:v>
      </x:c>
      <x:c r="B183" s="6" t="str">
        <x:v>平</x:v>
      </x:c>
      <x:c r="C183" s="6" t="str">
        <x:f>IF(B183="","Needs decision","Ready")</x:f>
        <x:v>Ready</x:v>
      </x:c>
      <x:c r="D183" s="6" t="str">
        <x:v>平</x:v>
      </x:c>
      <x:c r="E183" s="6" t="str">
        <x:v>'j+j (A)</x:v>
      </x:c>
      <x:c r="F183" s="6" t="str">
        <x:v>1</x:v>
      </x:c>
      <x:c r="G183" s="6" t="str"/>
      <x:c r="H183" s="6" t="str">
        <x:f>IF(B183="平","平",IF(B183="","","仄"))</x:f>
        <x:v>平</x:v>
      </x:c>
      <x:c r="I183" s="6" t="str">
        <x:f>IF(D180="","",IF(AND(ISNUMBER(SEARCH("平",D180)),OR(ISNUMBER(SEARCH("上",D180)),ISNUMBER(SEARCH("去",D180)),ISNUMBER(SEARCH("入",D180)))),"Ambiguous",IF(ISNUMBER(SEARCH("平",D180)),"平","仄")))</x:f>
        <x:v>平</x:v>
      </x:c>
      <x:c r="J183" s="7" t="str"/>
    </x:row>
    <x:row r="184">
      <x:c r="A184" s="5" t="str">
        <x:v>侮</x:v>
      </x:c>
      <x:c r="B184" s="6" t="str">
        <x:v>上</x:v>
      </x:c>
      <x:c r="C184" s="6" t="str">
        <x:f>IF(B184="","Needs decision","Ready")</x:f>
        <x:v>Ready</x:v>
      </x:c>
      <x:c r="D184" s="6" t="str">
        <x:v>上</x:v>
      </x:c>
      <x:c r="E184" s="6" t="str">
        <x:v>mjuX (B)</x:v>
      </x:c>
      <x:c r="F184" s="6" t="str">
        <x:v>1</x:v>
      </x:c>
      <x:c r="G184" s="6" t="str"/>
      <x:c r="H184" s="6" t="str">
        <x:f>IF(B184="平","平",IF(B184="","","仄"))</x:f>
        <x:v>仄</x:v>
      </x:c>
      <x:c r="I184" s="6" t="str">
        <x:f>IF(D181="","",IF(AND(ISNUMBER(SEARCH("平",D181)),OR(ISNUMBER(SEARCH("上",D181)),ISNUMBER(SEARCH("去",D181)),ISNUMBER(SEARCH("入",D181)))),"Ambiguous",IF(ISNUMBER(SEARCH("平",D181)),"平","仄")))</x:f>
        <x:v>仄</x:v>
      </x:c>
      <x:c r="J184" s="7" t="str"/>
    </x:row>
    <x:row r="185">
      <x:c r="A185" s="5" t="str">
        <x:v>侯</x:v>
      </x:c>
      <x:c r="B185" s="6" t="str">
        <x:v>平</x:v>
      </x:c>
      <x:c r="C185" s="6" t="str">
        <x:f>IF(B185="","Needs decision","Ready")</x:f>
        <x:v>Ready</x:v>
      </x:c>
      <x:c r="D185" s="6" t="str">
        <x:v>平</x:v>
      </x:c>
      <x:c r="E185" s="6" t="str">
        <x:v>huw (A)</x:v>
      </x:c>
      <x:c r="F185" s="6" t="str">
        <x:v>1</x:v>
      </x:c>
      <x:c r="G185" s="6" t="str"/>
      <x:c r="H185" s="6" t="str">
        <x:f>IF(B185="平","平",IF(B185="","","仄"))</x:f>
        <x:v>平</x:v>
      </x:c>
      <x:c r="I185" s="6" t="str">
        <x:f>IF(D182="","",IF(AND(ISNUMBER(SEARCH("平",D182)),OR(ISNUMBER(SEARCH("上",D182)),ISNUMBER(SEARCH("去",D182)),ISNUMBER(SEARCH("入",D182)))),"Ambiguous",IF(ISNUMBER(SEARCH("平",D182)),"平","仄")))</x:f>
        <x:v>平</x:v>
      </x:c>
      <x:c r="J185" s="7" t="str"/>
    </x:row>
    <x:row r="186">
      <x:c r="A186" s="5" t="str">
        <x:v>侵</x:v>
      </x:c>
      <x:c r="B186" s="6" t="str">
        <x:v>平</x:v>
      </x:c>
      <x:c r="C186" s="6" t="str">
        <x:f>IF(B186="","Needs decision","Ready")</x:f>
        <x:v>Ready</x:v>
      </x:c>
      <x:c r="D186" s="6" t="str">
        <x:v>平</x:v>
      </x:c>
      <x:c r="E186" s="6" t="str">
        <x:v>tshim (A)</x:v>
      </x:c>
      <x:c r="F186" s="6" t="str">
        <x:v>1</x:v>
      </x:c>
      <x:c r="G186" s="6" t="str"/>
      <x:c r="H186" s="6" t="str">
        <x:f>IF(B186="平","平",IF(B186="","","仄"))</x:f>
        <x:v>平</x:v>
      </x:c>
      <x:c r="I186" s="6" t="str">
        <x:f>IF(D183="","",IF(AND(ISNUMBER(SEARCH("平",D183)),OR(ISNUMBER(SEARCH("上",D183)),ISNUMBER(SEARCH("去",D183)),ISNUMBER(SEARCH("入",D183)))),"Ambiguous",IF(ISNUMBER(SEARCH("平",D183)),"平","仄")))</x:f>
        <x:v>平</x:v>
      </x:c>
      <x:c r="J186" s="7" t="str"/>
    </x:row>
    <x:row r="187">
      <x:c r="A187" s="5" t="str">
        <x:v>便</x:v>
      </x:c>
      <x:c r="B187" s="6" t="str"/>
      <x:c r="C187" s="6" t="str">
        <x:f>IF(B187="","Needs decision","Ready")</x:f>
        <x:v>Needs decision</x:v>
      </x:c>
      <x:c r="D187" s="6" t="str">
        <x:v>去/平</x:v>
      </x:c>
      <x:c r="E187" s="6" t="str">
        <x:v>bjienH (C); bjien (A)</x:v>
      </x:c>
      <x:c r="F187" s="6" t="str">
        <x:v>2</x:v>
      </x:c>
      <x:c r="G187" s="6" t="str"/>
      <x:c r="H187" s="6" t="str">
        <x:f>IF(B187="平","平",IF(B187="","","仄"))</x:f>
      </x:c>
      <x:c r="I187" s="6" t="str">
        <x:f>IF(D184="","",IF(AND(ISNUMBER(SEARCH("平",D184)),OR(ISNUMBER(SEARCH("上",D184)),ISNUMBER(SEARCH("去",D184)),ISNUMBER(SEARCH("入",D184)))),"Ambiguous",IF(ISNUMBER(SEARCH("平",D184)),"平","仄")))</x:f>
        <x:v>仄</x:v>
      </x:c>
      <x:c r="J187" s="7" t="str"/>
    </x:row>
    <x:row r="188">
      <x:c r="A188" s="5" t="str">
        <x:v>係</x:v>
      </x:c>
      <x:c r="B188" s="6" t="str">
        <x:v>去</x:v>
      </x:c>
      <x:c r="C188" s="6" t="str">
        <x:f>IF(B188="","Needs decision","Ready")</x:f>
        <x:v>Ready</x:v>
      </x:c>
      <x:c r="D188" s="6" t="str">
        <x:v>去</x:v>
      </x:c>
      <x:c r="E188" s="6" t="str">
        <x:v>kejH (C)</x:v>
      </x:c>
      <x:c r="F188" s="6" t="str">
        <x:v>1</x:v>
      </x:c>
      <x:c r="G188" s="6" t="str"/>
      <x:c r="H188" s="6" t="str">
        <x:f>IF(B188="平","平",IF(B188="","","仄"))</x:f>
        <x:v>仄</x:v>
      </x:c>
      <x:c r="I188" s="6" t="str">
        <x:f>IF(D185="","",IF(AND(ISNUMBER(SEARCH("平",D185)),OR(ISNUMBER(SEARCH("上",D185)),ISNUMBER(SEARCH("去",D185)),ISNUMBER(SEARCH("入",D185)))),"Ambiguous",IF(ISNUMBER(SEARCH("平",D185)),"平","仄")))</x:f>
        <x:v>平</x:v>
      </x:c>
      <x:c r="J188" s="7" t="str"/>
    </x:row>
    <x:row r="189">
      <x:c r="A189" s="5" t="str">
        <x:v>促</x:v>
      </x:c>
      <x:c r="B189" s="6" t="str">
        <x:v>入</x:v>
      </x:c>
      <x:c r="C189" s="6" t="str">
        <x:f>IF(B189="","Needs decision","Ready")</x:f>
        <x:v>Ready</x:v>
      </x:c>
      <x:c r="D189" s="6" t="str">
        <x:v>入</x:v>
      </x:c>
      <x:c r="E189" s="6" t="str">
        <x:v>tshjowk [tsʰjok] (入)</x:v>
      </x:c>
      <x:c r="F189" s="6" t="str">
        <x:v>1</x:v>
      </x:c>
      <x:c r="G189" s="6" t="str">
        <x:v>Tang 300 gap; frequency 3; provisional from Xun Gong</x:v>
      </x:c>
      <x:c r="H189" s="6" t="str">
        <x:f>IF(B189="平","平",IF(B189="","","仄"))</x:f>
        <x:v>仄</x:v>
      </x:c>
      <x:c r="I189" s="6" t="str">
        <x:f>IF(D186="","",IF(AND(ISNUMBER(SEARCH("平",D186)),OR(ISNUMBER(SEARCH("上",D186)),ISNUMBER(SEARCH("去",D186)),ISNUMBER(SEARCH("入",D186)))),"Ambiguous",IF(ISNUMBER(SEARCH("平",D186)),"平","仄")))</x:f>
        <x:v>平</x:v>
      </x:c>
      <x:c r="J189" s="7" t="str">
        <x:v>Xun Gong, Tang 300 gap fill</x:v>
      </x:c>
    </x:row>
    <x:row r="190">
      <x:c r="A190" s="5" t="str">
        <x:v>俄</x:v>
      </x:c>
      <x:c r="B190" s="6" t="str">
        <x:v>平</x:v>
      </x:c>
      <x:c r="C190" s="6" t="str">
        <x:f>IF(B190="","Needs decision","Ready")</x:f>
        <x:v>Ready</x:v>
      </x:c>
      <x:c r="D190" s="6" t="str">
        <x:v>平</x:v>
      </x:c>
      <x:c r="E190" s="6" t="str">
        <x:v>nga [疑開一歌平] ɴɑ</x:v>
      </x:c>
      <x:c r="F190" s="6" t="str">
        <x:v>1</x:v>
      </x:c>
      <x:c r="G190" s="6" t="str">
        <x:v>Targeted preliminary fill from Xun Gong; review if uncertain</x:v>
      </x:c>
      <x:c r="H190" s="6" t="str">
        <x:f>IF(B190="平","平",IF(B190="","","仄"))</x:f>
        <x:v>平</x:v>
      </x:c>
      <x:c r="I190" s="6" t="str">
        <x:f>IF(D187="","",IF(AND(ISNUMBER(SEARCH("平",D187)),OR(ISNUMBER(SEARCH("上",D187)),ISNUMBER(SEARCH("去",D187)),ISNUMBER(SEARCH("入",D187)))),"Ambiguous",IF(ISNUMBER(SEARCH("平",D187)),"平","仄")))</x:f>
        <x:v>Ambiguous</x:v>
      </x:c>
      <x:c r="J190" s="7" t="str">
        <x:v>Xun Gong character-readings.csv</x:v>
      </x:c>
    </x:row>
    <x:row r="191">
      <x:c r="A191" s="5" t="str">
        <x:v>俊</x:v>
      </x:c>
      <x:c r="B191" s="6" t="str">
        <x:v>去</x:v>
      </x:c>
      <x:c r="C191" s="6" t="str">
        <x:f>IF(B191="","Needs decision","Ready")</x:f>
        <x:v>Ready</x:v>
      </x:c>
      <x:c r="D191" s="6" t="str">
        <x:v>去</x:v>
      </x:c>
      <x:c r="E191" s="6" t="str">
        <x:v>tswinH [tsjwinh] (去)</x:v>
      </x:c>
      <x:c r="F191" s="6" t="str">
        <x:v>1</x:v>
      </x:c>
      <x:c r="G191" s="6" t="str">
        <x:v>Tang 300 gap; frequency 1; provisional from Xun Gong</x:v>
      </x:c>
      <x:c r="H191" s="6" t="str">
        <x:f>IF(B191="平","平",IF(B191="","","仄"))</x:f>
        <x:v>仄</x:v>
      </x:c>
      <x:c r="I191" s="6" t="str">
        <x:f>IF(D188="","",IF(AND(ISNUMBER(SEARCH("平",D188)),OR(ISNUMBER(SEARCH("上",D188)),ISNUMBER(SEARCH("去",D188)),ISNUMBER(SEARCH("入",D188)))),"Ambiguous",IF(ISNUMBER(SEARCH("平",D188)),"平","仄")))</x:f>
        <x:v>仄</x:v>
      </x:c>
      <x:c r="J191" s="7" t="str">
        <x:v>Xun Gong, Tang 300 gap fill</x:v>
      </x:c>
    </x:row>
    <x:row r="192">
      <x:c r="A192" s="5" t="str">
        <x:v>俍</x:v>
      </x:c>
      <x:c r="B192" s="6" t="str">
        <x:v>平</x:v>
      </x:c>
      <x:c r="C192" s="6" t="str">
        <x:f>IF(B192="","Needs decision","Ready")</x:f>
        <x:v>Ready</x:v>
      </x:c>
      <x:c r="D192" s="6" t="str">
        <x:v>平</x:v>
      </x:c>
      <x:c r="E192" s="6" t="str">
        <x:v>ljang (A)</x:v>
      </x:c>
      <x:c r="F192" s="6" t="str">
        <x:v>1</x:v>
      </x:c>
      <x:c r="G192" s="6" t="str"/>
      <x:c r="H192" s="6" t="str">
        <x:f>IF(B192="平","平",IF(B192="","","仄"))</x:f>
        <x:v>平</x:v>
      </x:c>
      <x:c r="I192" s="6" t="str">
        <x:f>IF(D189="","",IF(AND(ISNUMBER(SEARCH("平",D189)),OR(ISNUMBER(SEARCH("上",D189)),ISNUMBER(SEARCH("去",D189)),ISNUMBER(SEARCH("入",D189)))),"Ambiguous",IF(ISNUMBER(SEARCH("平",D189)),"平","仄")))</x:f>
        <x:v>仄</x:v>
      </x:c>
      <x:c r="J192" s="7" t="str"/>
    </x:row>
    <x:row r="193">
      <x:c r="A193" s="5" t="str">
        <x:v>俑</x:v>
      </x:c>
      <x:c r="B193" s="6" t="str">
        <x:v>上</x:v>
      </x:c>
      <x:c r="C193" s="6" t="str">
        <x:f>IF(B193="","Needs decision","Ready")</x:f>
        <x:v>Ready</x:v>
      </x:c>
      <x:c r="D193" s="6" t="str">
        <x:v>上</x:v>
      </x:c>
      <x:c r="E193" s="6" t="str">
        <x:v>yowngX (B)</x:v>
      </x:c>
      <x:c r="F193" s="6" t="str">
        <x:v>1</x:v>
      </x:c>
      <x:c r="G193" s="6" t="str"/>
      <x:c r="H193" s="6" t="str">
        <x:f>IF(B193="平","平",IF(B193="","","仄"))</x:f>
        <x:v>仄</x:v>
      </x:c>
      <x:c r="I193" s="6" t="str">
        <x:f>IF(D190="","",IF(AND(ISNUMBER(SEARCH("平",D190)),OR(ISNUMBER(SEARCH("上",D190)),ISNUMBER(SEARCH("去",D190)),ISNUMBER(SEARCH("入",D190)))),"Ambiguous",IF(ISNUMBER(SEARCH("平",D190)),"平","仄")))</x:f>
        <x:v>平</x:v>
      </x:c>
      <x:c r="J193" s="7" t="str"/>
    </x:row>
    <x:row r="194">
      <x:c r="A194" s="5" t="str">
        <x:v>俔</x:v>
      </x:c>
      <x:c r="B194" s="6" t="str">
        <x:v>上</x:v>
      </x:c>
      <x:c r="C194" s="6" t="str">
        <x:f>IF(B194="","Needs decision","Ready")</x:f>
        <x:v>Ready</x:v>
      </x:c>
      <x:c r="D194" s="6" t="str">
        <x:v>上</x:v>
      </x:c>
      <x:c r="E194" s="6" t="str">
        <x:v>henX (B)</x:v>
      </x:c>
      <x:c r="F194" s="6" t="str">
        <x:v>1</x:v>
      </x:c>
      <x:c r="G194" s="6" t="str"/>
      <x:c r="H194" s="6" t="str">
        <x:f>IF(B194="平","平",IF(B194="","","仄"))</x:f>
        <x:v>仄</x:v>
      </x:c>
      <x:c r="I194" s="6" t="str">
        <x:f>IF(D191="","",IF(AND(ISNUMBER(SEARCH("平",D191)),OR(ISNUMBER(SEARCH("上",D191)),ISNUMBER(SEARCH("去",D191)),ISNUMBER(SEARCH("入",D191)))),"Ambiguous",IF(ISNUMBER(SEARCH("平",D191)),"平","仄")))</x:f>
        <x:v>仄</x:v>
      </x:c>
      <x:c r="J194" s="7" t="str"/>
    </x:row>
    <x:row r="195">
      <x:c r="A195" s="5" t="str">
        <x:v>俗</x:v>
      </x:c>
      <x:c r="B195" s="6" t="str">
        <x:v>入</x:v>
      </x:c>
      <x:c r="C195" s="6" t="str">
        <x:f>IF(B195="","Needs decision","Ready")</x:f>
        <x:v>Ready</x:v>
      </x:c>
      <x:c r="D195" s="6" t="str">
        <x:v>入</x:v>
      </x:c>
      <x:c r="E195" s="6" t="str">
        <x:v>zjowk (D)</x:v>
      </x:c>
      <x:c r="F195" s="6" t="str">
        <x:v>1</x:v>
      </x:c>
      <x:c r="G195" s="6" t="str"/>
      <x:c r="H195" s="6" t="str">
        <x:f>IF(B195="平","平",IF(B195="","","仄"))</x:f>
        <x:v>仄</x:v>
      </x:c>
      <x:c r="I195" s="6" t="str">
        <x:f>IF(D192="","",IF(AND(ISNUMBER(SEARCH("平",D192)),OR(ISNUMBER(SEARCH("上",D192)),ISNUMBER(SEARCH("去",D192)),ISNUMBER(SEARCH("入",D192)))),"Ambiguous",IF(ISNUMBER(SEARCH("平",D192)),"平","仄")))</x:f>
        <x:v>平</x:v>
      </x:c>
      <x:c r="J195" s="7" t="str"/>
    </x:row>
    <x:row r="196">
      <x:c r="A196" s="5" t="str">
        <x:v>俛</x:v>
      </x:c>
      <x:c r="B196" s="6" t="str">
        <x:v>上</x:v>
      </x:c>
      <x:c r="C196" s="6" t="str">
        <x:f>IF(B196="","Needs decision","Ready")</x:f>
        <x:v>Ready</x:v>
      </x:c>
      <x:c r="D196" s="6" t="str">
        <x:v>上</x:v>
      </x:c>
      <x:c r="E196" s="6" t="str">
        <x:v>mjenX (B)</x:v>
      </x:c>
      <x:c r="F196" s="6" t="str">
        <x:v>1</x:v>
      </x:c>
      <x:c r="G196" s="6" t="str"/>
      <x:c r="H196" s="6" t="str">
        <x:f>IF(B196="平","平",IF(B196="","","仄"))</x:f>
        <x:v>仄</x:v>
      </x:c>
      <x:c r="I196" s="6" t="str">
        <x:f>IF(D193="","",IF(AND(ISNUMBER(SEARCH("平",D193)),OR(ISNUMBER(SEARCH("上",D193)),ISNUMBER(SEARCH("去",D193)),ISNUMBER(SEARCH("入",D193)))),"Ambiguous",IF(ISNUMBER(SEARCH("平",D193)),"平","仄")))</x:f>
        <x:v>仄</x:v>
      </x:c>
      <x:c r="J196" s="7" t="str"/>
    </x:row>
    <x:row r="197">
      <x:c r="A197" s="5" t="str">
        <x:v>俜</x:v>
      </x:c>
      <x:c r="B197" s="6" t="str"/>
      <x:c r="C197" s="6" t="str">
        <x:f>IF(B197="","Needs decision","Ready")</x:f>
        <x:v>Needs decision</x:v>
      </x:c>
      <x:c r="D197" s="6" t="str">
        <x:v>平/去</x:v>
      </x:c>
      <x:c r="E197" s="6" t="str">
        <x:v>pheng [p̙ʰeŋ] (平); phjiengH [pʰjaŋh] (去)</x:v>
      </x:c>
      <x:c r="F197" s="6" t="str">
        <x:v>2</x:v>
      </x:c>
      <x:c r="G197" s="6" t="str">
        <x:v>Tang 300 gap; frequency 1; ambiguous in Xun Gong</x:v>
      </x:c>
      <x:c r="H197" s="6" t="str">
        <x:f>IF(B197="平","平",IF(B197="","","仄"))</x:f>
      </x:c>
      <x:c r="I197" s="6" t="str">
        <x:f>IF(D194="","",IF(AND(ISNUMBER(SEARCH("平",D194)),OR(ISNUMBER(SEARCH("上",D194)),ISNUMBER(SEARCH("去",D194)),ISNUMBER(SEARCH("入",D194)))),"Ambiguous",IF(ISNUMBER(SEARCH("平",D194)),"平","仄")))</x:f>
        <x:v>仄</x:v>
      </x:c>
      <x:c r="J197" s="7" t="str">
        <x:v>Xun Gong, Tang 300 gap fill</x:v>
      </x:c>
    </x:row>
    <x:row r="198">
      <x:c r="A198" s="5" t="str">
        <x:v>保</x:v>
      </x:c>
      <x:c r="B198" s="6" t="str">
        <x:v>上</x:v>
      </x:c>
      <x:c r="C198" s="6" t="str">
        <x:f>IF(B198="","Needs decision","Ready")</x:f>
        <x:v>Ready</x:v>
      </x:c>
      <x:c r="D198" s="6" t="str">
        <x:v>上</x:v>
      </x:c>
      <x:c r="E198" s="6" t="str">
        <x:v>pawX (B)</x:v>
      </x:c>
      <x:c r="F198" s="6" t="str">
        <x:v>1</x:v>
      </x:c>
      <x:c r="G198" s="6" t="str"/>
      <x:c r="H198" s="6" t="str">
        <x:f>IF(B198="平","平",IF(B198="","","仄"))</x:f>
        <x:v>仄</x:v>
      </x:c>
      <x:c r="I198" s="6" t="str">
        <x:f>IF(D195="","",IF(AND(ISNUMBER(SEARCH("平",D195)),OR(ISNUMBER(SEARCH("上",D195)),ISNUMBER(SEARCH("去",D195)),ISNUMBER(SEARCH("入",D195)))),"Ambiguous",IF(ISNUMBER(SEARCH("平",D195)),"平","仄")))</x:f>
        <x:v>仄</x:v>
      </x:c>
      <x:c r="J198" s="7" t="str"/>
    </x:row>
    <x:row r="199">
      <x:c r="A199" s="5" t="str">
        <x:v>俞</x:v>
      </x:c>
      <x:c r="B199" s="6" t="str">
        <x:v>平</x:v>
      </x:c>
      <x:c r="C199" s="6" t="str">
        <x:f>IF(B199="","Needs decision","Ready")</x:f>
        <x:v>Ready</x:v>
      </x:c>
      <x:c r="D199" s="6" t="str">
        <x:v>平</x:v>
      </x:c>
      <x:c r="E199" s="6" t="str">
        <x:v>yu (A)</x:v>
      </x:c>
      <x:c r="F199" s="6" t="str">
        <x:v>1</x:v>
      </x:c>
      <x:c r="G199" s="6" t="str"/>
      <x:c r="H199" s="6" t="str">
        <x:f>IF(B199="平","平",IF(B199="","","仄"))</x:f>
        <x:v>平</x:v>
      </x:c>
      <x:c r="I199" s="6" t="str">
        <x:f>IF(D196="","",IF(AND(ISNUMBER(SEARCH("平",D196)),OR(ISNUMBER(SEARCH("上",D196)),ISNUMBER(SEARCH("去",D196)),ISNUMBER(SEARCH("入",D196)))),"Ambiguous",IF(ISNUMBER(SEARCH("平",D196)),"平","仄")))</x:f>
        <x:v>仄</x:v>
      </x:c>
      <x:c r="J199" s="7" t="str"/>
    </x:row>
    <x:row r="200">
      <x:c r="A200" s="5" t="str">
        <x:v>俟</x:v>
      </x:c>
      <x:c r="B200" s="6" t="str">
        <x:v>上</x:v>
      </x:c>
      <x:c r="C200" s="6" t="str">
        <x:f>IF(B200="","Needs decision","Ready")</x:f>
        <x:v>Ready</x:v>
      </x:c>
      <x:c r="D200" s="6" t="str">
        <x:v>上</x:v>
      </x:c>
      <x:c r="E200" s="6" t="str">
        <x:v>zriX (B)</x:v>
      </x:c>
      <x:c r="F200" s="6" t="str">
        <x:v>1</x:v>
      </x:c>
      <x:c r="G200" s="6" t="str"/>
      <x:c r="H200" s="6" t="str">
        <x:f>IF(B200="平","平",IF(B200="","","仄"))</x:f>
        <x:v>仄</x:v>
      </x:c>
      <x:c r="I200" s="6" t="str">
        <x:f>IF(D197="","",IF(AND(ISNUMBER(SEARCH("平",D197)),OR(ISNUMBER(SEARCH("上",D197)),ISNUMBER(SEARCH("去",D197)),ISNUMBER(SEARCH("入",D197)))),"Ambiguous",IF(ISNUMBER(SEARCH("平",D197)),"平","仄")))</x:f>
        <x:v>Ambiguous</x:v>
      </x:c>
      <x:c r="J200" s="7" t="str"/>
    </x:row>
    <x:row r="201">
      <x:c r="A201" s="5" t="str">
        <x:v>俠</x:v>
      </x:c>
      <x:c r="B201" s="6" t="str">
        <x:v>入</x:v>
      </x:c>
      <x:c r="C201" s="6" t="str">
        <x:f>IF(B201="","Needs decision","Ready")</x:f>
        <x:v>Ready</x:v>
      </x:c>
      <x:c r="D201" s="6" t="str">
        <x:v>入</x:v>
      </x:c>
      <x:c r="E201" s="6" t="str">
        <x:v>hep [ʁep] (入)</x:v>
      </x:c>
      <x:c r="F201" s="6" t="str">
        <x:v>1</x:v>
      </x:c>
      <x:c r="G201" s="6" t="str">
        <x:v>Tang 300 gap; frequency 1; provisional from Xun Gong</x:v>
      </x:c>
      <x:c r="H201" s="6" t="str">
        <x:f>IF(B201="平","平",IF(B201="","","仄"))</x:f>
        <x:v>仄</x:v>
      </x:c>
      <x:c r="I201" s="6" t="str">
        <x:f>IF(D198="","",IF(AND(ISNUMBER(SEARCH("平",D198)),OR(ISNUMBER(SEARCH("上",D198)),ISNUMBER(SEARCH("去",D198)),ISNUMBER(SEARCH("入",D198)))),"Ambiguous",IF(ISNUMBER(SEARCH("平",D198)),"平","仄")))</x:f>
        <x:v>仄</x:v>
      </x:c>
      <x:c r="J201" s="7" t="str">
        <x:v>Xun Gong, Tang 300 gap fill</x:v>
      </x:c>
    </x:row>
    <x:row r="202">
      <x:c r="A202" s="5" t="str">
        <x:v>信</x:v>
      </x:c>
      <x:c r="B202" s="6" t="str">
        <x:v>去</x:v>
      </x:c>
      <x:c r="C202" s="6" t="str">
        <x:f>IF(B202="","Needs decision","Ready")</x:f>
        <x:v>Ready</x:v>
      </x:c>
      <x:c r="D202" s="6" t="str">
        <x:v>去</x:v>
      </x:c>
      <x:c r="E202" s="6" t="str">
        <x:v>sinH (C)</x:v>
      </x:c>
      <x:c r="F202" s="6" t="str">
        <x:v>1</x:v>
      </x:c>
      <x:c r="G202" s="6" t="str"/>
      <x:c r="H202" s="6" t="str">
        <x:f>IF(B202="平","平",IF(B202="","","仄"))</x:f>
        <x:v>仄</x:v>
      </x:c>
      <x:c r="I202" s="6" t="str">
        <x:f>IF(D199="","",IF(AND(ISNUMBER(SEARCH("平",D199)),OR(ISNUMBER(SEARCH("上",D199)),ISNUMBER(SEARCH("去",D199)),ISNUMBER(SEARCH("入",D199)))),"Ambiguous",IF(ISNUMBER(SEARCH("平",D199)),"平","仄")))</x:f>
        <x:v>平</x:v>
      </x:c>
      <x:c r="J202" s="7" t="str"/>
    </x:row>
    <x:row r="203">
      <x:c r="A203" s="5" t="str">
        <x:v>修</x:v>
      </x:c>
      <x:c r="B203" s="6" t="str">
        <x:v>平</x:v>
      </x:c>
      <x:c r="C203" s="6" t="str">
        <x:f>IF(B203="","Needs decision","Ready")</x:f>
        <x:v>Ready</x:v>
      </x:c>
      <x:c r="D203" s="6" t="str">
        <x:v>平</x:v>
      </x:c>
      <x:c r="E203" s="6" t="str">
        <x:v>sjuw (A)</x:v>
      </x:c>
      <x:c r="F203" s="6" t="str">
        <x:v>1</x:v>
      </x:c>
      <x:c r="G203" s="6" t="str"/>
      <x:c r="H203" s="6" t="str">
        <x:f>IF(B203="平","平",IF(B203="","","仄"))</x:f>
        <x:v>平</x:v>
      </x:c>
      <x:c r="I203" s="6" t="str">
        <x:f>IF(D200="","",IF(AND(ISNUMBER(SEARCH("平",D200)),OR(ISNUMBER(SEARCH("上",D200)),ISNUMBER(SEARCH("去",D200)),ISNUMBER(SEARCH("入",D200)))),"Ambiguous",IF(ISNUMBER(SEARCH("平",D200)),"平","仄")))</x:f>
        <x:v>仄</x:v>
      </x:c>
      <x:c r="J203" s="7" t="str"/>
    </x:row>
    <x:row r="204">
      <x:c r="A204" s="5" t="str">
        <x:v>俯</x:v>
      </x:c>
      <x:c r="B204" s="6" t="str">
        <x:v>上</x:v>
      </x:c>
      <x:c r="C204" s="6" t="str">
        <x:f>IF(B204="","Needs decision","Ready")</x:f>
        <x:v>Ready</x:v>
      </x:c>
      <x:c r="D204" s="6" t="str">
        <x:v>上</x:v>
      </x:c>
      <x:c r="E204" s="6" t="str"/>
      <x:c r="F204" s="6" t="str"/>
      <x:c r="G204" s="6" t="str">
        <x:v>Manual user correction/addition</x:v>
      </x:c>
      <x:c r="H204" s="6" t="str">
        <x:f>IF(B204="平","平",IF(B204="","","仄"))</x:f>
        <x:v>仄</x:v>
      </x:c>
      <x:c r="I204" s="6" t="str">
        <x:f>IF(D201="","",IF(AND(ISNUMBER(SEARCH("平",D201)),OR(ISNUMBER(SEARCH("上",D201)),ISNUMBER(SEARCH("去",D201)),ISNUMBER(SEARCH("入",D201)))),"Ambiguous",IF(ISNUMBER(SEARCH("平",D201)),"平","仄")))</x:f>
        <x:v>仄</x:v>
      </x:c>
      <x:c r="J204" s="7" t="str">
        <x:v>manual user correction</x:v>
      </x:c>
    </x:row>
    <x:row r="205">
      <x:c r="A205" s="5" t="str">
        <x:v>俱</x:v>
      </x:c>
      <x:c r="B205" s="6" t="str">
        <x:v>平</x:v>
      </x:c>
      <x:c r="C205" s="6" t="str">
        <x:f>IF(B205="","Needs decision","Ready")</x:f>
        <x:v>Ready</x:v>
      </x:c>
      <x:c r="D205" s="6" t="str">
        <x:v>平</x:v>
      </x:c>
      <x:c r="E205" s="6" t="str">
        <x:v>kju (A)</x:v>
      </x:c>
      <x:c r="F205" s="6" t="str">
        <x:v>1</x:v>
      </x:c>
      <x:c r="G205" s="6" t="str"/>
      <x:c r="H205" s="6" t="str">
        <x:f>IF(B205="平","平",IF(B205="","","仄"))</x:f>
        <x:v>平</x:v>
      </x:c>
      <x:c r="I205" s="6" t="str">
        <x:f>IF(D202="","",IF(AND(ISNUMBER(SEARCH("平",D202)),OR(ISNUMBER(SEARCH("上",D202)),ISNUMBER(SEARCH("去",D202)),ISNUMBER(SEARCH("入",D202)))),"Ambiguous",IF(ISNUMBER(SEARCH("平",D202)),"平","仄")))</x:f>
        <x:v>仄</x:v>
      </x:c>
      <x:c r="J205" s="7" t="str"/>
    </x:row>
    <x:row r="206">
      <x:c r="A206" s="5" t="str">
        <x:v>俴</x:v>
      </x:c>
      <x:c r="B206" s="6" t="str">
        <x:v>上</x:v>
      </x:c>
      <x:c r="C206" s="6" t="str">
        <x:f>IF(B206="","Needs decision","Ready")</x:f>
        <x:v>Ready</x:v>
      </x:c>
      <x:c r="D206" s="6" t="str">
        <x:v>上</x:v>
      </x:c>
      <x:c r="E206" s="6" t="str">
        <x:v>dzjenX (B)</x:v>
      </x:c>
      <x:c r="F206" s="6" t="str">
        <x:v>1</x:v>
      </x:c>
      <x:c r="G206" s="6" t="str"/>
      <x:c r="H206" s="6" t="str">
        <x:f>IF(B206="平","平",IF(B206="","","仄"))</x:f>
        <x:v>仄</x:v>
      </x:c>
      <x:c r="I206" s="6" t="str">
        <x:f>IF(D203="","",IF(AND(ISNUMBER(SEARCH("平",D203)),OR(ISNUMBER(SEARCH("上",D203)),ISNUMBER(SEARCH("去",D203)),ISNUMBER(SEARCH("入",D203)))),"Ambiguous",IF(ISNUMBER(SEARCH("平",D203)),"平","仄")))</x:f>
        <x:v>平</x:v>
      </x:c>
      <x:c r="J206" s="7" t="str"/>
    </x:row>
    <x:row r="207">
      <x:c r="A207" s="5" t="str">
        <x:v>俶</x:v>
      </x:c>
      <x:c r="B207" s="6" t="str">
        <x:v>入</x:v>
      </x:c>
      <x:c r="C207" s="6" t="str">
        <x:f>IF(B207="","Needs decision","Ready")</x:f>
        <x:v>Ready</x:v>
      </x:c>
      <x:c r="D207" s="6" t="str">
        <x:v>入</x:v>
      </x:c>
      <x:c r="E207" s="6" t="str">
        <x:v>tsyhuwk (D)</x:v>
      </x:c>
      <x:c r="F207" s="6" t="str">
        <x:v>1</x:v>
      </x:c>
      <x:c r="G207" s="6" t="str"/>
      <x:c r="H207" s="6" t="str">
        <x:f>IF(B207="平","平",IF(B207="","","仄"))</x:f>
        <x:v>仄</x:v>
      </x:c>
      <x:c r="I207" s="6" t="str">
        <x:f>IF(D204="","",IF(AND(ISNUMBER(SEARCH("平",D204)),OR(ISNUMBER(SEARCH("上",D204)),ISNUMBER(SEARCH("去",D204)),ISNUMBER(SEARCH("入",D204)))),"Ambiguous",IF(ISNUMBER(SEARCH("平",D204)),"平","仄")))</x:f>
        <x:v>仄</x:v>
      </x:c>
      <x:c r="J207" s="7" t="str"/>
    </x:row>
    <x:row r="208">
      <x:c r="A208" s="5" t="str">
        <x:v>俸</x:v>
      </x:c>
      <x:c r="B208" s="6" t="str">
        <x:v>去</x:v>
      </x:c>
      <x:c r="C208" s="6" t="str">
        <x:f>IF(B208="","Needs decision","Ready")</x:f>
        <x:v>Ready</x:v>
      </x:c>
      <x:c r="D208" s="6" t="str">
        <x:v>上/去</x:v>
      </x:c>
      <x:c r="E208" s="6" t="str">
        <x:v>bjowngH [bɨ̯oŋh] (去); puwngX [p̙uŋʔ] (上)</x:v>
      </x:c>
      <x:c r="F208" s="6" t="str">
        <x:v>2</x:v>
      </x:c>
      <x:c r="G208" s="6" t="str">
        <x:v>Tang 300 gap; frequency 2; ambiguous in Xun Gong; User workbook edit 2026-09-03</x:v>
      </x:c>
      <x:c r="H208" s="6" t="str">
        <x:f>IF(B208="平","平",IF(B208="","","仄"))</x:f>
        <x:v>仄</x:v>
      </x:c>
      <x:c r="I208" s="6" t="str">
        <x:f>IF(D205="","",IF(AND(ISNUMBER(SEARCH("平",D205)),OR(ISNUMBER(SEARCH("上",D205)),ISNUMBER(SEARCH("去",D205)),ISNUMBER(SEARCH("入",D205)))),"Ambiguous",IF(ISNUMBER(SEARCH("平",D205)),"平","仄")))</x:f>
        <x:v>平</x:v>
      </x:c>
      <x:c r="J208" s="7" t="str">
        <x:v>manual user correction</x:v>
      </x:c>
    </x:row>
    <x:row r="209">
      <x:c r="A209" s="5" t="str">
        <x:v>倅</x:v>
      </x:c>
      <x:c r="B209" s="6" t="str">
        <x:v>去</x:v>
      </x:c>
      <x:c r="C209" s="6" t="str">
        <x:f>IF(B209="","Needs decision","Ready")</x:f>
        <x:v>Ready</x:v>
      </x:c>
      <x:c r="D209" s="6" t="str">
        <x:v>去</x:v>
      </x:c>
      <x:c r="E209" s="6" t="str">
        <x:v>tshwojH (C)</x:v>
      </x:c>
      <x:c r="F209" s="6" t="str">
        <x:v>1</x:v>
      </x:c>
      <x:c r="G209" s="6" t="str"/>
      <x:c r="H209" s="6" t="str">
        <x:f>IF(B209="平","平",IF(B209="","","仄"))</x:f>
        <x:v>仄</x:v>
      </x:c>
      <x:c r="I209" s="6" t="str">
        <x:f>IF(D206="","",IF(AND(ISNUMBER(SEARCH("平",D206)),OR(ISNUMBER(SEARCH("上",D206)),ISNUMBER(SEARCH("去",D206)),ISNUMBER(SEARCH("入",D206)))),"Ambiguous",IF(ISNUMBER(SEARCH("平",D206)),"平","仄")))</x:f>
        <x:v>仄</x:v>
      </x:c>
      <x:c r="J209" s="7" t="str"/>
    </x:row>
    <x:row r="210">
      <x:c r="A210" s="5" t="str">
        <x:v>倉</x:v>
      </x:c>
      <x:c r="B210" s="6" t="str">
        <x:v>平</x:v>
      </x:c>
      <x:c r="C210" s="6" t="str">
        <x:f>IF(B210="","Needs decision","Ready")</x:f>
        <x:v>Ready</x:v>
      </x:c>
      <x:c r="D210" s="6" t="str">
        <x:v>平</x:v>
      </x:c>
      <x:c r="E210" s="6" t="str">
        <x:v>tshang (A)</x:v>
      </x:c>
      <x:c r="F210" s="6" t="str">
        <x:v>1</x:v>
      </x:c>
      <x:c r="G210" s="6" t="str"/>
      <x:c r="H210" s="6" t="str">
        <x:f>IF(B210="平","平",IF(B210="","","仄"))</x:f>
        <x:v>平</x:v>
      </x:c>
      <x:c r="I210" s="6" t="str">
        <x:f>IF(D207="","",IF(AND(ISNUMBER(SEARCH("平",D207)),OR(ISNUMBER(SEARCH("上",D207)),ISNUMBER(SEARCH("去",D207)),ISNUMBER(SEARCH("入",D207)))),"Ambiguous",IF(ISNUMBER(SEARCH("平",D207)),"平","仄")))</x:f>
        <x:v>仄</x:v>
      </x:c>
      <x:c r="J210" s="7" t="str"/>
    </x:row>
    <x:row r="211">
      <x:c r="A211" s="5" t="str">
        <x:v>個</x:v>
      </x:c>
      <x:c r="B211" s="6" t="str">
        <x:v>去</x:v>
      </x:c>
      <x:c r="C211" s="6" t="str">
        <x:f>IF(B211="","Needs decision","Ready")</x:f>
        <x:v>Ready</x:v>
      </x:c>
      <x:c r="D211" s="6" t="str">
        <x:v>去</x:v>
      </x:c>
      <x:c r="E211" s="6" t="str">
        <x:v>kaH (C)</x:v>
      </x:c>
      <x:c r="F211" s="6" t="str">
        <x:v>1</x:v>
      </x:c>
      <x:c r="G211" s="6" t="str"/>
      <x:c r="H211" s="6" t="str">
        <x:f>IF(B211="平","平",IF(B211="","","仄"))</x:f>
        <x:v>仄</x:v>
      </x:c>
      <x:c r="I211" s="6" t="str">
        <x:f>IF(D208="","",IF(AND(ISNUMBER(SEARCH("平",D208)),OR(ISNUMBER(SEARCH("上",D208)),ISNUMBER(SEARCH("去",D208)),ISNUMBER(SEARCH("入",D208)))),"Ambiguous",IF(ISNUMBER(SEARCH("平",D208)),"平","仄")))</x:f>
        <x:v>仄</x:v>
      </x:c>
      <x:c r="J211" s="7" t="str"/>
    </x:row>
    <x:row r="212">
      <x:c r="A212" s="5" t="str">
        <x:v>倌</x:v>
      </x:c>
      <x:c r="B212" s="6" t="str">
        <x:v>去</x:v>
      </x:c>
      <x:c r="C212" s="6" t="str">
        <x:f>IF(B212="","Needs decision","Ready")</x:f>
        <x:v>Ready</x:v>
      </x:c>
      <x:c r="D212" s="6" t="str">
        <x:v>去</x:v>
      </x:c>
      <x:c r="E212" s="6" t="str">
        <x:v>kwaenH (C)</x:v>
      </x:c>
      <x:c r="F212" s="6" t="str">
        <x:v>1</x:v>
      </x:c>
      <x:c r="G212" s="6" t="str"/>
      <x:c r="H212" s="6" t="str">
        <x:f>IF(B212="平","平",IF(B212="","","仄"))</x:f>
        <x:v>仄</x:v>
      </x:c>
      <x:c r="I212" s="6" t="str">
        <x:f>IF(D209="","",IF(AND(ISNUMBER(SEARCH("平",D209)),OR(ISNUMBER(SEARCH("上",D209)),ISNUMBER(SEARCH("去",D209)),ISNUMBER(SEARCH("入",D209)))),"Ambiguous",IF(ISNUMBER(SEARCH("平",D209)),"平","仄")))</x:f>
        <x:v>仄</x:v>
      </x:c>
      <x:c r="J212" s="7" t="str"/>
    </x:row>
    <x:row r="213">
      <x:c r="A213" s="5" t="str">
        <x:v>倍</x:v>
      </x:c>
      <x:c r="B213" s="6" t="str">
        <x:v>上</x:v>
      </x:c>
      <x:c r="C213" s="6" t="str">
        <x:f>IF(B213="","Needs decision","Ready")</x:f>
        <x:v>Ready</x:v>
      </x:c>
      <x:c r="D213" s="6" t="str">
        <x:v>上</x:v>
      </x:c>
      <x:c r="E213" s="6" t="str">
        <x:v>bwojX (B)</x:v>
      </x:c>
      <x:c r="F213" s="6" t="str">
        <x:v>1</x:v>
      </x:c>
      <x:c r="G213" s="6" t="str"/>
      <x:c r="H213" s="6" t="str">
        <x:f>IF(B213="平","平",IF(B213="","","仄"))</x:f>
        <x:v>仄</x:v>
      </x:c>
      <x:c r="I213" s="6" t="str">
        <x:f>IF(D210="","",IF(AND(ISNUMBER(SEARCH("平",D210)),OR(ISNUMBER(SEARCH("上",D210)),ISNUMBER(SEARCH("去",D210)),ISNUMBER(SEARCH("入",D210)))),"Ambiguous",IF(ISNUMBER(SEARCH("平",D210)),"平","仄")))</x:f>
        <x:v>平</x:v>
      </x:c>
      <x:c r="J213" s="7" t="str"/>
    </x:row>
    <x:row r="214">
      <x:c r="A214" s="5" t="str">
        <x:v>倏</x:v>
      </x:c>
      <x:c r="B214" s="6" t="str">
        <x:v>入</x:v>
      </x:c>
      <x:c r="C214" s="6" t="str">
        <x:f>IF(B214="","Needs decision","Ready")</x:f>
        <x:v>Ready</x:v>
      </x:c>
      <x:c r="D214" s="6" t="str">
        <x:v>入</x:v>
      </x:c>
      <x:c r="E214" s="6" t="str">
        <x:v>dzyuwk (D)</x:v>
      </x:c>
      <x:c r="F214" s="6" t="str">
        <x:v>1</x:v>
      </x:c>
      <x:c r="G214" s="6" t="str"/>
      <x:c r="H214" s="6" t="str">
        <x:f>IF(B214="平","平",IF(B214="","","仄"))</x:f>
        <x:v>仄</x:v>
      </x:c>
      <x:c r="I214" s="6" t="str">
        <x:f>IF(D211="","",IF(AND(ISNUMBER(SEARCH("平",D211)),OR(ISNUMBER(SEARCH("上",D211)),ISNUMBER(SEARCH("去",D211)),ISNUMBER(SEARCH("入",D211)))),"Ambiguous",IF(ISNUMBER(SEARCH("平",D211)),"平","仄")))</x:f>
        <x:v>仄</x:v>
      </x:c>
      <x:c r="J214" s="7" t="str"/>
    </x:row>
    <x:row r="215">
      <x:c r="A215" s="5" t="str">
        <x:v>倒</x:v>
      </x:c>
      <x:c r="B215" s="6" t="str"/>
      <x:c r="C215" s="6" t="str">
        <x:f>IF(B215="","Needs decision","Ready")</x:f>
        <x:v>Needs decision</x:v>
      </x:c>
      <x:c r="D215" s="6" t="str">
        <x:v>上/去</x:v>
      </x:c>
      <x:c r="E215" s="6" t="str">
        <x:v>tawX (B); tawH (C)</x:v>
      </x:c>
      <x:c r="F215" s="6" t="str">
        <x:v>2</x:v>
      </x:c>
      <x:c r="G215" s="6" t="str"/>
      <x:c r="H215" s="6" t="str">
        <x:f>IF(B215="平","平",IF(B215="","","仄"))</x:f>
      </x:c>
      <x:c r="I215" s="6" t="str">
        <x:f>IF(D212="","",IF(AND(ISNUMBER(SEARCH("平",D212)),OR(ISNUMBER(SEARCH("上",D212)),ISNUMBER(SEARCH("去",D212)),ISNUMBER(SEARCH("入",D212)))),"Ambiguous",IF(ISNUMBER(SEARCH("平",D212)),"平","仄")))</x:f>
        <x:v>仄</x:v>
      </x:c>
      <x:c r="J215" s="7" t="str"/>
    </x:row>
    <x:row r="216">
      <x:c r="A216" s="5" t="str">
        <x:v>倔</x:v>
      </x:c>
      <x:c r="B216" s="6" t="str">
        <x:v>入</x:v>
      </x:c>
      <x:c r="C216" s="6" t="str">
        <x:f>IF(B216="","Needs decision","Ready")</x:f>
        <x:v>Ready</x:v>
      </x:c>
      <x:c r="D216" s="6" t="str">
        <x:v>入</x:v>
      </x:c>
      <x:c r="E216" s="6" t="str">
        <x:v>gjut (D)</x:v>
      </x:c>
      <x:c r="F216" s="6" t="str">
        <x:v>1</x:v>
      </x:c>
      <x:c r="G216" s="6" t="str"/>
      <x:c r="H216" s="6" t="str">
        <x:f>IF(B216="平","平",IF(B216="","","仄"))</x:f>
        <x:v>仄</x:v>
      </x:c>
      <x:c r="I216" s="6" t="str">
        <x:f>IF(D213="","",IF(AND(ISNUMBER(SEARCH("平",D213)),OR(ISNUMBER(SEARCH("上",D213)),ISNUMBER(SEARCH("去",D213)),ISNUMBER(SEARCH("入",D213)))),"Ambiguous",IF(ISNUMBER(SEARCH("平",D213)),"平","仄")))</x:f>
        <x:v>仄</x:v>
      </x:c>
      <x:c r="J216" s="7" t="str"/>
    </x:row>
    <x:row r="217">
      <x:c r="A217" s="5" t="str">
        <x:v>倖</x:v>
      </x:c>
      <x:c r="B217" s="6" t="str">
        <x:v>上</x:v>
      </x:c>
      <x:c r="C217" s="6" t="str">
        <x:f>IF(B217="","Needs decision","Ready")</x:f>
        <x:v>Ready</x:v>
      </x:c>
      <x:c r="D217" s="6" t="str">
        <x:v>上</x:v>
      </x:c>
      <x:c r="E217" s="6" t="str">
        <x:v>heangX [ʁeˤŋʔ] (上)</x:v>
      </x:c>
      <x:c r="F217" s="6" t="str">
        <x:v>1</x:v>
      </x:c>
      <x:c r="G217" s="6" t="str">
        <x:v>Tang 300 gap; frequency 1; provisional from Xun Gong</x:v>
      </x:c>
      <x:c r="H217" s="6" t="str">
        <x:f>IF(B217="平","平",IF(B217="","","仄"))</x:f>
        <x:v>仄</x:v>
      </x:c>
      <x:c r="I217" s="6" t="str">
        <x:f>IF(D214="","",IF(AND(ISNUMBER(SEARCH("平",D214)),OR(ISNUMBER(SEARCH("上",D214)),ISNUMBER(SEARCH("去",D214)),ISNUMBER(SEARCH("入",D214)))),"Ambiguous",IF(ISNUMBER(SEARCH("平",D214)),"平","仄")))</x:f>
        <x:v>仄</x:v>
      </x:c>
      <x:c r="J217" s="7" t="str">
        <x:v>Xun Gong, Tang 300 gap fill</x:v>
      </x:c>
    </x:row>
    <x:row r="218">
      <x:c r="A218" s="5" t="str">
        <x:v>倘</x:v>
      </x:c>
      <x:c r="B218" s="6" t="str">
        <x:v>上</x:v>
      </x:c>
      <x:c r="C218" s="6" t="str">
        <x:f>IF(B218="","Needs decision","Ready")</x:f>
        <x:v>Ready</x:v>
      </x:c>
      <x:c r="D218" s="6" t="str">
        <x:v>上</x:v>
      </x:c>
      <x:c r="E218" s="6" t="str"/>
      <x:c r="F218" s="6" t="str"/>
      <x:c r="G218" s="6" t="str">
        <x:v>Manual user correction/addition</x:v>
      </x:c>
      <x:c r="H218" s="6" t="str">
        <x:f>IF(B218="平","平",IF(B218="","","仄"))</x:f>
        <x:v>仄</x:v>
      </x:c>
      <x:c r="I218" s="6" t="str">
        <x:f>IF(D215="","",IF(AND(ISNUMBER(SEARCH("平",D215)),OR(ISNUMBER(SEARCH("上",D215)),ISNUMBER(SEARCH("去",D215)),ISNUMBER(SEARCH("入",D215)))),"Ambiguous",IF(ISNUMBER(SEARCH("平",D215)),"平","仄")))</x:f>
        <x:v>仄</x:v>
      </x:c>
      <x:c r="J218" s="7" t="str">
        <x:v>manual user correction</x:v>
      </x:c>
    </x:row>
    <x:row r="219">
      <x:c r="A219" s="5" t="str">
        <x:v>候</x:v>
      </x:c>
      <x:c r="B219" s="6" t="str">
        <x:v>去</x:v>
      </x:c>
      <x:c r="C219" s="6" t="str">
        <x:f>IF(B219="","Needs decision","Ready")</x:f>
        <x:v>Ready</x:v>
      </x:c>
      <x:c r="D219" s="6" t="str">
        <x:v>去</x:v>
      </x:c>
      <x:c r="E219" s="6" t="str">
        <x:v>huwH (C)</x:v>
      </x:c>
      <x:c r="F219" s="6" t="str">
        <x:v>1</x:v>
      </x:c>
      <x:c r="G219" s="6" t="str"/>
      <x:c r="H219" s="6" t="str">
        <x:f>IF(B219="平","平",IF(B219="","","仄"))</x:f>
        <x:v>仄</x:v>
      </x:c>
      <x:c r="I219" s="6" t="str">
        <x:f>IF(D216="","",IF(AND(ISNUMBER(SEARCH("平",D216)),OR(ISNUMBER(SEARCH("上",D216)),ISNUMBER(SEARCH("去",D216)),ISNUMBER(SEARCH("入",D216)))),"Ambiguous",IF(ISNUMBER(SEARCH("平",D216)),"平","仄")))</x:f>
        <x:v>仄</x:v>
      </x:c>
      <x:c r="J219" s="7" t="str"/>
    </x:row>
    <x:row r="220">
      <x:c r="A220" s="5" t="str">
        <x:v>倚</x:v>
      </x:c>
      <x:c r="B220" s="6" t="str">
        <x:v>上</x:v>
      </x:c>
      <x:c r="C220" s="6" t="str">
        <x:f>IF(B220="","Needs decision","Ready")</x:f>
        <x:v>Ready</x:v>
      </x:c>
      <x:c r="D220" s="6" t="str">
        <x:v>上</x:v>
      </x:c>
      <x:c r="E220" s="6" t="str">
        <x:v>'jeX (B)</x:v>
      </x:c>
      <x:c r="F220" s="6" t="str">
        <x:v>1</x:v>
      </x:c>
      <x:c r="G220" s="6" t="str"/>
      <x:c r="H220" s="6" t="str">
        <x:f>IF(B220="平","平",IF(B220="","","仄"))</x:f>
        <x:v>仄</x:v>
      </x:c>
      <x:c r="I220" s="6" t="str">
        <x:f>IF(D217="","",IF(AND(ISNUMBER(SEARCH("平",D217)),OR(ISNUMBER(SEARCH("上",D217)),ISNUMBER(SEARCH("去",D217)),ISNUMBER(SEARCH("入",D217)))),"Ambiguous",IF(ISNUMBER(SEARCH("平",D217)),"平","仄")))</x:f>
        <x:v>仄</x:v>
      </x:c>
      <x:c r="J220" s="7" t="str"/>
    </x:row>
    <x:row r="221">
      <x:c r="A221" s="5" t="str">
        <x:v>倝</x:v>
      </x:c>
      <x:c r="B221" s="6" t="str">
        <x:v>去</x:v>
      </x:c>
      <x:c r="C221" s="6" t="str">
        <x:f>IF(B221="","Needs decision","Ready")</x:f>
        <x:v>Ready</x:v>
      </x:c>
      <x:c r="D221" s="6" t="str">
        <x:v>去</x:v>
      </x:c>
      <x:c r="E221" s="6" t="str">
        <x:v>kanH (C)</x:v>
      </x:c>
      <x:c r="F221" s="6" t="str">
        <x:v>1</x:v>
      </x:c>
      <x:c r="G221" s="6" t="str"/>
      <x:c r="H221" s="6" t="str">
        <x:f>IF(B221="平","平",IF(B221="","","仄"))</x:f>
        <x:v>仄</x:v>
      </x:c>
      <x:c r="I221" s="6" t="str">
        <x:f>IF(D218="","",IF(AND(ISNUMBER(SEARCH("平",D218)),OR(ISNUMBER(SEARCH("上",D218)),ISNUMBER(SEARCH("去",D218)),ISNUMBER(SEARCH("入",D218)))),"Ambiguous",IF(ISNUMBER(SEARCH("平",D218)),"平","仄")))</x:f>
        <x:v>仄</x:v>
      </x:c>
      <x:c r="J221" s="7" t="str"/>
    </x:row>
    <x:row r="222">
      <x:c r="A222" s="5" t="str">
        <x:v>借</x:v>
      </x:c>
      <x:c r="B222" s="6" t="str"/>
      <x:c r="C222" s="6" t="str">
        <x:f>IF(B222="","Needs decision","Ready")</x:f>
        <x:v>Needs decision</x:v>
      </x:c>
      <x:c r="D222" s="6" t="str">
        <x:v>去/入</x:v>
      </x:c>
      <x:c r="E222" s="6" t="str">
        <x:v>tsjaeH (C); tsjek (D)</x:v>
      </x:c>
      <x:c r="F222" s="6" t="str">
        <x:v>2</x:v>
      </x:c>
      <x:c r="G222" s="6" t="str"/>
      <x:c r="H222" s="6" t="str">
        <x:f>IF(B222="平","平",IF(B222="","","仄"))</x:f>
      </x:c>
      <x:c r="I222" s="6" t="str">
        <x:f>IF(D219="","",IF(AND(ISNUMBER(SEARCH("平",D219)),OR(ISNUMBER(SEARCH("上",D219)),ISNUMBER(SEARCH("去",D219)),ISNUMBER(SEARCH("入",D219)))),"Ambiguous",IF(ISNUMBER(SEARCH("平",D219)),"平","仄")))</x:f>
        <x:v>仄</x:v>
      </x:c>
      <x:c r="J222" s="7" t="str"/>
    </x:row>
    <x:row r="223">
      <x:c r="A223" s="5" t="str">
        <x:v>倡</x:v>
      </x:c>
      <x:c r="B223" s="6" t="str">
        <x:v>去</x:v>
      </x:c>
      <x:c r="C223" s="6" t="str">
        <x:f>IF(B223="","Needs decision","Ready")</x:f>
        <x:v>Ready</x:v>
      </x:c>
      <x:c r="D223" s="6" t="str">
        <x:v>去</x:v>
      </x:c>
      <x:c r="E223" s="6" t="str">
        <x:v>tsyhangH (C)</x:v>
      </x:c>
      <x:c r="F223" s="6" t="str">
        <x:v>1</x:v>
      </x:c>
      <x:c r="G223" s="6" t="str"/>
      <x:c r="H223" s="6" t="str">
        <x:f>IF(B223="平","平",IF(B223="","","仄"))</x:f>
        <x:v>仄</x:v>
      </x:c>
      <x:c r="I223" s="6" t="str">
        <x:f>IF(D220="","",IF(AND(ISNUMBER(SEARCH("平",D220)),OR(ISNUMBER(SEARCH("上",D220)),ISNUMBER(SEARCH("去",D220)),ISNUMBER(SEARCH("入",D220)))),"Ambiguous",IF(ISNUMBER(SEARCH("平",D220)),"平","仄")))</x:f>
        <x:v>仄</x:v>
      </x:c>
      <x:c r="J223" s="7" t="str"/>
    </x:row>
    <x:row r="224">
      <x:c r="A224" s="5" t="str">
        <x:v>倦</x:v>
      </x:c>
      <x:c r="B224" s="6" t="str">
        <x:v>去</x:v>
      </x:c>
      <x:c r="C224" s="6" t="str">
        <x:f>IF(B224="","Needs decision","Ready")</x:f>
        <x:v>Ready</x:v>
      </x:c>
      <x:c r="D224" s="6" t="str">
        <x:v>去</x:v>
      </x:c>
      <x:c r="E224" s="6" t="str"/>
      <x:c r="F224" s="6" t="str"/>
      <x:c r="G224" s="6" t="str">
        <x:v>Manual user correction/addition</x:v>
      </x:c>
      <x:c r="H224" s="6" t="str">
        <x:f>IF(B224="平","平",IF(B224="","","仄"))</x:f>
        <x:v>仄</x:v>
      </x:c>
      <x:c r="I224" s="6" t="str">
        <x:f>IF(D221="","",IF(AND(ISNUMBER(SEARCH("平",D221)),OR(ISNUMBER(SEARCH("上",D221)),ISNUMBER(SEARCH("去",D221)),ISNUMBER(SEARCH("入",D221)))),"Ambiguous",IF(ISNUMBER(SEARCH("平",D221)),"平","仄")))</x:f>
        <x:v>仄</x:v>
      </x:c>
      <x:c r="J224" s="7" t="str">
        <x:v>manual user correction</x:v>
      </x:c>
    </x:row>
    <x:row r="225">
      <x:c r="A225" s="5" t="str">
        <x:v>倪</x:v>
      </x:c>
      <x:c r="B225" s="6" t="str">
        <x:v>平</x:v>
      </x:c>
      <x:c r="C225" s="6" t="str">
        <x:f>IF(B225="","Needs decision","Ready")</x:f>
        <x:v>Ready</x:v>
      </x:c>
      <x:c r="D225" s="6" t="str">
        <x:v>平</x:v>
      </x:c>
      <x:c r="E225" s="6" t="str">
        <x:v>ngej (A)</x:v>
      </x:c>
      <x:c r="F225" s="6" t="str">
        <x:v>1</x:v>
      </x:c>
      <x:c r="G225" s="6" t="str"/>
      <x:c r="H225" s="6" t="str">
        <x:f>IF(B225="平","平",IF(B225="","","仄"))</x:f>
        <x:v>平</x:v>
      </x:c>
      <x:c r="I225" s="6" t="str">
        <x:f>IF(D222="","",IF(AND(ISNUMBER(SEARCH("平",D222)),OR(ISNUMBER(SEARCH("上",D222)),ISNUMBER(SEARCH("去",D222)),ISNUMBER(SEARCH("入",D222)))),"Ambiguous",IF(ISNUMBER(SEARCH("平",D222)),"平","仄")))</x:f>
        <x:v>仄</x:v>
      </x:c>
      <x:c r="J225" s="7" t="str"/>
    </x:row>
    <x:row r="226">
      <x:c r="A226" s="5" t="str">
        <x:v>倫</x:v>
      </x:c>
      <x:c r="B226" s="6" t="str">
        <x:v>平</x:v>
      </x:c>
      <x:c r="C226" s="6" t="str">
        <x:f>IF(B226="","Needs decision","Ready")</x:f>
        <x:v>Ready</x:v>
      </x:c>
      <x:c r="D226" s="6" t="str">
        <x:v>平</x:v>
      </x:c>
      <x:c r="E226" s="6" t="str">
        <x:v>lwin (A)</x:v>
      </x:c>
      <x:c r="F226" s="6" t="str">
        <x:v>1</x:v>
      </x:c>
      <x:c r="G226" s="6" t="str"/>
      <x:c r="H226" s="6" t="str">
        <x:f>IF(B226="平","平",IF(B226="","","仄"))</x:f>
        <x:v>平</x:v>
      </x:c>
      <x:c r="I226" s="6" t="str">
        <x:f>IF(D223="","",IF(AND(ISNUMBER(SEARCH("平",D223)),OR(ISNUMBER(SEARCH("上",D223)),ISNUMBER(SEARCH("去",D223)),ISNUMBER(SEARCH("入",D223)))),"Ambiguous",IF(ISNUMBER(SEARCH("平",D223)),"平","仄")))</x:f>
        <x:v>仄</x:v>
      </x:c>
      <x:c r="J226" s="7" t="str"/>
    </x:row>
    <x:row r="227">
      <x:c r="A227" s="5" t="str">
        <x:v>倮</x:v>
      </x:c>
      <x:c r="B227" s="6" t="str">
        <x:v>上</x:v>
      </x:c>
      <x:c r="C227" s="6" t="str">
        <x:f>IF(B227="","Needs decision","Ready")</x:f>
        <x:v>Ready</x:v>
      </x:c>
      <x:c r="D227" s="6" t="str">
        <x:v>上</x:v>
      </x:c>
      <x:c r="E227" s="6" t="str">
        <x:v>lwaX (B)</x:v>
      </x:c>
      <x:c r="F227" s="6" t="str">
        <x:v>1</x:v>
      </x:c>
      <x:c r="G227" s="6" t="str"/>
      <x:c r="H227" s="6" t="str">
        <x:f>IF(B227="平","平",IF(B227="","","仄"))</x:f>
        <x:v>仄</x:v>
      </x:c>
      <x:c r="I227" s="6" t="str">
        <x:f>IF(D224="","",IF(AND(ISNUMBER(SEARCH("平",D224)),OR(ISNUMBER(SEARCH("上",D224)),ISNUMBER(SEARCH("去",D224)),ISNUMBER(SEARCH("入",D224)))),"Ambiguous",IF(ISNUMBER(SEARCH("平",D224)),"平","仄")))</x:f>
        <x:v>仄</x:v>
      </x:c>
      <x:c r="J227" s="7" t="str"/>
    </x:row>
    <x:row r="228">
      <x:c r="A228" s="5" t="str">
        <x:v>值</x:v>
      </x:c>
      <x:c r="B228" s="6" t="str">
        <x:v>去</x:v>
      </x:c>
      <x:c r="C228" s="6" t="str">
        <x:f>IF(B228="","Needs decision","Ready")</x:f>
        <x:v>Ready</x:v>
      </x:c>
      <x:c r="D228" s="6" t="str">
        <x:v>去</x:v>
      </x:c>
      <x:c r="E228" s="6" t="str">
        <x:v>driH (C)</x:v>
      </x:c>
      <x:c r="F228" s="6" t="str">
        <x:v>1</x:v>
      </x:c>
      <x:c r="G228" s="6" t="str"/>
      <x:c r="H228" s="6" t="str">
        <x:f>IF(B228="平","平",IF(B228="","","仄"))</x:f>
        <x:v>仄</x:v>
      </x:c>
      <x:c r="I228" s="6" t="str">
        <x:f>IF(D225="","",IF(AND(ISNUMBER(SEARCH("平",D225)),OR(ISNUMBER(SEARCH("上",D225)),ISNUMBER(SEARCH("去",D225)),ISNUMBER(SEARCH("入",D225)))),"Ambiguous",IF(ISNUMBER(SEARCH("平",D225)),"平","仄")))</x:f>
        <x:v>平</x:v>
      </x:c>
      <x:c r="J228" s="7" t="str"/>
    </x:row>
    <x:row r="229">
      <x:c r="A229" s="5" t="str">
        <x:v>偃</x:v>
      </x:c>
      <x:c r="B229" s="6" t="str">
        <x:v>上</x:v>
      </x:c>
      <x:c r="C229" s="6" t="str">
        <x:f>IF(B229="","Needs decision","Ready")</x:f>
        <x:v>Ready</x:v>
      </x:c>
      <x:c r="D229" s="6" t="str">
        <x:v>上</x:v>
      </x:c>
      <x:c r="E229" s="6" t="str">
        <x:v>'jonX (B)</x:v>
      </x:c>
      <x:c r="F229" s="6" t="str">
        <x:v>1</x:v>
      </x:c>
      <x:c r="G229" s="6" t="str"/>
      <x:c r="H229" s="6" t="str">
        <x:f>IF(B229="平","平",IF(B229="","","仄"))</x:f>
        <x:v>仄</x:v>
      </x:c>
      <x:c r="I229" s="6" t="str">
        <x:f>IF(D226="","",IF(AND(ISNUMBER(SEARCH("平",D226)),OR(ISNUMBER(SEARCH("上",D226)),ISNUMBER(SEARCH("去",D226)),ISNUMBER(SEARCH("入",D226)))),"Ambiguous",IF(ISNUMBER(SEARCH("平",D226)),"平","仄")))</x:f>
        <x:v>平</x:v>
      </x:c>
      <x:c r="J229" s="7" t="str"/>
    </x:row>
    <x:row r="230">
      <x:c r="A230" s="5" t="str">
        <x:v>假</x:v>
      </x:c>
      <x:c r="B230" s="6" t="str">
        <x:v>上</x:v>
      </x:c>
      <x:c r="C230" s="6" t="str">
        <x:f>IF(B230="","Needs decision","Ready")</x:f>
        <x:v>Ready</x:v>
      </x:c>
      <x:c r="D230" s="6" t="str">
        <x:v>上</x:v>
      </x:c>
      <x:c r="E230" s="6" t="str">
        <x:v>kaeX (B)</x:v>
      </x:c>
      <x:c r="F230" s="6" t="str">
        <x:v>1</x:v>
      </x:c>
      <x:c r="G230" s="6" t="str"/>
      <x:c r="H230" s="6" t="str">
        <x:f>IF(B230="平","平",IF(B230="","","仄"))</x:f>
        <x:v>仄</x:v>
      </x:c>
      <x:c r="I230" s="6" t="str">
        <x:f>IF(D227="","",IF(AND(ISNUMBER(SEARCH("平",D227)),OR(ISNUMBER(SEARCH("上",D227)),ISNUMBER(SEARCH("去",D227)),ISNUMBER(SEARCH("入",D227)))),"Ambiguous",IF(ISNUMBER(SEARCH("平",D227)),"平","仄")))</x:f>
        <x:v>仄</x:v>
      </x:c>
      <x:c r="J230" s="7" t="str"/>
    </x:row>
    <x:row r="231">
      <x:c r="A231" s="5" t="str">
        <x:v>偉</x:v>
      </x:c>
      <x:c r="B231" s="6" t="str">
        <x:v>上</x:v>
      </x:c>
      <x:c r="C231" s="6" t="str">
        <x:f>IF(B231="","Needs decision","Ready")</x:f>
        <x:v>Ready</x:v>
      </x:c>
      <x:c r="D231" s="6" t="str">
        <x:v>上</x:v>
      </x:c>
      <x:c r="E231" s="6" t="str">
        <x:v>hjw+jX [云合三C微上] wɨjʔ</x:v>
      </x:c>
      <x:c r="F231" s="6" t="str">
        <x:v>1</x:v>
      </x:c>
      <x:c r="G231" s="6" t="str">
        <x:v>Targeted preliminary fill from Xun Gong; review if uncertain</x:v>
      </x:c>
      <x:c r="H231" s="6" t="str">
        <x:f>IF(B231="平","平",IF(B231="","","仄"))</x:f>
        <x:v>仄</x:v>
      </x:c>
      <x:c r="I231" s="6" t="str">
        <x:f>IF(D228="","",IF(AND(ISNUMBER(SEARCH("平",D228)),OR(ISNUMBER(SEARCH("上",D228)),ISNUMBER(SEARCH("去",D228)),ISNUMBER(SEARCH("入",D228)))),"Ambiguous",IF(ISNUMBER(SEARCH("平",D228)),"平","仄")))</x:f>
        <x:v>仄</x:v>
      </x:c>
      <x:c r="J231" s="7" t="str">
        <x:v>Xun Gong character-readings.csv</x:v>
      </x:c>
    </x:row>
    <x:row r="232">
      <x:c r="A232" s="5" t="str">
        <x:v>偏</x:v>
      </x:c>
      <x:c r="B232" s="6" t="str">
        <x:v>平</x:v>
      </x:c>
      <x:c r="C232" s="6" t="str">
        <x:f>IF(B232="","Needs decision","Ready")</x:f>
        <x:v>Ready</x:v>
      </x:c>
      <x:c r="D232" s="6" t="str">
        <x:v>平</x:v>
      </x:c>
      <x:c r="E232" s="6" t="str">
        <x:v>phjien (A)</x:v>
      </x:c>
      <x:c r="F232" s="6" t="str">
        <x:v>1</x:v>
      </x:c>
      <x:c r="G232" s="6" t="str"/>
      <x:c r="H232" s="6" t="str">
        <x:f>IF(B232="平","平",IF(B232="","","仄"))</x:f>
        <x:v>平</x:v>
      </x:c>
      <x:c r="I232" s="6" t="str">
        <x:f>IF(D229="","",IF(AND(ISNUMBER(SEARCH("平",D229)),OR(ISNUMBER(SEARCH("上",D229)),ISNUMBER(SEARCH("去",D229)),ISNUMBER(SEARCH("入",D229)))),"Ambiguous",IF(ISNUMBER(SEARCH("平",D229)),"平","仄")))</x:f>
        <x:v>仄</x:v>
      </x:c>
      <x:c r="J232" s="7" t="str"/>
    </x:row>
    <x:row r="233">
      <x:c r="A233" s="5" t="str">
        <x:v>偕</x:v>
      </x:c>
      <x:c r="B233" s="6" t="str">
        <x:v>平</x:v>
      </x:c>
      <x:c r="C233" s="6" t="str">
        <x:f>IF(B233="","Needs decision","Ready")</x:f>
        <x:v>Ready</x:v>
      </x:c>
      <x:c r="D233" s="6" t="str">
        <x:v>平</x:v>
      </x:c>
      <x:c r="E233" s="6" t="str">
        <x:v>keaj (A)</x:v>
      </x:c>
      <x:c r="F233" s="6" t="str">
        <x:v>1</x:v>
      </x:c>
      <x:c r="G233" s="6" t="str"/>
      <x:c r="H233" s="6" t="str">
        <x:f>IF(B233="平","平",IF(B233="","","仄"))</x:f>
        <x:v>平</x:v>
      </x:c>
      <x:c r="I233" s="6" t="str">
        <x:f>IF(D230="","",IF(AND(ISNUMBER(SEARCH("平",D230)),OR(ISNUMBER(SEARCH("上",D230)),ISNUMBER(SEARCH("去",D230)),ISNUMBER(SEARCH("入",D230)))),"Ambiguous",IF(ISNUMBER(SEARCH("平",D230)),"平","仄")))</x:f>
        <x:v>仄</x:v>
      </x:c>
      <x:c r="J233" s="7" t="str"/>
    </x:row>
    <x:row r="234">
      <x:c r="A234" s="5" t="str">
        <x:v>停</x:v>
      </x:c>
      <x:c r="B234" s="6" t="str">
        <x:v>平</x:v>
      </x:c>
      <x:c r="C234" s="6" t="str">
        <x:f>IF(B234="","Needs decision","Ready")</x:f>
        <x:v>Ready</x:v>
      </x:c>
      <x:c r="D234" s="6" t="str">
        <x:v>平</x:v>
      </x:c>
      <x:c r="E234" s="6" t="str">
        <x:v>deng (A)</x:v>
      </x:c>
      <x:c r="F234" s="6" t="str">
        <x:v>1</x:v>
      </x:c>
      <x:c r="G234" s="6" t="str"/>
      <x:c r="H234" s="6" t="str">
        <x:f>IF(B234="平","平",IF(B234="","","仄"))</x:f>
        <x:v>平</x:v>
      </x:c>
      <x:c r="I234" s="6" t="str">
        <x:f>IF(D231="","",IF(AND(ISNUMBER(SEARCH("平",D231)),OR(ISNUMBER(SEARCH("上",D231)),ISNUMBER(SEARCH("去",D231)),ISNUMBER(SEARCH("入",D231)))),"Ambiguous",IF(ISNUMBER(SEARCH("平",D231)),"平","仄")))</x:f>
        <x:v>仄</x:v>
      </x:c>
      <x:c r="J234" s="7" t="str"/>
    </x:row>
    <x:row r="235">
      <x:c r="A235" s="5" t="str">
        <x:v>偝</x:v>
      </x:c>
      <x:c r="B235" s="6" t="str">
        <x:v>去</x:v>
      </x:c>
      <x:c r="C235" s="6" t="str">
        <x:f>IF(B235="","Needs decision","Ready")</x:f>
        <x:v>Ready</x:v>
      </x:c>
      <x:c r="D235" s="6" t="str">
        <x:v>去</x:v>
      </x:c>
      <x:c r="E235" s="6" t="str">
        <x:v>bwojH (C)</x:v>
      </x:c>
      <x:c r="F235" s="6" t="str">
        <x:v>1</x:v>
      </x:c>
      <x:c r="G235" s="6" t="str"/>
      <x:c r="H235" s="6" t="str">
        <x:f>IF(B235="平","平",IF(B235="","","仄"))</x:f>
        <x:v>仄</x:v>
      </x:c>
      <x:c r="I235" s="6" t="str">
        <x:f>IF(D232="","",IF(AND(ISNUMBER(SEARCH("平",D232)),OR(ISNUMBER(SEARCH("上",D232)),ISNUMBER(SEARCH("去",D232)),ISNUMBER(SEARCH("入",D232)))),"Ambiguous",IF(ISNUMBER(SEARCH("平",D232)),"平","仄")))</x:f>
        <x:v>平</x:v>
      </x:c>
      <x:c r="J235" s="7" t="str"/>
    </x:row>
    <x:row r="236">
      <x:c r="A236" s="5" t="str">
        <x:v>健</x:v>
      </x:c>
      <x:c r="B236" s="6" t="str">
        <x:v>去</x:v>
      </x:c>
      <x:c r="C236" s="6" t="str">
        <x:f>IF(B236="","Needs decision","Ready")</x:f>
        <x:v>Ready</x:v>
      </x:c>
      <x:c r="D236" s="6" t="str">
        <x:v>去</x:v>
      </x:c>
      <x:c r="E236" s="6" t="str">
        <x:v>gjonH [ɡɨ̯ənh] (去)</x:v>
      </x:c>
      <x:c r="F236" s="6" t="str">
        <x:v>1</x:v>
      </x:c>
      <x:c r="G236" s="6" t="str">
        <x:v>Tang 300 gap; frequency 2; provisional from Xun Gong</x:v>
      </x:c>
      <x:c r="H236" s="6" t="str">
        <x:f>IF(B236="平","平",IF(B236="","","仄"))</x:f>
        <x:v>仄</x:v>
      </x:c>
      <x:c r="I236" s="6" t="str">
        <x:f>IF(D233="","",IF(AND(ISNUMBER(SEARCH("平",D233)),OR(ISNUMBER(SEARCH("上",D233)),ISNUMBER(SEARCH("去",D233)),ISNUMBER(SEARCH("入",D233)))),"Ambiguous",IF(ISNUMBER(SEARCH("平",D233)),"平","仄")))</x:f>
        <x:v>平</x:v>
      </x:c>
      <x:c r="J236" s="7" t="str">
        <x:v>Xun Gong, Tang 300 gap fill</x:v>
      </x:c>
    </x:row>
    <x:row r="237">
      <x:c r="A237" s="5" t="str">
        <x:v>偪</x:v>
      </x:c>
      <x:c r="B237" s="6" t="str">
        <x:v>入</x:v>
      </x:c>
      <x:c r="C237" s="6" t="str">
        <x:f>IF(B237="","Needs decision","Ready")</x:f>
        <x:v>Ready</x:v>
      </x:c>
      <x:c r="D237" s="6" t="str">
        <x:v>入</x:v>
      </x:c>
      <x:c r="E237" s="6" t="str">
        <x:v>pik (D)</x:v>
      </x:c>
      <x:c r="F237" s="6" t="str">
        <x:v>1</x:v>
      </x:c>
      <x:c r="G237" s="6" t="str"/>
      <x:c r="H237" s="6" t="str">
        <x:f>IF(B237="平","平",IF(B237="","","仄"))</x:f>
        <x:v>仄</x:v>
      </x:c>
      <x:c r="I237" s="6" t="str">
        <x:f>IF(D234="","",IF(AND(ISNUMBER(SEARCH("平",D234)),OR(ISNUMBER(SEARCH("上",D234)),ISNUMBER(SEARCH("去",D234)),ISNUMBER(SEARCH("入",D234)))),"Ambiguous",IF(ISNUMBER(SEARCH("平",D234)),"平","仄")))</x:f>
        <x:v>平</x:v>
      </x:c>
      <x:c r="J237" s="7" t="str"/>
    </x:row>
    <x:row r="238">
      <x:c r="A238" s="5" t="str">
        <x:v>偯</x:v>
      </x:c>
      <x:c r="B238" s="6" t="str">
        <x:v>上</x:v>
      </x:c>
      <x:c r="C238" s="6" t="str">
        <x:f>IF(B238="","Needs decision","Ready")</x:f>
        <x:v>Ready</x:v>
      </x:c>
      <x:c r="D238" s="6" t="str">
        <x:v>上</x:v>
      </x:c>
      <x:c r="E238" s="6" t="str">
        <x:v>'j+jX (B)</x:v>
      </x:c>
      <x:c r="F238" s="6" t="str">
        <x:v>1</x:v>
      </x:c>
      <x:c r="G238" s="6" t="str"/>
      <x:c r="H238" s="6" t="str">
        <x:f>IF(B238="平","平",IF(B238="","","仄"))</x:f>
        <x:v>仄</x:v>
      </x:c>
      <x:c r="I238" s="6" t="str">
        <x:f>IF(D235="","",IF(AND(ISNUMBER(SEARCH("平",D235)),OR(ISNUMBER(SEARCH("上",D235)),ISNUMBER(SEARCH("去",D235)),ISNUMBER(SEARCH("入",D235)))),"Ambiguous",IF(ISNUMBER(SEARCH("平",D235)),"平","仄")))</x:f>
        <x:v>仄</x:v>
      </x:c>
      <x:c r="J238" s="7" t="str"/>
    </x:row>
    <x:row r="239">
      <x:c r="A239" s="5" t="str">
        <x:v>側</x:v>
      </x:c>
      <x:c r="B239" s="6" t="str">
        <x:v>入</x:v>
      </x:c>
      <x:c r="C239" s="6" t="str">
        <x:f>IF(B239="","Needs decision","Ready")</x:f>
        <x:v>Ready</x:v>
      </x:c>
      <x:c r="D239" s="6" t="str">
        <x:v>入</x:v>
      </x:c>
      <x:c r="E239" s="6" t="str">
        <x:v>tsrik (D)</x:v>
      </x:c>
      <x:c r="F239" s="6" t="str">
        <x:v>1</x:v>
      </x:c>
      <x:c r="G239" s="6" t="str"/>
      <x:c r="H239" s="6" t="str">
        <x:f>IF(B239="平","平",IF(B239="","","仄"))</x:f>
        <x:v>仄</x:v>
      </x:c>
      <x:c r="I239" s="6" t="str">
        <x:f>IF(D236="","",IF(AND(ISNUMBER(SEARCH("平",D236)),OR(ISNUMBER(SEARCH("上",D236)),ISNUMBER(SEARCH("去",D236)),ISNUMBER(SEARCH("入",D236)))),"Ambiguous",IF(ISNUMBER(SEARCH("平",D236)),"平","仄")))</x:f>
        <x:v>仄</x:v>
      </x:c>
      <x:c r="J239" s="7" t="str"/>
    </x:row>
    <x:row r="240">
      <x:c r="A240" s="5" t="str">
        <x:v>偶</x:v>
      </x:c>
      <x:c r="B240" s="6" t="str">
        <x:v>上</x:v>
      </x:c>
      <x:c r="C240" s="6" t="str">
        <x:f>IF(B240="","Needs decision","Ready")</x:f>
        <x:v>Ready</x:v>
      </x:c>
      <x:c r="D240" s="6" t="str">
        <x:v>上</x:v>
      </x:c>
      <x:c r="E240" s="6" t="str">
        <x:v>nguwX (B)</x:v>
      </x:c>
      <x:c r="F240" s="6" t="str">
        <x:v>1</x:v>
      </x:c>
      <x:c r="G240" s="6" t="str"/>
      <x:c r="H240" s="6" t="str">
        <x:f>IF(B240="平","平",IF(B240="","","仄"))</x:f>
        <x:v>仄</x:v>
      </x:c>
      <x:c r="I240" s="6" t="str">
        <x:f>IF(D237="","",IF(AND(ISNUMBER(SEARCH("平",D237)),OR(ISNUMBER(SEARCH("上",D237)),ISNUMBER(SEARCH("去",D237)),ISNUMBER(SEARCH("入",D237)))),"Ambiguous",IF(ISNUMBER(SEARCH("平",D237)),"平","仄")))</x:f>
        <x:v>仄</x:v>
      </x:c>
      <x:c r="J240" s="7" t="str"/>
    </x:row>
    <x:row r="241">
      <x:c r="A241" s="5" t="str">
        <x:v>偷</x:v>
      </x:c>
      <x:c r="B241" s="6" t="str">
        <x:v>平</x:v>
      </x:c>
      <x:c r="C241" s="6" t="str">
        <x:f>IF(B241="","Needs decision","Ready")</x:f>
        <x:v>Ready</x:v>
      </x:c>
      <x:c r="D241" s="6" t="str">
        <x:v>平</x:v>
      </x:c>
      <x:c r="E241" s="6" t="str">
        <x:v>thuw (A)</x:v>
      </x:c>
      <x:c r="F241" s="6" t="str">
        <x:v>1</x:v>
      </x:c>
      <x:c r="G241" s="6" t="str"/>
      <x:c r="H241" s="6" t="str">
        <x:f>IF(B241="平","平",IF(B241="","","仄"))</x:f>
        <x:v>平</x:v>
      </x:c>
      <x:c r="I241" s="6" t="str">
        <x:f>IF(D238="","",IF(AND(ISNUMBER(SEARCH("平",D238)),OR(ISNUMBER(SEARCH("上",D238)),ISNUMBER(SEARCH("去",D238)),ISNUMBER(SEARCH("入",D238)))),"Ambiguous",IF(ISNUMBER(SEARCH("平",D238)),"平","仄")))</x:f>
        <x:v>仄</x:v>
      </x:c>
      <x:c r="J241" s="7" t="str"/>
    </x:row>
    <x:row r="242">
      <x:c r="A242" s="5" t="str">
        <x:v>偽</x:v>
      </x:c>
      <x:c r="B242" s="6" t="str">
        <x:v>去</x:v>
      </x:c>
      <x:c r="C242" s="6" t="str">
        <x:f>IF(B242="","Needs decision","Ready")</x:f>
        <x:v>Ready</x:v>
      </x:c>
      <x:c r="D242" s="6" t="str">
        <x:v>去</x:v>
      </x:c>
      <x:c r="E242" s="6" t="str">
        <x:v>ngjweH (C)</x:v>
      </x:c>
      <x:c r="F242" s="6" t="str">
        <x:v>1</x:v>
      </x:c>
      <x:c r="G242" s="6" t="str"/>
      <x:c r="H242" s="6" t="str">
        <x:f>IF(B242="平","平",IF(B242="","","仄"))</x:f>
        <x:v>仄</x:v>
      </x:c>
      <x:c r="I242" s="6" t="str">
        <x:f>IF(D239="","",IF(AND(ISNUMBER(SEARCH("平",D239)),OR(ISNUMBER(SEARCH("上",D239)),ISNUMBER(SEARCH("去",D239)),ISNUMBER(SEARCH("入",D239)))),"Ambiguous",IF(ISNUMBER(SEARCH("平",D239)),"平","仄")))</x:f>
        <x:v>仄</x:v>
      </x:c>
      <x:c r="J242" s="7" t="str"/>
    </x:row>
    <x:row r="243">
      <x:c r="A243" s="5" t="str">
        <x:v>傁</x:v>
      </x:c>
      <x:c r="B243" s="6" t="str">
        <x:v>上</x:v>
      </x:c>
      <x:c r="C243" s="6" t="str">
        <x:f>IF(B243="","Needs decision","Ready")</x:f>
        <x:v>Ready</x:v>
      </x:c>
      <x:c r="D243" s="6" t="str">
        <x:v>上</x:v>
      </x:c>
      <x:c r="E243" s="6" t="str">
        <x:v>suwX (B)</x:v>
      </x:c>
      <x:c r="F243" s="6" t="str">
        <x:v>1</x:v>
      </x:c>
      <x:c r="G243" s="6" t="str"/>
      <x:c r="H243" s="6" t="str">
        <x:f>IF(B243="平","平",IF(B243="","","仄"))</x:f>
        <x:v>仄</x:v>
      </x:c>
      <x:c r="I243" s="6" t="str">
        <x:f>IF(D240="","",IF(AND(ISNUMBER(SEARCH("平",D240)),OR(ISNUMBER(SEARCH("上",D240)),ISNUMBER(SEARCH("去",D240)),ISNUMBER(SEARCH("入",D240)))),"Ambiguous",IF(ISNUMBER(SEARCH("平",D240)),"平","仄")))</x:f>
        <x:v>仄</x:v>
      </x:c>
      <x:c r="J243" s="7" t="str"/>
    </x:row>
    <x:row r="244">
      <x:c r="A244" s="5" t="str">
        <x:v>傅</x:v>
      </x:c>
      <x:c r="B244" s="6" t="str">
        <x:v>去</x:v>
      </x:c>
      <x:c r="C244" s="6" t="str">
        <x:f>IF(B244="","Needs decision","Ready")</x:f>
        <x:v>Ready</x:v>
      </x:c>
      <x:c r="D244" s="6" t="str">
        <x:v>去</x:v>
      </x:c>
      <x:c r="E244" s="6" t="str">
        <x:v>bjuH (C); pjuH (C)</x:v>
      </x:c>
      <x:c r="F244" s="6" t="str">
        <x:v>2</x:v>
      </x:c>
      <x:c r="G244" s="6" t="str"/>
      <x:c r="H244" s="6" t="str">
        <x:f>IF(B244="平","平",IF(B244="","","仄"))</x:f>
        <x:v>仄</x:v>
      </x:c>
      <x:c r="I244" s="6" t="str">
        <x:f>IF(D241="","",IF(AND(ISNUMBER(SEARCH("平",D241)),OR(ISNUMBER(SEARCH("上",D241)),ISNUMBER(SEARCH("去",D241)),ISNUMBER(SEARCH("入",D241)))),"Ambiguous",IF(ISNUMBER(SEARCH("平",D241)),"平","仄")))</x:f>
        <x:v>平</x:v>
      </x:c>
      <x:c r="J244" s="7" t="str"/>
    </x:row>
    <x:row r="245">
      <x:c r="A245" s="5" t="str">
        <x:v>傍</x:v>
      </x:c>
      <x:c r="B245" s="6" t="str"/>
      <x:c r="C245" s="6" t="str">
        <x:f>IF(B245="","Needs decision","Ready")</x:f>
        <x:v>Needs decision</x:v>
      </x:c>
      <x:c r="D245" s="6" t="str">
        <x:v>去/平</x:v>
      </x:c>
      <x:c r="E245" s="6" t="str">
        <x:v>bangH (C); bang (A)</x:v>
      </x:c>
      <x:c r="F245" s="6" t="str">
        <x:v>2</x:v>
      </x:c>
      <x:c r="G245" s="6" t="str"/>
      <x:c r="H245" s="6" t="str">
        <x:f>IF(B245="平","平",IF(B245="","","仄"))</x:f>
      </x:c>
      <x:c r="I245" s="6" t="str">
        <x:f>IF(D242="","",IF(AND(ISNUMBER(SEARCH("平",D242)),OR(ISNUMBER(SEARCH("上",D242)),ISNUMBER(SEARCH("去",D242)),ISNUMBER(SEARCH("入",D242)))),"Ambiguous",IF(ISNUMBER(SEARCH("平",D242)),"平","仄")))</x:f>
        <x:v>仄</x:v>
      </x:c>
      <x:c r="J245" s="7" t="str"/>
    </x:row>
    <x:row r="246">
      <x:c r="A246" s="5" t="str">
        <x:v>傑</x:v>
      </x:c>
      <x:c r="B246" s="6" t="str">
        <x:v>入</x:v>
      </x:c>
      <x:c r="C246" s="6" t="str">
        <x:f>IF(B246="","Needs decision","Ready")</x:f>
        <x:v>Ready</x:v>
      </x:c>
      <x:c r="D246" s="6" t="str">
        <x:v>入</x:v>
      </x:c>
      <x:c r="E246" s="6" t="str">
        <x:v>gjet (D)</x:v>
      </x:c>
      <x:c r="F246" s="6" t="str">
        <x:v>1</x:v>
      </x:c>
      <x:c r="G246" s="6" t="str"/>
      <x:c r="H246" s="6" t="str">
        <x:f>IF(B246="平","平",IF(B246="","","仄"))</x:f>
        <x:v>仄</x:v>
      </x:c>
      <x:c r="I246" s="6" t="str">
        <x:f>IF(D243="","",IF(AND(ISNUMBER(SEARCH("平",D243)),OR(ISNUMBER(SEARCH("上",D243)),ISNUMBER(SEARCH("去",D243)),ISNUMBER(SEARCH("入",D243)))),"Ambiguous",IF(ISNUMBER(SEARCH("平",D243)),"平","仄")))</x:f>
        <x:v>仄</x:v>
      </x:c>
      <x:c r="J246" s="7" t="str"/>
    </x:row>
    <x:row r="247">
      <x:c r="A247" s="5" t="str">
        <x:v>傘</x:v>
      </x:c>
      <x:c r="B247" s="6" t="str">
        <x:v>上</x:v>
      </x:c>
      <x:c r="C247" s="6" t="str">
        <x:f>IF(B247="","Needs decision","Ready")</x:f>
        <x:v>Ready</x:v>
      </x:c>
      <x:c r="D247" s="6" t="str">
        <x:v>上</x:v>
      </x:c>
      <x:c r="E247" s="6" t="str">
        <x:v>sanX (B)</x:v>
      </x:c>
      <x:c r="F247" s="6" t="str">
        <x:v>1</x:v>
      </x:c>
      <x:c r="G247" s="6" t="str"/>
      <x:c r="H247" s="6" t="str">
        <x:f>IF(B247="平","平",IF(B247="","","仄"))</x:f>
        <x:v>仄</x:v>
      </x:c>
      <x:c r="I247" s="6" t="str">
        <x:f>IF(D244="","",IF(AND(ISNUMBER(SEARCH("平",D244)),OR(ISNUMBER(SEARCH("上",D244)),ISNUMBER(SEARCH("去",D244)),ISNUMBER(SEARCH("入",D244)))),"Ambiguous",IF(ISNUMBER(SEARCH("平",D244)),"平","仄")))</x:f>
        <x:v>仄</x:v>
      </x:c>
      <x:c r="J247" s="7" t="str"/>
    </x:row>
    <x:row r="248">
      <x:c r="A248" s="5" t="str">
        <x:v>備</x:v>
      </x:c>
      <x:c r="B248" s="6" t="str">
        <x:v>去</x:v>
      </x:c>
      <x:c r="C248" s="6" t="str">
        <x:f>IF(B248="","Needs decision","Ready")</x:f>
        <x:v>Ready</x:v>
      </x:c>
      <x:c r="D248" s="6" t="str">
        <x:v>去</x:v>
      </x:c>
      <x:c r="E248" s="6" t="str">
        <x:v>bijH (C)</x:v>
      </x:c>
      <x:c r="F248" s="6" t="str">
        <x:v>1</x:v>
      </x:c>
      <x:c r="G248" s="6" t="str"/>
      <x:c r="H248" s="6" t="str">
        <x:f>IF(B248="平","平",IF(B248="","","仄"))</x:f>
        <x:v>仄</x:v>
      </x:c>
      <x:c r="I248" s="6" t="str">
        <x:f>IF(D245="","",IF(AND(ISNUMBER(SEARCH("平",D245)),OR(ISNUMBER(SEARCH("上",D245)),ISNUMBER(SEARCH("去",D245)),ISNUMBER(SEARCH("入",D245)))),"Ambiguous",IF(ISNUMBER(SEARCH("平",D245)),"平","仄")))</x:f>
        <x:v>Ambiguous</x:v>
      </x:c>
      <x:c r="J248" s="7" t="str"/>
    </x:row>
    <x:row r="249">
      <x:c r="A249" s="5" t="str">
        <x:v>傜</x:v>
      </x:c>
      <x:c r="B249" s="6" t="str">
        <x:v>平</x:v>
      </x:c>
      <x:c r="C249" s="6" t="str">
        <x:f>IF(B249="","Needs decision","Ready")</x:f>
        <x:v>Ready</x:v>
      </x:c>
      <x:c r="D249" s="6" t="str">
        <x:v>平</x:v>
      </x:c>
      <x:c r="E249" s="6" t="str">
        <x:v>yew (A)</x:v>
      </x:c>
      <x:c r="F249" s="6" t="str">
        <x:v>1</x:v>
      </x:c>
      <x:c r="G249" s="6" t="str"/>
      <x:c r="H249" s="6" t="str">
        <x:f>IF(B249="平","平",IF(B249="","","仄"))</x:f>
        <x:v>平</x:v>
      </x:c>
      <x:c r="I249" s="6" t="str">
        <x:f>IF(D246="","",IF(AND(ISNUMBER(SEARCH("平",D246)),OR(ISNUMBER(SEARCH("上",D246)),ISNUMBER(SEARCH("去",D246)),ISNUMBER(SEARCH("入",D246)))),"Ambiguous",IF(ISNUMBER(SEARCH("平",D246)),"平","仄")))</x:f>
        <x:v>仄</x:v>
      </x:c>
      <x:c r="J249" s="7" t="str"/>
    </x:row>
    <x:row r="250">
      <x:c r="A250" s="5" t="str">
        <x:v>催</x:v>
      </x:c>
      <x:c r="B250" s="6" t="str">
        <x:v>平</x:v>
      </x:c>
      <x:c r="C250" s="6" t="str">
        <x:f>IF(B250="","Needs decision","Ready")</x:f>
        <x:v>Ready</x:v>
      </x:c>
      <x:c r="D250" s="6" t="str">
        <x:v>平</x:v>
      </x:c>
      <x:c r="E250" s="6" t="str">
        <x:v>tshwoj (A)</x:v>
      </x:c>
      <x:c r="F250" s="6" t="str">
        <x:v>1</x:v>
      </x:c>
      <x:c r="G250" s="6" t="str"/>
      <x:c r="H250" s="6" t="str">
        <x:f>IF(B250="平","平",IF(B250="","","仄"))</x:f>
        <x:v>平</x:v>
      </x:c>
      <x:c r="I250" s="6" t="str">
        <x:f>IF(D247="","",IF(AND(ISNUMBER(SEARCH("平",D247)),OR(ISNUMBER(SEARCH("上",D247)),ISNUMBER(SEARCH("去",D247)),ISNUMBER(SEARCH("入",D247)))),"Ambiguous",IF(ISNUMBER(SEARCH("平",D247)),"平","仄")))</x:f>
        <x:v>仄</x:v>
      </x:c>
      <x:c r="J250" s="7" t="str"/>
    </x:row>
    <x:row r="251">
      <x:c r="A251" s="5" t="str">
        <x:v>傭</x:v>
      </x:c>
      <x:c r="B251" s="6" t="str">
        <x:v>平</x:v>
      </x:c>
      <x:c r="C251" s="6" t="str">
        <x:f>IF(B251="","Needs decision","Ready")</x:f>
        <x:v>Ready</x:v>
      </x:c>
      <x:c r="D251" s="6" t="str">
        <x:v>平</x:v>
      </x:c>
      <x:c r="E251" s="6" t="str">
        <x:v>yowng (A)</x:v>
      </x:c>
      <x:c r="F251" s="6" t="str">
        <x:v>1</x:v>
      </x:c>
      <x:c r="G251" s="6" t="str"/>
      <x:c r="H251" s="6" t="str">
        <x:f>IF(B251="平","平",IF(B251="","","仄"))</x:f>
        <x:v>平</x:v>
      </x:c>
      <x:c r="I251" s="6" t="str">
        <x:f>IF(D248="","",IF(AND(ISNUMBER(SEARCH("平",D248)),OR(ISNUMBER(SEARCH("上",D248)),ISNUMBER(SEARCH("去",D248)),ISNUMBER(SEARCH("入",D248)))),"Ambiguous",IF(ISNUMBER(SEARCH("平",D248)),"平","仄")))</x:f>
        <x:v>仄</x:v>
      </x:c>
      <x:c r="J251" s="7" t="str"/>
    </x:row>
    <x:row r="252">
      <x:c r="A252" s="5" t="str">
        <x:v>傳</x:v>
      </x:c>
      <x:c r="B252" s="6" t="str"/>
      <x:c r="C252" s="6" t="str">
        <x:f>IF(B252="","Needs decision","Ready")</x:f>
        <x:v>Needs decision</x:v>
      </x:c>
      <x:c r="D252" s="6" t="str">
        <x:v>平/去</x:v>
      </x:c>
      <x:c r="E252" s="6" t="str">
        <x:v>drjwen (A); drjwenH (C); trjwenH (C)</x:v>
      </x:c>
      <x:c r="F252" s="6" t="str">
        <x:v>3</x:v>
      </x:c>
      <x:c r="G252" s="6" t="str"/>
      <x:c r="H252" s="6" t="str">
        <x:f>IF(B252="平","平",IF(B252="","","仄"))</x:f>
      </x:c>
      <x:c r="I252" s="6" t="str">
        <x:f>IF(D249="","",IF(AND(ISNUMBER(SEARCH("平",D249)),OR(ISNUMBER(SEARCH("上",D249)),ISNUMBER(SEARCH("去",D249)),ISNUMBER(SEARCH("入",D249)))),"Ambiguous",IF(ISNUMBER(SEARCH("平",D249)),"平","仄")))</x:f>
        <x:v>平</x:v>
      </x:c>
      <x:c r="J252" s="7" t="str"/>
    </x:row>
    <x:row r="253">
      <x:c r="A253" s="5" t="str">
        <x:v>傴</x:v>
      </x:c>
      <x:c r="B253" s="6" t="str">
        <x:v>上</x:v>
      </x:c>
      <x:c r="C253" s="6" t="str">
        <x:f>IF(B253="","Needs decision","Ready")</x:f>
        <x:v>Ready</x:v>
      </x:c>
      <x:c r="D253" s="6" t="str">
        <x:v>上</x:v>
      </x:c>
      <x:c r="E253" s="6" t="str">
        <x:v>'juX (B)</x:v>
      </x:c>
      <x:c r="F253" s="6" t="str">
        <x:v>1</x:v>
      </x:c>
      <x:c r="G253" s="6" t="str"/>
      <x:c r="H253" s="6" t="str">
        <x:f>IF(B253="平","平",IF(B253="","","仄"))</x:f>
        <x:v>仄</x:v>
      </x:c>
      <x:c r="I253" s="6" t="str">
        <x:f>IF(D250="","",IF(AND(ISNUMBER(SEARCH("平",D250)),OR(ISNUMBER(SEARCH("上",D250)),ISNUMBER(SEARCH("去",D250)),ISNUMBER(SEARCH("入",D250)))),"Ambiguous",IF(ISNUMBER(SEARCH("平",D250)),"平","仄")))</x:f>
        <x:v>平</x:v>
      </x:c>
      <x:c r="J253" s="7" t="str"/>
    </x:row>
    <x:row r="254">
      <x:c r="A254" s="5" t="str">
        <x:v>債</x:v>
      </x:c>
      <x:c r="B254" s="6" t="str">
        <x:v>去</x:v>
      </x:c>
      <x:c r="C254" s="6" t="str">
        <x:f>IF(B254="","Needs decision","Ready")</x:f>
        <x:v>Ready</x:v>
      </x:c>
      <x:c r="D254" s="6" t="str">
        <x:v>去</x:v>
      </x:c>
      <x:c r="E254" s="6" t="str">
        <x:v>tsreaH (C)</x:v>
      </x:c>
      <x:c r="F254" s="6" t="str">
        <x:v>1</x:v>
      </x:c>
      <x:c r="G254" s="6" t="str"/>
      <x:c r="H254" s="6" t="str">
        <x:f>IF(B254="平","平",IF(B254="","","仄"))</x:f>
        <x:v>仄</x:v>
      </x:c>
      <x:c r="I254" s="6" t="str">
        <x:f>IF(D251="","",IF(AND(ISNUMBER(SEARCH("平",D251)),OR(ISNUMBER(SEARCH("上",D251)),ISNUMBER(SEARCH("去",D251)),ISNUMBER(SEARCH("入",D251)))),"Ambiguous",IF(ISNUMBER(SEARCH("平",D251)),"平","仄")))</x:f>
        <x:v>平</x:v>
      </x:c>
      <x:c r="J254" s="7" t="str"/>
    </x:row>
    <x:row r="255">
      <x:c r="A255" s="5" t="str">
        <x:v>傷</x:v>
      </x:c>
      <x:c r="B255" s="6" t="str">
        <x:v>平</x:v>
      </x:c>
      <x:c r="C255" s="6" t="str">
        <x:f>IF(B255="","Needs decision","Ready")</x:f>
        <x:v>Ready</x:v>
      </x:c>
      <x:c r="D255" s="6" t="str">
        <x:v>平</x:v>
      </x:c>
      <x:c r="E255" s="6" t="str">
        <x:v>syang (A)</x:v>
      </x:c>
      <x:c r="F255" s="6" t="str">
        <x:v>1</x:v>
      </x:c>
      <x:c r="G255" s="6" t="str"/>
      <x:c r="H255" s="6" t="str">
        <x:f>IF(B255="平","平",IF(B255="","","仄"))</x:f>
        <x:v>平</x:v>
      </x:c>
      <x:c r="I255" s="6" t="str">
        <x:f>IF(D252="","",IF(AND(ISNUMBER(SEARCH("平",D252)),OR(ISNUMBER(SEARCH("上",D252)),ISNUMBER(SEARCH("去",D252)),ISNUMBER(SEARCH("入",D252)))),"Ambiguous",IF(ISNUMBER(SEARCH("平",D252)),"平","仄")))</x:f>
        <x:v>Ambiguous</x:v>
      </x:c>
      <x:c r="J255" s="7" t="str"/>
    </x:row>
    <x:row r="256">
      <x:c r="A256" s="5" t="str">
        <x:v>傾</x:v>
      </x:c>
      <x:c r="B256" s="6" t="str">
        <x:v>平</x:v>
      </x:c>
      <x:c r="C256" s="6" t="str">
        <x:f>IF(B256="","Needs decision","Ready")</x:f>
        <x:v>Ready</x:v>
      </x:c>
      <x:c r="D256" s="6" t="str">
        <x:v>平</x:v>
      </x:c>
      <x:c r="E256" s="6" t="str">
        <x:v>khjwieng (A)</x:v>
      </x:c>
      <x:c r="F256" s="6" t="str">
        <x:v>1</x:v>
      </x:c>
      <x:c r="G256" s="6" t="str"/>
      <x:c r="H256" s="6" t="str">
        <x:f>IF(B256="平","平",IF(B256="","","仄"))</x:f>
        <x:v>平</x:v>
      </x:c>
      <x:c r="I256" s="6" t="str">
        <x:f>IF(D253="","",IF(AND(ISNUMBER(SEARCH("平",D253)),OR(ISNUMBER(SEARCH("上",D253)),ISNUMBER(SEARCH("去",D253)),ISNUMBER(SEARCH("入",D253)))),"Ambiguous",IF(ISNUMBER(SEARCH("平",D253)),"平","仄")))</x:f>
        <x:v>仄</x:v>
      </x:c>
      <x:c r="J256" s="7" t="str"/>
    </x:row>
    <x:row r="257">
      <x:c r="A257" s="5" t="str">
        <x:v>僂</x:v>
      </x:c>
      <x:c r="B257" s="6" t="str">
        <x:v>上</x:v>
      </x:c>
      <x:c r="C257" s="6" t="str">
        <x:f>IF(B257="","Needs decision","Ready")</x:f>
        <x:v>Ready</x:v>
      </x:c>
      <x:c r="D257" s="6" t="str">
        <x:v>平/上/去</x:v>
      </x:c>
      <x:c r="E257" s="6" t="str">
        <x:v>ljuX [ljoʔ] (上); luw [l̙u] (平); luwH [l̙uh] (去)</x:v>
      </x:c>
      <x:c r="F257" s="6" t="str">
        <x:v>3</x:v>
      </x:c>
      <x:c r="G257" s="6" t="str">
        <x:v>Tang 300 gap; frequency 1; ambiguous in Xun Gong; User workbook edit 2026-09-03</x:v>
      </x:c>
      <x:c r="H257" s="6" t="str">
        <x:f>IF(B257="平","平",IF(B257="","","仄"))</x:f>
        <x:v>仄</x:v>
      </x:c>
      <x:c r="I257" s="6" t="str">
        <x:f>IF(D254="","",IF(AND(ISNUMBER(SEARCH("平",D254)),OR(ISNUMBER(SEARCH("上",D254)),ISNUMBER(SEARCH("去",D254)),ISNUMBER(SEARCH("入",D254)))),"Ambiguous",IF(ISNUMBER(SEARCH("平",D254)),"平","仄")))</x:f>
        <x:v>仄</x:v>
      </x:c>
      <x:c r="J257" s="7" t="str">
        <x:v>manual user correction</x:v>
      </x:c>
    </x:row>
    <x:row r="258">
      <x:c r="A258" s="5" t="str">
        <x:v>僅</x:v>
      </x:c>
      <x:c r="B258" s="6" t="str">
        <x:v>去</x:v>
      </x:c>
      <x:c r="C258" s="6" t="str">
        <x:f>IF(B258="","Needs decision","Ready")</x:f>
        <x:v>Ready</x:v>
      </x:c>
      <x:c r="D258" s="6" t="str">
        <x:v>去</x:v>
      </x:c>
      <x:c r="E258" s="6" t="str">
        <x:v>ginH (C)</x:v>
      </x:c>
      <x:c r="F258" s="6" t="str">
        <x:v>1</x:v>
      </x:c>
      <x:c r="G258" s="6" t="str"/>
      <x:c r="H258" s="6" t="str">
        <x:f>IF(B258="平","平",IF(B258="","","仄"))</x:f>
        <x:v>仄</x:v>
      </x:c>
      <x:c r="I258" s="6" t="str">
        <x:f>IF(D255="","",IF(AND(ISNUMBER(SEARCH("平",D255)),OR(ISNUMBER(SEARCH("上",D255)),ISNUMBER(SEARCH("去",D255)),ISNUMBER(SEARCH("入",D255)))),"Ambiguous",IF(ISNUMBER(SEARCH("平",D255)),"平","仄")))</x:f>
        <x:v>平</x:v>
      </x:c>
      <x:c r="J258" s="7" t="str"/>
    </x:row>
    <x:row r="259">
      <x:c r="A259" s="5" t="str">
        <x:v>僆</x:v>
      </x:c>
      <x:c r="B259" s="6" t="str">
        <x:v>去</x:v>
      </x:c>
      <x:c r="C259" s="6" t="str">
        <x:f>IF(B259="","Needs decision","Ready")</x:f>
        <x:v>Ready</x:v>
      </x:c>
      <x:c r="D259" s="6" t="str">
        <x:v>去</x:v>
      </x:c>
      <x:c r="E259" s="6" t="str">
        <x:v>ljenH (C)</x:v>
      </x:c>
      <x:c r="F259" s="6" t="str">
        <x:v>1</x:v>
      </x:c>
      <x:c r="G259" s="6" t="str"/>
      <x:c r="H259" s="6" t="str">
        <x:f>IF(B259="平","平",IF(B259="","","仄"))</x:f>
        <x:v>仄</x:v>
      </x:c>
      <x:c r="I259" s="6" t="str">
        <x:f>IF(D256="","",IF(AND(ISNUMBER(SEARCH("平",D256)),OR(ISNUMBER(SEARCH("上",D256)),ISNUMBER(SEARCH("去",D256)),ISNUMBER(SEARCH("入",D256)))),"Ambiguous",IF(ISNUMBER(SEARCH("平",D256)),"平","仄")))</x:f>
        <x:v>平</x:v>
      </x:c>
      <x:c r="J259" s="7" t="str"/>
    </x:row>
    <x:row r="260">
      <x:c r="A260" s="5" t="str">
        <x:v>僉</x:v>
      </x:c>
      <x:c r="B260" s="6" t="str">
        <x:v>平</x:v>
      </x:c>
      <x:c r="C260" s="6" t="str">
        <x:f>IF(B260="","Needs decision","Ready")</x:f>
        <x:v>Ready</x:v>
      </x:c>
      <x:c r="D260" s="6" t="str">
        <x:v>平</x:v>
      </x:c>
      <x:c r="E260" s="6" t="str">
        <x:v>tshjem (A)</x:v>
      </x:c>
      <x:c r="F260" s="6" t="str">
        <x:v>1</x:v>
      </x:c>
      <x:c r="G260" s="6" t="str"/>
      <x:c r="H260" s="6" t="str">
        <x:f>IF(B260="平","平",IF(B260="","","仄"))</x:f>
        <x:v>平</x:v>
      </x:c>
      <x:c r="I260" s="6" t="str">
        <x:f>IF(D257="","",IF(AND(ISNUMBER(SEARCH("平",D257)),OR(ISNUMBER(SEARCH("上",D257)),ISNUMBER(SEARCH("去",D257)),ISNUMBER(SEARCH("入",D257)))),"Ambiguous",IF(ISNUMBER(SEARCH("平",D257)),"平","仄")))</x:f>
        <x:v>Ambiguous</x:v>
      </x:c>
      <x:c r="J260" s="7" t="str"/>
    </x:row>
    <x:row r="261">
      <x:c r="A261" s="5" t="str">
        <x:v>僊</x:v>
      </x:c>
      <x:c r="B261" s="6" t="str">
        <x:v>平</x:v>
      </x:c>
      <x:c r="C261" s="6" t="str">
        <x:f>IF(B261="","Needs decision","Ready")</x:f>
        <x:v>Ready</x:v>
      </x:c>
      <x:c r="D261" s="6" t="str">
        <x:v>平</x:v>
      </x:c>
      <x:c r="E261" s="6" t="str">
        <x:v>sjen (A)</x:v>
      </x:c>
      <x:c r="F261" s="6" t="str">
        <x:v>1</x:v>
      </x:c>
      <x:c r="G261" s="6" t="str"/>
      <x:c r="H261" s="6" t="str">
        <x:f>IF(B261="平","平",IF(B261="","","仄"))</x:f>
        <x:v>平</x:v>
      </x:c>
      <x:c r="I261" s="6" t="str">
        <x:f>IF(D258="","",IF(AND(ISNUMBER(SEARCH("平",D258)),OR(ISNUMBER(SEARCH("上",D258)),ISNUMBER(SEARCH("去",D258)),ISNUMBER(SEARCH("入",D258)))),"Ambiguous",IF(ISNUMBER(SEARCH("平",D258)),"平","仄")))</x:f>
        <x:v>仄</x:v>
      </x:c>
      <x:c r="J261" s="7" t="str"/>
    </x:row>
    <x:row r="262">
      <x:c r="A262" s="5" t="str">
        <x:v>像</x:v>
      </x:c>
      <x:c r="B262" s="6" t="str">
        <x:v>上</x:v>
      </x:c>
      <x:c r="C262" s="6" t="str">
        <x:f>IF(B262="","Needs decision","Ready")</x:f>
        <x:v>Ready</x:v>
      </x:c>
      <x:c r="D262" s="6" t="str">
        <x:v>上</x:v>
      </x:c>
      <x:c r="E262" s="6" t="str">
        <x:v>zjangX (B)</x:v>
      </x:c>
      <x:c r="F262" s="6" t="str">
        <x:v>1</x:v>
      </x:c>
      <x:c r="G262" s="6" t="str"/>
      <x:c r="H262" s="6" t="str">
        <x:f>IF(B262="平","平",IF(B262="","","仄"))</x:f>
        <x:v>仄</x:v>
      </x:c>
      <x:c r="I262" s="6" t="str">
        <x:f>IF(D259="","",IF(AND(ISNUMBER(SEARCH("平",D259)),OR(ISNUMBER(SEARCH("上",D259)),ISNUMBER(SEARCH("去",D259)),ISNUMBER(SEARCH("入",D259)))),"Ambiguous",IF(ISNUMBER(SEARCH("平",D259)),"平","仄")))</x:f>
        <x:v>仄</x:v>
      </x:c>
      <x:c r="J262" s="7" t="str"/>
    </x:row>
    <x:row r="263">
      <x:c r="A263" s="5" t="str">
        <x:v>僕</x:v>
      </x:c>
      <x:c r="B263" s="6" t="str">
        <x:v>入</x:v>
      </x:c>
      <x:c r="C263" s="6" t="str">
        <x:f>IF(B263="","Needs decision","Ready")</x:f>
        <x:v>Ready</x:v>
      </x:c>
      <x:c r="D263" s="6" t="str">
        <x:v>入</x:v>
      </x:c>
      <x:c r="E263" s="6" t="str">
        <x:v>buwk (D)</x:v>
      </x:c>
      <x:c r="F263" s="6" t="str">
        <x:v>1</x:v>
      </x:c>
      <x:c r="G263" s="6" t="str"/>
      <x:c r="H263" s="6" t="str">
        <x:f>IF(B263="平","平",IF(B263="","","仄"))</x:f>
        <x:v>仄</x:v>
      </x:c>
      <x:c r="I263" s="6" t="str">
        <x:f>IF(D260="","",IF(AND(ISNUMBER(SEARCH("平",D260)),OR(ISNUMBER(SEARCH("上",D260)),ISNUMBER(SEARCH("去",D260)),ISNUMBER(SEARCH("入",D260)))),"Ambiguous",IF(ISNUMBER(SEARCH("平",D260)),"平","仄")))</x:f>
        <x:v>平</x:v>
      </x:c>
      <x:c r="J263" s="7" t="str"/>
    </x:row>
    <x:row r="264">
      <x:c r="A264" s="5" t="str">
        <x:v>僚</x:v>
      </x:c>
      <x:c r="B264" s="6" t="str">
        <x:v>平</x:v>
      </x:c>
      <x:c r="C264" s="6" t="str">
        <x:f>IF(B264="","Needs decision","Ready")</x:f>
        <x:v>Ready</x:v>
      </x:c>
      <x:c r="D264" s="6" t="str">
        <x:v>平</x:v>
      </x:c>
      <x:c r="E264" s="6" t="str">
        <x:v>lew (A)</x:v>
      </x:c>
      <x:c r="F264" s="6" t="str">
        <x:v>1</x:v>
      </x:c>
      <x:c r="G264" s="6" t="str"/>
      <x:c r="H264" s="6" t="str">
        <x:f>IF(B264="平","平",IF(B264="","","仄"))</x:f>
        <x:v>平</x:v>
      </x:c>
      <x:c r="I264" s="6" t="str">
        <x:f>IF(D261="","",IF(AND(ISNUMBER(SEARCH("平",D261)),OR(ISNUMBER(SEARCH("上",D261)),ISNUMBER(SEARCH("去",D261)),ISNUMBER(SEARCH("入",D261)))),"Ambiguous",IF(ISNUMBER(SEARCH("平",D261)),"平","仄")))</x:f>
        <x:v>平</x:v>
      </x:c>
      <x:c r="J264" s="7" t="str"/>
    </x:row>
    <x:row r="265">
      <x:c r="A265" s="5" t="str">
        <x:v>僥</x:v>
      </x:c>
      <x:c r="B265" s="6" t="str">
        <x:v>上</x:v>
      </x:c>
      <x:c r="C265" s="6" t="str">
        <x:f>IF(B265="","Needs decision","Ready")</x:f>
        <x:v>Ready</x:v>
      </x:c>
      <x:c r="D265" s="6" t="str">
        <x:v>上</x:v>
      </x:c>
      <x:c r="E265" s="6" t="str">
        <x:v>kewX (B)</x:v>
      </x:c>
      <x:c r="F265" s="6" t="str">
        <x:v>1</x:v>
      </x:c>
      <x:c r="G265" s="6" t="str"/>
      <x:c r="H265" s="6" t="str">
        <x:f>IF(B265="平","平",IF(B265="","","仄"))</x:f>
        <x:v>仄</x:v>
      </x:c>
      <x:c r="I265" s="6" t="str">
        <x:f>IF(D262="","",IF(AND(ISNUMBER(SEARCH("平",D262)),OR(ISNUMBER(SEARCH("上",D262)),ISNUMBER(SEARCH("去",D262)),ISNUMBER(SEARCH("入",D262)))),"Ambiguous",IF(ISNUMBER(SEARCH("平",D262)),"平","仄")))</x:f>
        <x:v>仄</x:v>
      </x:c>
      <x:c r="J265" s="7" t="str"/>
    </x:row>
    <x:row r="266">
      <x:c r="A266" s="5" t="str">
        <x:v>僧</x:v>
      </x:c>
      <x:c r="B266" s="6" t="str">
        <x:v>平</x:v>
      </x:c>
      <x:c r="C266" s="6" t="str">
        <x:f>IF(B266="","Needs decision","Ready")</x:f>
        <x:v>Ready</x:v>
      </x:c>
      <x:c r="D266" s="6" t="str"/>
      <x:c r="E266" s="6" t="str"/>
      <x:c r="F266" s="6" t="str"/>
      <x:c r="G266" s="6" t="str"/>
      <x:c r="H266" s="6" t="str">
        <x:f>IF(B266="平","平",IF(B266="","","仄"))</x:f>
        <x:v>平</x:v>
      </x:c>
      <x:c r="I266" s="6" t="str">
        <x:f>IF(D263="","",IF(AND(ISNUMBER(SEARCH("平",D263)),OR(ISNUMBER(SEARCH("上",D263)),ISNUMBER(SEARCH("去",D263)),ISNUMBER(SEARCH("入",D263)))),"Ambiguous",IF(ISNUMBER(SEARCH("平",D263)),"平","仄")))</x:f>
        <x:v>仄</x:v>
      </x:c>
      <x:c r="J266" s="7" t="str"/>
    </x:row>
    <x:row r="267">
      <x:c r="A267" s="5" t="str">
        <x:v>僭</x:v>
      </x:c>
      <x:c r="B267" s="6" t="str">
        <x:v>去</x:v>
      </x:c>
      <x:c r="C267" s="6" t="str">
        <x:f>IF(B267="","Needs decision","Ready")</x:f>
        <x:v>Ready</x:v>
      </x:c>
      <x:c r="D267" s="6" t="str">
        <x:v>去</x:v>
      </x:c>
      <x:c r="E267" s="6" t="str">
        <x:v>tsemH (C)</x:v>
      </x:c>
      <x:c r="F267" s="6" t="str">
        <x:v>1</x:v>
      </x:c>
      <x:c r="G267" s="6" t="str"/>
      <x:c r="H267" s="6" t="str">
        <x:f>IF(B267="平","平",IF(B267="","","仄"))</x:f>
        <x:v>仄</x:v>
      </x:c>
      <x:c r="I267" s="6" t="str">
        <x:f>IF(D264="","",IF(AND(ISNUMBER(SEARCH("平",D264)),OR(ISNUMBER(SEARCH("上",D264)),ISNUMBER(SEARCH("去",D264)),ISNUMBER(SEARCH("入",D264)))),"Ambiguous",IF(ISNUMBER(SEARCH("平",D264)),"平","仄")))</x:f>
        <x:v>平</x:v>
      </x:c>
      <x:c r="J267" s="7" t="str"/>
    </x:row>
    <x:row r="268">
      <x:c r="A268" s="5" t="str">
        <x:v>僮</x:v>
      </x:c>
      <x:c r="B268" s="6" t="str">
        <x:v>平</x:v>
      </x:c>
      <x:c r="C268" s="6" t="str">
        <x:f>IF(B268="","Needs decision","Ready")</x:f>
        <x:v>Ready</x:v>
      </x:c>
      <x:c r="D268" s="6" t="str">
        <x:v>平</x:v>
      </x:c>
      <x:c r="E268" s="6" t="str">
        <x:v>duwng [d̙uŋ] (平)</x:v>
      </x:c>
      <x:c r="F268" s="6" t="str">
        <x:v>1</x:v>
      </x:c>
      <x:c r="G268" s="6" t="str">
        <x:v>Tang 300 gap; frequency 3; provisional from Xun Gong</x:v>
      </x:c>
      <x:c r="H268" s="6" t="str">
        <x:f>IF(B268="平","平",IF(B268="","","仄"))</x:f>
        <x:v>平</x:v>
      </x:c>
      <x:c r="I268" s="6" t="str">
        <x:f>IF(D265="","",IF(AND(ISNUMBER(SEARCH("平",D265)),OR(ISNUMBER(SEARCH("上",D265)),ISNUMBER(SEARCH("去",D265)),ISNUMBER(SEARCH("入",D265)))),"Ambiguous",IF(ISNUMBER(SEARCH("平",D265)),"平","仄")))</x:f>
        <x:v>仄</x:v>
      </x:c>
      <x:c r="J268" s="7" t="str">
        <x:v>Xun Gong, Tang 300 gap fill</x:v>
      </x:c>
    </x:row>
    <x:row r="269">
      <x:c r="A269" s="5" t="str">
        <x:v>價</x:v>
      </x:c>
      <x:c r="B269" s="6" t="str">
        <x:v>去</x:v>
      </x:c>
      <x:c r="C269" s="6" t="str">
        <x:f>IF(B269="","Needs decision","Ready")</x:f>
        <x:v>Ready</x:v>
      </x:c>
      <x:c r="D269" s="6" t="str">
        <x:v>去</x:v>
      </x:c>
      <x:c r="E269" s="6" t="str">
        <x:v>kaeH (C)</x:v>
      </x:c>
      <x:c r="F269" s="6" t="str">
        <x:v>1</x:v>
      </x:c>
      <x:c r="G269" s="6" t="str"/>
      <x:c r="H269" s="6" t="str">
        <x:f>IF(B269="平","平",IF(B269="","","仄"))</x:f>
        <x:v>仄</x:v>
      </x:c>
      <x:c r="I269" s="6" t="str">
        <x:f>IF(D266="","",IF(AND(ISNUMBER(SEARCH("平",D266)),OR(ISNUMBER(SEARCH("上",D266)),ISNUMBER(SEARCH("去",D266)),ISNUMBER(SEARCH("入",D266)))),"Ambiguous",IF(ISNUMBER(SEARCH("平",D266)),"平","仄")))</x:f>
      </x:c>
      <x:c r="J269" s="7" t="str"/>
    </x:row>
    <x:row r="270">
      <x:c r="A270" s="5" t="str">
        <x:v>僻</x:v>
      </x:c>
      <x:c r="B270" s="6" t="str">
        <x:v>入</x:v>
      </x:c>
      <x:c r="C270" s="6" t="str">
        <x:f>IF(B270="","Needs decision","Ready")</x:f>
        <x:v>Ready</x:v>
      </x:c>
      <x:c r="D270" s="6" t="str">
        <x:v>入</x:v>
      </x:c>
      <x:c r="E270" s="6" t="str">
        <x:v>phjiek (D)</x:v>
      </x:c>
      <x:c r="F270" s="6" t="str">
        <x:v>1</x:v>
      </x:c>
      <x:c r="G270" s="6" t="str"/>
      <x:c r="H270" s="6" t="str">
        <x:f>IF(B270="平","平",IF(B270="","","仄"))</x:f>
        <x:v>仄</x:v>
      </x:c>
      <x:c r="I270" s="6" t="str">
        <x:f>IF(D267="","",IF(AND(ISNUMBER(SEARCH("平",D267)),OR(ISNUMBER(SEARCH("上",D267)),ISNUMBER(SEARCH("去",D267)),ISNUMBER(SEARCH("入",D267)))),"Ambiguous",IF(ISNUMBER(SEARCH("平",D267)),"平","仄")))</x:f>
        <x:v>仄</x:v>
      </x:c>
      <x:c r="J270" s="7" t="str"/>
    </x:row>
    <x:row r="271">
      <x:c r="A271" s="5" t="str">
        <x:v>僾</x:v>
      </x:c>
      <x:c r="B271" s="6" t="str">
        <x:v>去</x:v>
      </x:c>
      <x:c r="C271" s="6" t="str">
        <x:f>IF(B271="","Needs decision","Ready")</x:f>
        <x:v>Ready</x:v>
      </x:c>
      <x:c r="D271" s="6" t="str">
        <x:v>去</x:v>
      </x:c>
      <x:c r="E271" s="6" t="str">
        <x:v>'ojH (C)</x:v>
      </x:c>
      <x:c r="F271" s="6" t="str">
        <x:v>1</x:v>
      </x:c>
      <x:c r="G271" s="6" t="str"/>
      <x:c r="H271" s="6" t="str">
        <x:f>IF(B271="平","平",IF(B271="","","仄"))</x:f>
        <x:v>仄</x:v>
      </x:c>
      <x:c r="I271" s="6" t="str">
        <x:f>IF(D268="","",IF(AND(ISNUMBER(SEARCH("平",D268)),OR(ISNUMBER(SEARCH("上",D268)),ISNUMBER(SEARCH("去",D268)),ISNUMBER(SEARCH("入",D268)))),"Ambiguous",IF(ISNUMBER(SEARCH("平",D268)),"平","仄")))</x:f>
        <x:v>平</x:v>
      </x:c>
      <x:c r="J271" s="7" t="str"/>
    </x:row>
    <x:row r="272">
      <x:c r="A272" s="5" t="str">
        <x:v>儀</x:v>
      </x:c>
      <x:c r="B272" s="6" t="str">
        <x:v>平</x:v>
      </x:c>
      <x:c r="C272" s="6" t="str">
        <x:f>IF(B272="","Needs decision","Ready")</x:f>
        <x:v>Ready</x:v>
      </x:c>
      <x:c r="D272" s="6" t="str">
        <x:v>平</x:v>
      </x:c>
      <x:c r="E272" s="6" t="str">
        <x:v>ngje (A)</x:v>
      </x:c>
      <x:c r="F272" s="6" t="str">
        <x:v>1</x:v>
      </x:c>
      <x:c r="G272" s="6" t="str"/>
      <x:c r="H272" s="6" t="str">
        <x:f>IF(B272="平","平",IF(B272="","","仄"))</x:f>
        <x:v>平</x:v>
      </x:c>
      <x:c r="I272" s="6" t="str">
        <x:f>IF(D269="","",IF(AND(ISNUMBER(SEARCH("平",D269)),OR(ISNUMBER(SEARCH("上",D269)),ISNUMBER(SEARCH("去",D269)),ISNUMBER(SEARCH("入",D269)))),"Ambiguous",IF(ISNUMBER(SEARCH("平",D269)),"平","仄")))</x:f>
        <x:v>仄</x:v>
      </x:c>
      <x:c r="J272" s="7" t="str"/>
    </x:row>
    <x:row r="273">
      <x:c r="A273" s="5" t="str">
        <x:v>億</x:v>
      </x:c>
      <x:c r="B273" s="6" t="str">
        <x:v>入</x:v>
      </x:c>
      <x:c r="C273" s="6" t="str">
        <x:f>IF(B273="","Needs decision","Ready")</x:f>
        <x:v>Ready</x:v>
      </x:c>
      <x:c r="D273" s="6" t="str">
        <x:v>入</x:v>
      </x:c>
      <x:c r="E273" s="6" t="str">
        <x:v>'ik (D)</x:v>
      </x:c>
      <x:c r="F273" s="6" t="str">
        <x:v>1</x:v>
      </x:c>
      <x:c r="G273" s="6" t="str"/>
      <x:c r="H273" s="6" t="str">
        <x:f>IF(B273="平","平",IF(B273="","","仄"))</x:f>
        <x:v>仄</x:v>
      </x:c>
      <x:c r="I273" s="6" t="str">
        <x:f>IF(D270="","",IF(AND(ISNUMBER(SEARCH("平",D270)),OR(ISNUMBER(SEARCH("上",D270)),ISNUMBER(SEARCH("去",D270)),ISNUMBER(SEARCH("入",D270)))),"Ambiguous",IF(ISNUMBER(SEARCH("平",D270)),"平","仄")))</x:f>
        <x:v>仄</x:v>
      </x:c>
      <x:c r="J273" s="7" t="str"/>
    </x:row>
    <x:row r="274">
      <x:c r="A274" s="5" t="str">
        <x:v>儇</x:v>
      </x:c>
      <x:c r="B274" s="6" t="str">
        <x:v>平</x:v>
      </x:c>
      <x:c r="C274" s="6" t="str">
        <x:f>IF(B274="","Needs decision","Ready")</x:f>
        <x:v>Ready</x:v>
      </x:c>
      <x:c r="D274" s="6" t="str">
        <x:v>平</x:v>
      </x:c>
      <x:c r="E274" s="6" t="str">
        <x:v>xjwien (A)</x:v>
      </x:c>
      <x:c r="F274" s="6" t="str">
        <x:v>1</x:v>
      </x:c>
      <x:c r="G274" s="6" t="str"/>
      <x:c r="H274" s="6" t="str">
        <x:f>IF(B274="平","平",IF(B274="","","仄"))</x:f>
        <x:v>平</x:v>
      </x:c>
      <x:c r="I274" s="6" t="str">
        <x:f>IF(D271="","",IF(AND(ISNUMBER(SEARCH("平",D271)),OR(ISNUMBER(SEARCH("上",D271)),ISNUMBER(SEARCH("去",D271)),ISNUMBER(SEARCH("入",D271)))),"Ambiguous",IF(ISNUMBER(SEARCH("平",D271)),"平","仄")))</x:f>
        <x:v>仄</x:v>
      </x:c>
      <x:c r="J274" s="7" t="str"/>
    </x:row>
    <x:row r="275">
      <x:c r="A275" s="5" t="str">
        <x:v>儉</x:v>
      </x:c>
      <x:c r="B275" s="6" t="str">
        <x:v>上</x:v>
      </x:c>
      <x:c r="C275" s="6" t="str">
        <x:f>IF(B275="","Needs decision","Ready")</x:f>
        <x:v>Ready</x:v>
      </x:c>
      <x:c r="D275" s="6" t="str">
        <x:v>上</x:v>
      </x:c>
      <x:c r="E275" s="6" t="str">
        <x:v>gjemX (B)</x:v>
      </x:c>
      <x:c r="F275" s="6" t="str">
        <x:v>1</x:v>
      </x:c>
      <x:c r="G275" s="6" t="str"/>
      <x:c r="H275" s="6" t="str">
        <x:f>IF(B275="平","平",IF(B275="","","仄"))</x:f>
        <x:v>仄</x:v>
      </x:c>
      <x:c r="I275" s="6" t="str">
        <x:f>IF(D272="","",IF(AND(ISNUMBER(SEARCH("平",D272)),OR(ISNUMBER(SEARCH("上",D272)),ISNUMBER(SEARCH("去",D272)),ISNUMBER(SEARCH("入",D272)))),"Ambiguous",IF(ISNUMBER(SEARCH("平",D272)),"平","仄")))</x:f>
        <x:v>平</x:v>
      </x:c>
      <x:c r="J275" s="7" t="str"/>
    </x:row>
    <x:row r="276">
      <x:c r="A276" s="5" t="str">
        <x:v>儋</x:v>
      </x:c>
      <x:c r="B276" s="6" t="str">
        <x:v>平</x:v>
      </x:c>
      <x:c r="C276" s="6" t="str">
        <x:f>IF(B276="","Needs decision","Ready")</x:f>
        <x:v>Ready</x:v>
      </x:c>
      <x:c r="D276" s="6" t="str">
        <x:v>平</x:v>
      </x:c>
      <x:c r="E276" s="6" t="str">
        <x:v>tam (A)</x:v>
      </x:c>
      <x:c r="F276" s="6" t="str">
        <x:v>1</x:v>
      </x:c>
      <x:c r="G276" s="6" t="str"/>
      <x:c r="H276" s="6" t="str">
        <x:f>IF(B276="平","平",IF(B276="","","仄"))</x:f>
        <x:v>平</x:v>
      </x:c>
      <x:c r="I276" s="6" t="str">
        <x:f>IF(D273="","",IF(AND(ISNUMBER(SEARCH("平",D273)),OR(ISNUMBER(SEARCH("上",D273)),ISNUMBER(SEARCH("去",D273)),ISNUMBER(SEARCH("入",D273)))),"Ambiguous",IF(ISNUMBER(SEARCH("平",D273)),"平","仄")))</x:f>
        <x:v>仄</x:v>
      </x:c>
      <x:c r="J276" s="7" t="str"/>
    </x:row>
    <x:row r="277">
      <x:c r="A277" s="5" t="str">
        <x:v>儒</x:v>
      </x:c>
      <x:c r="B277" s="6" t="str">
        <x:v>平</x:v>
      </x:c>
      <x:c r="C277" s="6" t="str">
        <x:f>IF(B277="","Needs decision","Ready")</x:f>
        <x:v>Ready</x:v>
      </x:c>
      <x:c r="D277" s="6" t="str">
        <x:v>平</x:v>
      </x:c>
      <x:c r="E277" s="6" t="str"/>
      <x:c r="F277" s="6" t="str"/>
      <x:c r="G277" s="6" t="str">
        <x:v>Manual user correction/addition</x:v>
      </x:c>
      <x:c r="H277" s="6" t="str">
        <x:f>IF(B277="平","平",IF(B277="","","仄"))</x:f>
        <x:v>平</x:v>
      </x:c>
      <x:c r="I277" s="6" t="str">
        <x:f>IF(D274="","",IF(AND(ISNUMBER(SEARCH("平",D274)),OR(ISNUMBER(SEARCH("上",D274)),ISNUMBER(SEARCH("去",D274)),ISNUMBER(SEARCH("入",D274)))),"Ambiguous",IF(ISNUMBER(SEARCH("平",D274)),"平","仄")))</x:f>
        <x:v>平</x:v>
      </x:c>
      <x:c r="J277" s="7" t="str">
        <x:v>manual user correction</x:v>
      </x:c>
    </x:row>
    <x:row r="278">
      <x:c r="A278" s="5" t="str">
        <x:v>儕</x:v>
      </x:c>
      <x:c r="B278" s="6" t="str">
        <x:v>平</x:v>
      </x:c>
      <x:c r="C278" s="6" t="str">
        <x:f>IF(B278="","Needs decision","Ready")</x:f>
        <x:v>Ready</x:v>
      </x:c>
      <x:c r="D278" s="6" t="str">
        <x:v>平</x:v>
      </x:c>
      <x:c r="E278" s="6" t="str">
        <x:v>dzreaj (A)</x:v>
      </x:c>
      <x:c r="F278" s="6" t="str">
        <x:v>1</x:v>
      </x:c>
      <x:c r="G278" s="6" t="str"/>
      <x:c r="H278" s="6" t="str">
        <x:f>IF(B278="平","平",IF(B278="","","仄"))</x:f>
        <x:v>平</x:v>
      </x:c>
      <x:c r="I278" s="6" t="str">
        <x:f>IF(D275="","",IF(AND(ISNUMBER(SEARCH("平",D275)),OR(ISNUMBER(SEARCH("上",D275)),ISNUMBER(SEARCH("去",D275)),ISNUMBER(SEARCH("入",D275)))),"Ambiguous",IF(ISNUMBER(SEARCH("平",D275)),"平","仄")))</x:f>
        <x:v>仄</x:v>
      </x:c>
      <x:c r="J278" s="7" t="str"/>
    </x:row>
    <x:row r="279">
      <x:c r="A279" s="5" t="str">
        <x:v>儛</x:v>
      </x:c>
      <x:c r="B279" s="6" t="str">
        <x:v>上</x:v>
      </x:c>
      <x:c r="C279" s="6" t="str">
        <x:f>IF(B279="","Needs decision","Ready")</x:f>
        <x:v>Ready</x:v>
      </x:c>
      <x:c r="D279" s="6" t="str">
        <x:v>上</x:v>
      </x:c>
      <x:c r="E279" s="6" t="str">
        <x:v>mjuX (B)</x:v>
      </x:c>
      <x:c r="F279" s="6" t="str">
        <x:v>1</x:v>
      </x:c>
      <x:c r="G279" s="6" t="str"/>
      <x:c r="H279" s="6" t="str">
        <x:f>IF(B279="平","平",IF(B279="","","仄"))</x:f>
        <x:v>仄</x:v>
      </x:c>
      <x:c r="I279" s="6" t="str">
        <x:f>IF(D276="","",IF(AND(ISNUMBER(SEARCH("平",D276)),OR(ISNUMBER(SEARCH("上",D276)),ISNUMBER(SEARCH("去",D276)),ISNUMBER(SEARCH("入",D276)))),"Ambiguous",IF(ISNUMBER(SEARCH("平",D276)),"平","仄")))</x:f>
        <x:v>平</x:v>
      </x:c>
      <x:c r="J279" s="7" t="str"/>
    </x:row>
    <x:row r="280">
      <x:c r="A280" s="5" t="str">
        <x:v>儢</x:v>
      </x:c>
      <x:c r="B280" s="6" t="str">
        <x:v>上</x:v>
      </x:c>
      <x:c r="C280" s="6" t="str">
        <x:f>IF(B280="","Needs decision","Ready")</x:f>
        <x:v>Ready</x:v>
      </x:c>
      <x:c r="D280" s="6" t="str">
        <x:v>上</x:v>
      </x:c>
      <x:c r="E280" s="6" t="str">
        <x:v>ljoX (B)</x:v>
      </x:c>
      <x:c r="F280" s="6" t="str">
        <x:v>1</x:v>
      </x:c>
      <x:c r="G280" s="6" t="str"/>
      <x:c r="H280" s="6" t="str">
        <x:f>IF(B280="平","平",IF(B280="","","仄"))</x:f>
        <x:v>仄</x:v>
      </x:c>
      <x:c r="I280" s="6" t="str">
        <x:f>IF(D277="","",IF(AND(ISNUMBER(SEARCH("平",D277)),OR(ISNUMBER(SEARCH("上",D277)),ISNUMBER(SEARCH("去",D277)),ISNUMBER(SEARCH("入",D277)))),"Ambiguous",IF(ISNUMBER(SEARCH("平",D277)),"平","仄")))</x:f>
        <x:v>平</x:v>
      </x:c>
      <x:c r="J280" s="7" t="str"/>
    </x:row>
    <x:row r="281">
      <x:c r="A281" s="5" t="str">
        <x:v>儥</x:v>
      </x:c>
      <x:c r="B281" s="6" t="str">
        <x:v>入</x:v>
      </x:c>
      <x:c r="C281" s="6" t="str">
        <x:f>IF(B281="","Needs decision","Ready")</x:f>
        <x:v>Ready</x:v>
      </x:c>
      <x:c r="D281" s="6" t="str">
        <x:v>入</x:v>
      </x:c>
      <x:c r="E281" s="6" t="str">
        <x:v>yuwk (D)</x:v>
      </x:c>
      <x:c r="F281" s="6" t="str">
        <x:v>1</x:v>
      </x:c>
      <x:c r="G281" s="6" t="str"/>
      <x:c r="H281" s="6" t="str">
        <x:f>IF(B281="平","平",IF(B281="","","仄"))</x:f>
        <x:v>仄</x:v>
      </x:c>
      <x:c r="I281" s="6" t="str">
        <x:f>IF(D278="","",IF(AND(ISNUMBER(SEARCH("平",D278)),OR(ISNUMBER(SEARCH("上",D278)),ISNUMBER(SEARCH("去",D278)),ISNUMBER(SEARCH("入",D278)))),"Ambiguous",IF(ISNUMBER(SEARCH("平",D278)),"平","仄")))</x:f>
        <x:v>平</x:v>
      </x:c>
      <x:c r="J281" s="7" t="str"/>
    </x:row>
    <x:row r="282">
      <x:c r="A282" s="5" t="str">
        <x:v>優</x:v>
      </x:c>
      <x:c r="B282" s="6" t="str">
        <x:v>平</x:v>
      </x:c>
      <x:c r="C282" s="6" t="str">
        <x:f>IF(B282="","Needs decision","Ready")</x:f>
        <x:v>Ready</x:v>
      </x:c>
      <x:c r="D282" s="6" t="str">
        <x:v>平</x:v>
      </x:c>
      <x:c r="E282" s="6" t="str">
        <x:v>'juw (A)</x:v>
      </x:c>
      <x:c r="F282" s="6" t="str">
        <x:v>1</x:v>
      </x:c>
      <x:c r="G282" s="6" t="str"/>
      <x:c r="H282" s="6" t="str">
        <x:f>IF(B282="平","平",IF(B282="","","仄"))</x:f>
        <x:v>平</x:v>
      </x:c>
      <x:c r="I282" s="6" t="str">
        <x:f>IF(D279="","",IF(AND(ISNUMBER(SEARCH("平",D279)),OR(ISNUMBER(SEARCH("上",D279)),ISNUMBER(SEARCH("去",D279)),ISNUMBER(SEARCH("入",D279)))),"Ambiguous",IF(ISNUMBER(SEARCH("平",D279)),"平","仄")))</x:f>
        <x:v>仄</x:v>
      </x:c>
      <x:c r="J282" s="7" t="str"/>
    </x:row>
    <x:row r="283">
      <x:c r="A283" s="5" t="str">
        <x:v>儲</x:v>
      </x:c>
      <x:c r="B283" s="6" t="str">
        <x:v>平</x:v>
      </x:c>
      <x:c r="C283" s="6" t="str">
        <x:f>IF(B283="","Needs decision","Ready")</x:f>
        <x:v>Ready</x:v>
      </x:c>
      <x:c r="D283" s="6" t="str">
        <x:v>平</x:v>
      </x:c>
      <x:c r="E283" s="6" t="str">
        <x:v>drjo [ɖjə] (平)</x:v>
      </x:c>
      <x:c r="F283" s="6" t="str">
        <x:v>1</x:v>
      </x:c>
      <x:c r="G283" s="6" t="str">
        <x:v>Tang 300 gap; frequency 1; provisional from Xun Gong</x:v>
      </x:c>
      <x:c r="H283" s="6" t="str">
        <x:f>IF(B283="平","平",IF(B283="","","仄"))</x:f>
        <x:v>平</x:v>
      </x:c>
      <x:c r="I283" s="6" t="str">
        <x:f>IF(D280="","",IF(AND(ISNUMBER(SEARCH("平",D280)),OR(ISNUMBER(SEARCH("上",D280)),ISNUMBER(SEARCH("去",D280)),ISNUMBER(SEARCH("入",D280)))),"Ambiguous",IF(ISNUMBER(SEARCH("平",D280)),"平","仄")))</x:f>
        <x:v>仄</x:v>
      </x:c>
      <x:c r="J283" s="7" t="str">
        <x:v>Xun Gong, Tang 300 gap fill</x:v>
      </x:c>
    </x:row>
    <x:row r="284">
      <x:c r="A284" s="5" t="str">
        <x:v>儺</x:v>
      </x:c>
      <x:c r="B284" s="6" t="str"/>
      <x:c r="C284" s="6" t="str">
        <x:f>IF(B284="","Needs decision","Ready")</x:f>
        <x:v>Needs decision</x:v>
      </x:c>
      <x:c r="D284" s="6" t="str">
        <x:v>平/上</x:v>
      </x:c>
      <x:c r="E284" s="6" t="str">
        <x:v>na (A); naX (B)</x:v>
      </x:c>
      <x:c r="F284" s="6" t="str">
        <x:v>2</x:v>
      </x:c>
      <x:c r="G284" s="6" t="str"/>
      <x:c r="H284" s="6" t="str">
        <x:f>IF(B284="平","平",IF(B284="","","仄"))</x:f>
      </x:c>
      <x:c r="I284" s="6" t="str">
        <x:f>IF(D281="","",IF(AND(ISNUMBER(SEARCH("平",D281)),OR(ISNUMBER(SEARCH("上",D281)),ISNUMBER(SEARCH("去",D281)),ISNUMBER(SEARCH("入",D281)))),"Ambiguous",IF(ISNUMBER(SEARCH("平",D281)),"平","仄")))</x:f>
        <x:v>仄</x:v>
      </x:c>
      <x:c r="J284" s="7" t="str"/>
    </x:row>
    <x:row r="285">
      <x:c r="A285" s="5" t="str">
        <x:v>儻</x:v>
      </x:c>
      <x:c r="B285" s="6" t="str">
        <x:v>上</x:v>
      </x:c>
      <x:c r="C285" s="6" t="str">
        <x:f>IF(B285="","Needs decision","Ready")</x:f>
        <x:v>Ready</x:v>
      </x:c>
      <x:c r="D285" s="6" t="str">
        <x:v>上</x:v>
      </x:c>
      <x:c r="E285" s="6" t="str">
        <x:v>thangX (B)</x:v>
      </x:c>
      <x:c r="F285" s="6" t="str">
        <x:v>1</x:v>
      </x:c>
      <x:c r="G285" s="6" t="str"/>
      <x:c r="H285" s="6" t="str">
        <x:f>IF(B285="平","平",IF(B285="","","仄"))</x:f>
        <x:v>仄</x:v>
      </x:c>
      <x:c r="I285" s="6" t="str">
        <x:f>IF(D282="","",IF(AND(ISNUMBER(SEARCH("平",D282)),OR(ISNUMBER(SEARCH("上",D282)),ISNUMBER(SEARCH("去",D282)),ISNUMBER(SEARCH("入",D282)))),"Ambiguous",IF(ISNUMBER(SEARCH("平",D282)),"平","仄")))</x:f>
        <x:v>平</x:v>
      </x:c>
      <x:c r="J285" s="7" t="str"/>
    </x:row>
    <x:row r="286">
      <x:c r="A286" s="5" t="str">
        <x:v>儼</x:v>
      </x:c>
      <x:c r="B286" s="6" t="str">
        <x:v>上</x:v>
      </x:c>
      <x:c r="C286" s="6" t="str">
        <x:f>IF(B286="","Needs decision","Ready")</x:f>
        <x:v>Ready</x:v>
      </x:c>
      <x:c r="D286" s="6" t="str">
        <x:v>上</x:v>
      </x:c>
      <x:c r="E286" s="6" t="str">
        <x:v>ngjaemX (B)</x:v>
      </x:c>
      <x:c r="F286" s="6" t="str">
        <x:v>1</x:v>
      </x:c>
      <x:c r="G286" s="6" t="str"/>
      <x:c r="H286" s="6" t="str">
        <x:f>IF(B286="平","平",IF(B286="","","仄"))</x:f>
        <x:v>仄</x:v>
      </x:c>
      <x:c r="I286" s="6" t="str">
        <x:f>IF(D283="","",IF(AND(ISNUMBER(SEARCH("平",D283)),OR(ISNUMBER(SEARCH("上",D283)),ISNUMBER(SEARCH("去",D283)),ISNUMBER(SEARCH("入",D283)))),"Ambiguous",IF(ISNUMBER(SEARCH("平",D283)),"平","仄")))</x:f>
        <x:v>平</x:v>
      </x:c>
      <x:c r="J286" s="7" t="str"/>
    </x:row>
    <x:row r="287">
      <x:c r="A287" s="5" t="str">
        <x:v>儽</x:v>
      </x:c>
      <x:c r="B287" s="6" t="str">
        <x:v>去</x:v>
      </x:c>
      <x:c r="C287" s="6" t="str">
        <x:f>IF(B287="","Needs decision","Ready")</x:f>
        <x:v>Ready</x:v>
      </x:c>
      <x:c r="D287" s="6" t="str">
        <x:v>去</x:v>
      </x:c>
      <x:c r="E287" s="6" t="str">
        <x:v>lwojH (C)</x:v>
      </x:c>
      <x:c r="F287" s="6" t="str">
        <x:v>1</x:v>
      </x:c>
      <x:c r="G287" s="6" t="str"/>
      <x:c r="H287" s="6" t="str">
        <x:f>IF(B287="平","平",IF(B287="","","仄"))</x:f>
        <x:v>仄</x:v>
      </x:c>
      <x:c r="I287" s="6" t="str">
        <x:f>IF(D284="","",IF(AND(ISNUMBER(SEARCH("平",D284)),OR(ISNUMBER(SEARCH("上",D284)),ISNUMBER(SEARCH("去",D284)),ISNUMBER(SEARCH("入",D284)))),"Ambiguous",IF(ISNUMBER(SEARCH("平",D284)),"平","仄")))</x:f>
        <x:v>Ambiguous</x:v>
      </x:c>
      <x:c r="J287" s="7" t="str"/>
    </x:row>
    <x:row r="288">
      <x:c r="A288" s="5" t="str">
        <x:v>兀</x:v>
      </x:c>
      <x:c r="B288" s="6" t="str">
        <x:v>入</x:v>
      </x:c>
      <x:c r="C288" s="6" t="str">
        <x:f>IF(B288="","Needs decision","Ready")</x:f>
        <x:v>Ready</x:v>
      </x:c>
      <x:c r="D288" s="6" t="str">
        <x:v>入</x:v>
      </x:c>
      <x:c r="E288" s="6" t="str">
        <x:v>ngwot (D)</x:v>
      </x:c>
      <x:c r="F288" s="6" t="str">
        <x:v>1</x:v>
      </x:c>
      <x:c r="G288" s="6" t="str"/>
      <x:c r="H288" s="6" t="str">
        <x:f>IF(B288="平","平",IF(B288="","","仄"))</x:f>
        <x:v>仄</x:v>
      </x:c>
      <x:c r="I288" s="6" t="str">
        <x:f>IF(D285="","",IF(AND(ISNUMBER(SEARCH("平",D285)),OR(ISNUMBER(SEARCH("上",D285)),ISNUMBER(SEARCH("去",D285)),ISNUMBER(SEARCH("入",D285)))),"Ambiguous",IF(ISNUMBER(SEARCH("平",D285)),"平","仄")))</x:f>
        <x:v>仄</x:v>
      </x:c>
      <x:c r="J288" s="7" t="str"/>
    </x:row>
    <x:row r="289">
      <x:c r="A289" s="5" t="str">
        <x:v>允</x:v>
      </x:c>
      <x:c r="B289" s="6" t="str">
        <x:v>上</x:v>
      </x:c>
      <x:c r="C289" s="6" t="str">
        <x:f>IF(B289="","Needs decision","Ready")</x:f>
        <x:v>Ready</x:v>
      </x:c>
      <x:c r="D289" s="6" t="str">
        <x:v>上</x:v>
      </x:c>
      <x:c r="E289" s="6" t="str">
        <x:v>ywinX (B)</x:v>
      </x:c>
      <x:c r="F289" s="6" t="str">
        <x:v>1</x:v>
      </x:c>
      <x:c r="G289" s="6" t="str"/>
      <x:c r="H289" s="6" t="str">
        <x:f>IF(B289="平","平",IF(B289="","","仄"))</x:f>
        <x:v>仄</x:v>
      </x:c>
      <x:c r="I289" s="6" t="str">
        <x:f>IF(D286="","",IF(AND(ISNUMBER(SEARCH("平",D286)),OR(ISNUMBER(SEARCH("上",D286)),ISNUMBER(SEARCH("去",D286)),ISNUMBER(SEARCH("入",D286)))),"Ambiguous",IF(ISNUMBER(SEARCH("平",D286)),"平","仄")))</x:f>
        <x:v>仄</x:v>
      </x:c>
      <x:c r="J289" s="7" t="str"/>
    </x:row>
    <x:row r="290">
      <x:c r="A290" s="5" t="str">
        <x:v>元</x:v>
      </x:c>
      <x:c r="B290" s="6" t="str">
        <x:v>平</x:v>
      </x:c>
      <x:c r="C290" s="6" t="str">
        <x:f>IF(B290="","Needs decision","Ready")</x:f>
        <x:v>Ready</x:v>
      </x:c>
      <x:c r="D290" s="6" t="str">
        <x:v>平</x:v>
      </x:c>
      <x:c r="E290" s="6" t="str">
        <x:v>ngjwon (A)</x:v>
      </x:c>
      <x:c r="F290" s="6" t="str">
        <x:v>1</x:v>
      </x:c>
      <x:c r="G290" s="6" t="str"/>
      <x:c r="H290" s="6" t="str">
        <x:f>IF(B290="平","平",IF(B290="","","仄"))</x:f>
        <x:v>平</x:v>
      </x:c>
      <x:c r="I290" s="6" t="str">
        <x:f>IF(D287="","",IF(AND(ISNUMBER(SEARCH("平",D287)),OR(ISNUMBER(SEARCH("上",D287)),ISNUMBER(SEARCH("去",D287)),ISNUMBER(SEARCH("入",D287)))),"Ambiguous",IF(ISNUMBER(SEARCH("平",D287)),"平","仄")))</x:f>
        <x:v>仄</x:v>
      </x:c>
      <x:c r="J290" s="7" t="str"/>
    </x:row>
    <x:row r="291">
      <x:c r="A291" s="5" t="str">
        <x:v>兄</x:v>
      </x:c>
      <x:c r="B291" s="6" t="str">
        <x:v>平</x:v>
      </x:c>
      <x:c r="C291" s="6" t="str">
        <x:f>IF(B291="","Needs decision","Ready")</x:f>
        <x:v>Ready</x:v>
      </x:c>
      <x:c r="D291" s="6" t="str">
        <x:v>平</x:v>
      </x:c>
      <x:c r="E291" s="6" t="str">
        <x:v>xjwaeng (A)</x:v>
      </x:c>
      <x:c r="F291" s="6" t="str">
        <x:v>1</x:v>
      </x:c>
      <x:c r="G291" s="6" t="str"/>
      <x:c r="H291" s="6" t="str">
        <x:f>IF(B291="平","平",IF(B291="","","仄"))</x:f>
        <x:v>平</x:v>
      </x:c>
      <x:c r="I291" s="6" t="str">
        <x:f>IF(D288="","",IF(AND(ISNUMBER(SEARCH("平",D288)),OR(ISNUMBER(SEARCH("上",D288)),ISNUMBER(SEARCH("去",D288)),ISNUMBER(SEARCH("入",D288)))),"Ambiguous",IF(ISNUMBER(SEARCH("平",D288)),"平","仄")))</x:f>
        <x:v>仄</x:v>
      </x:c>
      <x:c r="J291" s="7" t="str"/>
    </x:row>
    <x:row r="292">
      <x:c r="A292" s="5" t="str">
        <x:v>充</x:v>
      </x:c>
      <x:c r="B292" s="6" t="str">
        <x:v>平</x:v>
      </x:c>
      <x:c r="C292" s="6" t="str">
        <x:f>IF(B292="","Needs decision","Ready")</x:f>
        <x:v>Ready</x:v>
      </x:c>
      <x:c r="D292" s="6" t="str">
        <x:v>平</x:v>
      </x:c>
      <x:c r="E292" s="6" t="str">
        <x:v>tsyhuwng (A)</x:v>
      </x:c>
      <x:c r="F292" s="6" t="str">
        <x:v>1</x:v>
      </x:c>
      <x:c r="G292" s="6" t="str"/>
      <x:c r="H292" s="6" t="str">
        <x:f>IF(B292="平","平",IF(B292="","","仄"))</x:f>
        <x:v>平</x:v>
      </x:c>
      <x:c r="I292" s="6" t="str">
        <x:f>IF(D289="","",IF(AND(ISNUMBER(SEARCH("平",D289)),OR(ISNUMBER(SEARCH("上",D289)),ISNUMBER(SEARCH("去",D289)),ISNUMBER(SEARCH("入",D289)))),"Ambiguous",IF(ISNUMBER(SEARCH("平",D289)),"平","仄")))</x:f>
        <x:v>仄</x:v>
      </x:c>
      <x:c r="J292" s="7" t="str"/>
    </x:row>
    <x:row r="293">
      <x:c r="A293" s="5" t="str">
        <x:v>兆</x:v>
      </x:c>
      <x:c r="B293" s="6" t="str">
        <x:v>上</x:v>
      </x:c>
      <x:c r="C293" s="6" t="str">
        <x:f>IF(B293="","Needs decision","Ready")</x:f>
        <x:v>Ready</x:v>
      </x:c>
      <x:c r="D293" s="6" t="str">
        <x:v>上</x:v>
      </x:c>
      <x:c r="E293" s="6" t="str">
        <x:v>drjewX (B)</x:v>
      </x:c>
      <x:c r="F293" s="6" t="str">
        <x:v>1</x:v>
      </x:c>
      <x:c r="G293" s="6" t="str"/>
      <x:c r="H293" s="6" t="str">
        <x:f>IF(B293="平","平",IF(B293="","","仄"))</x:f>
        <x:v>仄</x:v>
      </x:c>
      <x:c r="I293" s="6" t="str">
        <x:f>IF(D290="","",IF(AND(ISNUMBER(SEARCH("平",D290)),OR(ISNUMBER(SEARCH("上",D290)),ISNUMBER(SEARCH("去",D290)),ISNUMBER(SEARCH("入",D290)))),"Ambiguous",IF(ISNUMBER(SEARCH("平",D290)),"平","仄")))</x:f>
        <x:v>平</x:v>
      </x:c>
      <x:c r="J293" s="7" t="str"/>
    </x:row>
    <x:row r="294">
      <x:c r="A294" s="5" t="str">
        <x:v>兇</x:v>
      </x:c>
      <x:c r="B294" s="6" t="str">
        <x:v>平</x:v>
      </x:c>
      <x:c r="C294" s="6" t="str">
        <x:f>IF(B294="","Needs decision","Ready")</x:f>
        <x:v>Ready</x:v>
      </x:c>
      <x:c r="D294" s="6" t="str">
        <x:v>上/平</x:v>
      </x:c>
      <x:c r="E294" s="6" t="str">
        <x:v>xjowngX [曉三C鍾上] xɨ̯oŋʔ; xjowng [曉三C鍾平] xɨ̯oŋ</x:v>
      </x:c>
      <x:c r="F294" s="6" t="str">
        <x:v>2</x:v>
      </x:c>
      <x:c r="G294" s="6" t="str">
        <x:v>Targeted preliminary fill from Xun Gong; review if uncertain; User workbook edit 2026-09-03</x:v>
      </x:c>
      <x:c r="H294" s="6" t="str">
        <x:f>IF(B294="平","平",IF(B294="","","仄"))</x:f>
        <x:v>平</x:v>
      </x:c>
      <x:c r="I294" s="6" t="str">
        <x:f>IF(D291="","",IF(AND(ISNUMBER(SEARCH("平",D291)),OR(ISNUMBER(SEARCH("上",D291)),ISNUMBER(SEARCH("去",D291)),ISNUMBER(SEARCH("入",D291)))),"Ambiguous",IF(ISNUMBER(SEARCH("平",D291)),"平","仄")))</x:f>
        <x:v>平</x:v>
      </x:c>
      <x:c r="J294" s="7" t="str">
        <x:v>manual user correction</x:v>
      </x:c>
    </x:row>
    <x:row r="295">
      <x:c r="A295" s="5" t="str">
        <x:v>先</x:v>
      </x:c>
      <x:c r="B295" s="6" t="str">
        <x:v>平</x:v>
      </x:c>
      <x:c r="C295" s="6" t="str">
        <x:f>IF(B295="","Needs decision","Ready")</x:f>
        <x:v>Ready</x:v>
      </x:c>
      <x:c r="D295" s="6" t="str">
        <x:v>平/去</x:v>
      </x:c>
      <x:c r="E295" s="6" t="str">
        <x:v>sen (A); senH (C)</x:v>
      </x:c>
      <x:c r="F295" s="6" t="str">
        <x:v>2</x:v>
      </x:c>
      <x:c r="G295" s="6" t="str">
        <x:v>User workbook edit 2026-09-03</x:v>
      </x:c>
      <x:c r="H295" s="6" t="str">
        <x:f>IF(B295="平","平",IF(B295="","","仄"))</x:f>
        <x:v>平</x:v>
      </x:c>
      <x:c r="I295" s="6" t="str">
        <x:f>IF(D292="","",IF(AND(ISNUMBER(SEARCH("平",D292)),OR(ISNUMBER(SEARCH("上",D292)),ISNUMBER(SEARCH("去",D292)),ISNUMBER(SEARCH("入",D292)))),"Ambiguous",IF(ISNUMBER(SEARCH("平",D292)),"平","仄")))</x:f>
        <x:v>平</x:v>
      </x:c>
      <x:c r="J295" s="7" t="str">
        <x:v>manual user correction</x:v>
      </x:c>
    </x:row>
    <x:row r="296">
      <x:c r="A296" s="5" t="str">
        <x:v>光</x:v>
      </x:c>
      <x:c r="B296" s="6" t="str">
        <x:v>平</x:v>
      </x:c>
      <x:c r="C296" s="6" t="str">
        <x:f>IF(B296="","Needs decision","Ready")</x:f>
        <x:v>Ready</x:v>
      </x:c>
      <x:c r="D296" s="6" t="str">
        <x:v>平</x:v>
      </x:c>
      <x:c r="E296" s="6" t="str">
        <x:v>kwang (A)</x:v>
      </x:c>
      <x:c r="F296" s="6" t="str">
        <x:v>1</x:v>
      </x:c>
      <x:c r="G296" s="6" t="str"/>
      <x:c r="H296" s="6" t="str">
        <x:f>IF(B296="平","平",IF(B296="","","仄"))</x:f>
        <x:v>平</x:v>
      </x:c>
      <x:c r="I296" s="6" t="str">
        <x:f>IF(D293="","",IF(AND(ISNUMBER(SEARCH("平",D293)),OR(ISNUMBER(SEARCH("上",D293)),ISNUMBER(SEARCH("去",D293)),ISNUMBER(SEARCH("入",D293)))),"Ambiguous",IF(ISNUMBER(SEARCH("平",D293)),"平","仄")))</x:f>
        <x:v>仄</x:v>
      </x:c>
      <x:c r="J296" s="7" t="str"/>
    </x:row>
    <x:row r="297">
      <x:c r="A297" s="5" t="str">
        <x:v>克</x:v>
      </x:c>
      <x:c r="B297" s="6" t="str">
        <x:v>入</x:v>
      </x:c>
      <x:c r="C297" s="6" t="str">
        <x:f>IF(B297="","Needs decision","Ready")</x:f>
        <x:v>Ready</x:v>
      </x:c>
      <x:c r="D297" s="6" t="str">
        <x:v>入</x:v>
      </x:c>
      <x:c r="E297" s="6" t="str">
        <x:v>khok (D)</x:v>
      </x:c>
      <x:c r="F297" s="6" t="str">
        <x:v>1</x:v>
      </x:c>
      <x:c r="G297" s="6" t="str"/>
      <x:c r="H297" s="6" t="str">
        <x:f>IF(B297="平","平",IF(B297="","","仄"))</x:f>
        <x:v>仄</x:v>
      </x:c>
      <x:c r="I297" s="6" t="str">
        <x:f>IF(D294="","",IF(AND(ISNUMBER(SEARCH("平",D294)),OR(ISNUMBER(SEARCH("上",D294)),ISNUMBER(SEARCH("去",D294)),ISNUMBER(SEARCH("入",D294)))),"Ambiguous",IF(ISNUMBER(SEARCH("平",D294)),"平","仄")))</x:f>
        <x:v>Ambiguous</x:v>
      </x:c>
      <x:c r="J297" s="7" t="str"/>
    </x:row>
    <x:row r="298">
      <x:c r="A298" s="5" t="str">
        <x:v>免</x:v>
      </x:c>
      <x:c r="B298" s="6" t="str">
        <x:v>上</x:v>
      </x:c>
      <x:c r="C298" s="6" t="str">
        <x:f>IF(B298="","Needs decision","Ready")</x:f>
        <x:v>Ready</x:v>
      </x:c>
      <x:c r="D298" s="6" t="str">
        <x:v>上</x:v>
      </x:c>
      <x:c r="E298" s="6" t="str">
        <x:v>mjenX (B)</x:v>
      </x:c>
      <x:c r="F298" s="6" t="str">
        <x:v>1</x:v>
      </x:c>
      <x:c r="G298" s="6" t="str"/>
      <x:c r="H298" s="6" t="str">
        <x:f>IF(B298="平","平",IF(B298="","","仄"))</x:f>
        <x:v>仄</x:v>
      </x:c>
      <x:c r="I298" s="6" t="str">
        <x:f>IF(D295="","",IF(AND(ISNUMBER(SEARCH("平",D295)),OR(ISNUMBER(SEARCH("上",D295)),ISNUMBER(SEARCH("去",D295)),ISNUMBER(SEARCH("入",D295)))),"Ambiguous",IF(ISNUMBER(SEARCH("平",D295)),"平","仄")))</x:f>
        <x:v>Ambiguous</x:v>
      </x:c>
      <x:c r="J298" s="7" t="str"/>
    </x:row>
    <x:row r="299">
      <x:c r="A299" s="5" t="str">
        <x:v>兑</x:v>
      </x:c>
      <x:c r="B299" s="6" t="str">
        <x:v>去</x:v>
      </x:c>
      <x:c r="C299" s="6" t="str">
        <x:f>IF(B299="","Needs decision","Ready")</x:f>
        <x:v>Ready</x:v>
      </x:c>
      <x:c r="D299" s="6" t="str">
        <x:v>去</x:v>
      </x:c>
      <x:c r="E299" s="6" t="str">
        <x:v>dwajH (C)</x:v>
      </x:c>
      <x:c r="F299" s="6" t="str">
        <x:v>1</x:v>
      </x:c>
      <x:c r="G299" s="6" t="str"/>
      <x:c r="H299" s="6" t="str">
        <x:f>IF(B299="平","平",IF(B299="","","仄"))</x:f>
        <x:v>仄</x:v>
      </x:c>
      <x:c r="I299" s="6" t="str">
        <x:f>IF(D296="","",IF(AND(ISNUMBER(SEARCH("平",D296)),OR(ISNUMBER(SEARCH("上",D296)),ISNUMBER(SEARCH("去",D296)),ISNUMBER(SEARCH("入",D296)))),"Ambiguous",IF(ISNUMBER(SEARCH("平",D296)),"平","仄")))</x:f>
        <x:v>平</x:v>
      </x:c>
      <x:c r="J299" s="7" t="str"/>
    </x:row>
    <x:row r="300">
      <x:c r="A300" s="5" t="str">
        <x:v>兒</x:v>
      </x:c>
      <x:c r="B300" s="6" t="str">
        <x:v>平</x:v>
      </x:c>
      <x:c r="C300" s="6" t="str">
        <x:f>IF(B300="","Needs decision","Ready")</x:f>
        <x:v>Ready</x:v>
      </x:c>
      <x:c r="D300" s="6" t="str">
        <x:v>平</x:v>
      </x:c>
      <x:c r="E300" s="6" t="str">
        <x:v>nye (A)</x:v>
      </x:c>
      <x:c r="F300" s="6" t="str">
        <x:v>1</x:v>
      </x:c>
      <x:c r="G300" s="6" t="str"/>
      <x:c r="H300" s="6" t="str">
        <x:f>IF(B300="平","平",IF(B300="","","仄"))</x:f>
        <x:v>平</x:v>
      </x:c>
      <x:c r="I300" s="6" t="str">
        <x:f>IF(D297="","",IF(AND(ISNUMBER(SEARCH("平",D297)),OR(ISNUMBER(SEARCH("上",D297)),ISNUMBER(SEARCH("去",D297)),ISNUMBER(SEARCH("入",D297)))),"Ambiguous",IF(ISNUMBER(SEARCH("平",D297)),"平","仄")))</x:f>
        <x:v>仄</x:v>
      </x:c>
      <x:c r="J300" s="7" t="str"/>
    </x:row>
    <x:row r="301">
      <x:c r="A301" s="5" t="str">
        <x:v>兔</x:v>
      </x:c>
      <x:c r="B301" s="6" t="str">
        <x:v>去</x:v>
      </x:c>
      <x:c r="C301" s="6" t="str">
        <x:f>IF(B301="","Needs decision","Ready")</x:f>
        <x:v>Ready</x:v>
      </x:c>
      <x:c r="D301" s="6" t="str">
        <x:v>去</x:v>
      </x:c>
      <x:c r="E301" s="6" t="str">
        <x:v>thuH (C)</x:v>
      </x:c>
      <x:c r="F301" s="6" t="str">
        <x:v>1</x:v>
      </x:c>
      <x:c r="G301" s="6" t="str"/>
      <x:c r="H301" s="6" t="str">
        <x:f>IF(B301="平","平",IF(B301="","","仄"))</x:f>
        <x:v>仄</x:v>
      </x:c>
      <x:c r="I301" s="6" t="str">
        <x:f>IF(D298="","",IF(AND(ISNUMBER(SEARCH("平",D298)),OR(ISNUMBER(SEARCH("上",D298)),ISNUMBER(SEARCH("去",D298)),ISNUMBER(SEARCH("入",D298)))),"Ambiguous",IF(ISNUMBER(SEARCH("平",D298)),"平","仄")))</x:f>
        <x:v>仄</x:v>
      </x:c>
      <x:c r="J301" s="7" t="str"/>
    </x:row>
    <x:row r="302">
      <x:c r="A302" s="5" t="str">
        <x:v>兕</x:v>
      </x:c>
      <x:c r="B302" s="6" t="str">
        <x:v>上</x:v>
      </x:c>
      <x:c r="C302" s="6" t="str">
        <x:f>IF(B302="","Needs decision","Ready")</x:f>
        <x:v>Ready</x:v>
      </x:c>
      <x:c r="D302" s="6" t="str">
        <x:v>上</x:v>
      </x:c>
      <x:c r="E302" s="6" t="str">
        <x:v>zijX (B)</x:v>
      </x:c>
      <x:c r="F302" s="6" t="str">
        <x:v>1</x:v>
      </x:c>
      <x:c r="G302" s="6" t="str"/>
      <x:c r="H302" s="6" t="str">
        <x:f>IF(B302="平","平",IF(B302="","","仄"))</x:f>
        <x:v>仄</x:v>
      </x:c>
      <x:c r="I302" s="6" t="str">
        <x:f>IF(D299="","",IF(AND(ISNUMBER(SEARCH("平",D299)),OR(ISNUMBER(SEARCH("上",D299)),ISNUMBER(SEARCH("去",D299)),ISNUMBER(SEARCH("入",D299)))),"Ambiguous",IF(ISNUMBER(SEARCH("平",D299)),"平","仄")))</x:f>
        <x:v>仄</x:v>
      </x:c>
      <x:c r="J302" s="7" t="str"/>
    </x:row>
    <x:row r="303">
      <x:c r="A303" s="5" t="str">
        <x:v>兜</x:v>
      </x:c>
      <x:c r="B303" s="6" t="str">
        <x:v>平</x:v>
      </x:c>
      <x:c r="C303" s="6" t="str">
        <x:f>IF(B303="","Needs decision","Ready")</x:f>
        <x:v>Ready</x:v>
      </x:c>
      <x:c r="D303" s="6" t="str">
        <x:v>平</x:v>
      </x:c>
      <x:c r="E303" s="6" t="str">
        <x:v>tuw (A)</x:v>
      </x:c>
      <x:c r="F303" s="6" t="str">
        <x:v>1</x:v>
      </x:c>
      <x:c r="G303" s="6" t="str"/>
      <x:c r="H303" s="6" t="str">
        <x:f>IF(B303="平","平",IF(B303="","","仄"))</x:f>
        <x:v>平</x:v>
      </x:c>
      <x:c r="I303" s="6" t="str">
        <x:f>IF(D300="","",IF(AND(ISNUMBER(SEARCH("平",D300)),OR(ISNUMBER(SEARCH("上",D300)),ISNUMBER(SEARCH("去",D300)),ISNUMBER(SEARCH("入",D300)))),"Ambiguous",IF(ISNUMBER(SEARCH("平",D300)),"平","仄")))</x:f>
        <x:v>平</x:v>
      </x:c>
      <x:c r="J303" s="7" t="str"/>
    </x:row>
    <x:row r="304">
      <x:c r="A304" s="5" t="str">
        <x:v>兟</x:v>
      </x:c>
      <x:c r="B304" s="6" t="str">
        <x:v>平</x:v>
      </x:c>
      <x:c r="C304" s="6" t="str">
        <x:f>IF(B304="","Needs decision","Ready")</x:f>
        <x:v>Ready</x:v>
      </x:c>
      <x:c r="D304" s="6" t="str">
        <x:v>平</x:v>
      </x:c>
      <x:c r="E304" s="6" t="str">
        <x:v>srin (A)</x:v>
      </x:c>
      <x:c r="F304" s="6" t="str">
        <x:v>1</x:v>
      </x:c>
      <x:c r="G304" s="6" t="str"/>
      <x:c r="H304" s="6" t="str">
        <x:f>IF(B304="平","平",IF(B304="","","仄"))</x:f>
        <x:v>平</x:v>
      </x:c>
      <x:c r="I304" s="6" t="str">
        <x:f>IF(D301="","",IF(AND(ISNUMBER(SEARCH("平",D301)),OR(ISNUMBER(SEARCH("上",D301)),ISNUMBER(SEARCH("去",D301)),ISNUMBER(SEARCH("入",D301)))),"Ambiguous",IF(ISNUMBER(SEARCH("平",D301)),"平","仄")))</x:f>
        <x:v>仄</x:v>
      </x:c>
      <x:c r="J304" s="7" t="str"/>
    </x:row>
    <x:row r="305">
      <x:c r="A305" s="5" t="str">
        <x:v>兢</x:v>
      </x:c>
      <x:c r="B305" s="6" t="str">
        <x:v>平</x:v>
      </x:c>
      <x:c r="C305" s="6" t="str">
        <x:f>IF(B305="","Needs decision","Ready")</x:f>
        <x:v>Ready</x:v>
      </x:c>
      <x:c r="D305" s="6" t="str">
        <x:v>平</x:v>
      </x:c>
      <x:c r="E305" s="6" t="str">
        <x:v>king (A)</x:v>
      </x:c>
      <x:c r="F305" s="6" t="str">
        <x:v>1</x:v>
      </x:c>
      <x:c r="G305" s="6" t="str"/>
      <x:c r="H305" s="6" t="str">
        <x:f>IF(B305="平","平",IF(B305="","","仄"))</x:f>
        <x:v>平</x:v>
      </x:c>
      <x:c r="I305" s="6" t="str">
        <x:f>IF(D302="","",IF(AND(ISNUMBER(SEARCH("平",D302)),OR(ISNUMBER(SEARCH("上",D302)),ISNUMBER(SEARCH("去",D302)),ISNUMBER(SEARCH("入",D302)))),"Ambiguous",IF(ISNUMBER(SEARCH("平",D302)),"平","仄")))</x:f>
        <x:v>仄</x:v>
      </x:c>
      <x:c r="J305" s="7" t="str"/>
    </x:row>
    <x:row r="306">
      <x:c r="A306" s="5" t="str">
        <x:v>入</x:v>
      </x:c>
      <x:c r="B306" s="6" t="str">
        <x:v>入</x:v>
      </x:c>
      <x:c r="C306" s="6" t="str">
        <x:f>IF(B306="","Needs decision","Ready")</x:f>
        <x:v>Ready</x:v>
      </x:c>
      <x:c r="D306" s="6" t="str">
        <x:v>入</x:v>
      </x:c>
      <x:c r="E306" s="6" t="str">
        <x:v>nyip (D)</x:v>
      </x:c>
      <x:c r="F306" s="6" t="str">
        <x:v>1</x:v>
      </x:c>
      <x:c r="G306" s="6" t="str"/>
      <x:c r="H306" s="6" t="str">
        <x:f>IF(B306="平","平",IF(B306="","","仄"))</x:f>
        <x:v>仄</x:v>
      </x:c>
      <x:c r="I306" s="6" t="str">
        <x:f>IF(D303="","",IF(AND(ISNUMBER(SEARCH("平",D303)),OR(ISNUMBER(SEARCH("上",D303)),ISNUMBER(SEARCH("去",D303)),ISNUMBER(SEARCH("入",D303)))),"Ambiguous",IF(ISNUMBER(SEARCH("平",D303)),"平","仄")))</x:f>
        <x:v>平</x:v>
      </x:c>
      <x:c r="J306" s="7" t="str"/>
    </x:row>
    <x:row r="307">
      <x:c r="A307" s="5" t="str">
        <x:v>內</x:v>
      </x:c>
      <x:c r="B307" s="6" t="str">
        <x:v>去</x:v>
      </x:c>
      <x:c r="C307" s="6" t="str">
        <x:f>IF(B307="","Needs decision","Ready")</x:f>
        <x:v>Ready</x:v>
      </x:c>
      <x:c r="D307" s="6" t="str">
        <x:v>入/去</x:v>
      </x:c>
      <x:c r="E307" s="6" t="str">
        <x:v>nop (D); nwojH (C)</x:v>
      </x:c>
      <x:c r="F307" s="6" t="str">
        <x:v>2</x:v>
      </x:c>
      <x:c r="G307" s="6" t="str"/>
      <x:c r="H307" s="6" t="str">
        <x:f>IF(B307="平","平",IF(B307="","","仄"))</x:f>
        <x:v>仄</x:v>
      </x:c>
      <x:c r="I307" s="6" t="str">
        <x:f>IF(D304="","",IF(AND(ISNUMBER(SEARCH("平",D304)),OR(ISNUMBER(SEARCH("上",D304)),ISNUMBER(SEARCH("去",D304)),ISNUMBER(SEARCH("入",D304)))),"Ambiguous",IF(ISNUMBER(SEARCH("平",D304)),"平","仄")))</x:f>
        <x:v>平</x:v>
      </x:c>
      <x:c r="J307" s="7" t="str"/>
    </x:row>
    <x:row r="308">
      <x:c r="A308" s="5" t="str">
        <x:v>全</x:v>
      </x:c>
      <x:c r="B308" s="6" t="str">
        <x:v>平</x:v>
      </x:c>
      <x:c r="C308" s="6" t="str">
        <x:f>IF(B308="","Needs decision","Ready")</x:f>
        <x:v>Ready</x:v>
      </x:c>
      <x:c r="D308" s="6" t="str">
        <x:v>平</x:v>
      </x:c>
      <x:c r="E308" s="6" t="str">
        <x:v>dzjwen (A)</x:v>
      </x:c>
      <x:c r="F308" s="6" t="str">
        <x:v>1</x:v>
      </x:c>
      <x:c r="G308" s="6" t="str"/>
      <x:c r="H308" s="6" t="str">
        <x:f>IF(B308="平","平",IF(B308="","","仄"))</x:f>
        <x:v>平</x:v>
      </x:c>
      <x:c r="I308" s="6" t="str">
        <x:f>IF(D305="","",IF(AND(ISNUMBER(SEARCH("平",D305)),OR(ISNUMBER(SEARCH("上",D305)),ISNUMBER(SEARCH("去",D305)),ISNUMBER(SEARCH("入",D305)))),"Ambiguous",IF(ISNUMBER(SEARCH("平",D305)),"平","仄")))</x:f>
        <x:v>平</x:v>
      </x:c>
      <x:c r="J308" s="7" t="str"/>
    </x:row>
    <x:row r="309">
      <x:c r="A309" s="5" t="str">
        <x:v>兩</x:v>
      </x:c>
      <x:c r="B309" s="6" t="str">
        <x:v>上</x:v>
      </x:c>
      <x:c r="C309" s="6" t="str">
        <x:f>IF(B309="","Needs decision","Ready")</x:f>
        <x:v>Ready</x:v>
      </x:c>
      <x:c r="D309" s="6" t="str">
        <x:v>上</x:v>
      </x:c>
      <x:c r="E309" s="6" t="str">
        <x:v>ljangX (B)</x:v>
      </x:c>
      <x:c r="F309" s="6" t="str">
        <x:v>1</x:v>
      </x:c>
      <x:c r="G309" s="6" t="str"/>
      <x:c r="H309" s="6" t="str">
        <x:f>IF(B309="平","平",IF(B309="","","仄"))</x:f>
        <x:v>仄</x:v>
      </x:c>
      <x:c r="I309" s="6" t="str">
        <x:f>IF(D306="","",IF(AND(ISNUMBER(SEARCH("平",D306)),OR(ISNUMBER(SEARCH("上",D306)),ISNUMBER(SEARCH("去",D306)),ISNUMBER(SEARCH("入",D306)))),"Ambiguous",IF(ISNUMBER(SEARCH("平",D306)),"平","仄")))</x:f>
        <x:v>仄</x:v>
      </x:c>
      <x:c r="J309" s="7" t="str"/>
    </x:row>
    <x:row r="310">
      <x:c r="A310" s="5" t="str">
        <x:v>八</x:v>
      </x:c>
      <x:c r="B310" s="6" t="str">
        <x:v>入</x:v>
      </x:c>
      <x:c r="C310" s="6" t="str">
        <x:f>IF(B310="","Needs decision","Ready")</x:f>
        <x:v>Ready</x:v>
      </x:c>
      <x:c r="D310" s="6" t="str">
        <x:v>入</x:v>
      </x:c>
      <x:c r="E310" s="6" t="str">
        <x:v>peat (D)</x:v>
      </x:c>
      <x:c r="F310" s="6" t="str">
        <x:v>1</x:v>
      </x:c>
      <x:c r="G310" s="6" t="str"/>
      <x:c r="H310" s="6" t="str">
        <x:f>IF(B310="平","平",IF(B310="","","仄"))</x:f>
        <x:v>仄</x:v>
      </x:c>
      <x:c r="I310" s="6" t="str">
        <x:f>IF(D307="","",IF(AND(ISNUMBER(SEARCH("平",D307)),OR(ISNUMBER(SEARCH("上",D307)),ISNUMBER(SEARCH("去",D307)),ISNUMBER(SEARCH("入",D307)))),"Ambiguous",IF(ISNUMBER(SEARCH("平",D307)),"平","仄")))</x:f>
        <x:v>仄</x:v>
      </x:c>
      <x:c r="J310" s="7" t="str"/>
    </x:row>
    <x:row r="311">
      <x:c r="A311" s="5" t="str">
        <x:v>公</x:v>
      </x:c>
      <x:c r="B311" s="6" t="str">
        <x:v>平</x:v>
      </x:c>
      <x:c r="C311" s="6" t="str">
        <x:f>IF(B311="","Needs decision","Ready")</x:f>
        <x:v>Ready</x:v>
      </x:c>
      <x:c r="D311" s="6" t="str">
        <x:v>平</x:v>
      </x:c>
      <x:c r="E311" s="6" t="str">
        <x:v>kuwng (A)</x:v>
      </x:c>
      <x:c r="F311" s="6" t="str">
        <x:v>1</x:v>
      </x:c>
      <x:c r="G311" s="6" t="str"/>
      <x:c r="H311" s="6" t="str">
        <x:f>IF(B311="平","平",IF(B311="","","仄"))</x:f>
        <x:v>平</x:v>
      </x:c>
      <x:c r="I311" s="6" t="str">
        <x:f>IF(D308="","",IF(AND(ISNUMBER(SEARCH("平",D308)),OR(ISNUMBER(SEARCH("上",D308)),ISNUMBER(SEARCH("去",D308)),ISNUMBER(SEARCH("入",D308)))),"Ambiguous",IF(ISNUMBER(SEARCH("平",D308)),"平","仄")))</x:f>
        <x:v>平</x:v>
      </x:c>
      <x:c r="J311" s="7" t="str"/>
    </x:row>
    <x:row r="312">
      <x:c r="A312" s="5" t="str">
        <x:v>六</x:v>
      </x:c>
      <x:c r="B312" s="6" t="str">
        <x:v>入</x:v>
      </x:c>
      <x:c r="C312" s="6" t="str">
        <x:f>IF(B312="","Needs decision","Ready")</x:f>
        <x:v>Ready</x:v>
      </x:c>
      <x:c r="D312" s="6" t="str">
        <x:v>入</x:v>
      </x:c>
      <x:c r="E312" s="6" t="str">
        <x:v>ljuwk (D)</x:v>
      </x:c>
      <x:c r="F312" s="6" t="str">
        <x:v>1</x:v>
      </x:c>
      <x:c r="G312" s="6" t="str"/>
      <x:c r="H312" s="6" t="str">
        <x:f>IF(B312="平","平",IF(B312="","","仄"))</x:f>
        <x:v>仄</x:v>
      </x:c>
      <x:c r="I312" s="6" t="str">
        <x:f>IF(D309="","",IF(AND(ISNUMBER(SEARCH("平",D309)),OR(ISNUMBER(SEARCH("上",D309)),ISNUMBER(SEARCH("去",D309)),ISNUMBER(SEARCH("入",D309)))),"Ambiguous",IF(ISNUMBER(SEARCH("平",D309)),"平","仄")))</x:f>
        <x:v>仄</x:v>
      </x:c>
      <x:c r="J312" s="7" t="str"/>
    </x:row>
    <x:row r="313">
      <x:c r="A313" s="5" t="str">
        <x:v>兮</x:v>
      </x:c>
      <x:c r="B313" s="6" t="str">
        <x:v>平</x:v>
      </x:c>
      <x:c r="C313" s="6" t="str">
        <x:f>IF(B313="","Needs decision","Ready")</x:f>
        <x:v>Ready</x:v>
      </x:c>
      <x:c r="D313" s="6" t="str">
        <x:v>平</x:v>
      </x:c>
      <x:c r="E313" s="6" t="str">
        <x:v>hej (A)</x:v>
      </x:c>
      <x:c r="F313" s="6" t="str">
        <x:v>1</x:v>
      </x:c>
      <x:c r="G313" s="6" t="str"/>
      <x:c r="H313" s="6" t="str">
        <x:f>IF(B313="平","平",IF(B313="","","仄"))</x:f>
        <x:v>平</x:v>
      </x:c>
      <x:c r="I313" s="6" t="str">
        <x:f>IF(D310="","",IF(AND(ISNUMBER(SEARCH("平",D310)),OR(ISNUMBER(SEARCH("上",D310)),ISNUMBER(SEARCH("去",D310)),ISNUMBER(SEARCH("入",D310)))),"Ambiguous",IF(ISNUMBER(SEARCH("平",D310)),"平","仄")))</x:f>
        <x:v>仄</x:v>
      </x:c>
      <x:c r="J313" s="7" t="str"/>
    </x:row>
    <x:row r="314">
      <x:c r="A314" s="5" t="str">
        <x:v>共</x:v>
      </x:c>
      <x:c r="B314" s="6" t="str">
        <x:v>去</x:v>
      </x:c>
      <x:c r="C314" s="6" t="str">
        <x:f>IF(B314="","Needs decision","Ready")</x:f>
        <x:v>Ready</x:v>
      </x:c>
      <x:c r="D314" s="6" t="str">
        <x:v>去</x:v>
      </x:c>
      <x:c r="E314" s="6" t="str">
        <x:v>gjowngH (C)</x:v>
      </x:c>
      <x:c r="F314" s="6" t="str">
        <x:v>1</x:v>
      </x:c>
      <x:c r="G314" s="6" t="str"/>
      <x:c r="H314" s="6" t="str">
        <x:f>IF(B314="平","平",IF(B314="","","仄"))</x:f>
        <x:v>仄</x:v>
      </x:c>
      <x:c r="I314" s="6" t="str">
        <x:f>IF(D311="","",IF(AND(ISNUMBER(SEARCH("平",D311)),OR(ISNUMBER(SEARCH("上",D311)),ISNUMBER(SEARCH("去",D311)),ISNUMBER(SEARCH("入",D311)))),"Ambiguous",IF(ISNUMBER(SEARCH("平",D311)),"平","仄")))</x:f>
        <x:v>平</x:v>
      </x:c>
      <x:c r="J314" s="7" t="str"/>
    </x:row>
    <x:row r="315">
      <x:c r="A315" s="5" t="str">
        <x:v>兵</x:v>
      </x:c>
      <x:c r="B315" s="6" t="str">
        <x:v>平</x:v>
      </x:c>
      <x:c r="C315" s="6" t="str">
        <x:f>IF(B315="","Needs decision","Ready")</x:f>
        <x:v>Ready</x:v>
      </x:c>
      <x:c r="D315" s="6" t="str">
        <x:v>平</x:v>
      </x:c>
      <x:c r="E315" s="6" t="str">
        <x:v>pjaeng (A)</x:v>
      </x:c>
      <x:c r="F315" s="6" t="str">
        <x:v>1</x:v>
      </x:c>
      <x:c r="G315" s="6" t="str"/>
      <x:c r="H315" s="6" t="str">
        <x:f>IF(B315="平","平",IF(B315="","","仄"))</x:f>
        <x:v>平</x:v>
      </x:c>
      <x:c r="I315" s="6" t="str">
        <x:f>IF(D312="","",IF(AND(ISNUMBER(SEARCH("平",D312)),OR(ISNUMBER(SEARCH("上",D312)),ISNUMBER(SEARCH("去",D312)),ISNUMBER(SEARCH("入",D312)))),"Ambiguous",IF(ISNUMBER(SEARCH("平",D312)),"平","仄")))</x:f>
        <x:v>仄</x:v>
      </x:c>
      <x:c r="J315" s="7" t="str"/>
    </x:row>
    <x:row r="316">
      <x:c r="A316" s="5" t="str">
        <x:v>其</x:v>
      </x:c>
      <x:c r="B316" s="6" t="str">
        <x:v>平</x:v>
      </x:c>
      <x:c r="C316" s="6" t="str">
        <x:f>IF(B316="","Needs decision","Ready")</x:f>
        <x:v>Ready</x:v>
      </x:c>
      <x:c r="D316" s="6" t="str">
        <x:v>平</x:v>
      </x:c>
      <x:c r="E316" s="6" t="str">
        <x:v>gi (A)</x:v>
      </x:c>
      <x:c r="F316" s="6" t="str">
        <x:v>1</x:v>
      </x:c>
      <x:c r="G316" s="6" t="str"/>
      <x:c r="H316" s="6" t="str">
        <x:f>IF(B316="平","平",IF(B316="","","仄"))</x:f>
        <x:v>平</x:v>
      </x:c>
      <x:c r="I316" s="6" t="str">
        <x:f>IF(D313="","",IF(AND(ISNUMBER(SEARCH("平",D313)),OR(ISNUMBER(SEARCH("上",D313)),ISNUMBER(SEARCH("去",D313)),ISNUMBER(SEARCH("入",D313)))),"Ambiguous",IF(ISNUMBER(SEARCH("平",D313)),"平","仄")))</x:f>
        <x:v>平</x:v>
      </x:c>
      <x:c r="J316" s="7" t="str"/>
    </x:row>
    <x:row r="317">
      <x:c r="A317" s="5" t="str">
        <x:v>具</x:v>
      </x:c>
      <x:c r="B317" s="6" t="str">
        <x:v>去</x:v>
      </x:c>
      <x:c r="C317" s="6" t="str">
        <x:f>IF(B317="","Needs decision","Ready")</x:f>
        <x:v>Ready</x:v>
      </x:c>
      <x:c r="D317" s="6" t="str">
        <x:v>去</x:v>
      </x:c>
      <x:c r="E317" s="6" t="str">
        <x:v>gjuH (C)</x:v>
      </x:c>
      <x:c r="F317" s="6" t="str">
        <x:v>1</x:v>
      </x:c>
      <x:c r="G317" s="6" t="str"/>
      <x:c r="H317" s="6" t="str">
        <x:f>IF(B317="平","平",IF(B317="","","仄"))</x:f>
        <x:v>仄</x:v>
      </x:c>
      <x:c r="I317" s="6" t="str">
        <x:f>IF(D314="","",IF(AND(ISNUMBER(SEARCH("平",D314)),OR(ISNUMBER(SEARCH("上",D314)),ISNUMBER(SEARCH("去",D314)),ISNUMBER(SEARCH("入",D314)))),"Ambiguous",IF(ISNUMBER(SEARCH("平",D314)),"平","仄")))</x:f>
        <x:v>仄</x:v>
      </x:c>
      <x:c r="J317" s="7" t="str"/>
    </x:row>
    <x:row r="318">
      <x:c r="A318" s="5" t="str">
        <x:v>典</x:v>
      </x:c>
      <x:c r="B318" s="6" t="str">
        <x:v>上</x:v>
      </x:c>
      <x:c r="C318" s="6" t="str">
        <x:f>IF(B318="","Needs decision","Ready")</x:f>
        <x:v>Ready</x:v>
      </x:c>
      <x:c r="D318" s="6" t="str">
        <x:v>上</x:v>
      </x:c>
      <x:c r="E318" s="6" t="str">
        <x:v>tenX (B)</x:v>
      </x:c>
      <x:c r="F318" s="6" t="str">
        <x:v>1</x:v>
      </x:c>
      <x:c r="G318" s="6" t="str"/>
      <x:c r="H318" s="6" t="str">
        <x:f>IF(B318="平","平",IF(B318="","","仄"))</x:f>
        <x:v>仄</x:v>
      </x:c>
      <x:c r="I318" s="6" t="str">
        <x:f>IF(D315="","",IF(AND(ISNUMBER(SEARCH("平",D315)),OR(ISNUMBER(SEARCH("上",D315)),ISNUMBER(SEARCH("去",D315)),ISNUMBER(SEARCH("入",D315)))),"Ambiguous",IF(ISNUMBER(SEARCH("平",D315)),"平","仄")))</x:f>
        <x:v>平</x:v>
      </x:c>
      <x:c r="J318" s="7" t="str"/>
    </x:row>
    <x:row r="319">
      <x:c r="A319" s="5" t="str">
        <x:v>兼</x:v>
      </x:c>
      <x:c r="B319" s="6" t="str">
        <x:v>平</x:v>
      </x:c>
      <x:c r="C319" s="6" t="str">
        <x:f>IF(B319="","Needs decision","Ready")</x:f>
        <x:v>Ready</x:v>
      </x:c>
      <x:c r="D319" s="6" t="str">
        <x:v>平</x:v>
      </x:c>
      <x:c r="E319" s="6" t="str">
        <x:v>kem (A)</x:v>
      </x:c>
      <x:c r="F319" s="6" t="str">
        <x:v>1</x:v>
      </x:c>
      <x:c r="G319" s="6" t="str"/>
      <x:c r="H319" s="6" t="str">
        <x:f>IF(B319="平","平",IF(B319="","","仄"))</x:f>
        <x:v>平</x:v>
      </x:c>
      <x:c r="I319" s="6" t="str">
        <x:f>IF(D316="","",IF(AND(ISNUMBER(SEARCH("平",D316)),OR(ISNUMBER(SEARCH("上",D316)),ISNUMBER(SEARCH("去",D316)),ISNUMBER(SEARCH("入",D316)))),"Ambiguous",IF(ISNUMBER(SEARCH("平",D316)),"平","仄")))</x:f>
        <x:v>平</x:v>
      </x:c>
      <x:c r="J319" s="7" t="str"/>
    </x:row>
    <x:row r="320">
      <x:c r="A320" s="5" t="str">
        <x:v>冀</x:v>
      </x:c>
      <x:c r="B320" s="6" t="str">
        <x:v>去</x:v>
      </x:c>
      <x:c r="C320" s="6" t="str">
        <x:f>IF(B320="","Needs decision","Ready")</x:f>
        <x:v>Ready</x:v>
      </x:c>
      <x:c r="D320" s="6" t="str">
        <x:v>去</x:v>
      </x:c>
      <x:c r="E320" s="6" t="str">
        <x:v>kijH (C)</x:v>
      </x:c>
      <x:c r="F320" s="6" t="str">
        <x:v>1</x:v>
      </x:c>
      <x:c r="G320" s="6" t="str"/>
      <x:c r="H320" s="6" t="str">
        <x:f>IF(B320="平","平",IF(B320="","","仄"))</x:f>
        <x:v>仄</x:v>
      </x:c>
      <x:c r="I320" s="6" t="str">
        <x:f>IF(D317="","",IF(AND(ISNUMBER(SEARCH("平",D317)),OR(ISNUMBER(SEARCH("上",D317)),ISNUMBER(SEARCH("去",D317)),ISNUMBER(SEARCH("入",D317)))),"Ambiguous",IF(ISNUMBER(SEARCH("平",D317)),"平","仄")))</x:f>
        <x:v>仄</x:v>
      </x:c>
      <x:c r="J320" s="7" t="str"/>
    </x:row>
    <x:row r="321">
      <x:c r="A321" s="5" t="str">
        <x:v>冉</x:v>
      </x:c>
      <x:c r="B321" s="6" t="str">
        <x:v>上</x:v>
      </x:c>
      <x:c r="C321" s="6" t="str">
        <x:f>IF(B321="","Needs decision","Ready")</x:f>
        <x:v>Ready</x:v>
      </x:c>
      <x:c r="D321" s="6" t="str">
        <x:v>上</x:v>
      </x:c>
      <x:c r="E321" s="6" t="str"/>
      <x:c r="F321" s="6" t="str"/>
      <x:c r="G321" s="6" t="str">
        <x:v>Manual user correction/addition</x:v>
      </x:c>
      <x:c r="H321" s="6" t="str">
        <x:f>IF(B321="平","平",IF(B321="","","仄"))</x:f>
        <x:v>仄</x:v>
      </x:c>
      <x:c r="I321" s="6" t="str">
        <x:f>IF(D318="","",IF(AND(ISNUMBER(SEARCH("平",D318)),OR(ISNUMBER(SEARCH("上",D318)),ISNUMBER(SEARCH("去",D318)),ISNUMBER(SEARCH("入",D318)))),"Ambiguous",IF(ISNUMBER(SEARCH("平",D318)),"平","仄")))</x:f>
        <x:v>仄</x:v>
      </x:c>
      <x:c r="J321" s="7" t="str">
        <x:v>manual user correction</x:v>
      </x:c>
    </x:row>
    <x:row r="322">
      <x:c r="A322" s="5" t="str">
        <x:v>册</x:v>
      </x:c>
      <x:c r="B322" s="6" t="str">
        <x:v>入</x:v>
      </x:c>
      <x:c r="C322" s="6" t="str">
        <x:f>IF(B322="","Needs decision","Ready")</x:f>
        <x:v>Ready</x:v>
      </x:c>
      <x:c r="D322" s="6" t="str">
        <x:v>入</x:v>
      </x:c>
      <x:c r="E322" s="6" t="str">
        <x:v>tsrheak (D)</x:v>
      </x:c>
      <x:c r="F322" s="6" t="str">
        <x:v>1</x:v>
      </x:c>
      <x:c r="G322" s="6" t="str"/>
      <x:c r="H322" s="6" t="str">
        <x:f>IF(B322="平","平",IF(B322="","","仄"))</x:f>
        <x:v>仄</x:v>
      </x:c>
      <x:c r="I322" s="6" t="str">
        <x:f>IF(D319="","",IF(AND(ISNUMBER(SEARCH("平",D319)),OR(ISNUMBER(SEARCH("上",D319)),ISNUMBER(SEARCH("去",D319)),ISNUMBER(SEARCH("入",D319)))),"Ambiguous",IF(ISNUMBER(SEARCH("平",D319)),"平","仄")))</x:f>
        <x:v>平</x:v>
      </x:c>
      <x:c r="J322" s="7" t="str"/>
    </x:row>
    <x:row r="323">
      <x:c r="A323" s="5" t="str">
        <x:v>再</x:v>
      </x:c>
      <x:c r="B323" s="6" t="str">
        <x:v>去</x:v>
      </x:c>
      <x:c r="C323" s="6" t="str">
        <x:f>IF(B323="","Needs decision","Ready")</x:f>
        <x:v>Ready</x:v>
      </x:c>
      <x:c r="D323" s="6" t="str">
        <x:v>去</x:v>
      </x:c>
      <x:c r="E323" s="6" t="str">
        <x:v>tsojH (C)</x:v>
      </x:c>
      <x:c r="F323" s="6" t="str">
        <x:v>1</x:v>
      </x:c>
      <x:c r="G323" s="6" t="str"/>
      <x:c r="H323" s="6" t="str">
        <x:f>IF(B323="平","平",IF(B323="","","仄"))</x:f>
        <x:v>仄</x:v>
      </x:c>
      <x:c r="I323" s="6" t="str">
        <x:f>IF(D320="","",IF(AND(ISNUMBER(SEARCH("平",D320)),OR(ISNUMBER(SEARCH("上",D320)),ISNUMBER(SEARCH("去",D320)),ISNUMBER(SEARCH("入",D320)))),"Ambiguous",IF(ISNUMBER(SEARCH("平",D320)),"平","仄")))</x:f>
        <x:v>仄</x:v>
      </x:c>
      <x:c r="J323" s="7" t="str"/>
    </x:row>
    <x:row r="324">
      <x:c r="A324" s="5" t="str">
        <x:v>冎</x:v>
      </x:c>
      <x:c r="B324" s="6" t="str">
        <x:v>上</x:v>
      </x:c>
      <x:c r="C324" s="6" t="str">
        <x:f>IF(B324="","Needs decision","Ready")</x:f>
        <x:v>Ready</x:v>
      </x:c>
      <x:c r="D324" s="6" t="str">
        <x:v>上</x:v>
      </x:c>
      <x:c r="E324" s="6" t="str">
        <x:v>kwaeX (B)</x:v>
      </x:c>
      <x:c r="F324" s="6" t="str">
        <x:v>1</x:v>
      </x:c>
      <x:c r="G324" s="6" t="str"/>
      <x:c r="H324" s="6" t="str">
        <x:f>IF(B324="平","平",IF(B324="","","仄"))</x:f>
        <x:v>仄</x:v>
      </x:c>
      <x:c r="I324" s="6" t="str">
        <x:f>IF(D321="","",IF(AND(ISNUMBER(SEARCH("平",D321)),OR(ISNUMBER(SEARCH("上",D321)),ISNUMBER(SEARCH("去",D321)),ISNUMBER(SEARCH("入",D321)))),"Ambiguous",IF(ISNUMBER(SEARCH("平",D321)),"平","仄")))</x:f>
        <x:v>仄</x:v>
      </x:c>
      <x:c r="J324" s="7" t="str"/>
    </x:row>
    <x:row r="325">
      <x:c r="A325" s="5" t="str">
        <x:v>冑</x:v>
      </x:c>
      <x:c r="B325" s="6" t="str">
        <x:v>去</x:v>
      </x:c>
      <x:c r="C325" s="6" t="str">
        <x:f>IF(B325="","Needs decision","Ready")</x:f>
        <x:v>Ready</x:v>
      </x:c>
      <x:c r="D325" s="6" t="str">
        <x:v>去</x:v>
      </x:c>
      <x:c r="E325" s="6" t="str">
        <x:v>drjuwH (C)</x:v>
      </x:c>
      <x:c r="F325" s="6" t="str">
        <x:v>1</x:v>
      </x:c>
      <x:c r="G325" s="6" t="str"/>
      <x:c r="H325" s="6" t="str">
        <x:f>IF(B325="平","平",IF(B325="","","仄"))</x:f>
        <x:v>仄</x:v>
      </x:c>
      <x:c r="I325" s="6" t="str">
        <x:f>IF(D322="","",IF(AND(ISNUMBER(SEARCH("平",D322)),OR(ISNUMBER(SEARCH("上",D322)),ISNUMBER(SEARCH("去",D322)),ISNUMBER(SEARCH("入",D322)))),"Ambiguous",IF(ISNUMBER(SEARCH("平",D322)),"平","仄")))</x:f>
        <x:v>仄</x:v>
      </x:c>
      <x:c r="J325" s="7" t="str"/>
    </x:row>
    <x:row r="326">
      <x:c r="A326" s="5" t="str">
        <x:v>冒</x:v>
      </x:c>
      <x:c r="B326" s="6" t="str">
        <x:v>去</x:v>
      </x:c>
      <x:c r="C326" s="6" t="str">
        <x:f>IF(B326="","Needs decision","Ready")</x:f>
        <x:v>Ready</x:v>
      </x:c>
      <x:c r="D326" s="6" t="str">
        <x:v>去</x:v>
      </x:c>
      <x:c r="E326" s="6" t="str">
        <x:v>mawH (C)</x:v>
      </x:c>
      <x:c r="F326" s="6" t="str">
        <x:v>1</x:v>
      </x:c>
      <x:c r="G326" s="6" t="str"/>
      <x:c r="H326" s="6" t="str">
        <x:f>IF(B326="平","平",IF(B326="","","仄"))</x:f>
        <x:v>仄</x:v>
      </x:c>
      <x:c r="I326" s="6" t="str">
        <x:f>IF(D323="","",IF(AND(ISNUMBER(SEARCH("平",D323)),OR(ISNUMBER(SEARCH("上",D323)),ISNUMBER(SEARCH("去",D323)),ISNUMBER(SEARCH("入",D323)))),"Ambiguous",IF(ISNUMBER(SEARCH("平",D323)),"平","仄")))</x:f>
        <x:v>仄</x:v>
      </x:c>
      <x:c r="J326" s="7" t="str"/>
    </x:row>
    <x:row r="327">
      <x:c r="A327" s="5" t="str">
        <x:v>冓</x:v>
      </x:c>
      <x:c r="B327" s="6" t="str">
        <x:v>去</x:v>
      </x:c>
      <x:c r="C327" s="6" t="str">
        <x:f>IF(B327="","Needs decision","Ready")</x:f>
        <x:v>Ready</x:v>
      </x:c>
      <x:c r="D327" s="6" t="str">
        <x:v>去</x:v>
      </x:c>
      <x:c r="E327" s="6" t="str">
        <x:v>kuwH (C)</x:v>
      </x:c>
      <x:c r="F327" s="6" t="str">
        <x:v>1</x:v>
      </x:c>
      <x:c r="G327" s="6" t="str"/>
      <x:c r="H327" s="6" t="str">
        <x:f>IF(B327="平","平",IF(B327="","","仄"))</x:f>
        <x:v>仄</x:v>
      </x:c>
      <x:c r="I327" s="6" t="str">
        <x:f>IF(D324="","",IF(AND(ISNUMBER(SEARCH("平",D324)),OR(ISNUMBER(SEARCH("上",D324)),ISNUMBER(SEARCH("去",D324)),ISNUMBER(SEARCH("入",D324)))),"Ambiguous",IF(ISNUMBER(SEARCH("平",D324)),"平","仄")))</x:f>
        <x:v>仄</x:v>
      </x:c>
      <x:c r="J327" s="7" t="str"/>
    </x:row>
    <x:row r="328">
      <x:c r="A328" s="5" t="str">
        <x:v>冕</x:v>
      </x:c>
      <x:c r="B328" s="6" t="str">
        <x:v>上</x:v>
      </x:c>
      <x:c r="C328" s="6" t="str">
        <x:f>IF(B328="","Needs decision","Ready")</x:f>
        <x:v>Ready</x:v>
      </x:c>
      <x:c r="D328" s="6" t="str">
        <x:v>上</x:v>
      </x:c>
      <x:c r="E328" s="6" t="str">
        <x:v>mjenX (B)</x:v>
      </x:c>
      <x:c r="F328" s="6" t="str">
        <x:v>1</x:v>
      </x:c>
      <x:c r="G328" s="6" t="str"/>
      <x:c r="H328" s="6" t="str">
        <x:f>IF(B328="平","平",IF(B328="","","仄"))</x:f>
        <x:v>仄</x:v>
      </x:c>
      <x:c r="I328" s="6" t="str">
        <x:f>IF(D325="","",IF(AND(ISNUMBER(SEARCH("平",D325)),OR(ISNUMBER(SEARCH("上",D325)),ISNUMBER(SEARCH("去",D325)),ISNUMBER(SEARCH("入",D325)))),"Ambiguous",IF(ISNUMBER(SEARCH("平",D325)),"平","仄")))</x:f>
        <x:v>仄</x:v>
      </x:c>
      <x:c r="J328" s="7" t="str"/>
    </x:row>
    <x:row r="329">
      <x:c r="A329" s="5" t="str">
        <x:v>冞</x:v>
      </x:c>
      <x:c r="B329" s="6" t="str">
        <x:v>平</x:v>
      </x:c>
      <x:c r="C329" s="6" t="str">
        <x:f>IF(B329="","Needs decision","Ready")</x:f>
        <x:v>Ready</x:v>
      </x:c>
      <x:c r="D329" s="6" t="str">
        <x:v>平</x:v>
      </x:c>
      <x:c r="E329" s="6" t="str">
        <x:v>mjie (A)</x:v>
      </x:c>
      <x:c r="F329" s="6" t="str">
        <x:v>1</x:v>
      </x:c>
      <x:c r="G329" s="6" t="str"/>
      <x:c r="H329" s="6" t="str">
        <x:f>IF(B329="平","平",IF(B329="","","仄"))</x:f>
        <x:v>平</x:v>
      </x:c>
      <x:c r="I329" s="6" t="str">
        <x:f>IF(D326="","",IF(AND(ISNUMBER(SEARCH("平",D326)),OR(ISNUMBER(SEARCH("上",D326)),ISNUMBER(SEARCH("去",D326)),ISNUMBER(SEARCH("入",D326)))),"Ambiguous",IF(ISNUMBER(SEARCH("平",D326)),"平","仄")))</x:f>
        <x:v>仄</x:v>
      </x:c>
      <x:c r="J329" s="7" t="str"/>
    </x:row>
    <x:row r="330">
      <x:c r="A330" s="5" t="str">
        <x:v>冠</x:v>
      </x:c>
      <x:c r="B330" s="6" t="str"/>
      <x:c r="C330" s="6" t="str">
        <x:f>IF(B330="","Needs decision","Ready")</x:f>
        <x:v>Needs decision</x:v>
      </x:c>
      <x:c r="D330" s="6" t="str">
        <x:v>平/去</x:v>
      </x:c>
      <x:c r="E330" s="6" t="str">
        <x:v>kwan (A); kwanH (C)</x:v>
      </x:c>
      <x:c r="F330" s="6" t="str">
        <x:v>2</x:v>
      </x:c>
      <x:c r="G330" s="6" t="str"/>
      <x:c r="H330" s="6" t="str">
        <x:f>IF(B330="平","平",IF(B330="","","仄"))</x:f>
      </x:c>
      <x:c r="I330" s="6" t="str">
        <x:f>IF(D327="","",IF(AND(ISNUMBER(SEARCH("平",D327)),OR(ISNUMBER(SEARCH("上",D327)),ISNUMBER(SEARCH("去",D327)),ISNUMBER(SEARCH("入",D327)))),"Ambiguous",IF(ISNUMBER(SEARCH("平",D327)),"平","仄")))</x:f>
        <x:v>仄</x:v>
      </x:c>
      <x:c r="J330" s="7" t="str"/>
    </x:row>
    <x:row r="331">
      <x:c r="A331" s="5" t="str">
        <x:v>冢</x:v>
      </x:c>
      <x:c r="B331" s="6" t="str">
        <x:v>上</x:v>
      </x:c>
      <x:c r="C331" s="6" t="str">
        <x:f>IF(B331="","Needs decision","Ready")</x:f>
        <x:v>Ready</x:v>
      </x:c>
      <x:c r="D331" s="6" t="str">
        <x:v>上</x:v>
      </x:c>
      <x:c r="E331" s="6" t="str">
        <x:v>trjowngX (B)</x:v>
      </x:c>
      <x:c r="F331" s="6" t="str">
        <x:v>1</x:v>
      </x:c>
      <x:c r="G331" s="6" t="str"/>
      <x:c r="H331" s="6" t="str">
        <x:f>IF(B331="平","平",IF(B331="","","仄"))</x:f>
        <x:v>仄</x:v>
      </x:c>
      <x:c r="I331" s="6" t="str">
        <x:f>IF(D328="","",IF(AND(ISNUMBER(SEARCH("平",D328)),OR(ISNUMBER(SEARCH("上",D328)),ISNUMBER(SEARCH("去",D328)),ISNUMBER(SEARCH("入",D328)))),"Ambiguous",IF(ISNUMBER(SEARCH("平",D328)),"平","仄")))</x:f>
        <x:v>仄</x:v>
      </x:c>
      <x:c r="J331" s="7" t="str"/>
    </x:row>
    <x:row r="332">
      <x:c r="A332" s="5" t="str">
        <x:v>冤</x:v>
      </x:c>
      <x:c r="B332" s="6" t="str">
        <x:v>平</x:v>
      </x:c>
      <x:c r="C332" s="6" t="str">
        <x:f>IF(B332="","Needs decision","Ready")</x:f>
        <x:v>Ready</x:v>
      </x:c>
      <x:c r="D332" s="6" t="str">
        <x:v>平</x:v>
      </x:c>
      <x:c r="E332" s="6" t="str"/>
      <x:c r="F332" s="6" t="str"/>
      <x:c r="G332" s="6" t="str">
        <x:v>Manual user correction/addition</x:v>
      </x:c>
      <x:c r="H332" s="6" t="str">
        <x:f>IF(B332="平","平",IF(B332="","","仄"))</x:f>
        <x:v>平</x:v>
      </x:c>
      <x:c r="I332" s="6" t="str">
        <x:f>IF(D329="","",IF(AND(ISNUMBER(SEARCH("平",D329)),OR(ISNUMBER(SEARCH("上",D329)),ISNUMBER(SEARCH("去",D329)),ISNUMBER(SEARCH("入",D329)))),"Ambiguous",IF(ISNUMBER(SEARCH("平",D329)),"平","仄")))</x:f>
        <x:v>平</x:v>
      </x:c>
      <x:c r="J332" s="7" t="str">
        <x:v>manual user correction</x:v>
      </x:c>
    </x:row>
    <x:row r="333">
      <x:c r="A333" s="5" t="str">
        <x:v>冥</x:v>
      </x:c>
      <x:c r="B333" s="6" t="str">
        <x:v>平</x:v>
      </x:c>
      <x:c r="C333" s="6" t="str">
        <x:f>IF(B333="","Needs decision","Ready")</x:f>
        <x:v>Ready</x:v>
      </x:c>
      <x:c r="D333" s="6" t="str">
        <x:v>平</x:v>
      </x:c>
      <x:c r="E333" s="6" t="str">
        <x:v>meng (A)</x:v>
      </x:c>
      <x:c r="F333" s="6" t="str">
        <x:v>1</x:v>
      </x:c>
      <x:c r="G333" s="6" t="str"/>
      <x:c r="H333" s="6" t="str">
        <x:f>IF(B333="平","平",IF(B333="","","仄"))</x:f>
        <x:v>平</x:v>
      </x:c>
      <x:c r="I333" s="6" t="str">
        <x:f>IF(D330="","",IF(AND(ISNUMBER(SEARCH("平",D330)),OR(ISNUMBER(SEARCH("上",D330)),ISNUMBER(SEARCH("去",D330)),ISNUMBER(SEARCH("入",D330)))),"Ambiguous",IF(ISNUMBER(SEARCH("平",D330)),"平","仄")))</x:f>
        <x:v>Ambiguous</x:v>
      </x:c>
      <x:c r="J333" s="7" t="str"/>
    </x:row>
    <x:row r="334">
      <x:c r="A334" s="5" t="str">
        <x:v>冪</x:v>
      </x:c>
      <x:c r="B334" s="6" t="str">
        <x:v>入</x:v>
      </x:c>
      <x:c r="C334" s="6" t="str">
        <x:f>IF(B334="","Needs decision","Ready")</x:f>
        <x:v>Ready</x:v>
      </x:c>
      <x:c r="D334" s="6" t="str">
        <x:v>入</x:v>
      </x:c>
      <x:c r="E334" s="6" t="str">
        <x:v>mek (D)</x:v>
      </x:c>
      <x:c r="F334" s="6" t="str">
        <x:v>1</x:v>
      </x:c>
      <x:c r="G334" s="6" t="str"/>
      <x:c r="H334" s="6" t="str">
        <x:f>IF(B334="平","平",IF(B334="","","仄"))</x:f>
        <x:v>仄</x:v>
      </x:c>
      <x:c r="I334" s="6" t="str">
        <x:f>IF(D331="","",IF(AND(ISNUMBER(SEARCH("平",D331)),OR(ISNUMBER(SEARCH("上",D331)),ISNUMBER(SEARCH("去",D331)),ISNUMBER(SEARCH("入",D331)))),"Ambiguous",IF(ISNUMBER(SEARCH("平",D331)),"平","仄")))</x:f>
        <x:v>仄</x:v>
      </x:c>
      <x:c r="J334" s="7" t="str"/>
    </x:row>
    <x:row r="335">
      <x:c r="A335" s="5" t="str">
        <x:v>冫</x:v>
      </x:c>
      <x:c r="B335" s="6" t="str">
        <x:v>平</x:v>
      </x:c>
      <x:c r="C335" s="6" t="str">
        <x:f>IF(B335="","Needs decision","Ready")</x:f>
        <x:v>Ready</x:v>
      </x:c>
      <x:c r="D335" s="6" t="str">
        <x:v>平</x:v>
      </x:c>
      <x:c r="E335" s="6" t="str">
        <x:v>ping (A)</x:v>
      </x:c>
      <x:c r="F335" s="6" t="str">
        <x:v>1</x:v>
      </x:c>
      <x:c r="G335" s="6" t="str"/>
      <x:c r="H335" s="6" t="str">
        <x:f>IF(B335="平","平",IF(B335="","","仄"))</x:f>
        <x:v>平</x:v>
      </x:c>
      <x:c r="I335" s="6" t="str">
        <x:f>IF(D332="","",IF(AND(ISNUMBER(SEARCH("平",D332)),OR(ISNUMBER(SEARCH("上",D332)),ISNUMBER(SEARCH("去",D332)),ISNUMBER(SEARCH("入",D332)))),"Ambiguous",IF(ISNUMBER(SEARCH("平",D332)),"平","仄")))</x:f>
        <x:v>平</x:v>
      </x:c>
      <x:c r="J335" s="7" t="str"/>
    </x:row>
    <x:row r="336">
      <x:c r="A336" s="5" t="str">
        <x:v>冬</x:v>
      </x:c>
      <x:c r="B336" s="6" t="str">
        <x:v>平</x:v>
      </x:c>
      <x:c r="C336" s="6" t="str">
        <x:f>IF(B336="","Needs decision","Ready")</x:f>
        <x:v>Ready</x:v>
      </x:c>
      <x:c r="D336" s="6" t="str">
        <x:v>平</x:v>
      </x:c>
      <x:c r="E336" s="6" t="str">
        <x:v>towng (A)</x:v>
      </x:c>
      <x:c r="F336" s="6" t="str">
        <x:v>1</x:v>
      </x:c>
      <x:c r="G336" s="6" t="str"/>
      <x:c r="H336" s="6" t="str">
        <x:f>IF(B336="平","平",IF(B336="","","仄"))</x:f>
        <x:v>平</x:v>
      </x:c>
      <x:c r="I336" s="6" t="str">
        <x:f>IF(D333="","",IF(AND(ISNUMBER(SEARCH("平",D333)),OR(ISNUMBER(SEARCH("上",D333)),ISNUMBER(SEARCH("去",D333)),ISNUMBER(SEARCH("入",D333)))),"Ambiguous",IF(ISNUMBER(SEARCH("平",D333)),"平","仄")))</x:f>
        <x:v>平</x:v>
      </x:c>
      <x:c r="J336" s="7" t="str"/>
    </x:row>
    <x:row r="337">
      <x:c r="A337" s="5" t="str">
        <x:v>冰</x:v>
      </x:c>
      <x:c r="B337" s="6" t="str">
        <x:v>平</x:v>
      </x:c>
      <x:c r="C337" s="6" t="str">
        <x:f>IF(B337="","Needs decision","Ready")</x:f>
        <x:v>Ready</x:v>
      </x:c>
      <x:c r="D337" s="6" t="str">
        <x:v>平</x:v>
      </x:c>
      <x:c r="E337" s="6" t="str">
        <x:v>ping (A)</x:v>
      </x:c>
      <x:c r="F337" s="6" t="str">
        <x:v>1</x:v>
      </x:c>
      <x:c r="G337" s="6" t="str"/>
      <x:c r="H337" s="6" t="str">
        <x:f>IF(B337="平","平",IF(B337="","","仄"))</x:f>
        <x:v>平</x:v>
      </x:c>
      <x:c r="I337" s="6" t="str">
        <x:f>IF(D334="","",IF(AND(ISNUMBER(SEARCH("平",D334)),OR(ISNUMBER(SEARCH("上",D334)),ISNUMBER(SEARCH("去",D334)),ISNUMBER(SEARCH("入",D334)))),"Ambiguous",IF(ISNUMBER(SEARCH("平",D334)),"平","仄")))</x:f>
        <x:v>仄</x:v>
      </x:c>
      <x:c r="J337" s="7" t="str"/>
    </x:row>
    <x:row r="338">
      <x:c r="A338" s="5" t="str">
        <x:v>冲</x:v>
      </x:c>
      <x:c r="B338" s="6" t="str">
        <x:v>平</x:v>
      </x:c>
      <x:c r="C338" s="6" t="str">
        <x:f>IF(B338="","Needs decision","Ready")</x:f>
        <x:v>Ready</x:v>
      </x:c>
      <x:c r="D338" s="6" t="str">
        <x:v>平</x:v>
      </x:c>
      <x:c r="E338" s="6" t="str"/>
      <x:c r="F338" s="6" t="str"/>
      <x:c r="G338" s="6" t="str">
        <x:v>Manual user correction/addition</x:v>
      </x:c>
      <x:c r="H338" s="6" t="str">
        <x:f>IF(B338="平","平",IF(B338="","","仄"))</x:f>
        <x:v>平</x:v>
      </x:c>
      <x:c r="I338" s="6" t="str">
        <x:f>IF(D335="","",IF(AND(ISNUMBER(SEARCH("平",D335)),OR(ISNUMBER(SEARCH("上",D335)),ISNUMBER(SEARCH("去",D335)),ISNUMBER(SEARCH("入",D335)))),"Ambiguous",IF(ISNUMBER(SEARCH("平",D335)),"平","仄")))</x:f>
        <x:v>平</x:v>
      </x:c>
      <x:c r="J338" s="7" t="str">
        <x:v>manual user correction</x:v>
      </x:c>
    </x:row>
    <x:row r="339">
      <x:c r="A339" s="5" t="str">
        <x:v>冷</x:v>
      </x:c>
      <x:c r="B339" s="6" t="str"/>
      <x:c r="C339" s="6" t="str">
        <x:f>IF(B339="","Needs decision","Ready")</x:f>
        <x:v>Needs decision</x:v>
      </x:c>
      <x:c r="D339" s="6" t="str">
        <x:v>平/上</x:v>
      </x:c>
      <x:c r="E339" s="6" t="str"/>
      <x:c r="F339" s="6" t="str"/>
      <x:c r="G339" s="6" t="str">
        <x:v>Manual user correction/addition; ambiguous 平/上</x:v>
      </x:c>
      <x:c r="H339" s="6" t="str">
        <x:f>IF(B339="平","平",IF(B339="","","仄"))</x:f>
      </x:c>
      <x:c r="I339" s="6" t="str">
        <x:f>IF(D336="","",IF(AND(ISNUMBER(SEARCH("平",D336)),OR(ISNUMBER(SEARCH("上",D336)),ISNUMBER(SEARCH("去",D336)),ISNUMBER(SEARCH("入",D336)))),"Ambiguous",IF(ISNUMBER(SEARCH("平",D336)),"平","仄")))</x:f>
        <x:v>平</x:v>
      </x:c>
      <x:c r="J339" s="7" t="str">
        <x:v>manual user correction</x:v>
      </x:c>
    </x:row>
    <x:row r="340">
      <x:c r="A340" s="5" t="str">
        <x:v>冽</x:v>
      </x:c>
      <x:c r="B340" s="6" t="str">
        <x:v>入</x:v>
      </x:c>
      <x:c r="C340" s="6" t="str">
        <x:f>IF(B340="","Needs decision","Ready")</x:f>
        <x:v>Ready</x:v>
      </x:c>
      <x:c r="D340" s="6" t="str">
        <x:v>入</x:v>
      </x:c>
      <x:c r="E340" s="6" t="str">
        <x:v>ljet (D)</x:v>
      </x:c>
      <x:c r="F340" s="6" t="str">
        <x:v>1</x:v>
      </x:c>
      <x:c r="G340" s="6" t="str"/>
      <x:c r="H340" s="6" t="str">
        <x:f>IF(B340="平","平",IF(B340="","","仄"))</x:f>
        <x:v>仄</x:v>
      </x:c>
      <x:c r="I340" s="6" t="str">
        <x:f>IF(D337="","",IF(AND(ISNUMBER(SEARCH("平",D337)),OR(ISNUMBER(SEARCH("上",D337)),ISNUMBER(SEARCH("去",D337)),ISNUMBER(SEARCH("入",D337)))),"Ambiguous",IF(ISNUMBER(SEARCH("平",D337)),"平","仄")))</x:f>
        <x:v>平</x:v>
      </x:c>
      <x:c r="J340" s="7" t="str"/>
    </x:row>
    <x:row r="341">
      <x:c r="A341" s="5" t="str">
        <x:v>凊</x:v>
      </x:c>
      <x:c r="B341" s="6" t="str">
        <x:v>去</x:v>
      </x:c>
      <x:c r="C341" s="6" t="str">
        <x:f>IF(B341="","Needs decision","Ready")</x:f>
        <x:v>Ready</x:v>
      </x:c>
      <x:c r="D341" s="6" t="str">
        <x:v>去</x:v>
      </x:c>
      <x:c r="E341" s="6" t="str">
        <x:v>tshjengH (C)</x:v>
      </x:c>
      <x:c r="F341" s="6" t="str">
        <x:v>1</x:v>
      </x:c>
      <x:c r="G341" s="6" t="str"/>
      <x:c r="H341" s="6" t="str">
        <x:f>IF(B341="平","平",IF(B341="","","仄"))</x:f>
        <x:v>仄</x:v>
      </x:c>
      <x:c r="I341" s="6" t="str">
        <x:f>IF(D338="","",IF(AND(ISNUMBER(SEARCH("平",D338)),OR(ISNUMBER(SEARCH("上",D338)),ISNUMBER(SEARCH("去",D338)),ISNUMBER(SEARCH("入",D338)))),"Ambiguous",IF(ISNUMBER(SEARCH("平",D338)),"平","仄")))</x:f>
        <x:v>平</x:v>
      </x:c>
      <x:c r="J341" s="7" t="str"/>
    </x:row>
    <x:row r="342">
      <x:c r="A342" s="5" t="str">
        <x:v>凋</x:v>
      </x:c>
      <x:c r="B342" s="6" t="str">
        <x:v>平</x:v>
      </x:c>
      <x:c r="C342" s="6" t="str">
        <x:f>IF(B342="","Needs decision","Ready")</x:f>
        <x:v>Ready</x:v>
      </x:c>
      <x:c r="D342" s="6" t="str">
        <x:v>平</x:v>
      </x:c>
      <x:c r="E342" s="6" t="str">
        <x:v>tew (A)</x:v>
      </x:c>
      <x:c r="F342" s="6" t="str">
        <x:v>1</x:v>
      </x:c>
      <x:c r="G342" s="6" t="str"/>
      <x:c r="H342" s="6" t="str">
        <x:f>IF(B342="平","平",IF(B342="","","仄"))</x:f>
        <x:v>平</x:v>
      </x:c>
      <x:c r="I342" s="6" t="str">
        <x:f>IF(D339="","",IF(AND(ISNUMBER(SEARCH("平",D339)),OR(ISNUMBER(SEARCH("上",D339)),ISNUMBER(SEARCH("去",D339)),ISNUMBER(SEARCH("入",D339)))),"Ambiguous",IF(ISNUMBER(SEARCH("平",D339)),"平","仄")))</x:f>
        <x:v>Ambiguous</x:v>
      </x:c>
      <x:c r="J342" s="7" t="str"/>
    </x:row>
    <x:row r="343">
      <x:c r="A343" s="5" t="str">
        <x:v>凌</x:v>
      </x:c>
      <x:c r="B343" s="6" t="str">
        <x:v>平</x:v>
      </x:c>
      <x:c r="C343" s="6" t="str">
        <x:f>IF(B343="","Needs decision","Ready")</x:f>
        <x:v>Ready</x:v>
      </x:c>
      <x:c r="D343" s="6" t="str">
        <x:v>平</x:v>
      </x:c>
      <x:c r="E343" s="6" t="str">
        <x:v>ling (A)</x:v>
      </x:c>
      <x:c r="F343" s="6" t="str">
        <x:v>1</x:v>
      </x:c>
      <x:c r="G343" s="6" t="str"/>
      <x:c r="H343" s="6" t="str">
        <x:f>IF(B343="平","平",IF(B343="","","仄"))</x:f>
        <x:v>平</x:v>
      </x:c>
      <x:c r="I343" s="6" t="str">
        <x:f>IF(D340="","",IF(AND(ISNUMBER(SEARCH("平",D340)),OR(ISNUMBER(SEARCH("上",D340)),ISNUMBER(SEARCH("去",D340)),ISNUMBER(SEARCH("入",D340)))),"Ambiguous",IF(ISNUMBER(SEARCH("平",D340)),"平","仄")))</x:f>
        <x:v>仄</x:v>
      </x:c>
      <x:c r="J343" s="7" t="str"/>
    </x:row>
    <x:row r="344">
      <x:c r="A344" s="5" t="str">
        <x:v>凍</x:v>
      </x:c>
      <x:c r="B344" s="6" t="str">
        <x:v>去</x:v>
      </x:c>
      <x:c r="C344" s="6" t="str">
        <x:f>IF(B344="","Needs decision","Ready")</x:f>
        <x:v>Ready</x:v>
      </x:c>
      <x:c r="D344" s="6" t="str">
        <x:v>去</x:v>
      </x:c>
      <x:c r="E344" s="6" t="str">
        <x:v>tuwngH (C)</x:v>
      </x:c>
      <x:c r="F344" s="6" t="str">
        <x:v>1</x:v>
      </x:c>
      <x:c r="G344" s="6" t="str"/>
      <x:c r="H344" s="6" t="str">
        <x:f>IF(B344="平","平",IF(B344="","","仄"))</x:f>
        <x:v>仄</x:v>
      </x:c>
      <x:c r="I344" s="6" t="str">
        <x:f>IF(D341="","",IF(AND(ISNUMBER(SEARCH("平",D341)),OR(ISNUMBER(SEARCH("上",D341)),ISNUMBER(SEARCH("去",D341)),ISNUMBER(SEARCH("入",D341)))),"Ambiguous",IF(ISNUMBER(SEARCH("平",D341)),"平","仄")))</x:f>
        <x:v>仄</x:v>
      </x:c>
      <x:c r="J344" s="7" t="str"/>
    </x:row>
    <x:row r="345">
      <x:c r="A345" s="5" t="str">
        <x:v>凔</x:v>
      </x:c>
      <x:c r="B345" s="6" t="str">
        <x:v>平</x:v>
      </x:c>
      <x:c r="C345" s="6" t="str">
        <x:f>IF(B345="","Needs decision","Ready")</x:f>
        <x:v>Ready</x:v>
      </x:c>
      <x:c r="D345" s="6" t="str">
        <x:v>平</x:v>
      </x:c>
      <x:c r="E345" s="6" t="str">
        <x:v>tshang (A)</x:v>
      </x:c>
      <x:c r="F345" s="6" t="str">
        <x:v>1</x:v>
      </x:c>
      <x:c r="G345" s="6" t="str"/>
      <x:c r="H345" s="6" t="str">
        <x:f>IF(B345="平","平",IF(B345="","","仄"))</x:f>
        <x:v>平</x:v>
      </x:c>
      <x:c r="I345" s="6" t="str">
        <x:f>IF(D342="","",IF(AND(ISNUMBER(SEARCH("平",D342)),OR(ISNUMBER(SEARCH("上",D342)),ISNUMBER(SEARCH("去",D342)),ISNUMBER(SEARCH("入",D342)))),"Ambiguous",IF(ISNUMBER(SEARCH("平",D342)),"平","仄")))</x:f>
        <x:v>平</x:v>
      </x:c>
      <x:c r="J345" s="7" t="str"/>
    </x:row>
    <x:row r="346">
      <x:c r="A346" s="5" t="str">
        <x:v>凜</x:v>
      </x:c>
      <x:c r="B346" s="6" t="str">
        <x:v>上</x:v>
      </x:c>
      <x:c r="C346" s="6" t="str">
        <x:f>IF(B346="","Needs decision","Ready")</x:f>
        <x:v>Ready</x:v>
      </x:c>
      <x:c r="D346" s="6" t="str">
        <x:v>上</x:v>
      </x:c>
      <x:c r="E346" s="6" t="str">
        <x:v>limX (B)</x:v>
      </x:c>
      <x:c r="F346" s="6" t="str">
        <x:v>1</x:v>
      </x:c>
      <x:c r="G346" s="6" t="str"/>
      <x:c r="H346" s="6" t="str">
        <x:f>IF(B346="平","平",IF(B346="","","仄"))</x:f>
        <x:v>仄</x:v>
      </x:c>
      <x:c r="I346" s="6" t="str">
        <x:f>IF(D343="","",IF(AND(ISNUMBER(SEARCH("平",D343)),OR(ISNUMBER(SEARCH("上",D343)),ISNUMBER(SEARCH("去",D343)),ISNUMBER(SEARCH("入",D343)))),"Ambiguous",IF(ISNUMBER(SEARCH("平",D343)),"平","仄")))</x:f>
        <x:v>平</x:v>
      </x:c>
      <x:c r="J346" s="7" t="str"/>
    </x:row>
    <x:row r="347">
      <x:c r="A347" s="5" t="str">
        <x:v>凝</x:v>
      </x:c>
      <x:c r="B347" s="6" t="str">
        <x:v>平</x:v>
      </x:c>
      <x:c r="C347" s="6" t="str">
        <x:f>IF(B347="","Needs decision","Ready")</x:f>
        <x:v>Ready</x:v>
      </x:c>
      <x:c r="D347" s="6" t="str">
        <x:v>平</x:v>
      </x:c>
      <x:c r="E347" s="6" t="str">
        <x:v>nging (A)</x:v>
      </x:c>
      <x:c r="F347" s="6" t="str">
        <x:v>1</x:v>
      </x:c>
      <x:c r="G347" s="6" t="str"/>
      <x:c r="H347" s="6" t="str">
        <x:f>IF(B347="平","平",IF(B347="","","仄"))</x:f>
        <x:v>平</x:v>
      </x:c>
      <x:c r="I347" s="6" t="str">
        <x:f>IF(D344="","",IF(AND(ISNUMBER(SEARCH("平",D344)),OR(ISNUMBER(SEARCH("上",D344)),ISNUMBER(SEARCH("去",D344)),ISNUMBER(SEARCH("入",D344)))),"Ambiguous",IF(ISNUMBER(SEARCH("平",D344)),"平","仄")))</x:f>
        <x:v>仄</x:v>
      </x:c>
      <x:c r="J347" s="7" t="str"/>
    </x:row>
    <x:row r="348">
      <x:c r="A348" s="5" t="str">
        <x:v>几</x:v>
      </x:c>
      <x:c r="B348" s="6" t="str">
        <x:v>上</x:v>
      </x:c>
      <x:c r="C348" s="6" t="str">
        <x:f>IF(B348="","Needs decision","Ready")</x:f>
        <x:v>Ready</x:v>
      </x:c>
      <x:c r="D348" s="6" t="str">
        <x:v>上</x:v>
      </x:c>
      <x:c r="E348" s="6" t="str">
        <x:v>kijX (B)</x:v>
      </x:c>
      <x:c r="F348" s="6" t="str">
        <x:v>1</x:v>
      </x:c>
      <x:c r="G348" s="6" t="str"/>
      <x:c r="H348" s="6" t="str">
        <x:f>IF(B348="平","平",IF(B348="","","仄"))</x:f>
        <x:v>仄</x:v>
      </x:c>
      <x:c r="I348" s="6" t="str">
        <x:f>IF(D345="","",IF(AND(ISNUMBER(SEARCH("平",D345)),OR(ISNUMBER(SEARCH("上",D345)),ISNUMBER(SEARCH("去",D345)),ISNUMBER(SEARCH("入",D345)))),"Ambiguous",IF(ISNUMBER(SEARCH("平",D345)),"平","仄")))</x:f>
        <x:v>平</x:v>
      </x:c>
      <x:c r="J348" s="7" t="str"/>
    </x:row>
    <x:row r="349">
      <x:c r="A349" s="5" t="str">
        <x:v>凡</x:v>
      </x:c>
      <x:c r="B349" s="6" t="str">
        <x:v>平</x:v>
      </x:c>
      <x:c r="C349" s="6" t="str">
        <x:f>IF(B349="","Needs decision","Ready")</x:f>
        <x:v>Ready</x:v>
      </x:c>
      <x:c r="D349" s="6" t="str">
        <x:v>平</x:v>
      </x:c>
      <x:c r="E349" s="6" t="str">
        <x:v>bjom (A)</x:v>
      </x:c>
      <x:c r="F349" s="6" t="str">
        <x:v>1</x:v>
      </x:c>
      <x:c r="G349" s="6" t="str"/>
      <x:c r="H349" s="6" t="str">
        <x:f>IF(B349="平","平",IF(B349="","","仄"))</x:f>
        <x:v>平</x:v>
      </x:c>
      <x:c r="I349" s="6" t="str">
        <x:f>IF(D346="","",IF(AND(ISNUMBER(SEARCH("平",D346)),OR(ISNUMBER(SEARCH("上",D346)),ISNUMBER(SEARCH("去",D346)),ISNUMBER(SEARCH("入",D346)))),"Ambiguous",IF(ISNUMBER(SEARCH("平",D346)),"平","仄")))</x:f>
        <x:v>仄</x:v>
      </x:c>
      <x:c r="J349" s="7" t="str"/>
    </x:row>
    <x:row r="350">
      <x:c r="A350" s="5" t="str">
        <x:v>凰</x:v>
      </x:c>
      <x:c r="B350" s="6" t="str">
        <x:v>平</x:v>
      </x:c>
      <x:c r="C350" s="6" t="str">
        <x:f>IF(B350="","Needs decision","Ready")</x:f>
        <x:v>Ready</x:v>
      </x:c>
      <x:c r="D350" s="6" t="str">
        <x:v>平</x:v>
      </x:c>
      <x:c r="E350" s="6" t="str">
        <x:v>hwang [ʁwɑŋ] (平)</x:v>
      </x:c>
      <x:c r="F350" s="6" t="str">
        <x:v>1</x:v>
      </x:c>
      <x:c r="G350" s="6" t="str">
        <x:v>Tang 300 gap; frequency 6; provisional from Xun Gong</x:v>
      </x:c>
      <x:c r="H350" s="6" t="str">
        <x:f>IF(B350="平","平",IF(B350="","","仄"))</x:f>
        <x:v>平</x:v>
      </x:c>
      <x:c r="I350" s="6" t="str">
        <x:f>IF(D347="","",IF(AND(ISNUMBER(SEARCH("平",D347)),OR(ISNUMBER(SEARCH("上",D347)),ISNUMBER(SEARCH("去",D347)),ISNUMBER(SEARCH("入",D347)))),"Ambiguous",IF(ISNUMBER(SEARCH("平",D347)),"平","仄")))</x:f>
        <x:v>平</x:v>
      </x:c>
      <x:c r="J350" s="7" t="str">
        <x:v>Xun Gong, Tang 300 gap fill</x:v>
      </x:c>
    </x:row>
    <x:row r="351">
      <x:c r="A351" s="5" t="str">
        <x:v>凱</x:v>
      </x:c>
      <x:c r="B351" s="6" t="str">
        <x:v>上</x:v>
      </x:c>
      <x:c r="C351" s="6" t="str">
        <x:f>IF(B351="","Needs decision","Ready")</x:f>
        <x:v>Ready</x:v>
      </x:c>
      <x:c r="D351" s="6" t="str">
        <x:v>上</x:v>
      </x:c>
      <x:c r="E351" s="6" t="str">
        <x:v>khojX (B)</x:v>
      </x:c>
      <x:c r="F351" s="6" t="str">
        <x:v>1</x:v>
      </x:c>
      <x:c r="G351" s="6" t="str"/>
      <x:c r="H351" s="6" t="str">
        <x:f>IF(B351="平","平",IF(B351="","","仄"))</x:f>
        <x:v>仄</x:v>
      </x:c>
      <x:c r="I351" s="6" t="str">
        <x:f>IF(D348="","",IF(AND(ISNUMBER(SEARCH("平",D348)),OR(ISNUMBER(SEARCH("上",D348)),ISNUMBER(SEARCH("去",D348)),ISNUMBER(SEARCH("入",D348)))),"Ambiguous",IF(ISNUMBER(SEARCH("平",D348)),"平","仄")))</x:f>
        <x:v>仄</x:v>
      </x:c>
      <x:c r="J351" s="7" t="str"/>
    </x:row>
    <x:row r="352">
      <x:c r="A352" s="5" t="str">
        <x:v>凶</x:v>
      </x:c>
      <x:c r="B352" s="6" t="str">
        <x:v>平</x:v>
      </x:c>
      <x:c r="C352" s="6" t="str">
        <x:f>IF(B352="","Needs decision","Ready")</x:f>
        <x:v>Ready</x:v>
      </x:c>
      <x:c r="D352" s="6" t="str">
        <x:v>平</x:v>
      </x:c>
      <x:c r="E352" s="6" t="str">
        <x:v>xjowng (A)</x:v>
      </x:c>
      <x:c r="F352" s="6" t="str">
        <x:v>1</x:v>
      </x:c>
      <x:c r="G352" s="6" t="str"/>
      <x:c r="H352" s="6" t="str">
        <x:f>IF(B352="平","平",IF(B352="","","仄"))</x:f>
        <x:v>平</x:v>
      </x:c>
      <x:c r="I352" s="6" t="str">
        <x:f>IF(D349="","",IF(AND(ISNUMBER(SEARCH("平",D349)),OR(ISNUMBER(SEARCH("上",D349)),ISNUMBER(SEARCH("去",D349)),ISNUMBER(SEARCH("入",D349)))),"Ambiguous",IF(ISNUMBER(SEARCH("平",D349)),"平","仄")))</x:f>
        <x:v>平</x:v>
      </x:c>
      <x:c r="J352" s="7" t="str"/>
    </x:row>
    <x:row r="353">
      <x:c r="A353" s="5" t="str">
        <x:v>出</x:v>
      </x:c>
      <x:c r="B353" s="6" t="str">
        <x:v>入</x:v>
      </x:c>
      <x:c r="C353" s="6" t="str">
        <x:f>IF(B353="","Needs decision","Ready")</x:f>
        <x:v>Ready</x:v>
      </x:c>
      <x:c r="D353" s="6" t="str">
        <x:v>入/去</x:v>
      </x:c>
      <x:c r="E353" s="6" t="str">
        <x:v>tsyhwit (D); tsyhwijH (C)</x:v>
      </x:c>
      <x:c r="F353" s="6" t="str">
        <x:v>2</x:v>
      </x:c>
      <x:c r="G353" s="6" t="str"/>
      <x:c r="H353" s="6" t="str">
        <x:f>IF(B353="平","平",IF(B353="","","仄"))</x:f>
        <x:v>仄</x:v>
      </x:c>
      <x:c r="I353" s="6" t="str">
        <x:f>IF(D350="","",IF(AND(ISNUMBER(SEARCH("平",D350)),OR(ISNUMBER(SEARCH("上",D350)),ISNUMBER(SEARCH("去",D350)),ISNUMBER(SEARCH("入",D350)))),"Ambiguous",IF(ISNUMBER(SEARCH("平",D350)),"平","仄")))</x:f>
        <x:v>平</x:v>
      </x:c>
      <x:c r="J353" s="7" t="str"/>
    </x:row>
    <x:row r="354">
      <x:c r="A354" s="5" t="str">
        <x:v>函</x:v>
      </x:c>
      <x:c r="B354" s="6" t="str">
        <x:v>平</x:v>
      </x:c>
      <x:c r="C354" s="6" t="str">
        <x:f>IF(B354="","Needs decision","Ready")</x:f>
        <x:v>Ready</x:v>
      </x:c>
      <x:c r="D354" s="6" t="str">
        <x:v>平</x:v>
      </x:c>
      <x:c r="E354" s="6" t="str">
        <x:v>hom (A)</x:v>
      </x:c>
      <x:c r="F354" s="6" t="str">
        <x:v>1</x:v>
      </x:c>
      <x:c r="G354" s="6" t="str"/>
      <x:c r="H354" s="6" t="str">
        <x:f>IF(B354="平","平",IF(B354="","","仄"))</x:f>
        <x:v>平</x:v>
      </x:c>
      <x:c r="I354" s="6" t="str">
        <x:f>IF(D351="","",IF(AND(ISNUMBER(SEARCH("平",D351)),OR(ISNUMBER(SEARCH("上",D351)),ISNUMBER(SEARCH("去",D351)),ISNUMBER(SEARCH("入",D351)))),"Ambiguous",IF(ISNUMBER(SEARCH("平",D351)),"平","仄")))</x:f>
        <x:v>仄</x:v>
      </x:c>
      <x:c r="J354" s="7" t="str"/>
    </x:row>
    <x:row r="355">
      <x:c r="A355" s="5" t="str">
        <x:v>刀</x:v>
      </x:c>
      <x:c r="B355" s="6" t="str">
        <x:v>平</x:v>
      </x:c>
      <x:c r="C355" s="6" t="str">
        <x:f>IF(B355="","Needs decision","Ready")</x:f>
        <x:v>Ready</x:v>
      </x:c>
      <x:c r="D355" s="6" t="str">
        <x:v>平</x:v>
      </x:c>
      <x:c r="E355" s="6" t="str">
        <x:v>taw (A)</x:v>
      </x:c>
      <x:c r="F355" s="6" t="str">
        <x:v>1</x:v>
      </x:c>
      <x:c r="G355" s="6" t="str"/>
      <x:c r="H355" s="6" t="str">
        <x:f>IF(B355="平","平",IF(B355="","","仄"))</x:f>
        <x:v>平</x:v>
      </x:c>
      <x:c r="I355" s="6" t="str">
        <x:f>IF(D352="","",IF(AND(ISNUMBER(SEARCH("平",D352)),OR(ISNUMBER(SEARCH("上",D352)),ISNUMBER(SEARCH("去",D352)),ISNUMBER(SEARCH("入",D352)))),"Ambiguous",IF(ISNUMBER(SEARCH("平",D352)),"平","仄")))</x:f>
        <x:v>平</x:v>
      </x:c>
      <x:c r="J355" s="7" t="str"/>
    </x:row>
    <x:row r="356">
      <x:c r="A356" s="5" t="str">
        <x:v>刁</x:v>
      </x:c>
      <x:c r="B356" s="6" t="str">
        <x:v>平</x:v>
      </x:c>
      <x:c r="C356" s="6" t="str">
        <x:f>IF(B356="","Needs decision","Ready")</x:f>
        <x:v>Ready</x:v>
      </x:c>
      <x:c r="D356" s="6" t="str">
        <x:v>平</x:v>
      </x:c>
      <x:c r="E356" s="6" t="str">
        <x:v>tew [t̙ew] (平)</x:v>
      </x:c>
      <x:c r="F356" s="6" t="str">
        <x:v>1</x:v>
      </x:c>
      <x:c r="G356" s="6" t="str">
        <x:v>Tang 300 gap; frequency 2; provisional from Xun Gong</x:v>
      </x:c>
      <x:c r="H356" s="6" t="str">
        <x:f>IF(B356="平","平",IF(B356="","","仄"))</x:f>
        <x:v>平</x:v>
      </x:c>
      <x:c r="I356" s="6" t="str">
        <x:f>IF(D353="","",IF(AND(ISNUMBER(SEARCH("平",D353)),OR(ISNUMBER(SEARCH("上",D353)),ISNUMBER(SEARCH("去",D353)),ISNUMBER(SEARCH("入",D353)))),"Ambiguous",IF(ISNUMBER(SEARCH("平",D353)),"平","仄")))</x:f>
        <x:v>仄</x:v>
      </x:c>
      <x:c r="J356" s="7" t="str">
        <x:v>Xun Gong, Tang 300 gap fill</x:v>
      </x:c>
    </x:row>
    <x:row r="357">
      <x:c r="A357" s="5" t="str">
        <x:v>刃</x:v>
      </x:c>
      <x:c r="B357" s="6" t="str">
        <x:v>去</x:v>
      </x:c>
      <x:c r="C357" s="6" t="str">
        <x:f>IF(B357="","Needs decision","Ready")</x:f>
        <x:v>Ready</x:v>
      </x:c>
      <x:c r="D357" s="6" t="str">
        <x:v>去</x:v>
      </x:c>
      <x:c r="E357" s="6" t="str">
        <x:v>nyinH (C)</x:v>
      </x:c>
      <x:c r="F357" s="6" t="str">
        <x:v>1</x:v>
      </x:c>
      <x:c r="G357" s="6" t="str"/>
      <x:c r="H357" s="6" t="str">
        <x:f>IF(B357="平","平",IF(B357="","","仄"))</x:f>
        <x:v>仄</x:v>
      </x:c>
      <x:c r="I357" s="6" t="str">
        <x:f>IF(D354="","",IF(AND(ISNUMBER(SEARCH("平",D354)),OR(ISNUMBER(SEARCH("上",D354)),ISNUMBER(SEARCH("去",D354)),ISNUMBER(SEARCH("入",D354)))),"Ambiguous",IF(ISNUMBER(SEARCH("平",D354)),"平","仄")))</x:f>
        <x:v>平</x:v>
      </x:c>
      <x:c r="J357" s="7" t="str"/>
    </x:row>
    <x:row r="358">
      <x:c r="A358" s="5" t="str">
        <x:v>分</x:v>
      </x:c>
      <x:c r="B358" s="6" t="str"/>
      <x:c r="C358" s="6" t="str">
        <x:f>IF(B358="","Needs decision","Ready")</x:f>
        <x:v>Needs decision</x:v>
      </x:c>
      <x:c r="D358" s="6" t="str">
        <x:v>平/去</x:v>
      </x:c>
      <x:c r="E358" s="6" t="str">
        <x:v>pjun (A); bjunH (C)</x:v>
      </x:c>
      <x:c r="F358" s="6" t="str">
        <x:v>2</x:v>
      </x:c>
      <x:c r="G358" s="6" t="str"/>
      <x:c r="H358" s="6" t="str">
        <x:f>IF(B358="平","平",IF(B358="","","仄"))</x:f>
      </x:c>
      <x:c r="I358" s="6" t="str">
        <x:f>IF(D355="","",IF(AND(ISNUMBER(SEARCH("平",D355)),OR(ISNUMBER(SEARCH("上",D355)),ISNUMBER(SEARCH("去",D355)),ISNUMBER(SEARCH("入",D355)))),"Ambiguous",IF(ISNUMBER(SEARCH("平",D355)),"平","仄")))</x:f>
        <x:v>平</x:v>
      </x:c>
      <x:c r="J358" s="7" t="str"/>
    </x:row>
    <x:row r="359">
      <x:c r="A359" s="5" t="str">
        <x:v>切</x:v>
      </x:c>
      <x:c r="B359" s="6" t="str">
        <x:v>入</x:v>
      </x:c>
      <x:c r="C359" s="6" t="str">
        <x:f>IF(B359="","Needs decision","Ready")</x:f>
        <x:v>Ready</x:v>
      </x:c>
      <x:c r="D359" s="6" t="str">
        <x:v>入</x:v>
      </x:c>
      <x:c r="E359" s="6" t="str">
        <x:v>tshet (D)</x:v>
      </x:c>
      <x:c r="F359" s="6" t="str">
        <x:v>1</x:v>
      </x:c>
      <x:c r="G359" s="6" t="str"/>
      <x:c r="H359" s="6" t="str">
        <x:f>IF(B359="平","平",IF(B359="","","仄"))</x:f>
        <x:v>仄</x:v>
      </x:c>
      <x:c r="I359" s="6" t="str">
        <x:f>IF(D356="","",IF(AND(ISNUMBER(SEARCH("平",D356)),OR(ISNUMBER(SEARCH("上",D356)),ISNUMBER(SEARCH("去",D356)),ISNUMBER(SEARCH("入",D356)))),"Ambiguous",IF(ISNUMBER(SEARCH("平",D356)),"平","仄")))</x:f>
        <x:v>平</x:v>
      </x:c>
      <x:c r="J359" s="7" t="str"/>
    </x:row>
    <x:row r="360">
      <x:c r="A360" s="5" t="str">
        <x:v>刈</x:v>
      </x:c>
      <x:c r="B360" s="6" t="str">
        <x:v>去</x:v>
      </x:c>
      <x:c r="C360" s="6" t="str">
        <x:f>IF(B360="","Needs decision","Ready")</x:f>
        <x:v>Ready</x:v>
      </x:c>
      <x:c r="D360" s="6" t="str">
        <x:v>去</x:v>
      </x:c>
      <x:c r="E360" s="6" t="str">
        <x:v>ngjojH (C)</x:v>
      </x:c>
      <x:c r="F360" s="6" t="str">
        <x:v>1</x:v>
      </x:c>
      <x:c r="G360" s="6" t="str"/>
      <x:c r="H360" s="6" t="str">
        <x:f>IF(B360="平","平",IF(B360="","","仄"))</x:f>
        <x:v>仄</x:v>
      </x:c>
      <x:c r="I360" s="6" t="str">
        <x:f>IF(D357="","",IF(AND(ISNUMBER(SEARCH("平",D357)),OR(ISNUMBER(SEARCH("上",D357)),ISNUMBER(SEARCH("去",D357)),ISNUMBER(SEARCH("入",D357)))),"Ambiguous",IF(ISNUMBER(SEARCH("平",D357)),"平","仄")))</x:f>
        <x:v>仄</x:v>
      </x:c>
      <x:c r="J360" s="7" t="str"/>
    </x:row>
    <x:row r="361">
      <x:c r="A361" s="5" t="str">
        <x:v>刌</x:v>
      </x:c>
      <x:c r="B361" s="6" t="str">
        <x:v>上</x:v>
      </x:c>
      <x:c r="C361" s="6" t="str">
        <x:f>IF(B361="","Needs decision","Ready")</x:f>
        <x:v>Ready</x:v>
      </x:c>
      <x:c r="D361" s="6" t="str">
        <x:v>上</x:v>
      </x:c>
      <x:c r="E361" s="6" t="str">
        <x:v>tshwonX (B)</x:v>
      </x:c>
      <x:c r="F361" s="6" t="str">
        <x:v>1</x:v>
      </x:c>
      <x:c r="G361" s="6" t="str"/>
      <x:c r="H361" s="6" t="str">
        <x:f>IF(B361="平","平",IF(B361="","","仄"))</x:f>
        <x:v>仄</x:v>
      </x:c>
      <x:c r="I361" s="6" t="str">
        <x:f>IF(D358="","",IF(AND(ISNUMBER(SEARCH("平",D358)),OR(ISNUMBER(SEARCH("上",D358)),ISNUMBER(SEARCH("去",D358)),ISNUMBER(SEARCH("入",D358)))),"Ambiguous",IF(ISNUMBER(SEARCH("平",D358)),"平","仄")))</x:f>
        <x:v>Ambiguous</x:v>
      </x:c>
      <x:c r="J361" s="7" t="str"/>
    </x:row>
    <x:row r="362">
      <x:c r="A362" s="5" t="str">
        <x:v>刑</x:v>
      </x:c>
      <x:c r="B362" s="6" t="str">
        <x:v>平</x:v>
      </x:c>
      <x:c r="C362" s="6" t="str">
        <x:f>IF(B362="","Needs decision","Ready")</x:f>
        <x:v>Ready</x:v>
      </x:c>
      <x:c r="D362" s="6" t="str">
        <x:v>平</x:v>
      </x:c>
      <x:c r="E362" s="6" t="str">
        <x:v>heng (A)</x:v>
      </x:c>
      <x:c r="F362" s="6" t="str">
        <x:v>1</x:v>
      </x:c>
      <x:c r="G362" s="6" t="str"/>
      <x:c r="H362" s="6" t="str">
        <x:f>IF(B362="平","平",IF(B362="","","仄"))</x:f>
        <x:v>平</x:v>
      </x:c>
      <x:c r="I362" s="6" t="str">
        <x:f>IF(D359="","",IF(AND(ISNUMBER(SEARCH("平",D359)),OR(ISNUMBER(SEARCH("上",D359)),ISNUMBER(SEARCH("去",D359)),ISNUMBER(SEARCH("入",D359)))),"Ambiguous",IF(ISNUMBER(SEARCH("平",D359)),"平","仄")))</x:f>
        <x:v>仄</x:v>
      </x:c>
      <x:c r="J362" s="7" t="str"/>
    </x:row>
    <x:row r="363">
      <x:c r="A363" s="5" t="str">
        <x:v>划</x:v>
      </x:c>
      <x:c r="B363" s="6" t="str">
        <x:v>平</x:v>
      </x:c>
      <x:c r="C363" s="6" t="str">
        <x:f>IF(B363="","Needs decision","Ready")</x:f>
        <x:v>Ready</x:v>
      </x:c>
      <x:c r="D363" s="6" t="str">
        <x:v>平</x:v>
      </x:c>
      <x:c r="E363" s="6" t="str">
        <x:v>hwae (A)</x:v>
      </x:c>
      <x:c r="F363" s="6" t="str">
        <x:v>1</x:v>
      </x:c>
      <x:c r="G363" s="6" t="str"/>
      <x:c r="H363" s="6" t="str">
        <x:f>IF(B363="平","平",IF(B363="","","仄"))</x:f>
        <x:v>平</x:v>
      </x:c>
      <x:c r="I363" s="6" t="str">
        <x:f>IF(D360="","",IF(AND(ISNUMBER(SEARCH("平",D360)),OR(ISNUMBER(SEARCH("上",D360)),ISNUMBER(SEARCH("去",D360)),ISNUMBER(SEARCH("入",D360)))),"Ambiguous",IF(ISNUMBER(SEARCH("平",D360)),"平","仄")))</x:f>
        <x:v>仄</x:v>
      </x:c>
      <x:c r="J363" s="7" t="str"/>
    </x:row>
    <x:row r="364">
      <x:c r="A364" s="5" t="str">
        <x:v>刖</x:v>
      </x:c>
      <x:c r="B364" s="6" t="str">
        <x:v>入</x:v>
      </x:c>
      <x:c r="C364" s="6" t="str">
        <x:f>IF(B364="","Needs decision","Ready")</x:f>
        <x:v>Ready</x:v>
      </x:c>
      <x:c r="D364" s="6" t="str">
        <x:v>入</x:v>
      </x:c>
      <x:c r="E364" s="6" t="str">
        <x:v>ngwaet (D)</x:v>
      </x:c>
      <x:c r="F364" s="6" t="str">
        <x:v>1</x:v>
      </x:c>
      <x:c r="G364" s="6" t="str"/>
      <x:c r="H364" s="6" t="str">
        <x:f>IF(B364="平","平",IF(B364="","","仄"))</x:f>
        <x:v>仄</x:v>
      </x:c>
      <x:c r="I364" s="6" t="str">
        <x:f>IF(D361="","",IF(AND(ISNUMBER(SEARCH("平",D361)),OR(ISNUMBER(SEARCH("上",D361)),ISNUMBER(SEARCH("去",D361)),ISNUMBER(SEARCH("入",D361)))),"Ambiguous",IF(ISNUMBER(SEARCH("平",D361)),"平","仄")))</x:f>
        <x:v>仄</x:v>
      </x:c>
      <x:c r="J364" s="7" t="str"/>
    </x:row>
    <x:row r="365">
      <x:c r="A365" s="5" t="str">
        <x:v>列</x:v>
      </x:c>
      <x:c r="B365" s="6" t="str">
        <x:v>入</x:v>
      </x:c>
      <x:c r="C365" s="6" t="str">
        <x:f>IF(B365="","Needs decision","Ready")</x:f>
        <x:v>Ready</x:v>
      </x:c>
      <x:c r="D365" s="6" t="str">
        <x:v>入</x:v>
      </x:c>
      <x:c r="E365" s="6" t="str">
        <x:v>ljet (D)</x:v>
      </x:c>
      <x:c r="F365" s="6" t="str">
        <x:v>1</x:v>
      </x:c>
      <x:c r="G365" s="6" t="str"/>
      <x:c r="H365" s="6" t="str">
        <x:f>IF(B365="平","平",IF(B365="","","仄"))</x:f>
        <x:v>仄</x:v>
      </x:c>
      <x:c r="I365" s="6" t="str">
        <x:f>IF(D362="","",IF(AND(ISNUMBER(SEARCH("平",D362)),OR(ISNUMBER(SEARCH("上",D362)),ISNUMBER(SEARCH("去",D362)),ISNUMBER(SEARCH("入",D362)))),"Ambiguous",IF(ISNUMBER(SEARCH("平",D362)),"平","仄")))</x:f>
        <x:v>平</x:v>
      </x:c>
      <x:c r="J365" s="7" t="str"/>
    </x:row>
    <x:row r="366">
      <x:c r="A366" s="5" t="str">
        <x:v>刜</x:v>
      </x:c>
      <x:c r="B366" s="6" t="str">
        <x:v>入</x:v>
      </x:c>
      <x:c r="C366" s="6" t="str">
        <x:f>IF(B366="","Needs decision","Ready")</x:f>
        <x:v>Ready</x:v>
      </x:c>
      <x:c r="D366" s="6" t="str">
        <x:v>入</x:v>
      </x:c>
      <x:c r="E366" s="6" t="str">
        <x:v>phjut (D)</x:v>
      </x:c>
      <x:c r="F366" s="6" t="str">
        <x:v>1</x:v>
      </x:c>
      <x:c r="G366" s="6" t="str"/>
      <x:c r="H366" s="6" t="str">
        <x:f>IF(B366="平","平",IF(B366="","","仄"))</x:f>
        <x:v>仄</x:v>
      </x:c>
      <x:c r="I366" s="6" t="str">
        <x:f>IF(D363="","",IF(AND(ISNUMBER(SEARCH("平",D363)),OR(ISNUMBER(SEARCH("上",D363)),ISNUMBER(SEARCH("去",D363)),ISNUMBER(SEARCH("入",D363)))),"Ambiguous",IF(ISNUMBER(SEARCH("平",D363)),"平","仄")))</x:f>
        <x:v>平</x:v>
      </x:c>
      <x:c r="J366" s="7" t="str"/>
    </x:row>
    <x:row r="367">
      <x:c r="A367" s="5" t="str">
        <x:v>初</x:v>
      </x:c>
      <x:c r="B367" s="6" t="str">
        <x:v>平</x:v>
      </x:c>
      <x:c r="C367" s="6" t="str">
        <x:f>IF(B367="","Needs decision","Ready")</x:f>
        <x:v>Ready</x:v>
      </x:c>
      <x:c r="D367" s="6" t="str">
        <x:v>平</x:v>
      </x:c>
      <x:c r="E367" s="6" t="str">
        <x:v>tsrhjo (A)</x:v>
      </x:c>
      <x:c r="F367" s="6" t="str">
        <x:v>1</x:v>
      </x:c>
      <x:c r="G367" s="6" t="str"/>
      <x:c r="H367" s="6" t="str">
        <x:f>IF(B367="平","平",IF(B367="","","仄"))</x:f>
        <x:v>平</x:v>
      </x:c>
      <x:c r="I367" s="6" t="str">
        <x:f>IF(D364="","",IF(AND(ISNUMBER(SEARCH("平",D364)),OR(ISNUMBER(SEARCH("上",D364)),ISNUMBER(SEARCH("去",D364)),ISNUMBER(SEARCH("入",D364)))),"Ambiguous",IF(ISNUMBER(SEARCH("平",D364)),"平","仄")))</x:f>
        <x:v>仄</x:v>
      </x:c>
      <x:c r="J367" s="7" t="str"/>
    </x:row>
    <x:row r="368">
      <x:c r="A368" s="5" t="str">
        <x:v>判</x:v>
      </x:c>
      <x:c r="B368" s="6" t="str">
        <x:v>去</x:v>
      </x:c>
      <x:c r="C368" s="6" t="str">
        <x:f>IF(B368="","Needs decision","Ready")</x:f>
        <x:v>Ready</x:v>
      </x:c>
      <x:c r="D368" s="6" t="str">
        <x:v>去</x:v>
      </x:c>
      <x:c r="E368" s="6" t="str">
        <x:v>phanH (C)</x:v>
      </x:c>
      <x:c r="F368" s="6" t="str">
        <x:v>1</x:v>
      </x:c>
      <x:c r="G368" s="6" t="str"/>
      <x:c r="H368" s="6" t="str">
        <x:f>IF(B368="平","平",IF(B368="","","仄"))</x:f>
        <x:v>仄</x:v>
      </x:c>
      <x:c r="I368" s="6" t="str">
        <x:f>IF(D365="","",IF(AND(ISNUMBER(SEARCH("平",D365)),OR(ISNUMBER(SEARCH("上",D365)),ISNUMBER(SEARCH("去",D365)),ISNUMBER(SEARCH("入",D365)))),"Ambiguous",IF(ISNUMBER(SEARCH("平",D365)),"平","仄")))</x:f>
        <x:v>仄</x:v>
      </x:c>
      <x:c r="J368" s="7" t="str"/>
    </x:row>
    <x:row r="369">
      <x:c r="A369" s="5" t="str">
        <x:v>別</x:v>
      </x:c>
      <x:c r="B369" s="6" t="str">
        <x:v>入</x:v>
      </x:c>
      <x:c r="C369" s="6" t="str">
        <x:f>IF(B369="","Needs decision","Ready")</x:f>
        <x:v>Ready</x:v>
      </x:c>
      <x:c r="D369" s="6" t="str">
        <x:v>入</x:v>
      </x:c>
      <x:c r="E369" s="6" t="str">
        <x:v>bjet (D); pjet (D)</x:v>
      </x:c>
      <x:c r="F369" s="6" t="str">
        <x:v>2</x:v>
      </x:c>
      <x:c r="G369" s="6" t="str"/>
      <x:c r="H369" s="6" t="str">
        <x:f>IF(B369="平","平",IF(B369="","","仄"))</x:f>
        <x:v>仄</x:v>
      </x:c>
      <x:c r="I369" s="6" t="str">
        <x:f>IF(D366="","",IF(AND(ISNUMBER(SEARCH("平",D366)),OR(ISNUMBER(SEARCH("上",D366)),ISNUMBER(SEARCH("去",D366)),ISNUMBER(SEARCH("入",D366)))),"Ambiguous",IF(ISNUMBER(SEARCH("平",D366)),"平","仄")))</x:f>
        <x:v>仄</x:v>
      </x:c>
      <x:c r="J369" s="7" t="str"/>
    </x:row>
    <x:row r="370">
      <x:c r="A370" s="5" t="str">
        <x:v>利</x:v>
      </x:c>
      <x:c r="B370" s="6" t="str">
        <x:v>去</x:v>
      </x:c>
      <x:c r="C370" s="6" t="str">
        <x:f>IF(B370="","Needs decision","Ready")</x:f>
        <x:v>Ready</x:v>
      </x:c>
      <x:c r="D370" s="6" t="str">
        <x:v>去</x:v>
      </x:c>
      <x:c r="E370" s="6" t="str">
        <x:v>lijH (C)</x:v>
      </x:c>
      <x:c r="F370" s="6" t="str">
        <x:v>1</x:v>
      </x:c>
      <x:c r="G370" s="6" t="str"/>
      <x:c r="H370" s="6" t="str">
        <x:f>IF(B370="平","平",IF(B370="","","仄"))</x:f>
        <x:v>仄</x:v>
      </x:c>
      <x:c r="I370" s="6" t="str">
        <x:f>IF(D367="","",IF(AND(ISNUMBER(SEARCH("平",D367)),OR(ISNUMBER(SEARCH("上",D367)),ISNUMBER(SEARCH("去",D367)),ISNUMBER(SEARCH("入",D367)))),"Ambiguous",IF(ISNUMBER(SEARCH("平",D367)),"平","仄")))</x:f>
        <x:v>平</x:v>
      </x:c>
      <x:c r="J370" s="7" t="str"/>
    </x:row>
    <x:row r="371">
      <x:c r="A371" s="5" t="str">
        <x:v>刪</x:v>
      </x:c>
      <x:c r="B371" s="6" t="str">
        <x:v>平</x:v>
      </x:c>
      <x:c r="C371" s="6" t="str">
        <x:f>IF(B371="","Needs decision","Ready")</x:f>
        <x:v>Ready</x:v>
      </x:c>
      <x:c r="D371" s="6" t="str">
        <x:v>平</x:v>
      </x:c>
      <x:c r="E371" s="6" t="str">
        <x:v>sraen [ʂaˤn] (平)</x:v>
      </x:c>
      <x:c r="F371" s="6" t="str">
        <x:v>1</x:v>
      </x:c>
      <x:c r="G371" s="6" t="str">
        <x:v>Tang 300 gap; frequency 5; provisional from Xun Gong</x:v>
      </x:c>
      <x:c r="H371" s="6" t="str">
        <x:f>IF(B371="平","平",IF(B371="","","仄"))</x:f>
        <x:v>平</x:v>
      </x:c>
      <x:c r="I371" s="6" t="str">
        <x:f>IF(D368="","",IF(AND(ISNUMBER(SEARCH("平",D368)),OR(ISNUMBER(SEARCH("上",D368)),ISNUMBER(SEARCH("去",D368)),ISNUMBER(SEARCH("入",D368)))),"Ambiguous",IF(ISNUMBER(SEARCH("平",D368)),"平","仄")))</x:f>
        <x:v>仄</x:v>
      </x:c>
      <x:c r="J371" s="7" t="str">
        <x:v>Xun Gong, Tang 300 gap fill</x:v>
      </x:c>
    </x:row>
    <x:row r="372">
      <x:c r="A372" s="5" t="str">
        <x:v>刮</x:v>
      </x:c>
      <x:c r="B372" s="6" t="str">
        <x:v>入</x:v>
      </x:c>
      <x:c r="C372" s="6" t="str">
        <x:f>IF(B372="","Needs decision","Ready")</x:f>
        <x:v>Ready</x:v>
      </x:c>
      <x:c r="D372" s="6" t="str">
        <x:v>入</x:v>
      </x:c>
      <x:c r="E372" s="6" t="str">
        <x:v>kwaet (D)</x:v>
      </x:c>
      <x:c r="F372" s="6" t="str">
        <x:v>1</x:v>
      </x:c>
      <x:c r="G372" s="6" t="str"/>
      <x:c r="H372" s="6" t="str">
        <x:f>IF(B372="平","平",IF(B372="","","仄"))</x:f>
        <x:v>仄</x:v>
      </x:c>
      <x:c r="I372" s="6" t="str">
        <x:f>IF(D369="","",IF(AND(ISNUMBER(SEARCH("平",D369)),OR(ISNUMBER(SEARCH("上",D369)),ISNUMBER(SEARCH("去",D369)),ISNUMBER(SEARCH("入",D369)))),"Ambiguous",IF(ISNUMBER(SEARCH("平",D369)),"平","仄")))</x:f>
        <x:v>仄</x:v>
      </x:c>
      <x:c r="J372" s="7" t="str"/>
    </x:row>
    <x:row r="373">
      <x:c r="A373" s="5" t="str">
        <x:v>到</x:v>
      </x:c>
      <x:c r="B373" s="6" t="str">
        <x:v>去</x:v>
      </x:c>
      <x:c r="C373" s="6" t="str">
        <x:f>IF(B373="","Needs decision","Ready")</x:f>
        <x:v>Ready</x:v>
      </x:c>
      <x:c r="D373" s="6" t="str">
        <x:v>去</x:v>
      </x:c>
      <x:c r="E373" s="6" t="str">
        <x:v>tawH (C)</x:v>
      </x:c>
      <x:c r="F373" s="6" t="str">
        <x:v>1</x:v>
      </x:c>
      <x:c r="G373" s="6" t="str"/>
      <x:c r="H373" s="6" t="str">
        <x:f>IF(B373="平","平",IF(B373="","","仄"))</x:f>
        <x:v>仄</x:v>
      </x:c>
      <x:c r="I373" s="6" t="str">
        <x:f>IF(D370="","",IF(AND(ISNUMBER(SEARCH("平",D370)),OR(ISNUMBER(SEARCH("上",D370)),ISNUMBER(SEARCH("去",D370)),ISNUMBER(SEARCH("入",D370)))),"Ambiguous",IF(ISNUMBER(SEARCH("平",D370)),"平","仄")))</x:f>
        <x:v>仄</x:v>
      </x:c>
      <x:c r="J373" s="7" t="str"/>
    </x:row>
    <x:row r="374">
      <x:c r="A374" s="5" t="str">
        <x:v>制</x:v>
      </x:c>
      <x:c r="B374" s="6" t="str">
        <x:v>去</x:v>
      </x:c>
      <x:c r="C374" s="6" t="str">
        <x:f>IF(B374="","Needs decision","Ready")</x:f>
        <x:v>Ready</x:v>
      </x:c>
      <x:c r="D374" s="6" t="str">
        <x:v>去</x:v>
      </x:c>
      <x:c r="E374" s="6" t="str">
        <x:v>tsyejH (C)</x:v>
      </x:c>
      <x:c r="F374" s="6" t="str">
        <x:v>1</x:v>
      </x:c>
      <x:c r="G374" s="6" t="str"/>
      <x:c r="H374" s="6" t="str">
        <x:f>IF(B374="平","平",IF(B374="","","仄"))</x:f>
        <x:v>仄</x:v>
      </x:c>
      <x:c r="I374" s="6" t="str">
        <x:f>IF(D371="","",IF(AND(ISNUMBER(SEARCH("平",D371)),OR(ISNUMBER(SEARCH("上",D371)),ISNUMBER(SEARCH("去",D371)),ISNUMBER(SEARCH("入",D371)))),"Ambiguous",IF(ISNUMBER(SEARCH("平",D371)),"平","仄")))</x:f>
        <x:v>平</x:v>
      </x:c>
      <x:c r="J374" s="7" t="str"/>
    </x:row>
    <x:row r="375">
      <x:c r="A375" s="5" t="str">
        <x:v>刷</x:v>
      </x:c>
      <x:c r="B375" s="6" t="str">
        <x:v>入</x:v>
      </x:c>
      <x:c r="C375" s="6" t="str">
        <x:f>IF(B375="","Needs decision","Ready")</x:f>
        <x:v>Ready</x:v>
      </x:c>
      <x:c r="D375" s="6" t="str">
        <x:v>入</x:v>
      </x:c>
      <x:c r="E375" s="6" t="str">
        <x:v>srjwet (D); srwaet (D)</x:v>
      </x:c>
      <x:c r="F375" s="6" t="str">
        <x:v>2</x:v>
      </x:c>
      <x:c r="G375" s="6" t="str"/>
      <x:c r="H375" s="6" t="str">
        <x:f>IF(B375="平","平",IF(B375="","","仄"))</x:f>
        <x:v>仄</x:v>
      </x:c>
      <x:c r="I375" s="6" t="str">
        <x:f>IF(D372="","",IF(AND(ISNUMBER(SEARCH("平",D372)),OR(ISNUMBER(SEARCH("上",D372)),ISNUMBER(SEARCH("去",D372)),ISNUMBER(SEARCH("入",D372)))),"Ambiguous",IF(ISNUMBER(SEARCH("平",D372)),"平","仄")))</x:f>
        <x:v>仄</x:v>
      </x:c>
      <x:c r="J375" s="7" t="str"/>
    </x:row>
    <x:row r="376">
      <x:c r="A376" s="5" t="str">
        <x:v>刺</x:v>
      </x:c>
      <x:c r="B376" s="6" t="str">
        <x:v>入</x:v>
      </x:c>
      <x:c r="C376" s="6" t="str">
        <x:f>IF(B376="","Needs decision","Ready")</x:f>
        <x:v>Ready</x:v>
      </x:c>
      <x:c r="D376" s="6" t="str">
        <x:v>去/入</x:v>
      </x:c>
      <x:c r="E376" s="6" t="str">
        <x:v>tshjeH (C); tshjek (D)</x:v>
      </x:c>
      <x:c r="F376" s="6" t="str">
        <x:v>2</x:v>
      </x:c>
      <x:c r="G376" s="6" t="str"/>
      <x:c r="H376" s="6" t="str">
        <x:f>IF(B376="平","平",IF(B376="","","仄"))</x:f>
        <x:v>仄</x:v>
      </x:c>
      <x:c r="I376" s="6" t="str">
        <x:f>IF(D373="","",IF(AND(ISNUMBER(SEARCH("平",D373)),OR(ISNUMBER(SEARCH("上",D373)),ISNUMBER(SEARCH("去",D373)),ISNUMBER(SEARCH("入",D373)))),"Ambiguous",IF(ISNUMBER(SEARCH("平",D373)),"平","仄")))</x:f>
        <x:v>仄</x:v>
      </x:c>
      <x:c r="J376" s="7" t="str"/>
    </x:row>
    <x:row r="377">
      <x:c r="A377" s="5" t="str">
        <x:v>刻</x:v>
      </x:c>
      <x:c r="B377" s="6" t="str">
        <x:v>入</x:v>
      </x:c>
      <x:c r="C377" s="6" t="str">
        <x:f>IF(B377="","Needs decision","Ready")</x:f>
        <x:v>Ready</x:v>
      </x:c>
      <x:c r="D377" s="6" t="str">
        <x:v>入</x:v>
      </x:c>
      <x:c r="E377" s="6" t="str">
        <x:v>khok (D)</x:v>
      </x:c>
      <x:c r="F377" s="6" t="str">
        <x:v>1</x:v>
      </x:c>
      <x:c r="G377" s="6" t="str"/>
      <x:c r="H377" s="6" t="str">
        <x:f>IF(B377="平","平",IF(B377="","","仄"))</x:f>
        <x:v>仄</x:v>
      </x:c>
      <x:c r="I377" s="6" t="str">
        <x:f>IF(D374="","",IF(AND(ISNUMBER(SEARCH("平",D374)),OR(ISNUMBER(SEARCH("上",D374)),ISNUMBER(SEARCH("去",D374)),ISNUMBER(SEARCH("入",D374)))),"Ambiguous",IF(ISNUMBER(SEARCH("平",D374)),"平","仄")))</x:f>
        <x:v>仄</x:v>
      </x:c>
      <x:c r="J377" s="7" t="str"/>
    </x:row>
    <x:row r="378">
      <x:c r="A378" s="5" t="str">
        <x:v>剄</x:v>
      </x:c>
      <x:c r="B378" s="6" t="str">
        <x:v>上</x:v>
      </x:c>
      <x:c r="C378" s="6" t="str">
        <x:f>IF(B378="","Needs decision","Ready")</x:f>
        <x:v>Ready</x:v>
      </x:c>
      <x:c r="D378" s="6" t="str">
        <x:v>上</x:v>
      </x:c>
      <x:c r="E378" s="6" t="str">
        <x:v>kengX (B)</x:v>
      </x:c>
      <x:c r="F378" s="6" t="str">
        <x:v>1</x:v>
      </x:c>
      <x:c r="G378" s="6" t="str"/>
      <x:c r="H378" s="6" t="str">
        <x:f>IF(B378="平","平",IF(B378="","","仄"))</x:f>
        <x:v>仄</x:v>
      </x:c>
      <x:c r="I378" s="6" t="str">
        <x:f>IF(D375="","",IF(AND(ISNUMBER(SEARCH("平",D375)),OR(ISNUMBER(SEARCH("上",D375)),ISNUMBER(SEARCH("去",D375)),ISNUMBER(SEARCH("入",D375)))),"Ambiguous",IF(ISNUMBER(SEARCH("平",D375)),"平","仄")))</x:f>
        <x:v>仄</x:v>
      </x:c>
      <x:c r="J378" s="7" t="str"/>
    </x:row>
    <x:row r="379">
      <x:c r="A379" s="5" t="str">
        <x:v>則</x:v>
      </x:c>
      <x:c r="B379" s="6" t="str">
        <x:v>入</x:v>
      </x:c>
      <x:c r="C379" s="6" t="str">
        <x:f>IF(B379="","Needs decision","Ready")</x:f>
        <x:v>Ready</x:v>
      </x:c>
      <x:c r="D379" s="6" t="str">
        <x:v>入</x:v>
      </x:c>
      <x:c r="E379" s="6" t="str">
        <x:v>tsok (D)</x:v>
      </x:c>
      <x:c r="F379" s="6" t="str">
        <x:v>1</x:v>
      </x:c>
      <x:c r="G379" s="6" t="str"/>
      <x:c r="H379" s="6" t="str">
        <x:f>IF(B379="平","平",IF(B379="","","仄"))</x:f>
        <x:v>仄</x:v>
      </x:c>
      <x:c r="I379" s="6" t="str">
        <x:f>IF(D376="","",IF(AND(ISNUMBER(SEARCH("平",D376)),OR(ISNUMBER(SEARCH("上",D376)),ISNUMBER(SEARCH("去",D376)),ISNUMBER(SEARCH("入",D376)))),"Ambiguous",IF(ISNUMBER(SEARCH("平",D376)),"平","仄")))</x:f>
        <x:v>仄</x:v>
      </x:c>
      <x:c r="J379" s="7" t="str"/>
    </x:row>
    <x:row r="380">
      <x:c r="A380" s="5" t="str">
        <x:v>剉</x:v>
      </x:c>
      <x:c r="B380" s="6" t="str">
        <x:v>去</x:v>
      </x:c>
      <x:c r="C380" s="6" t="str">
        <x:f>IF(B380="","Needs decision","Ready")</x:f>
        <x:v>Ready</x:v>
      </x:c>
      <x:c r="D380" s="6" t="str">
        <x:v>去</x:v>
      </x:c>
      <x:c r="E380" s="6" t="str">
        <x:v>tshwaH (C)</x:v>
      </x:c>
      <x:c r="F380" s="6" t="str">
        <x:v>1</x:v>
      </x:c>
      <x:c r="G380" s="6" t="str"/>
      <x:c r="H380" s="6" t="str">
        <x:f>IF(B380="平","平",IF(B380="","","仄"))</x:f>
        <x:v>仄</x:v>
      </x:c>
      <x:c r="I380" s="6" t="str">
        <x:f>IF(D377="","",IF(AND(ISNUMBER(SEARCH("平",D377)),OR(ISNUMBER(SEARCH("上",D377)),ISNUMBER(SEARCH("去",D377)),ISNUMBER(SEARCH("入",D377)))),"Ambiguous",IF(ISNUMBER(SEARCH("平",D377)),"平","仄")))</x:f>
        <x:v>仄</x:v>
      </x:c>
      <x:c r="J380" s="7" t="str"/>
    </x:row>
    <x:row r="381">
      <x:c r="A381" s="5" t="str">
        <x:v>削</x:v>
      </x:c>
      <x:c r="B381" s="6" t="str">
        <x:v>入</x:v>
      </x:c>
      <x:c r="C381" s="6" t="str">
        <x:f>IF(B381="","Needs decision","Ready")</x:f>
        <x:v>Ready</x:v>
      </x:c>
      <x:c r="D381" s="6" t="str">
        <x:v>去/入</x:v>
      </x:c>
      <x:c r="E381" s="6" t="str">
        <x:v>sraewH (C); sjak (D); sjewH (C)</x:v>
      </x:c>
      <x:c r="F381" s="6" t="str">
        <x:v>3</x:v>
      </x:c>
      <x:c r="G381" s="6" t="str"/>
      <x:c r="H381" s="6" t="str">
        <x:f>IF(B381="平","平",IF(B381="","","仄"))</x:f>
        <x:v>仄</x:v>
      </x:c>
      <x:c r="I381" s="6" t="str">
        <x:f>IF(D378="","",IF(AND(ISNUMBER(SEARCH("平",D378)),OR(ISNUMBER(SEARCH("上",D378)),ISNUMBER(SEARCH("去",D378)),ISNUMBER(SEARCH("入",D378)))),"Ambiguous",IF(ISNUMBER(SEARCH("平",D378)),"平","仄")))</x:f>
        <x:v>仄</x:v>
      </x:c>
      <x:c r="J381" s="7" t="str"/>
    </x:row>
    <x:row r="382">
      <x:c r="A382" s="5" t="str">
        <x:v>剌</x:v>
      </x:c>
      <x:c r="B382" s="6" t="str">
        <x:v>入</x:v>
      </x:c>
      <x:c r="C382" s="6" t="str">
        <x:f>IF(B382="","Needs decision","Ready")</x:f>
        <x:v>Ready</x:v>
      </x:c>
      <x:c r="D382" s="6" t="str">
        <x:v>入</x:v>
      </x:c>
      <x:c r="E382" s="6" t="str">
        <x:v>lat (D)</x:v>
      </x:c>
      <x:c r="F382" s="6" t="str">
        <x:v>1</x:v>
      </x:c>
      <x:c r="G382" s="6" t="str"/>
      <x:c r="H382" s="6" t="str">
        <x:f>IF(B382="平","平",IF(B382="","","仄"))</x:f>
        <x:v>仄</x:v>
      </x:c>
      <x:c r="I382" s="6" t="str">
        <x:f>IF(D379="","",IF(AND(ISNUMBER(SEARCH("平",D379)),OR(ISNUMBER(SEARCH("上",D379)),ISNUMBER(SEARCH("去",D379)),ISNUMBER(SEARCH("入",D379)))),"Ambiguous",IF(ISNUMBER(SEARCH("平",D379)),"平","仄")))</x:f>
        <x:v>仄</x:v>
      </x:c>
      <x:c r="J382" s="7" t="str"/>
    </x:row>
    <x:row r="383">
      <x:c r="A383" s="5" t="str">
        <x:v>前</x:v>
      </x:c>
      <x:c r="B383" s="6" t="str">
        <x:v>平</x:v>
      </x:c>
      <x:c r="C383" s="6" t="str">
        <x:f>IF(B383="","Needs decision","Ready")</x:f>
        <x:v>Ready</x:v>
      </x:c>
      <x:c r="D383" s="6" t="str">
        <x:v>平</x:v>
      </x:c>
      <x:c r="E383" s="6" t="str">
        <x:v>dzen (A)</x:v>
      </x:c>
      <x:c r="F383" s="6" t="str">
        <x:v>1</x:v>
      </x:c>
      <x:c r="G383" s="6" t="str"/>
      <x:c r="H383" s="6" t="str">
        <x:f>IF(B383="平","平",IF(B383="","","仄"))</x:f>
        <x:v>平</x:v>
      </x:c>
      <x:c r="I383" s="6" t="str">
        <x:f>IF(D380="","",IF(AND(ISNUMBER(SEARCH("平",D380)),OR(ISNUMBER(SEARCH("上",D380)),ISNUMBER(SEARCH("去",D380)),ISNUMBER(SEARCH("入",D380)))),"Ambiguous",IF(ISNUMBER(SEARCH("平",D380)),"平","仄")))</x:f>
        <x:v>仄</x:v>
      </x:c>
      <x:c r="J383" s="7" t="str"/>
    </x:row>
    <x:row r="384">
      <x:c r="A384" s="5" t="str">
        <x:v>剎</x:v>
      </x:c>
      <x:c r="B384" s="6" t="str">
        <x:v>入</x:v>
      </x:c>
      <x:c r="C384" s="6" t="str">
        <x:f>IF(B384="","Needs decision","Ready")</x:f>
        <x:v>Ready</x:v>
      </x:c>
      <x:c r="D384" s="6" t="str">
        <x:v>入</x:v>
      </x:c>
      <x:c r="E384" s="6" t="str"/>
      <x:c r="F384" s="6" t="str"/>
      <x:c r="G384" s="6" t="str">
        <x:v>Manual user correction/addition</x:v>
      </x:c>
      <x:c r="H384" s="6" t="str">
        <x:f>IF(B384="平","平",IF(B384="","","仄"))</x:f>
        <x:v>仄</x:v>
      </x:c>
      <x:c r="I384" s="6" t="str">
        <x:v>仄</x:v>
      </x:c>
      <x:c r="J384" s="7" t="str">
        <x:v>manual user correction</x:v>
      </x:c>
    </x:row>
    <x:row r="385">
      <x:c r="A385" s="5" t="str">
        <x:v>剔</x:v>
      </x:c>
      <x:c r="B385" s="6" t="str"/>
      <x:c r="C385" s="6" t="str">
        <x:f>IF(B385="","Needs decision","Ready")</x:f>
        <x:v>Needs decision</x:v>
      </x:c>
      <x:c r="D385" s="6" t="str">
        <x:v>入/去</x:v>
      </x:c>
      <x:c r="E385" s="6" t="str">
        <x:v>thek (D); thejH (C)</x:v>
      </x:c>
      <x:c r="F385" s="6" t="str">
        <x:v>2</x:v>
      </x:c>
      <x:c r="G385" s="6" t="str"/>
      <x:c r="H385" s="6" t="str">
        <x:f>IF(B385="平","平",IF(B385="","","仄"))</x:f>
      </x:c>
      <x:c r="I385" s="6" t="str">
        <x:f>IF(D381="","",IF(AND(ISNUMBER(SEARCH("平",D381)),OR(ISNUMBER(SEARCH("上",D381)),ISNUMBER(SEARCH("去",D381)),ISNUMBER(SEARCH("入",D381)))),"Ambiguous",IF(ISNUMBER(SEARCH("平",D381)),"平","仄")))</x:f>
        <x:v>仄</x:v>
      </x:c>
      <x:c r="J385" s="7" t="str"/>
    </x:row>
    <x:row r="386">
      <x:c r="A386" s="5" t="str">
        <x:v>剖</x:v>
      </x:c>
      <x:c r="B386" s="6" t="str">
        <x:v>上</x:v>
      </x:c>
      <x:c r="C386" s="6" t="str">
        <x:f>IF(B386="","Needs decision","Ready")</x:f>
        <x:v>Ready</x:v>
      </x:c>
      <x:c r="D386" s="6" t="str">
        <x:v>上</x:v>
      </x:c>
      <x:c r="E386" s="6" t="str">
        <x:v>phuwX (B)</x:v>
      </x:c>
      <x:c r="F386" s="6" t="str">
        <x:v>1</x:v>
      </x:c>
      <x:c r="G386" s="6" t="str"/>
      <x:c r="H386" s="6" t="str">
        <x:f>IF(B386="平","平",IF(B386="","","仄"))</x:f>
        <x:v>仄</x:v>
      </x:c>
      <x:c r="I386" s="6" t="str">
        <x:f>IF(D382="","",IF(AND(ISNUMBER(SEARCH("平",D382)),OR(ISNUMBER(SEARCH("上",D382)),ISNUMBER(SEARCH("去",D382)),ISNUMBER(SEARCH("入",D382)))),"Ambiguous",IF(ISNUMBER(SEARCH("平",D382)),"平","仄")))</x:f>
        <x:v>仄</x:v>
      </x:c>
      <x:c r="J386" s="7" t="str"/>
    </x:row>
    <x:row r="387">
      <x:c r="A387" s="5" t="str">
        <x:v>剛</x:v>
      </x:c>
      <x:c r="B387" s="6" t="str">
        <x:v>平</x:v>
      </x:c>
      <x:c r="C387" s="6" t="str">
        <x:f>IF(B387="","Needs decision","Ready")</x:f>
        <x:v>Ready</x:v>
      </x:c>
      <x:c r="D387" s="6" t="str">
        <x:v>平</x:v>
      </x:c>
      <x:c r="E387" s="6" t="str">
        <x:v>kang (A)</x:v>
      </x:c>
      <x:c r="F387" s="6" t="str">
        <x:v>1</x:v>
      </x:c>
      <x:c r="G387" s="6" t="str"/>
      <x:c r="H387" s="6" t="str">
        <x:f>IF(B387="平","平",IF(B387="","","仄"))</x:f>
        <x:v>平</x:v>
      </x:c>
      <x:c r="I387" s="6" t="str">
        <x:f>IF(D383="","",IF(AND(ISNUMBER(SEARCH("平",D383)),OR(ISNUMBER(SEARCH("上",D383)),ISNUMBER(SEARCH("去",D383)),ISNUMBER(SEARCH("入",D383)))),"Ambiguous",IF(ISNUMBER(SEARCH("平",D383)),"平","仄")))</x:f>
        <x:v>平</x:v>
      </x:c>
      <x:c r="J387" s="7" t="str"/>
    </x:row>
    <x:row r="388">
      <x:c r="A388" s="5" t="str">
        <x:v>剜</x:v>
      </x:c>
      <x:c r="B388" s="6" t="str">
        <x:v>平</x:v>
      </x:c>
      <x:c r="C388" s="6" t="str">
        <x:f>IF(B388="","Needs decision","Ready")</x:f>
        <x:v>Ready</x:v>
      </x:c>
      <x:c r="D388" s="6" t="str">
        <x:v>平</x:v>
      </x:c>
      <x:c r="E388" s="6" t="str">
        <x:v>'wan [ʔ̙wɑn] (平)</x:v>
      </x:c>
      <x:c r="F388" s="6" t="str">
        <x:v>1</x:v>
      </x:c>
      <x:c r="G388" s="6" t="str">
        <x:v>Tang 300 gap; frequency 1; provisional from Xun Gong</x:v>
      </x:c>
      <x:c r="H388" s="6" t="str">
        <x:f>IF(B388="平","平",IF(B388="","","仄"))</x:f>
        <x:v>平</x:v>
      </x:c>
      <x:c r="I388" s="6" t="str">
        <x:f>IF(D384="","",IF(AND(ISNUMBER(SEARCH("平",D384)),OR(ISNUMBER(SEARCH("上",D384)),ISNUMBER(SEARCH("去",D384)),ISNUMBER(SEARCH("入",D384)))),"Ambiguous",IF(ISNUMBER(SEARCH("平",D384)),"平","仄")))</x:f>
        <x:v>仄</x:v>
      </x:c>
      <x:c r="J388" s="7" t="str">
        <x:v>Xun Gong, Tang 300 gap fill</x:v>
      </x:c>
    </x:row>
    <x:row r="389">
      <x:c r="A389" s="5" t="str">
        <x:v>剝</x:v>
      </x:c>
      <x:c r="B389" s="6" t="str">
        <x:v>入</x:v>
      </x:c>
      <x:c r="C389" s="6" t="str">
        <x:f>IF(B389="","Needs decision","Ready")</x:f>
        <x:v>Ready</x:v>
      </x:c>
      <x:c r="D389" s="6" t="str">
        <x:v>入</x:v>
      </x:c>
      <x:c r="E389" s="6" t="str">
        <x:v>paewk (D)</x:v>
      </x:c>
      <x:c r="F389" s="6" t="str">
        <x:v>1</x:v>
      </x:c>
      <x:c r="G389" s="6" t="str"/>
      <x:c r="H389" s="6" t="str">
        <x:f>IF(B389="平","平",IF(B389="","","仄"))</x:f>
        <x:v>仄</x:v>
      </x:c>
      <x:c r="I389" s="6" t="str">
        <x:f>IF(D385="","",IF(AND(ISNUMBER(SEARCH("平",D385)),OR(ISNUMBER(SEARCH("上",D385)),ISNUMBER(SEARCH("去",D385)),ISNUMBER(SEARCH("入",D385)))),"Ambiguous",IF(ISNUMBER(SEARCH("平",D385)),"平","仄")))</x:f>
        <x:v>仄</x:v>
      </x:c>
      <x:c r="J389" s="7" t="str"/>
    </x:row>
    <x:row r="390">
      <x:c r="A390" s="5" t="str">
        <x:v>剡</x:v>
      </x:c>
      <x:c r="B390" s="6" t="str">
        <x:v>上</x:v>
      </x:c>
      <x:c r="C390" s="6" t="str">
        <x:f>IF(B390="","Needs decision","Ready")</x:f>
        <x:v>Ready</x:v>
      </x:c>
      <x:c r="D390" s="6" t="str">
        <x:v>上</x:v>
      </x:c>
      <x:c r="E390" s="6" t="str">
        <x:v>yemX (B)</x:v>
      </x:c>
      <x:c r="F390" s="6" t="str">
        <x:v>1</x:v>
      </x:c>
      <x:c r="G390" s="6" t="str"/>
      <x:c r="H390" s="6" t="str">
        <x:f>IF(B390="平","平",IF(B390="","","仄"))</x:f>
        <x:v>仄</x:v>
      </x:c>
      <x:c r="I390" s="6" t="str">
        <x:f>IF(D386="","",IF(AND(ISNUMBER(SEARCH("平",D386)),OR(ISNUMBER(SEARCH("上",D386)),ISNUMBER(SEARCH("去",D386)),ISNUMBER(SEARCH("入",D386)))),"Ambiguous",IF(ISNUMBER(SEARCH("平",D386)),"平","仄")))</x:f>
        <x:v>仄</x:v>
      </x:c>
      <x:c r="J390" s="7" t="str"/>
    </x:row>
    <x:row r="391">
      <x:c r="A391" s="5" t="str">
        <x:v>剩</x:v>
      </x:c>
      <x:c r="B391" s="6" t="str">
        <x:v>去</x:v>
      </x:c>
      <x:c r="C391" s="6" t="str">
        <x:f>IF(B391="","Needs decision","Ready")</x:f>
        <x:v>Ready</x:v>
      </x:c>
      <x:c r="D391" s="6" t="str">
        <x:v>去</x:v>
      </x:c>
      <x:c r="E391" s="6" t="str">
        <x:v>zyingH (C)</x:v>
      </x:c>
      <x:c r="F391" s="6" t="str">
        <x:v>1</x:v>
      </x:c>
      <x:c r="G391" s="6" t="str"/>
      <x:c r="H391" s="6" t="str">
        <x:f>IF(B391="平","平",IF(B391="","","仄"))</x:f>
        <x:v>仄</x:v>
      </x:c>
      <x:c r="I391" s="6" t="str">
        <x:f>IF(D387="","",IF(AND(ISNUMBER(SEARCH("平",D387)),OR(ISNUMBER(SEARCH("上",D387)),ISNUMBER(SEARCH("去",D387)),ISNUMBER(SEARCH("入",D387)))),"Ambiguous",IF(ISNUMBER(SEARCH("平",D387)),"平","仄")))</x:f>
        <x:v>平</x:v>
      </x:c>
      <x:c r="J391" s="7" t="str"/>
    </x:row>
    <x:row r="392">
      <x:c r="A392" s="5" t="str">
        <x:v>剪</x:v>
      </x:c>
      <x:c r="B392" s="6" t="str">
        <x:v>上</x:v>
      </x:c>
      <x:c r="C392" s="6" t="str">
        <x:f>IF(B392="","Needs decision","Ready")</x:f>
        <x:v>Ready</x:v>
      </x:c>
      <x:c r="D392" s="6" t="str">
        <x:v>上</x:v>
      </x:c>
      <x:c r="E392" s="6" t="str">
        <x:v>tsjenX [tsjenʔ] (上)</x:v>
      </x:c>
      <x:c r="F392" s="6" t="str">
        <x:v>1</x:v>
      </x:c>
      <x:c r="G392" s="6" t="str">
        <x:v>Tang 300 gap; frequency 3; provisional from Xun Gong</x:v>
      </x:c>
      <x:c r="H392" s="6" t="str">
        <x:f>IF(B392="平","平",IF(B392="","","仄"))</x:f>
        <x:v>仄</x:v>
      </x:c>
      <x:c r="I392" s="6" t="str">
        <x:f>IF(D388="","",IF(AND(ISNUMBER(SEARCH("平",D388)),OR(ISNUMBER(SEARCH("上",D388)),ISNUMBER(SEARCH("去",D388)),ISNUMBER(SEARCH("入",D388)))),"Ambiguous",IF(ISNUMBER(SEARCH("平",D388)),"平","仄")))</x:f>
        <x:v>平</x:v>
      </x:c>
      <x:c r="J392" s="7" t="str">
        <x:v>Xun Gong, Tang 300 gap fill</x:v>
      </x:c>
    </x:row>
    <x:row r="393">
      <x:c r="A393" s="5" t="str">
        <x:v>副</x:v>
      </x:c>
      <x:c r="B393" s="6" t="str"/>
      <x:c r="C393" s="6" t="str">
        <x:f>IF(B393="","Needs decision","Ready")</x:f>
        <x:v>Needs decision</x:v>
      </x:c>
      <x:c r="D393" s="6" t="str">
        <x:v>入/去</x:v>
      </x:c>
      <x:c r="E393" s="6" t="str">
        <x:v>phik (D); phjuwH (C)</x:v>
      </x:c>
      <x:c r="F393" s="6" t="str">
        <x:v>2</x:v>
      </x:c>
      <x:c r="G393" s="6" t="str"/>
      <x:c r="H393" s="6" t="str">
        <x:f>IF(B393="平","平",IF(B393="","","仄"))</x:f>
      </x:c>
      <x:c r="I393" s="6" t="str">
        <x:f>IF(D389="","",IF(AND(ISNUMBER(SEARCH("平",D389)),OR(ISNUMBER(SEARCH("上",D389)),ISNUMBER(SEARCH("去",D389)),ISNUMBER(SEARCH("入",D389)))),"Ambiguous",IF(ISNUMBER(SEARCH("平",D389)),"平","仄")))</x:f>
        <x:v>仄</x:v>
      </x:c>
      <x:c r="J393" s="7" t="str"/>
    </x:row>
    <x:row r="394">
      <x:c r="A394" s="5" t="str">
        <x:v>割</x:v>
      </x:c>
      <x:c r="B394" s="6" t="str">
        <x:v>入</x:v>
      </x:c>
      <x:c r="C394" s="6" t="str">
        <x:f>IF(B394="","Needs decision","Ready")</x:f>
        <x:v>Ready</x:v>
      </x:c>
      <x:c r="D394" s="6" t="str">
        <x:v>入</x:v>
      </x:c>
      <x:c r="E394" s="6" t="str">
        <x:v>kat (D)</x:v>
      </x:c>
      <x:c r="F394" s="6" t="str">
        <x:v>1</x:v>
      </x:c>
      <x:c r="G394" s="6" t="str"/>
      <x:c r="H394" s="6" t="str">
        <x:f>IF(B394="平","平",IF(B394="","","仄"))</x:f>
        <x:v>仄</x:v>
      </x:c>
      <x:c r="I394" s="6" t="str">
        <x:f>IF(D390="","",IF(AND(ISNUMBER(SEARCH("平",D390)),OR(ISNUMBER(SEARCH("上",D390)),ISNUMBER(SEARCH("去",D390)),ISNUMBER(SEARCH("入",D390)))),"Ambiguous",IF(ISNUMBER(SEARCH("平",D390)),"平","仄")))</x:f>
        <x:v>仄</x:v>
      </x:c>
      <x:c r="J394" s="7" t="str"/>
    </x:row>
    <x:row r="395">
      <x:c r="A395" s="5" t="str">
        <x:v>創</x:v>
      </x:c>
      <x:c r="B395" s="6" t="str">
        <x:v>去</x:v>
      </x:c>
      <x:c r="C395" s="6" t="str">
        <x:f>IF(B395="","Needs decision","Ready")</x:f>
        <x:v>Ready</x:v>
      </x:c>
      <x:c r="D395" s="6" t="str">
        <x:v>平/去</x:v>
      </x:c>
      <x:c r="E395" s="6" t="str">
        <x:v>tsrhjang (A); tsrhjangH (C)</x:v>
      </x:c>
      <x:c r="F395" s="6" t="str">
        <x:v>2</x:v>
      </x:c>
      <x:c r="G395" s="6" t="str">
        <x:v>User workbook edit 2026-09-03</x:v>
      </x:c>
      <x:c r="H395" s="6" t="str">
        <x:f>IF(B395="平","平",IF(B395="","","仄"))</x:f>
        <x:v>仄</x:v>
      </x:c>
      <x:c r="I395" s="6" t="str">
        <x:f>IF(D391="","",IF(AND(ISNUMBER(SEARCH("平",D391)),OR(ISNUMBER(SEARCH("上",D391)),ISNUMBER(SEARCH("去",D391)),ISNUMBER(SEARCH("入",D391)))),"Ambiguous",IF(ISNUMBER(SEARCH("平",D391)),"平","仄")))</x:f>
        <x:v>仄</x:v>
      </x:c>
      <x:c r="J395" s="7" t="str">
        <x:v>manual user correction</x:v>
      </x:c>
    </x:row>
    <x:row r="396">
      <x:c r="A396" s="5" t="str">
        <x:v>剺</x:v>
      </x:c>
      <x:c r="B396" s="6" t="str">
        <x:v>平</x:v>
      </x:c>
      <x:c r="C396" s="6" t="str">
        <x:f>IF(B396="","Needs decision","Ready")</x:f>
        <x:v>Ready</x:v>
      </x:c>
      <x:c r="D396" s="6" t="str">
        <x:v>平</x:v>
      </x:c>
      <x:c r="E396" s="6" t="str">
        <x:v>li [ljɨ] (平)</x:v>
      </x:c>
      <x:c r="F396" s="6" t="str">
        <x:v>1</x:v>
      </x:c>
      <x:c r="G396" s="6" t="str">
        <x:v>Tang 300 gap; frequency 1; provisional from Xun Gong</x:v>
      </x:c>
      <x:c r="H396" s="6" t="str">
        <x:f>IF(B396="平","平",IF(B396="","","仄"))</x:f>
        <x:v>平</x:v>
      </x:c>
      <x:c r="I396" s="6" t="str">
        <x:f>IF(D392="","",IF(AND(ISNUMBER(SEARCH("平",D392)),OR(ISNUMBER(SEARCH("上",D392)),ISNUMBER(SEARCH("去",D392)),ISNUMBER(SEARCH("入",D392)))),"Ambiguous",IF(ISNUMBER(SEARCH("平",D392)),"平","仄")))</x:f>
        <x:v>仄</x:v>
      </x:c>
      <x:c r="J396" s="7" t="str">
        <x:v>Xun Gong, Tang 300 gap fill</x:v>
      </x:c>
    </x:row>
    <x:row r="397">
      <x:c r="A397" s="5" t="str">
        <x:v>剿</x:v>
      </x:c>
      <x:c r="B397" s="6" t="str">
        <x:v>上</x:v>
      </x:c>
      <x:c r="C397" s="6" t="str">
        <x:f>IF(B397="","Needs decision","Ready")</x:f>
        <x:v>Ready</x:v>
      </x:c>
      <x:c r="D397" s="6" t="str">
        <x:v>上</x:v>
      </x:c>
      <x:c r="E397" s="6" t="str">
        <x:v>tsjewX (B)</x:v>
      </x:c>
      <x:c r="F397" s="6" t="str">
        <x:v>1</x:v>
      </x:c>
      <x:c r="G397" s="6" t="str"/>
      <x:c r="H397" s="6" t="str">
        <x:f>IF(B397="平","平",IF(B397="","","仄"))</x:f>
        <x:v>仄</x:v>
      </x:c>
      <x:c r="I397" s="6" t="str">
        <x:f>IF(D393="","",IF(AND(ISNUMBER(SEARCH("平",D393)),OR(ISNUMBER(SEARCH("上",D393)),ISNUMBER(SEARCH("去",D393)),ISNUMBER(SEARCH("入",D393)))),"Ambiguous",IF(ISNUMBER(SEARCH("平",D393)),"平","仄")))</x:f>
        <x:v>仄</x:v>
      </x:c>
      <x:c r="J397" s="7" t="str"/>
    </x:row>
    <x:row r="398">
      <x:c r="A398" s="5" t="str">
        <x:v>劀</x:v>
      </x:c>
      <x:c r="B398" s="6" t="str">
        <x:v>入</x:v>
      </x:c>
      <x:c r="C398" s="6" t="str">
        <x:f>IF(B398="","Needs decision","Ready")</x:f>
        <x:v>Ready</x:v>
      </x:c>
      <x:c r="D398" s="6" t="str">
        <x:v>入</x:v>
      </x:c>
      <x:c r="E398" s="6" t="str">
        <x:v>kweat (D)</x:v>
      </x:c>
      <x:c r="F398" s="6" t="str">
        <x:v>1</x:v>
      </x:c>
      <x:c r="G398" s="6" t="str"/>
      <x:c r="H398" s="6" t="str">
        <x:f>IF(B398="平","平",IF(B398="","","仄"))</x:f>
        <x:v>仄</x:v>
      </x:c>
      <x:c r="I398" s="6" t="str">
        <x:f>IF(D394="","",IF(AND(ISNUMBER(SEARCH("平",D394)),OR(ISNUMBER(SEARCH("上",D394)),ISNUMBER(SEARCH("去",D394)),ISNUMBER(SEARCH("入",D394)))),"Ambiguous",IF(ISNUMBER(SEARCH("平",D394)),"平","仄")))</x:f>
        <x:v>仄</x:v>
      </x:c>
      <x:c r="J398" s="7" t="str"/>
    </x:row>
    <x:row r="399">
      <x:c r="A399" s="5" t="str">
        <x:v>劃</x:v>
      </x:c>
      <x:c r="B399" s="6" t="str">
        <x:v>入</x:v>
      </x:c>
      <x:c r="C399" s="6" t="str">
        <x:f>IF(B399="","Needs decision","Ready")</x:f>
        <x:v>Ready</x:v>
      </x:c>
      <x:c r="D399" s="6" t="str">
        <x:v>入</x:v>
      </x:c>
      <x:c r="E399" s="6" t="str">
        <x:v>hweak (D)</x:v>
      </x:c>
      <x:c r="F399" s="6" t="str">
        <x:v>1</x:v>
      </x:c>
      <x:c r="G399" s="6" t="str"/>
      <x:c r="H399" s="6" t="str">
        <x:f>IF(B399="平","平",IF(B399="","","仄"))</x:f>
        <x:v>仄</x:v>
      </x:c>
      <x:c r="I399" s="6" t="str">
        <x:f>IF(D395="","",IF(AND(ISNUMBER(SEARCH("平",D395)),OR(ISNUMBER(SEARCH("上",D395)),ISNUMBER(SEARCH("去",D395)),ISNUMBER(SEARCH("入",D395)))),"Ambiguous",IF(ISNUMBER(SEARCH("平",D395)),"平","仄")))</x:f>
        <x:v>Ambiguous</x:v>
      </x:c>
      <x:c r="J399" s="7" t="str"/>
    </x:row>
    <x:row r="400">
      <x:c r="A400" s="5" t="str">
        <x:v>劇</x:v>
      </x:c>
      <x:c r="B400" s="6" t="str">
        <x:v>入</x:v>
      </x:c>
      <x:c r="C400" s="6" t="str">
        <x:f>IF(B400="","Needs decision","Ready")</x:f>
        <x:v>Ready</x:v>
      </x:c>
      <x:c r="D400" s="6" t="str">
        <x:v>入</x:v>
      </x:c>
      <x:c r="E400" s="6" t="str">
        <x:v>gjaek [羣開三B庚入] ɡɨ̯ak</x:v>
      </x:c>
      <x:c r="F400" s="6" t="str">
        <x:v>1</x:v>
      </x:c>
      <x:c r="G400" s="6" t="str">
        <x:v>Targeted preliminary fill from Xun Gong; review if uncertain</x:v>
      </x:c>
      <x:c r="H400" s="6" t="str">
        <x:f>IF(B400="平","平",IF(B400="","","仄"))</x:f>
        <x:v>仄</x:v>
      </x:c>
      <x:c r="I400" s="6" t="str">
        <x:f>IF(D396="","",IF(AND(ISNUMBER(SEARCH("平",D396)),OR(ISNUMBER(SEARCH("上",D396)),ISNUMBER(SEARCH("去",D396)),ISNUMBER(SEARCH("入",D396)))),"Ambiguous",IF(ISNUMBER(SEARCH("平",D396)),"平","仄")))</x:f>
        <x:v>平</x:v>
      </x:c>
      <x:c r="J400" s="7" t="str">
        <x:v>Xun Gong character-readings.csv</x:v>
      </x:c>
    </x:row>
    <x:row r="401">
      <x:c r="A401" s="5" t="str">
        <x:v>劉</x:v>
      </x:c>
      <x:c r="B401" s="6" t="str">
        <x:v>平</x:v>
      </x:c>
      <x:c r="C401" s="6" t="str">
        <x:f>IF(B401="","Needs decision","Ready")</x:f>
        <x:v>Ready</x:v>
      </x:c>
      <x:c r="D401" s="6" t="str">
        <x:v>平</x:v>
      </x:c>
      <x:c r="E401" s="6" t="str">
        <x:v>ljuw (A)</x:v>
      </x:c>
      <x:c r="F401" s="6" t="str">
        <x:v>1</x:v>
      </x:c>
      <x:c r="G401" s="6" t="str"/>
      <x:c r="H401" s="6" t="str">
        <x:f>IF(B401="平","平",IF(B401="","","仄"))</x:f>
        <x:v>平</x:v>
      </x:c>
      <x:c r="I401" s="6" t="str">
        <x:f>IF(D397="","",IF(AND(ISNUMBER(SEARCH("平",D397)),OR(ISNUMBER(SEARCH("上",D397)),ISNUMBER(SEARCH("去",D397)),ISNUMBER(SEARCH("入",D397)))),"Ambiguous",IF(ISNUMBER(SEARCH("平",D397)),"平","仄")))</x:f>
        <x:v>仄</x:v>
      </x:c>
      <x:c r="J401" s="7" t="str"/>
    </x:row>
    <x:row r="402">
      <x:c r="A402" s="5" t="str">
        <x:v>劌</x:v>
      </x:c>
      <x:c r="B402" s="6" t="str">
        <x:v>去</x:v>
      </x:c>
      <x:c r="C402" s="6" t="str">
        <x:f>IF(B402="","Needs decision","Ready")</x:f>
        <x:v>Ready</x:v>
      </x:c>
      <x:c r="D402" s="6" t="str">
        <x:v>去</x:v>
      </x:c>
      <x:c r="E402" s="6" t="str">
        <x:v>kjwejH (C)</x:v>
      </x:c>
      <x:c r="F402" s="6" t="str">
        <x:v>1</x:v>
      </x:c>
      <x:c r="G402" s="6" t="str"/>
      <x:c r="H402" s="6" t="str">
        <x:f>IF(B402="平","平",IF(B402="","","仄"))</x:f>
        <x:v>仄</x:v>
      </x:c>
      <x:c r="I402" s="6" t="str">
        <x:f>IF(D398="","",IF(AND(ISNUMBER(SEARCH("平",D398)),OR(ISNUMBER(SEARCH("上",D398)),ISNUMBER(SEARCH("去",D398)),ISNUMBER(SEARCH("入",D398)))),"Ambiguous",IF(ISNUMBER(SEARCH("平",D398)),"平","仄")))</x:f>
        <x:v>仄</x:v>
      </x:c>
      <x:c r="J402" s="7" t="str"/>
    </x:row>
    <x:row r="403">
      <x:c r="A403" s="5" t="str">
        <x:v>劍</x:v>
      </x:c>
      <x:c r="B403" s="6" t="str">
        <x:v>去</x:v>
      </x:c>
      <x:c r="C403" s="6" t="str">
        <x:f>IF(B403="","Needs decision","Ready")</x:f>
        <x:v>Ready</x:v>
      </x:c>
      <x:c r="D403" s="6" t="str">
        <x:v>去</x:v>
      </x:c>
      <x:c r="E403" s="6" t="str">
        <x:v>kjaemH (C)</x:v>
      </x:c>
      <x:c r="F403" s="6" t="str">
        <x:v>1</x:v>
      </x:c>
      <x:c r="G403" s="6" t="str"/>
      <x:c r="H403" s="6" t="str">
        <x:f>IF(B403="平","平",IF(B403="","","仄"))</x:f>
        <x:v>仄</x:v>
      </x:c>
      <x:c r="I403" s="6" t="str">
        <x:f>IF(D399="","",IF(AND(ISNUMBER(SEARCH("平",D399)),OR(ISNUMBER(SEARCH("上",D399)),ISNUMBER(SEARCH("去",D399)),ISNUMBER(SEARCH("入",D399)))),"Ambiguous",IF(ISNUMBER(SEARCH("平",D399)),"平","仄")))</x:f>
        <x:v>仄</x:v>
      </x:c>
      <x:c r="J403" s="7" t="str"/>
    </x:row>
    <x:row r="404">
      <x:c r="A404" s="5" t="str">
        <x:v>劑</x:v>
      </x:c>
      <x:c r="B404" s="6" t="str">
        <x:v>去</x:v>
      </x:c>
      <x:c r="C404" s="6" t="str">
        <x:f>IF(B404="","Needs decision","Ready")</x:f>
        <x:v>Ready</x:v>
      </x:c>
      <x:c r="D404" s="6" t="str"/>
      <x:c r="E404" s="6" t="str"/>
      <x:c r="F404" s="6" t="str"/>
      <x:c r="G404" s="6" t="str">
        <x:v>Manual addition from user correction</x:v>
      </x:c>
      <x:c r="H404" s="6" t="str">
        <x:f>IF(B404="平","平",IF(B404="","","仄"))</x:f>
        <x:v>仄</x:v>
      </x:c>
      <x:c r="I404" s="6" t="str">
        <x:f>IF(D400="","",IF(AND(ISNUMBER(SEARCH("平",D400)),OR(ISNUMBER(SEARCH("上",D400)),ISNUMBER(SEARCH("去",D400)),ISNUMBER(SEARCH("入",D400)))),"Ambiguous",IF(ISNUMBER(SEARCH("平",D400)),"平","仄")))</x:f>
        <x:v>仄</x:v>
      </x:c>
      <x:c r="J404" s="7" t="str"/>
    </x:row>
    <x:row r="405">
      <x:c r="A405" s="5" t="str">
        <x:v>劓</x:v>
      </x:c>
      <x:c r="B405" s="6" t="str">
        <x:v>去</x:v>
      </x:c>
      <x:c r="C405" s="6" t="str">
        <x:f>IF(B405="","Needs decision","Ready")</x:f>
        <x:v>Ready</x:v>
      </x:c>
      <x:c r="D405" s="6" t="str">
        <x:v>去</x:v>
      </x:c>
      <x:c r="E405" s="6" t="str">
        <x:v>ngijH (C)</x:v>
      </x:c>
      <x:c r="F405" s="6" t="str">
        <x:v>1</x:v>
      </x:c>
      <x:c r="G405" s="6" t="str"/>
      <x:c r="H405" s="6" t="str">
        <x:f>IF(B405="平","平",IF(B405="","","仄"))</x:f>
        <x:v>仄</x:v>
      </x:c>
      <x:c r="I405" s="6" t="str">
        <x:f>IF(D401="","",IF(AND(ISNUMBER(SEARCH("平",D401)),OR(ISNUMBER(SEARCH("上",D401)),ISNUMBER(SEARCH("去",D401)),ISNUMBER(SEARCH("入",D401)))),"Ambiguous",IF(ISNUMBER(SEARCH("平",D401)),"平","仄")))</x:f>
        <x:v>平</x:v>
      </x:c>
      <x:c r="J405" s="7" t="str"/>
    </x:row>
    <x:row r="406">
      <x:c r="A406" s="5" t="str">
        <x:v>力</x:v>
      </x:c>
      <x:c r="B406" s="6" t="str">
        <x:v>入</x:v>
      </x:c>
      <x:c r="C406" s="6" t="str">
        <x:f>IF(B406="","Needs decision","Ready")</x:f>
        <x:v>Ready</x:v>
      </x:c>
      <x:c r="D406" s="6" t="str">
        <x:v>入</x:v>
      </x:c>
      <x:c r="E406" s="6" t="str">
        <x:v>lik (D)</x:v>
      </x:c>
      <x:c r="F406" s="6" t="str">
        <x:v>1</x:v>
      </x:c>
      <x:c r="G406" s="6" t="str"/>
      <x:c r="H406" s="6" t="str">
        <x:f>IF(B406="平","平",IF(B406="","","仄"))</x:f>
        <x:v>仄</x:v>
      </x:c>
      <x:c r="I406" s="6" t="str">
        <x:f>IF(D402="","",IF(AND(ISNUMBER(SEARCH("平",D402)),OR(ISNUMBER(SEARCH("上",D402)),ISNUMBER(SEARCH("去",D402)),ISNUMBER(SEARCH("入",D402)))),"Ambiguous",IF(ISNUMBER(SEARCH("平",D402)),"平","仄")))</x:f>
        <x:v>仄</x:v>
      </x:c>
      <x:c r="J406" s="7" t="str"/>
    </x:row>
    <x:row r="407">
      <x:c r="A407" s="5" t="str">
        <x:v>功</x:v>
      </x:c>
      <x:c r="B407" s="6" t="str">
        <x:v>平</x:v>
      </x:c>
      <x:c r="C407" s="6" t="str">
        <x:f>IF(B407="","Needs decision","Ready")</x:f>
        <x:v>Ready</x:v>
      </x:c>
      <x:c r="D407" s="6" t="str">
        <x:v>平</x:v>
      </x:c>
      <x:c r="E407" s="6" t="str">
        <x:v>kuwng (A)</x:v>
      </x:c>
      <x:c r="F407" s="6" t="str">
        <x:v>1</x:v>
      </x:c>
      <x:c r="G407" s="6" t="str"/>
      <x:c r="H407" s="6" t="str">
        <x:f>IF(B407="平","平",IF(B407="","","仄"))</x:f>
        <x:v>平</x:v>
      </x:c>
      <x:c r="I407" s="6" t="str">
        <x:f>IF(D403="","",IF(AND(ISNUMBER(SEARCH("平",D403)),OR(ISNUMBER(SEARCH("上",D403)),ISNUMBER(SEARCH("去",D403)),ISNUMBER(SEARCH("入",D403)))),"Ambiguous",IF(ISNUMBER(SEARCH("平",D403)),"平","仄")))</x:f>
        <x:v>仄</x:v>
      </x:c>
      <x:c r="J407" s="7" t="str"/>
    </x:row>
    <x:row r="408">
      <x:c r="A408" s="5" t="str">
        <x:v>加</x:v>
      </x:c>
      <x:c r="B408" s="6" t="str">
        <x:v>平</x:v>
      </x:c>
      <x:c r="C408" s="6" t="str">
        <x:f>IF(B408="","Needs decision","Ready")</x:f>
        <x:v>Ready</x:v>
      </x:c>
      <x:c r="D408" s="6" t="str">
        <x:v>平</x:v>
      </x:c>
      <x:c r="E408" s="6" t="str">
        <x:v>kae (A)</x:v>
      </x:c>
      <x:c r="F408" s="6" t="str">
        <x:v>1</x:v>
      </x:c>
      <x:c r="G408" s="6" t="str"/>
      <x:c r="H408" s="6" t="str">
        <x:f>IF(B408="平","平",IF(B408="","","仄"))</x:f>
        <x:v>平</x:v>
      </x:c>
      <x:c r="I408" s="6" t="str">
        <x:f>IF(D404="","",IF(AND(ISNUMBER(SEARCH("平",D404)),OR(ISNUMBER(SEARCH("上",D404)),ISNUMBER(SEARCH("去",D404)),ISNUMBER(SEARCH("入",D404)))),"Ambiguous",IF(ISNUMBER(SEARCH("平",D404)),"平","仄")))</x:f>
      </x:c>
      <x:c r="J408" s="7" t="str"/>
    </x:row>
    <x:row r="409">
      <x:c r="A409" s="5" t="str">
        <x:v>劦</x:v>
      </x:c>
      <x:c r="B409" s="6" t="str">
        <x:v>入</x:v>
      </x:c>
      <x:c r="C409" s="6" t="str">
        <x:f>IF(B409="","Needs decision","Ready")</x:f>
        <x:v>Ready</x:v>
      </x:c>
      <x:c r="D409" s="6" t="str">
        <x:v>入</x:v>
      </x:c>
      <x:c r="E409" s="6" t="str">
        <x:v>hep (D)</x:v>
      </x:c>
      <x:c r="F409" s="6" t="str">
        <x:v>1</x:v>
      </x:c>
      <x:c r="G409" s="6" t="str"/>
      <x:c r="H409" s="6" t="str">
        <x:f>IF(B409="平","平",IF(B409="","","仄"))</x:f>
        <x:v>仄</x:v>
      </x:c>
      <x:c r="I409" s="6" t="str">
        <x:f>IF(D405="","",IF(AND(ISNUMBER(SEARCH("平",D405)),OR(ISNUMBER(SEARCH("上",D405)),ISNUMBER(SEARCH("去",D405)),ISNUMBER(SEARCH("入",D405)))),"Ambiguous",IF(ISNUMBER(SEARCH("平",D405)),"平","仄")))</x:f>
        <x:v>仄</x:v>
      </x:c>
      <x:c r="J409" s="7" t="str"/>
    </x:row>
    <x:row r="410">
      <x:c r="A410" s="5" t="str">
        <x:v>助</x:v>
      </x:c>
      <x:c r="B410" s="6" t="str">
        <x:v>去</x:v>
      </x:c>
      <x:c r="C410" s="6" t="str">
        <x:f>IF(B410="","Needs decision","Ready")</x:f>
        <x:v>Ready</x:v>
      </x:c>
      <x:c r="D410" s="6" t="str">
        <x:v>去</x:v>
      </x:c>
      <x:c r="E410" s="6" t="str">
        <x:v>dzrjoH (C)</x:v>
      </x:c>
      <x:c r="F410" s="6" t="str">
        <x:v>1</x:v>
      </x:c>
      <x:c r="G410" s="6" t="str"/>
      <x:c r="H410" s="6" t="str">
        <x:f>IF(B410="平","平",IF(B410="","","仄"))</x:f>
        <x:v>仄</x:v>
      </x:c>
      <x:c r="I410" s="6" t="str">
        <x:f>IF(D406="","",IF(AND(ISNUMBER(SEARCH("平",D406)),OR(ISNUMBER(SEARCH("上",D406)),ISNUMBER(SEARCH("去",D406)),ISNUMBER(SEARCH("入",D406)))),"Ambiguous",IF(ISNUMBER(SEARCH("平",D406)),"平","仄")))</x:f>
        <x:v>仄</x:v>
      </x:c>
      <x:c r="J410" s="7" t="str"/>
    </x:row>
    <x:row r="411">
      <x:c r="A411" s="5" t="str">
        <x:v>劫</x:v>
      </x:c>
      <x:c r="B411" s="6" t="str">
        <x:v>入</x:v>
      </x:c>
      <x:c r="C411" s="6" t="str">
        <x:f>IF(B411="","Needs decision","Ready")</x:f>
        <x:v>Ready</x:v>
      </x:c>
      <x:c r="D411" s="6" t="str">
        <x:v>入</x:v>
      </x:c>
      <x:c r="E411" s="6" t="str">
        <x:v>kjaep (D)</x:v>
      </x:c>
      <x:c r="F411" s="6" t="str">
        <x:v>1</x:v>
      </x:c>
      <x:c r="G411" s="6" t="str"/>
      <x:c r="H411" s="6" t="str">
        <x:f>IF(B411="平","平",IF(B411="","","仄"))</x:f>
        <x:v>仄</x:v>
      </x:c>
      <x:c r="I411" s="6" t="str">
        <x:f>IF(D407="","",IF(AND(ISNUMBER(SEARCH("平",D407)),OR(ISNUMBER(SEARCH("上",D407)),ISNUMBER(SEARCH("去",D407)),ISNUMBER(SEARCH("入",D407)))),"Ambiguous",IF(ISNUMBER(SEARCH("平",D407)),"平","仄")))</x:f>
        <x:v>平</x:v>
      </x:c>
      <x:c r="J411" s="7" t="str"/>
    </x:row>
    <x:row r="412">
      <x:c r="A412" s="5" t="str">
        <x:v>劬</x:v>
      </x:c>
      <x:c r="B412" s="6" t="str">
        <x:v>平</x:v>
      </x:c>
      <x:c r="C412" s="6" t="str">
        <x:f>IF(B412="","Needs decision","Ready")</x:f>
        <x:v>Ready</x:v>
      </x:c>
      <x:c r="D412" s="6" t="str">
        <x:v>平</x:v>
      </x:c>
      <x:c r="E412" s="6" t="str">
        <x:v>gju (A)</x:v>
      </x:c>
      <x:c r="F412" s="6" t="str">
        <x:v>1</x:v>
      </x:c>
      <x:c r="G412" s="6" t="str"/>
      <x:c r="H412" s="6" t="str">
        <x:f>IF(B412="平","平",IF(B412="","","仄"))</x:f>
        <x:v>平</x:v>
      </x:c>
      <x:c r="I412" s="6" t="str">
        <x:f>IF(D408="","",IF(AND(ISNUMBER(SEARCH("平",D408)),OR(ISNUMBER(SEARCH("上",D408)),ISNUMBER(SEARCH("去",D408)),ISNUMBER(SEARCH("入",D408)))),"Ambiguous",IF(ISNUMBER(SEARCH("平",D408)),"平","仄")))</x:f>
        <x:v>平</x:v>
      </x:c>
      <x:c r="J412" s="7" t="str"/>
    </x:row>
    <x:row r="413">
      <x:c r="A413" s="5" t="str">
        <x:v>効</x:v>
      </x:c>
      <x:c r="B413" s="6" t="str">
        <x:v>去</x:v>
      </x:c>
      <x:c r="C413" s="6" t="str">
        <x:f>IF(B413="","Needs decision","Ready")</x:f>
        <x:v>Ready</x:v>
      </x:c>
      <x:c r="D413" s="6" t="str">
        <x:v>去</x:v>
      </x:c>
      <x:c r="E413" s="6" t="str"/>
      <x:c r="F413" s="6" t="str"/>
      <x:c r="G413" s="6" t="str">
        <x:v>Manual user correction/addition</x:v>
      </x:c>
      <x:c r="H413" s="6" t="str">
        <x:f>IF(B413="平","平",IF(B413="","","仄"))</x:f>
        <x:v>仄</x:v>
      </x:c>
      <x:c r="I413" s="6" t="str">
        <x:f>IF(D409="","",IF(AND(ISNUMBER(SEARCH("平",D409)),OR(ISNUMBER(SEARCH("上",D409)),ISNUMBER(SEARCH("去",D409)),ISNUMBER(SEARCH("入",D409)))),"Ambiguous",IF(ISNUMBER(SEARCH("平",D409)),"平","仄")))</x:f>
        <x:v>仄</x:v>
      </x:c>
      <x:c r="J413" s="7" t="str">
        <x:v>manual user correction</x:v>
      </x:c>
    </x:row>
    <x:row r="414">
      <x:c r="A414" s="5" t="str">
        <x:v>劾</x:v>
      </x:c>
      <x:c r="B414" s="6" t="str">
        <x:v>入</x:v>
      </x:c>
      <x:c r="C414" s="6" t="str">
        <x:f>IF(B414="","Needs decision","Ready")</x:f>
        <x:v>Ready</x:v>
      </x:c>
      <x:c r="D414" s="6" t="str">
        <x:v>去/入</x:v>
      </x:c>
      <x:c r="E414" s="6" t="str">
        <x:v>hojH (C); hok (D)</x:v>
      </x:c>
      <x:c r="F414" s="6" t="str">
        <x:v>2</x:v>
      </x:c>
      <x:c r="G414" s="6" t="str">
        <x:v>User workbook edit 2026-09-03</x:v>
      </x:c>
      <x:c r="H414" s="6" t="str">
        <x:f>IF(B414="平","平",IF(B414="","","仄"))</x:f>
        <x:v>仄</x:v>
      </x:c>
      <x:c r="I414" s="6" t="str">
        <x:f>IF(D410="","",IF(AND(ISNUMBER(SEARCH("平",D410)),OR(ISNUMBER(SEARCH("上",D410)),ISNUMBER(SEARCH("去",D410)),ISNUMBER(SEARCH("入",D410)))),"Ambiguous",IF(ISNUMBER(SEARCH("平",D410)),"平","仄")))</x:f>
        <x:v>仄</x:v>
      </x:c>
      <x:c r="J414" s="7" t="str">
        <x:v>manual user correction</x:v>
      </x:c>
    </x:row>
    <x:row r="415">
      <x:c r="A415" s="5" t="str">
        <x:v>勁</x:v>
      </x:c>
      <x:c r="B415" s="6" t="str">
        <x:v>去</x:v>
      </x:c>
      <x:c r="C415" s="6" t="str">
        <x:f>IF(B415="","Needs decision","Ready")</x:f>
        <x:v>Ready</x:v>
      </x:c>
      <x:c r="D415" s="6" t="str">
        <x:v>去</x:v>
      </x:c>
      <x:c r="E415" s="6" t="str">
        <x:v>kjiengH (C)</x:v>
      </x:c>
      <x:c r="F415" s="6" t="str">
        <x:v>1</x:v>
      </x:c>
      <x:c r="G415" s="6" t="str"/>
      <x:c r="H415" s="6" t="str">
        <x:f>IF(B415="平","平",IF(B415="","","仄"))</x:f>
        <x:v>仄</x:v>
      </x:c>
      <x:c r="I415" s="6" t="str">
        <x:f>IF(D411="","",IF(AND(ISNUMBER(SEARCH("平",D411)),OR(ISNUMBER(SEARCH("上",D411)),ISNUMBER(SEARCH("去",D411)),ISNUMBER(SEARCH("入",D411)))),"Ambiguous",IF(ISNUMBER(SEARCH("平",D411)),"平","仄")))</x:f>
        <x:v>仄</x:v>
      </x:c>
      <x:c r="J415" s="7" t="str"/>
    </x:row>
    <x:row r="416">
      <x:c r="A416" s="5" t="str">
        <x:v>勃</x:v>
      </x:c>
      <x:c r="B416" s="6" t="str">
        <x:v>入</x:v>
      </x:c>
      <x:c r="C416" s="6" t="str">
        <x:f>IF(B416="","Needs decision","Ready")</x:f>
        <x:v>Ready</x:v>
      </x:c>
      <x:c r="D416" s="6" t="str">
        <x:v>入</x:v>
      </x:c>
      <x:c r="E416" s="6" t="str">
        <x:v>bwot (D)</x:v>
      </x:c>
      <x:c r="F416" s="6" t="str">
        <x:v>1</x:v>
      </x:c>
      <x:c r="G416" s="6" t="str"/>
      <x:c r="H416" s="6" t="str">
        <x:f>IF(B416="平","平",IF(B416="","","仄"))</x:f>
        <x:v>仄</x:v>
      </x:c>
      <x:c r="I416" s="6" t="str">
        <x:f>IF(D412="","",IF(AND(ISNUMBER(SEARCH("平",D412)),OR(ISNUMBER(SEARCH("上",D412)),ISNUMBER(SEARCH("去",D412)),ISNUMBER(SEARCH("入",D412)))),"Ambiguous",IF(ISNUMBER(SEARCH("平",D412)),"平","仄")))</x:f>
        <x:v>平</x:v>
      </x:c>
      <x:c r="J416" s="7" t="str"/>
    </x:row>
    <x:row r="417">
      <x:c r="A417" s="5" t="str">
        <x:v>勅</x:v>
      </x:c>
      <x:c r="B417" s="6" t="str">
        <x:v>入</x:v>
      </x:c>
      <x:c r="C417" s="6" t="str">
        <x:f>IF(B417="","Needs decision","Ready")</x:f>
        <x:v>Ready</x:v>
      </x:c>
      <x:c r="D417" s="6" t="str">
        <x:v>入</x:v>
      </x:c>
      <x:c r="E417" s="6" t="str">
        <x:v>trhik (D)</x:v>
      </x:c>
      <x:c r="F417" s="6" t="str">
        <x:v>1</x:v>
      </x:c>
      <x:c r="G417" s="6" t="str"/>
      <x:c r="H417" s="6" t="str">
        <x:f>IF(B417="平","平",IF(B417="","","仄"))</x:f>
        <x:v>仄</x:v>
      </x:c>
      <x:c r="I417" s="6" t="str">
        <x:f>IF(D413="","",IF(AND(ISNUMBER(SEARCH("平",D413)),OR(ISNUMBER(SEARCH("上",D413)),ISNUMBER(SEARCH("去",D413)),ISNUMBER(SEARCH("入",D413)))),"Ambiguous",IF(ISNUMBER(SEARCH("平",D413)),"平","仄")))</x:f>
        <x:v>仄</x:v>
      </x:c>
      <x:c r="J417" s="7" t="str"/>
    </x:row>
    <x:row r="418">
      <x:c r="A418" s="5" t="str">
        <x:v>勇</x:v>
      </x:c>
      <x:c r="B418" s="6" t="str">
        <x:v>上</x:v>
      </x:c>
      <x:c r="C418" s="6" t="str">
        <x:f>IF(B418="","Needs decision","Ready")</x:f>
        <x:v>Ready</x:v>
      </x:c>
      <x:c r="D418" s="6" t="str">
        <x:v>上</x:v>
      </x:c>
      <x:c r="E418" s="6" t="str">
        <x:v>yowngX (B)</x:v>
      </x:c>
      <x:c r="F418" s="6" t="str">
        <x:v>1</x:v>
      </x:c>
      <x:c r="G418" s="6" t="str"/>
      <x:c r="H418" s="6" t="str">
        <x:f>IF(B418="平","平",IF(B418="","","仄"))</x:f>
        <x:v>仄</x:v>
      </x:c>
      <x:c r="I418" s="6" t="str">
        <x:f>IF(D414="","",IF(AND(ISNUMBER(SEARCH("平",D414)),OR(ISNUMBER(SEARCH("上",D414)),ISNUMBER(SEARCH("去",D414)),ISNUMBER(SEARCH("入",D414)))),"Ambiguous",IF(ISNUMBER(SEARCH("平",D414)),"平","仄")))</x:f>
        <x:v>仄</x:v>
      </x:c>
      <x:c r="J418" s="7" t="str"/>
    </x:row>
    <x:row r="419">
      <x:c r="A419" s="5" t="str">
        <x:v>勉</x:v>
      </x:c>
      <x:c r="B419" s="6" t="str">
        <x:v>上</x:v>
      </x:c>
      <x:c r="C419" s="6" t="str">
        <x:f>IF(B419="","Needs decision","Ready")</x:f>
        <x:v>Ready</x:v>
      </x:c>
      <x:c r="D419" s="6" t="str">
        <x:v>上</x:v>
      </x:c>
      <x:c r="E419" s="6" t="str">
        <x:v>mjenX (B)</x:v>
      </x:c>
      <x:c r="F419" s="6" t="str">
        <x:v>1</x:v>
      </x:c>
      <x:c r="G419" s="6" t="str"/>
      <x:c r="H419" s="6" t="str">
        <x:f>IF(B419="平","平",IF(B419="","","仄"))</x:f>
        <x:v>仄</x:v>
      </x:c>
      <x:c r="I419" s="6" t="str">
        <x:f>IF(D415="","",IF(AND(ISNUMBER(SEARCH("平",D415)),OR(ISNUMBER(SEARCH("上",D415)),ISNUMBER(SEARCH("去",D415)),ISNUMBER(SEARCH("入",D415)))),"Ambiguous",IF(ISNUMBER(SEARCH("平",D415)),"平","仄")))</x:f>
        <x:v>仄</x:v>
      </x:c>
      <x:c r="J419" s="7" t="str"/>
    </x:row>
    <x:row r="420">
      <x:c r="A420" s="5" t="str">
        <x:v>勒</x:v>
      </x:c>
      <x:c r="B420" s="6" t="str">
        <x:v>入</x:v>
      </x:c>
      <x:c r="C420" s="6" t="str">
        <x:f>IF(B420="","Needs decision","Ready")</x:f>
        <x:v>Ready</x:v>
      </x:c>
      <x:c r="D420" s="6" t="str">
        <x:v>入</x:v>
      </x:c>
      <x:c r="E420" s="6" t="str">
        <x:v>lok (D)</x:v>
      </x:c>
      <x:c r="F420" s="6" t="str">
        <x:v>1</x:v>
      </x:c>
      <x:c r="G420" s="6" t="str"/>
      <x:c r="H420" s="6" t="str">
        <x:f>IF(B420="平","平",IF(B420="","","仄"))</x:f>
        <x:v>仄</x:v>
      </x:c>
      <x:c r="I420" s="6" t="str">
        <x:f>IF(D416="","",IF(AND(ISNUMBER(SEARCH("平",D416)),OR(ISNUMBER(SEARCH("上",D416)),ISNUMBER(SEARCH("去",D416)),ISNUMBER(SEARCH("入",D416)))),"Ambiguous",IF(ISNUMBER(SEARCH("平",D416)),"平","仄")))</x:f>
        <x:v>仄</x:v>
      </x:c>
      <x:c r="J420" s="7" t="str"/>
    </x:row>
    <x:row r="421">
      <x:c r="A421" s="5" t="str">
        <x:v>動</x:v>
      </x:c>
      <x:c r="B421" s="6" t="str">
        <x:v>上</x:v>
      </x:c>
      <x:c r="C421" s="6" t="str">
        <x:f>IF(B421="","Needs decision","Ready")</x:f>
        <x:v>Ready</x:v>
      </x:c>
      <x:c r="D421" s="6" t="str">
        <x:v>上</x:v>
      </x:c>
      <x:c r="E421" s="6" t="str">
        <x:v>duwngX (B)</x:v>
      </x:c>
      <x:c r="F421" s="6" t="str">
        <x:v>1</x:v>
      </x:c>
      <x:c r="G421" s="6" t="str"/>
      <x:c r="H421" s="6" t="str">
        <x:f>IF(B421="平","平",IF(B421="","","仄"))</x:f>
        <x:v>仄</x:v>
      </x:c>
      <x:c r="I421" s="6" t="str">
        <x:f>IF(D417="","",IF(AND(ISNUMBER(SEARCH("平",D417)),OR(ISNUMBER(SEARCH("上",D417)),ISNUMBER(SEARCH("去",D417)),ISNUMBER(SEARCH("入",D417)))),"Ambiguous",IF(ISNUMBER(SEARCH("平",D417)),"平","仄")))</x:f>
        <x:v>仄</x:v>
      </x:c>
      <x:c r="J421" s="7" t="str"/>
    </x:row>
    <x:row r="422">
      <x:c r="A422" s="5" t="str">
        <x:v>勖</x:v>
      </x:c>
      <x:c r="B422" s="6" t="str">
        <x:v>入</x:v>
      </x:c>
      <x:c r="C422" s="6" t="str">
        <x:f>IF(B422="","Needs decision","Ready")</x:f>
        <x:v>Ready</x:v>
      </x:c>
      <x:c r="D422" s="6" t="str">
        <x:v>入</x:v>
      </x:c>
      <x:c r="E422" s="6" t="str"/>
      <x:c r="F422" s="6" t="str"/>
      <x:c r="G422" s="6" t="str">
        <x:v>Manual user correction/addition</x:v>
      </x:c>
      <x:c r="H422" s="6" t="str">
        <x:f>IF(B422="平","平",IF(B422="","","仄"))</x:f>
        <x:v>仄</x:v>
      </x:c>
      <x:c r="I422" s="6" t="str">
        <x:v>仄</x:v>
      </x:c>
      <x:c r="J422" s="7" t="str">
        <x:v>manual user correction</x:v>
      </x:c>
    </x:row>
    <x:row r="423">
      <x:c r="A423" s="5" t="str">
        <x:v>務</x:v>
      </x:c>
      <x:c r="B423" s="6" t="str">
        <x:v>去</x:v>
      </x:c>
      <x:c r="C423" s="6" t="str">
        <x:f>IF(B423="","Needs decision","Ready")</x:f>
        <x:v>Ready</x:v>
      </x:c>
      <x:c r="D423" s="6" t="str">
        <x:v>去</x:v>
      </x:c>
      <x:c r="E423" s="6" t="str">
        <x:v>mjuH (C)</x:v>
      </x:c>
      <x:c r="F423" s="6" t="str">
        <x:v>1</x:v>
      </x:c>
      <x:c r="G423" s="6" t="str"/>
      <x:c r="H423" s="6" t="str">
        <x:f>IF(B423="平","平",IF(B423="","","仄"))</x:f>
        <x:v>仄</x:v>
      </x:c>
      <x:c r="I423" s="6" t="str">
        <x:f>IF(D418="","",IF(AND(ISNUMBER(SEARCH("平",D418)),OR(ISNUMBER(SEARCH("上",D418)),ISNUMBER(SEARCH("去",D418)),ISNUMBER(SEARCH("入",D418)))),"Ambiguous",IF(ISNUMBER(SEARCH("平",D418)),"平","仄")))</x:f>
        <x:v>仄</x:v>
      </x:c>
      <x:c r="J423" s="7" t="str"/>
    </x:row>
    <x:row r="424">
      <x:c r="A424" s="5" t="str">
        <x:v>勝</x:v>
      </x:c>
      <x:c r="B424" s="6" t="str"/>
      <x:c r="C424" s="6" t="str">
        <x:f>IF(B424="","Needs decision","Ready")</x:f>
        <x:v>Needs decision</x:v>
      </x:c>
      <x:c r="D424" s="6" t="str">
        <x:v>平/去</x:v>
      </x:c>
      <x:c r="E424" s="6" t="str">
        <x:v>sying (A); syingH (C)</x:v>
      </x:c>
      <x:c r="F424" s="6" t="str">
        <x:v>2</x:v>
      </x:c>
      <x:c r="G424" s="6" t="str"/>
      <x:c r="H424" s="6" t="str">
        <x:f>IF(B424="平","平",IF(B424="","","仄"))</x:f>
      </x:c>
      <x:c r="I424" s="6" t="str">
        <x:f>IF(D419="","",IF(AND(ISNUMBER(SEARCH("平",D419)),OR(ISNUMBER(SEARCH("上",D419)),ISNUMBER(SEARCH("去",D419)),ISNUMBER(SEARCH("入",D419)))),"Ambiguous",IF(ISNUMBER(SEARCH("平",D419)),"平","仄")))</x:f>
        <x:v>仄</x:v>
      </x:c>
      <x:c r="J424" s="7" t="str"/>
    </x:row>
    <x:row r="425">
      <x:c r="A425" s="5" t="str">
        <x:v>勞</x:v>
      </x:c>
      <x:c r="B425" s="6" t="str"/>
      <x:c r="C425" s="6" t="str">
        <x:f>IF(B425="","Needs decision","Ready")</x:f>
        <x:v>Needs decision</x:v>
      </x:c>
      <x:c r="D425" s="6" t="str">
        <x:v>平/去</x:v>
      </x:c>
      <x:c r="E425" s="6" t="str">
        <x:v>law (A); lawH (C)</x:v>
      </x:c>
      <x:c r="F425" s="6" t="str">
        <x:v>2</x:v>
      </x:c>
      <x:c r="G425" s="6" t="str"/>
      <x:c r="H425" s="6" t="str">
        <x:f>IF(B425="平","平",IF(B425="","","仄"))</x:f>
      </x:c>
      <x:c r="I425" s="6" t="str">
        <x:f>IF(D420="","",IF(AND(ISNUMBER(SEARCH("平",D420)),OR(ISNUMBER(SEARCH("上",D420)),ISNUMBER(SEARCH("去",D420)),ISNUMBER(SEARCH("入",D420)))),"Ambiguous",IF(ISNUMBER(SEARCH("平",D420)),"平","仄")))</x:f>
        <x:v>仄</x:v>
      </x:c>
      <x:c r="J425" s="7" t="str"/>
    </x:row>
    <x:row r="426">
      <x:c r="A426" s="5" t="str">
        <x:v>募</x:v>
      </x:c>
      <x:c r="B426" s="6" t="str">
        <x:v>去</x:v>
      </x:c>
      <x:c r="C426" s="6" t="str">
        <x:f>IF(B426="","Needs decision","Ready")</x:f>
        <x:v>Ready</x:v>
      </x:c>
      <x:c r="D426" s="6" t="str">
        <x:v>去</x:v>
      </x:c>
      <x:c r="E426" s="6" t="str">
        <x:v>muH (C)</x:v>
      </x:c>
      <x:c r="F426" s="6" t="str">
        <x:v>1</x:v>
      </x:c>
      <x:c r="G426" s="6" t="str"/>
      <x:c r="H426" s="6" t="str">
        <x:f>IF(B426="平","平",IF(B426="","","仄"))</x:f>
        <x:v>仄</x:v>
      </x:c>
      <x:c r="I426" s="6" t="str">
        <x:f>IF(D421="","",IF(AND(ISNUMBER(SEARCH("平",D421)),OR(ISNUMBER(SEARCH("上",D421)),ISNUMBER(SEARCH("去",D421)),ISNUMBER(SEARCH("入",D421)))),"Ambiguous",IF(ISNUMBER(SEARCH("平",D421)),"平","仄")))</x:f>
        <x:v>仄</x:v>
      </x:c>
      <x:c r="J426" s="7" t="str"/>
    </x:row>
    <x:row r="427">
      <x:c r="A427" s="5" t="str">
        <x:v>勢</x:v>
      </x:c>
      <x:c r="B427" s="6" t="str">
        <x:v>去</x:v>
      </x:c>
      <x:c r="C427" s="6" t="str">
        <x:f>IF(B427="","Needs decision","Ready")</x:f>
        <x:v>Ready</x:v>
      </x:c>
      <x:c r="D427" s="6" t="str">
        <x:v>去</x:v>
      </x:c>
      <x:c r="E427" s="6" t="str">
        <x:v>syejH (C)</x:v>
      </x:c>
      <x:c r="F427" s="6" t="str">
        <x:v>1</x:v>
      </x:c>
      <x:c r="G427" s="6" t="str"/>
      <x:c r="H427" s="6" t="str">
        <x:f>IF(B427="平","平",IF(B427="","","仄"))</x:f>
        <x:v>仄</x:v>
      </x:c>
      <x:c r="I427" s="6" t="str">
        <x:f>IF(D422="","",IF(AND(ISNUMBER(SEARCH("平",D422)),OR(ISNUMBER(SEARCH("上",D422)),ISNUMBER(SEARCH("去",D422)),ISNUMBER(SEARCH("入",D422)))),"Ambiguous",IF(ISNUMBER(SEARCH("平",D422)),"平","仄")))</x:f>
        <x:v>仄</x:v>
      </x:c>
      <x:c r="J427" s="7" t="str"/>
    </x:row>
    <x:row r="428">
      <x:c r="A428" s="5" t="str">
        <x:v>勤</x:v>
      </x:c>
      <x:c r="B428" s="6" t="str">
        <x:v>平</x:v>
      </x:c>
      <x:c r="C428" s="6" t="str">
        <x:f>IF(B428="","Needs decision","Ready")</x:f>
        <x:v>Ready</x:v>
      </x:c>
      <x:c r="D428" s="6" t="str">
        <x:v>平</x:v>
      </x:c>
      <x:c r="E428" s="6" t="str">
        <x:v>gj+n (A)</x:v>
      </x:c>
      <x:c r="F428" s="6" t="str">
        <x:v>1</x:v>
      </x:c>
      <x:c r="G428" s="6" t="str"/>
      <x:c r="H428" s="6" t="str">
        <x:f>IF(B428="平","平",IF(B428="","","仄"))</x:f>
        <x:v>平</x:v>
      </x:c>
      <x:c r="I428" s="6" t="str">
        <x:f>IF(D423="","",IF(AND(ISNUMBER(SEARCH("平",D423)),OR(ISNUMBER(SEARCH("上",D423)),ISNUMBER(SEARCH("去",D423)),ISNUMBER(SEARCH("入",D423)))),"Ambiguous",IF(ISNUMBER(SEARCH("平",D423)),"平","仄")))</x:f>
        <x:v>仄</x:v>
      </x:c>
      <x:c r="J428" s="7" t="str"/>
    </x:row>
    <x:row r="429">
      <x:c r="A429" s="5" t="str">
        <x:v>勩</x:v>
      </x:c>
      <x:c r="B429" s="6" t="str">
        <x:v>去</x:v>
      </x:c>
      <x:c r="C429" s="6" t="str">
        <x:f>IF(B429="","Needs decision","Ready")</x:f>
        <x:v>Ready</x:v>
      </x:c>
      <x:c r="D429" s="6" t="str">
        <x:v>去</x:v>
      </x:c>
      <x:c r="E429" s="6" t="str">
        <x:v>yejH (C)</x:v>
      </x:c>
      <x:c r="F429" s="6" t="str">
        <x:v>1</x:v>
      </x:c>
      <x:c r="G429" s="6" t="str"/>
      <x:c r="H429" s="6" t="str">
        <x:f>IF(B429="平","平",IF(B429="","","仄"))</x:f>
        <x:v>仄</x:v>
      </x:c>
      <x:c r="I429" s="6" t="str">
        <x:f>IF(D424="","",IF(AND(ISNUMBER(SEARCH("平",D424)),OR(ISNUMBER(SEARCH("上",D424)),ISNUMBER(SEARCH("去",D424)),ISNUMBER(SEARCH("入",D424)))),"Ambiguous",IF(ISNUMBER(SEARCH("平",D424)),"平","仄")))</x:f>
        <x:v>Ambiguous</x:v>
      </x:c>
      <x:c r="J429" s="7" t="str"/>
    </x:row>
    <x:row r="430">
      <x:c r="A430" s="5" t="str">
        <x:v>勳</x:v>
      </x:c>
      <x:c r="B430" s="6" t="str">
        <x:v>平</x:v>
      </x:c>
      <x:c r="C430" s="6" t="str">
        <x:f>IF(B430="","Needs decision","Ready")</x:f>
        <x:v>Ready</x:v>
      </x:c>
      <x:c r="D430" s="6" t="str">
        <x:v>平</x:v>
      </x:c>
      <x:c r="E430" s="6" t="str">
        <x:v>xjun [xɨ̯un] (平)</x:v>
      </x:c>
      <x:c r="F430" s="6" t="str">
        <x:v>1</x:v>
      </x:c>
      <x:c r="G430" s="6" t="str">
        <x:v>Tang 300 gap; frequency 2; provisional from Xun Gong</x:v>
      </x:c>
      <x:c r="H430" s="6" t="str">
        <x:f>IF(B430="平","平",IF(B430="","","仄"))</x:f>
        <x:v>平</x:v>
      </x:c>
      <x:c r="I430" s="6" t="str">
        <x:f>IF(D425="","",IF(AND(ISNUMBER(SEARCH("平",D425)),OR(ISNUMBER(SEARCH("上",D425)),ISNUMBER(SEARCH("去",D425)),ISNUMBER(SEARCH("入",D425)))),"Ambiguous",IF(ISNUMBER(SEARCH("平",D425)),"平","仄")))</x:f>
        <x:v>Ambiguous</x:v>
      </x:c>
      <x:c r="J430" s="7" t="str">
        <x:v>Xun Gong, Tang 300 gap fill</x:v>
      </x:c>
    </x:row>
    <x:row r="431">
      <x:c r="A431" s="5" t="str">
        <x:v>勸</x:v>
      </x:c>
      <x:c r="B431" s="6" t="str">
        <x:v>去</x:v>
      </x:c>
      <x:c r="C431" s="6" t="str">
        <x:f>IF(B431="","Needs decision","Ready")</x:f>
        <x:v>Ready</x:v>
      </x:c>
      <x:c r="D431" s="6" t="str">
        <x:v>去</x:v>
      </x:c>
      <x:c r="E431" s="6" t="str">
        <x:v>khjwonH (C)</x:v>
      </x:c>
      <x:c r="F431" s="6" t="str">
        <x:v>1</x:v>
      </x:c>
      <x:c r="G431" s="6" t="str"/>
      <x:c r="H431" s="6" t="str">
        <x:f>IF(B431="平","平",IF(B431="","","仄"))</x:f>
        <x:v>仄</x:v>
      </x:c>
      <x:c r="I431" s="6" t="str">
        <x:f>IF(D426="","",IF(AND(ISNUMBER(SEARCH("平",D426)),OR(ISNUMBER(SEARCH("上",D426)),ISNUMBER(SEARCH("去",D426)),ISNUMBER(SEARCH("入",D426)))),"Ambiguous",IF(ISNUMBER(SEARCH("平",D426)),"平","仄")))</x:f>
        <x:v>仄</x:v>
      </x:c>
      <x:c r="J431" s="7" t="str"/>
    </x:row>
    <x:row r="432">
      <x:c r="A432" s="5" t="str">
        <x:v>勺</x:v>
      </x:c>
      <x:c r="B432" s="6" t="str">
        <x:v>入</x:v>
      </x:c>
      <x:c r="C432" s="6" t="str">
        <x:f>IF(B432="","Needs decision","Ready")</x:f>
        <x:v>Ready</x:v>
      </x:c>
      <x:c r="D432" s="6" t="str">
        <x:v>入</x:v>
      </x:c>
      <x:c r="E432" s="6" t="str">
        <x:v>dzyak (D); tsyak (D)</x:v>
      </x:c>
      <x:c r="F432" s="6" t="str">
        <x:v>2</x:v>
      </x:c>
      <x:c r="G432" s="6" t="str"/>
      <x:c r="H432" s="6" t="str">
        <x:f>IF(B432="平","平",IF(B432="","","仄"))</x:f>
        <x:v>仄</x:v>
      </x:c>
      <x:c r="I432" s="6" t="str">
        <x:f>IF(D427="","",IF(AND(ISNUMBER(SEARCH("平",D427)),OR(ISNUMBER(SEARCH("上",D427)),ISNUMBER(SEARCH("去",D427)),ISNUMBER(SEARCH("入",D427)))),"Ambiguous",IF(ISNUMBER(SEARCH("平",D427)),"平","仄")))</x:f>
        <x:v>仄</x:v>
      </x:c>
      <x:c r="J432" s="7" t="str"/>
    </x:row>
    <x:row r="433">
      <x:c r="A433" s="5" t="str">
        <x:v>勻</x:v>
      </x:c>
      <x:c r="B433" s="6" t="str">
        <x:v>平</x:v>
      </x:c>
      <x:c r="C433" s="6" t="str">
        <x:f>IF(B433="","Needs decision","Ready")</x:f>
        <x:v>Ready</x:v>
      </x:c>
      <x:c r="D433" s="6" t="str">
        <x:v>平</x:v>
      </x:c>
      <x:c r="E433" s="6" t="str">
        <x:v>ywin [jwin] (平)</x:v>
      </x:c>
      <x:c r="F433" s="6" t="str">
        <x:v>1</x:v>
      </x:c>
      <x:c r="G433" s="6" t="str">
        <x:v>Tang 300 gap; frequency 1; provisional from Xun Gong</x:v>
      </x:c>
      <x:c r="H433" s="6" t="str">
        <x:f>IF(B433="平","平",IF(B433="","","仄"))</x:f>
        <x:v>平</x:v>
      </x:c>
      <x:c r="I433" s="6" t="str">
        <x:f>IF(D428="","",IF(AND(ISNUMBER(SEARCH("平",D428)),OR(ISNUMBER(SEARCH("上",D428)),ISNUMBER(SEARCH("去",D428)),ISNUMBER(SEARCH("入",D428)))),"Ambiguous",IF(ISNUMBER(SEARCH("平",D428)),"平","仄")))</x:f>
        <x:v>平</x:v>
      </x:c>
      <x:c r="J433" s="7" t="str">
        <x:v>Xun Gong, Tang 300 gap fill</x:v>
      </x:c>
    </x:row>
    <x:row r="434">
      <x:c r="A434" s="5" t="str">
        <x:v>勿</x:v>
      </x:c>
      <x:c r="B434" s="6" t="str">
        <x:v>入</x:v>
      </x:c>
      <x:c r="C434" s="6" t="str">
        <x:f>IF(B434="","Needs decision","Ready")</x:f>
        <x:v>Ready</x:v>
      </x:c>
      <x:c r="D434" s="6" t="str">
        <x:v>入</x:v>
      </x:c>
      <x:c r="E434" s="6" t="str">
        <x:v>mjut (D)</x:v>
      </x:c>
      <x:c r="F434" s="6" t="str">
        <x:v>1</x:v>
      </x:c>
      <x:c r="G434" s="6" t="str"/>
      <x:c r="H434" s="6" t="str">
        <x:f>IF(B434="平","平",IF(B434="","","仄"))</x:f>
        <x:v>仄</x:v>
      </x:c>
      <x:c r="I434" s="6" t="str">
        <x:f>IF(D429="","",IF(AND(ISNUMBER(SEARCH("平",D429)),OR(ISNUMBER(SEARCH("上",D429)),ISNUMBER(SEARCH("去",D429)),ISNUMBER(SEARCH("入",D429)))),"Ambiguous",IF(ISNUMBER(SEARCH("平",D429)),"平","仄")))</x:f>
        <x:v>仄</x:v>
      </x:c>
      <x:c r="J434" s="7" t="str"/>
    </x:row>
    <x:row r="435">
      <x:c r="A435" s="5" t="str">
        <x:v>匀</x:v>
      </x:c>
      <x:c r="B435" s="6" t="str">
        <x:v>平</x:v>
      </x:c>
      <x:c r="C435" s="6" t="str">
        <x:f>IF(B435="","Needs decision","Ready")</x:f>
        <x:v>Ready</x:v>
      </x:c>
      <x:c r="D435" s="6" t="str">
        <x:v>平</x:v>
      </x:c>
      <x:c r="E435" s="6" t="str">
        <x:v>ywin (A)</x:v>
      </x:c>
      <x:c r="F435" s="6" t="str">
        <x:v>1</x:v>
      </x:c>
      <x:c r="G435" s="6" t="str"/>
      <x:c r="H435" s="6" t="str">
        <x:f>IF(B435="平","平",IF(B435="","","仄"))</x:f>
        <x:v>平</x:v>
      </x:c>
      <x:c r="I435" s="6" t="str">
        <x:f>IF(D430="","",IF(AND(ISNUMBER(SEARCH("平",D430)),OR(ISNUMBER(SEARCH("上",D430)),ISNUMBER(SEARCH("去",D430)),ISNUMBER(SEARCH("入",D430)))),"Ambiguous",IF(ISNUMBER(SEARCH("平",D430)),"平","仄")))</x:f>
        <x:v>平</x:v>
      </x:c>
      <x:c r="J435" s="7" t="str"/>
    </x:row>
    <x:row r="436">
      <x:c r="A436" s="5" t="str">
        <x:v>匃</x:v>
      </x:c>
      <x:c r="B436" s="6" t="str"/>
      <x:c r="C436" s="6" t="str">
        <x:f>IF(B436="","Needs decision","Ready")</x:f>
        <x:v>Needs decision</x:v>
      </x:c>
      <x:c r="D436" s="6" t="str">
        <x:v>去/入</x:v>
      </x:c>
      <x:c r="E436" s="6" t="str">
        <x:v>kajH (C); kat (D)</x:v>
      </x:c>
      <x:c r="F436" s="6" t="str">
        <x:v>2</x:v>
      </x:c>
      <x:c r="G436" s="6" t="str"/>
      <x:c r="H436" s="6" t="str">
        <x:f>IF(B436="平","平",IF(B436="","","仄"))</x:f>
      </x:c>
      <x:c r="I436" s="6" t="str">
        <x:f>IF(D431="","",IF(AND(ISNUMBER(SEARCH("平",D431)),OR(ISNUMBER(SEARCH("上",D431)),ISNUMBER(SEARCH("去",D431)),ISNUMBER(SEARCH("入",D431)))),"Ambiguous",IF(ISNUMBER(SEARCH("平",D431)),"平","仄")))</x:f>
        <x:v>仄</x:v>
      </x:c>
      <x:c r="J436" s="7" t="str"/>
    </x:row>
    <x:row r="437">
      <x:c r="A437" s="5" t="str">
        <x:v>包</x:v>
      </x:c>
      <x:c r="B437" s="6" t="str">
        <x:v>平</x:v>
      </x:c>
      <x:c r="C437" s="6" t="str">
        <x:f>IF(B437="","Needs decision","Ready")</x:f>
        <x:v>Ready</x:v>
      </x:c>
      <x:c r="D437" s="6" t="str">
        <x:v>平</x:v>
      </x:c>
      <x:c r="E437" s="6" t="str">
        <x:v>paew (A)</x:v>
      </x:c>
      <x:c r="F437" s="6" t="str">
        <x:v>1</x:v>
      </x:c>
      <x:c r="G437" s="6" t="str"/>
      <x:c r="H437" s="6" t="str">
        <x:f>IF(B437="平","平",IF(B437="","","仄"))</x:f>
        <x:v>平</x:v>
      </x:c>
      <x:c r="I437" s="6" t="str">
        <x:f>IF(D432="","",IF(AND(ISNUMBER(SEARCH("平",D432)),OR(ISNUMBER(SEARCH("上",D432)),ISNUMBER(SEARCH("去",D432)),ISNUMBER(SEARCH("入",D432)))),"Ambiguous",IF(ISNUMBER(SEARCH("平",D432)),"平","仄")))</x:f>
        <x:v>仄</x:v>
      </x:c>
      <x:c r="J437" s="7" t="str"/>
    </x:row>
    <x:row r="438">
      <x:c r="A438" s="5" t="str">
        <x:v>匈</x:v>
      </x:c>
      <x:c r="B438" s="6" t="str">
        <x:v>平</x:v>
      </x:c>
      <x:c r="C438" s="6" t="str">
        <x:f>IF(B438="","Needs decision","Ready")</x:f>
        <x:v>Ready</x:v>
      </x:c>
      <x:c r="D438" s="6" t="str">
        <x:v>平</x:v>
      </x:c>
      <x:c r="E438" s="6" t="str"/>
      <x:c r="F438" s="6" t="str"/>
      <x:c r="G438" s="6" t="str">
        <x:v>Manual user correction/addition</x:v>
      </x:c>
      <x:c r="H438" s="6" t="str">
        <x:f>IF(B438="平","平",IF(B438="","","仄"))</x:f>
        <x:v>平</x:v>
      </x:c>
      <x:c r="I438" s="6" t="str">
        <x:f>IF(D433="","",IF(AND(ISNUMBER(SEARCH("平",D433)),OR(ISNUMBER(SEARCH("上",D433)),ISNUMBER(SEARCH("去",D433)),ISNUMBER(SEARCH("入",D433)))),"Ambiguous",IF(ISNUMBER(SEARCH("平",D433)),"平","仄")))</x:f>
        <x:v>平</x:v>
      </x:c>
      <x:c r="J438" s="7" t="str">
        <x:v>manual user correction</x:v>
      </x:c>
    </x:row>
    <x:row r="439">
      <x:c r="A439" s="5" t="str">
        <x:v>匋</x:v>
      </x:c>
      <x:c r="B439" s="6" t="str">
        <x:v>平</x:v>
      </x:c>
      <x:c r="C439" s="6" t="str">
        <x:f>IF(B439="","Needs decision","Ready")</x:f>
        <x:v>Ready</x:v>
      </x:c>
      <x:c r="D439" s="6" t="str">
        <x:v>平</x:v>
      </x:c>
      <x:c r="E439" s="6" t="str">
        <x:v>daw (A)</x:v>
      </x:c>
      <x:c r="F439" s="6" t="str">
        <x:v>1</x:v>
      </x:c>
      <x:c r="G439" s="6" t="str"/>
      <x:c r="H439" s="6" t="str">
        <x:f>IF(B439="平","平",IF(B439="","","仄"))</x:f>
        <x:v>平</x:v>
      </x:c>
      <x:c r="I439" s="6" t="str">
        <x:f>IF(D434="","",IF(AND(ISNUMBER(SEARCH("平",D434)),OR(ISNUMBER(SEARCH("上",D434)),ISNUMBER(SEARCH("去",D434)),ISNUMBER(SEARCH("入",D434)))),"Ambiguous",IF(ISNUMBER(SEARCH("平",D434)),"平","仄")))</x:f>
        <x:v>仄</x:v>
      </x:c>
      <x:c r="J439" s="7" t="str"/>
    </x:row>
    <x:row r="440">
      <x:c r="A440" s="5" t="str">
        <x:v>匍</x:v>
      </x:c>
      <x:c r="B440" s="6" t="str">
        <x:v>平</x:v>
      </x:c>
      <x:c r="C440" s="6" t="str">
        <x:f>IF(B440="","Needs decision","Ready")</x:f>
        <x:v>Ready</x:v>
      </x:c>
      <x:c r="D440" s="6" t="str">
        <x:v>平</x:v>
      </x:c>
      <x:c r="E440" s="6" t="str">
        <x:v>bu (A)</x:v>
      </x:c>
      <x:c r="F440" s="6" t="str">
        <x:v>1</x:v>
      </x:c>
      <x:c r="G440" s="6" t="str"/>
      <x:c r="H440" s="6" t="str">
        <x:f>IF(B440="平","平",IF(B440="","","仄"))</x:f>
        <x:v>平</x:v>
      </x:c>
      <x:c r="I440" s="6" t="str">
        <x:f>IF(D435="","",IF(AND(ISNUMBER(SEARCH("平",D435)),OR(ISNUMBER(SEARCH("上",D435)),ISNUMBER(SEARCH("去",D435)),ISNUMBER(SEARCH("入",D435)))),"Ambiguous",IF(ISNUMBER(SEARCH("平",D435)),"平","仄")))</x:f>
        <x:v>平</x:v>
      </x:c>
      <x:c r="J440" s="7" t="str"/>
    </x:row>
    <x:row r="441">
      <x:c r="A441" s="5" t="str">
        <x:v>匏</x:v>
      </x:c>
      <x:c r="B441" s="6" t="str">
        <x:v>平</x:v>
      </x:c>
      <x:c r="C441" s="6" t="str">
        <x:f>IF(B441="","Needs decision","Ready")</x:f>
        <x:v>Ready</x:v>
      </x:c>
      <x:c r="D441" s="6" t="str">
        <x:v>平</x:v>
      </x:c>
      <x:c r="E441" s="6" t="str">
        <x:v>baew (A)</x:v>
      </x:c>
      <x:c r="F441" s="6" t="str">
        <x:v>1</x:v>
      </x:c>
      <x:c r="G441" s="6" t="str"/>
      <x:c r="H441" s="6" t="str">
        <x:f>IF(B441="平","平",IF(B441="","","仄"))</x:f>
        <x:v>平</x:v>
      </x:c>
      <x:c r="I441" s="6" t="str">
        <x:f>IF(D436="","",IF(AND(ISNUMBER(SEARCH("平",D436)),OR(ISNUMBER(SEARCH("上",D436)),ISNUMBER(SEARCH("去",D436)),ISNUMBER(SEARCH("入",D436)))),"Ambiguous",IF(ISNUMBER(SEARCH("平",D436)),"平","仄")))</x:f>
        <x:v>仄</x:v>
      </x:c>
      <x:c r="J441" s="7" t="str"/>
    </x:row>
    <x:row r="442">
      <x:c r="A442" s="5" t="str">
        <x:v>匐</x:v>
      </x:c>
      <x:c r="B442" s="6" t="str">
        <x:v>入</x:v>
      </x:c>
      <x:c r="C442" s="6" t="str">
        <x:f>IF(B442="","Needs decision","Ready")</x:f>
        <x:v>Ready</x:v>
      </x:c>
      <x:c r="D442" s="6" t="str">
        <x:v>入</x:v>
      </x:c>
      <x:c r="E442" s="6" t="str">
        <x:v>bjuwk (D); bok (D)</x:v>
      </x:c>
      <x:c r="F442" s="6" t="str">
        <x:v>2</x:v>
      </x:c>
      <x:c r="G442" s="6" t="str"/>
      <x:c r="H442" s="6" t="str">
        <x:f>IF(B442="平","平",IF(B442="","","仄"))</x:f>
        <x:v>仄</x:v>
      </x:c>
      <x:c r="I442" s="6" t="str">
        <x:f>IF(D437="","",IF(AND(ISNUMBER(SEARCH("平",D437)),OR(ISNUMBER(SEARCH("上",D437)),ISNUMBER(SEARCH("去",D437)),ISNUMBER(SEARCH("入",D437)))),"Ambiguous",IF(ISNUMBER(SEARCH("平",D437)),"平","仄")))</x:f>
        <x:v>平</x:v>
      </x:c>
      <x:c r="J442" s="7" t="str"/>
    </x:row>
    <x:row r="443">
      <x:c r="A443" s="5" t="str">
        <x:v>匕</x:v>
      </x:c>
      <x:c r="B443" s="6" t="str">
        <x:v>上</x:v>
      </x:c>
      <x:c r="C443" s="6" t="str">
        <x:f>IF(B443="","Needs decision","Ready")</x:f>
        <x:v>Ready</x:v>
      </x:c>
      <x:c r="D443" s="6" t="str">
        <x:v>上</x:v>
      </x:c>
      <x:c r="E443" s="6" t="str">
        <x:v>pjijX (B)</x:v>
      </x:c>
      <x:c r="F443" s="6" t="str">
        <x:v>1</x:v>
      </x:c>
      <x:c r="G443" s="6" t="str"/>
      <x:c r="H443" s="6" t="str">
        <x:f>IF(B443="平","平",IF(B443="","","仄"))</x:f>
        <x:v>仄</x:v>
      </x:c>
      <x:c r="I443" s="6" t="str">
        <x:f>IF(D438="","",IF(AND(ISNUMBER(SEARCH("平",D438)),OR(ISNUMBER(SEARCH("上",D438)),ISNUMBER(SEARCH("去",D438)),ISNUMBER(SEARCH("入",D438)))),"Ambiguous",IF(ISNUMBER(SEARCH("平",D438)),"平","仄")))</x:f>
        <x:v>平</x:v>
      </x:c>
      <x:c r="J443" s="7" t="str"/>
    </x:row>
    <x:row r="444">
      <x:c r="A444" s="5" t="str">
        <x:v>化</x:v>
      </x:c>
      <x:c r="B444" s="6" t="str">
        <x:v>去</x:v>
      </x:c>
      <x:c r="C444" s="6" t="str">
        <x:f>IF(B444="","Needs decision","Ready")</x:f>
        <x:v>Ready</x:v>
      </x:c>
      <x:c r="D444" s="6" t="str">
        <x:v>去</x:v>
      </x:c>
      <x:c r="E444" s="6" t="str">
        <x:v>xwaeH (C)</x:v>
      </x:c>
      <x:c r="F444" s="6" t="str">
        <x:v>1</x:v>
      </x:c>
      <x:c r="G444" s="6" t="str"/>
      <x:c r="H444" s="6" t="str">
        <x:f>IF(B444="平","平",IF(B444="","","仄"))</x:f>
        <x:v>仄</x:v>
      </x:c>
      <x:c r="I444" s="6" t="str">
        <x:f>IF(D439="","",IF(AND(ISNUMBER(SEARCH("平",D439)),OR(ISNUMBER(SEARCH("上",D439)),ISNUMBER(SEARCH("去",D439)),ISNUMBER(SEARCH("入",D439)))),"Ambiguous",IF(ISNUMBER(SEARCH("平",D439)),"平","仄")))</x:f>
        <x:v>平</x:v>
      </x:c>
      <x:c r="J444" s="7" t="str"/>
    </x:row>
    <x:row r="445">
      <x:c r="A445" s="5" t="str">
        <x:v>北</x:v>
      </x:c>
      <x:c r="B445" s="6" t="str">
        <x:v>入</x:v>
      </x:c>
      <x:c r="C445" s="6" t="str">
        <x:f>IF(B445="","Needs decision","Ready")</x:f>
        <x:v>Ready</x:v>
      </x:c>
      <x:c r="D445" s="6" t="str">
        <x:v>入</x:v>
      </x:c>
      <x:c r="E445" s="6" t="str">
        <x:v>pok (D)</x:v>
      </x:c>
      <x:c r="F445" s="6" t="str">
        <x:v>1</x:v>
      </x:c>
      <x:c r="G445" s="6" t="str"/>
      <x:c r="H445" s="6" t="str">
        <x:f>IF(B445="平","平",IF(B445="","","仄"))</x:f>
        <x:v>仄</x:v>
      </x:c>
      <x:c r="I445" s="6" t="str">
        <x:f>IF(D440="","",IF(AND(ISNUMBER(SEARCH("平",D440)),OR(ISNUMBER(SEARCH("上",D440)),ISNUMBER(SEARCH("去",D440)),ISNUMBER(SEARCH("入",D440)))),"Ambiguous",IF(ISNUMBER(SEARCH("平",D440)),"平","仄")))</x:f>
        <x:v>平</x:v>
      </x:c>
      <x:c r="J445" s="7" t="str"/>
    </x:row>
    <x:row r="446">
      <x:c r="A446" s="5" t="str">
        <x:v>匚</x:v>
      </x:c>
      <x:c r="B446" s="6" t="str">
        <x:v>平</x:v>
      </x:c>
      <x:c r="C446" s="6" t="str">
        <x:f>IF(B446="","Needs decision","Ready")</x:f>
        <x:v>Ready</x:v>
      </x:c>
      <x:c r="D446" s="6" t="str">
        <x:v>平</x:v>
      </x:c>
      <x:c r="E446" s="6" t="str">
        <x:v>pjang (A)</x:v>
      </x:c>
      <x:c r="F446" s="6" t="str">
        <x:v>1</x:v>
      </x:c>
      <x:c r="G446" s="6" t="str"/>
      <x:c r="H446" s="6" t="str">
        <x:f>IF(B446="平","平",IF(B446="","","仄"))</x:f>
        <x:v>平</x:v>
      </x:c>
      <x:c r="I446" s="6" t="str">
        <x:f>IF(D441="","",IF(AND(ISNUMBER(SEARCH("平",D441)),OR(ISNUMBER(SEARCH("上",D441)),ISNUMBER(SEARCH("去",D441)),ISNUMBER(SEARCH("入",D441)))),"Ambiguous",IF(ISNUMBER(SEARCH("平",D441)),"平","仄")))</x:f>
        <x:v>平</x:v>
      </x:c>
      <x:c r="J446" s="7" t="str"/>
    </x:row>
    <x:row r="447">
      <x:c r="A447" s="5" t="str">
        <x:v>匜</x:v>
      </x:c>
      <x:c r="B447" s="6" t="str">
        <x:v>平</x:v>
      </x:c>
      <x:c r="C447" s="6" t="str">
        <x:f>IF(B447="","Needs decision","Ready")</x:f>
        <x:v>Ready</x:v>
      </x:c>
      <x:c r="D447" s="6" t="str">
        <x:v>平</x:v>
      </x:c>
      <x:c r="E447" s="6" t="str">
        <x:v>ye (A)</x:v>
      </x:c>
      <x:c r="F447" s="6" t="str">
        <x:v>1</x:v>
      </x:c>
      <x:c r="G447" s="6" t="str"/>
      <x:c r="H447" s="6" t="str">
        <x:f>IF(B447="平","平",IF(B447="","","仄"))</x:f>
        <x:v>平</x:v>
      </x:c>
      <x:c r="I447" s="6" t="str">
        <x:f>IF(D442="","",IF(AND(ISNUMBER(SEARCH("平",D442)),OR(ISNUMBER(SEARCH("上",D442)),ISNUMBER(SEARCH("去",D442)),ISNUMBER(SEARCH("入",D442)))),"Ambiguous",IF(ISNUMBER(SEARCH("平",D442)),"平","仄")))</x:f>
        <x:v>仄</x:v>
      </x:c>
      <x:c r="J447" s="7" t="str"/>
    </x:row>
    <x:row r="448">
      <x:c r="A448" s="5" t="str">
        <x:v>匝</x:v>
      </x:c>
      <x:c r="B448" s="6" t="str">
        <x:v>入</x:v>
      </x:c>
      <x:c r="C448" s="6" t="str">
        <x:f>IF(B448="","Needs decision","Ready")</x:f>
        <x:v>Ready</x:v>
      </x:c>
      <x:c r="D448" s="6" t="str">
        <x:v>入</x:v>
      </x:c>
      <x:c r="E448" s="6" t="str"/>
      <x:c r="F448" s="6" t="str"/>
      <x:c r="G448" s="6" t="str">
        <x:v>Manual user correction/addition</x:v>
      </x:c>
      <x:c r="H448" s="6" t="str">
        <x:f>IF(B448="平","平",IF(B448="","","仄"))</x:f>
        <x:v>仄</x:v>
      </x:c>
      <x:c r="I448" s="6" t="str">
        <x:v>仄</x:v>
      </x:c>
      <x:c r="J448" s="7" t="str">
        <x:v>manual user correction</x:v>
      </x:c>
    </x:row>
    <x:row r="449">
      <x:c r="A449" s="5" t="str">
        <x:v>匠</x:v>
      </x:c>
      <x:c r="B449" s="6" t="str">
        <x:v>去</x:v>
      </x:c>
      <x:c r="C449" s="6" t="str">
        <x:f>IF(B449="","Needs decision","Ready")</x:f>
        <x:v>Ready</x:v>
      </x:c>
      <x:c r="D449" s="6" t="str">
        <x:v>去</x:v>
      </x:c>
      <x:c r="E449" s="6" t="str">
        <x:v>dzjangH (C)</x:v>
      </x:c>
      <x:c r="F449" s="6" t="str">
        <x:v>1</x:v>
      </x:c>
      <x:c r="G449" s="6" t="str"/>
      <x:c r="H449" s="6" t="str">
        <x:f>IF(B449="平","平",IF(B449="","","仄"))</x:f>
        <x:v>仄</x:v>
      </x:c>
      <x:c r="I449" s="6" t="str">
        <x:f>IF(D443="","",IF(AND(ISNUMBER(SEARCH("平",D443)),OR(ISNUMBER(SEARCH("上",D443)),ISNUMBER(SEARCH("去",D443)),ISNUMBER(SEARCH("入",D443)))),"Ambiguous",IF(ISNUMBER(SEARCH("平",D443)),"平","仄")))</x:f>
        <x:v>仄</x:v>
      </x:c>
      <x:c r="J449" s="7" t="str"/>
    </x:row>
    <x:row r="450">
      <x:c r="A450" s="5" t="str">
        <x:v>匡</x:v>
      </x:c>
      <x:c r="B450" s="6" t="str">
        <x:v>平</x:v>
      </x:c>
      <x:c r="C450" s="6" t="str">
        <x:f>IF(B450="","Needs decision","Ready")</x:f>
        <x:v>Ready</x:v>
      </x:c>
      <x:c r="D450" s="6" t="str">
        <x:v>平</x:v>
      </x:c>
      <x:c r="E450" s="6" t="str">
        <x:v>khjwang (A)</x:v>
      </x:c>
      <x:c r="F450" s="6" t="str">
        <x:v>1</x:v>
      </x:c>
      <x:c r="G450" s="6" t="str"/>
      <x:c r="H450" s="6" t="str">
        <x:f>IF(B450="平","平",IF(B450="","","仄"))</x:f>
        <x:v>平</x:v>
      </x:c>
      <x:c r="I450" s="6" t="str">
        <x:f>IF(D444="","",IF(AND(ISNUMBER(SEARCH("平",D444)),OR(ISNUMBER(SEARCH("上",D444)),ISNUMBER(SEARCH("去",D444)),ISNUMBER(SEARCH("入",D444)))),"Ambiguous",IF(ISNUMBER(SEARCH("平",D444)),"平","仄")))</x:f>
        <x:v>仄</x:v>
      </x:c>
      <x:c r="J450" s="7" t="str"/>
    </x:row>
    <x:row r="451">
      <x:c r="A451" s="5" t="str">
        <x:v>匣</x:v>
      </x:c>
      <x:c r="B451" s="6" t="str">
        <x:v>入</x:v>
      </x:c>
      <x:c r="C451" s="6" t="str">
        <x:f>IF(B451="","Needs decision","Ready")</x:f>
        <x:v>Ready</x:v>
      </x:c>
      <x:c r="D451" s="6" t="str">
        <x:v>入</x:v>
      </x:c>
      <x:c r="E451" s="6" t="str">
        <x:v>haep (D)</x:v>
      </x:c>
      <x:c r="F451" s="6" t="str">
        <x:v>1</x:v>
      </x:c>
      <x:c r="G451" s="6" t="str"/>
      <x:c r="H451" s="6" t="str">
        <x:f>IF(B451="平","平",IF(B451="","","仄"))</x:f>
        <x:v>仄</x:v>
      </x:c>
      <x:c r="I451" s="6" t="str">
        <x:f>IF(D445="","",IF(AND(ISNUMBER(SEARCH("平",D445)),OR(ISNUMBER(SEARCH("上",D445)),ISNUMBER(SEARCH("去",D445)),ISNUMBER(SEARCH("入",D445)))),"Ambiguous",IF(ISNUMBER(SEARCH("平",D445)),"平","仄")))</x:f>
        <x:v>仄</x:v>
      </x:c>
      <x:c r="J451" s="7" t="str"/>
    </x:row>
    <x:row r="452">
      <x:c r="A452" s="5" t="str">
        <x:v>匧</x:v>
      </x:c>
      <x:c r="B452" s="6" t="str">
        <x:v>入</x:v>
      </x:c>
      <x:c r="C452" s="6" t="str">
        <x:f>IF(B452="","Needs decision","Ready")</x:f>
        <x:v>Ready</x:v>
      </x:c>
      <x:c r="D452" s="6" t="str">
        <x:v>入</x:v>
      </x:c>
      <x:c r="E452" s="6" t="str">
        <x:v>khep (D)</x:v>
      </x:c>
      <x:c r="F452" s="6" t="str">
        <x:v>1</x:v>
      </x:c>
      <x:c r="G452" s="6" t="str"/>
      <x:c r="H452" s="6" t="str">
        <x:f>IF(B452="平","平",IF(B452="","","仄"))</x:f>
        <x:v>仄</x:v>
      </x:c>
      <x:c r="I452" s="6" t="str">
        <x:f>IF(D446="","",IF(AND(ISNUMBER(SEARCH("平",D446)),OR(ISNUMBER(SEARCH("上",D446)),ISNUMBER(SEARCH("去",D446)),ISNUMBER(SEARCH("入",D446)))),"Ambiguous",IF(ISNUMBER(SEARCH("平",D446)),"平","仄")))</x:f>
        <x:v>平</x:v>
      </x:c>
      <x:c r="J452" s="7" t="str"/>
    </x:row>
    <x:row r="453">
      <x:c r="A453" s="5" t="str">
        <x:v>匪</x:v>
      </x:c>
      <x:c r="B453" s="6" t="str">
        <x:v>上</x:v>
      </x:c>
      <x:c r="C453" s="6" t="str">
        <x:f>IF(B453="","Needs decision","Ready")</x:f>
        <x:v>Ready</x:v>
      </x:c>
      <x:c r="D453" s="6" t="str">
        <x:v>上</x:v>
      </x:c>
      <x:c r="E453" s="6" t="str">
        <x:v>pj+jX (B)</x:v>
      </x:c>
      <x:c r="F453" s="6" t="str">
        <x:v>1</x:v>
      </x:c>
      <x:c r="G453" s="6" t="str"/>
      <x:c r="H453" s="6" t="str">
        <x:f>IF(B453="平","平",IF(B453="","","仄"))</x:f>
        <x:v>仄</x:v>
      </x:c>
      <x:c r="I453" s="6" t="str">
        <x:f>IF(D447="","",IF(AND(ISNUMBER(SEARCH("平",D447)),OR(ISNUMBER(SEARCH("上",D447)),ISNUMBER(SEARCH("去",D447)),ISNUMBER(SEARCH("入",D447)))),"Ambiguous",IF(ISNUMBER(SEARCH("平",D447)),"平","仄")))</x:f>
        <x:v>平</x:v>
      </x:c>
      <x:c r="J453" s="7" t="str"/>
    </x:row>
    <x:row r="454">
      <x:c r="A454" s="5" t="str">
        <x:v>匱</x:v>
      </x:c>
      <x:c r="B454" s="6" t="str">
        <x:v>去</x:v>
      </x:c>
      <x:c r="C454" s="6" t="str">
        <x:f>IF(B454="","Needs decision","Ready")</x:f>
        <x:v>Ready</x:v>
      </x:c>
      <x:c r="D454" s="6" t="str">
        <x:v>去</x:v>
      </x:c>
      <x:c r="E454" s="6" t="str">
        <x:v>gwijH (C)</x:v>
      </x:c>
      <x:c r="F454" s="6" t="str">
        <x:v>1</x:v>
      </x:c>
      <x:c r="G454" s="6" t="str"/>
      <x:c r="H454" s="6" t="str">
        <x:f>IF(B454="平","平",IF(B454="","","仄"))</x:f>
        <x:v>仄</x:v>
      </x:c>
      <x:c r="I454" s="6" t="str">
        <x:f>IF(D448="","",IF(AND(ISNUMBER(SEARCH("平",D448)),OR(ISNUMBER(SEARCH("上",D448)),ISNUMBER(SEARCH("去",D448)),ISNUMBER(SEARCH("入",D448)))),"Ambiguous",IF(ISNUMBER(SEARCH("平",D448)),"平","仄")))</x:f>
        <x:v>仄</x:v>
      </x:c>
      <x:c r="J454" s="7" t="str"/>
    </x:row>
    <x:row r="455">
      <x:c r="A455" s="5" t="str">
        <x:v>匹</x:v>
      </x:c>
      <x:c r="B455" s="6" t="str">
        <x:v>入</x:v>
      </x:c>
      <x:c r="C455" s="6" t="str">
        <x:f>IF(B455="","Needs decision","Ready")</x:f>
        <x:v>Ready</x:v>
      </x:c>
      <x:c r="D455" s="6" t="str">
        <x:v>入</x:v>
      </x:c>
      <x:c r="E455" s="6" t="str">
        <x:v>phjit (D)</x:v>
      </x:c>
      <x:c r="F455" s="6" t="str">
        <x:v>1</x:v>
      </x:c>
      <x:c r="G455" s="6" t="str"/>
      <x:c r="H455" s="6" t="str">
        <x:f>IF(B455="平","平",IF(B455="","","仄"))</x:f>
        <x:v>仄</x:v>
      </x:c>
      <x:c r="I455" s="6" t="str">
        <x:f>IF(D449="","",IF(AND(ISNUMBER(SEARCH("平",D449)),OR(ISNUMBER(SEARCH("上",D449)),ISNUMBER(SEARCH("去",D449)),ISNUMBER(SEARCH("入",D449)))),"Ambiguous",IF(ISNUMBER(SEARCH("平",D449)),"平","仄")))</x:f>
        <x:v>仄</x:v>
      </x:c>
      <x:c r="J455" s="7" t="str"/>
    </x:row>
    <x:row r="456">
      <x:c r="A456" s="5" t="str">
        <x:v>匿</x:v>
      </x:c>
      <x:c r="B456" s="6" t="str">
        <x:v>入</x:v>
      </x:c>
      <x:c r="C456" s="6" t="str">
        <x:f>IF(B456="","Needs decision","Ready")</x:f>
        <x:v>Ready</x:v>
      </x:c>
      <x:c r="D456" s="6" t="str">
        <x:v>入</x:v>
      </x:c>
      <x:c r="E456" s="6" t="str">
        <x:v>nrik (D)</x:v>
      </x:c>
      <x:c r="F456" s="6" t="str">
        <x:v>1</x:v>
      </x:c>
      <x:c r="G456" s="6" t="str"/>
      <x:c r="H456" s="6" t="str">
        <x:f>IF(B456="平","平",IF(B456="","","仄"))</x:f>
        <x:v>仄</x:v>
      </x:c>
      <x:c r="I456" s="6" t="str">
        <x:f>IF(D450="","",IF(AND(ISNUMBER(SEARCH("平",D450)),OR(ISNUMBER(SEARCH("上",D450)),ISNUMBER(SEARCH("去",D450)),ISNUMBER(SEARCH("入",D450)))),"Ambiguous",IF(ISNUMBER(SEARCH("平",D450)),"平","仄")))</x:f>
        <x:v>平</x:v>
      </x:c>
      <x:c r="J456" s="7" t="str"/>
    </x:row>
    <x:row r="457">
      <x:c r="A457" s="5" t="str">
        <x:v>區</x:v>
      </x:c>
      <x:c r="B457" s="6" t="str">
        <x:v>平</x:v>
      </x:c>
      <x:c r="C457" s="6" t="str">
        <x:f>IF(B457="","Needs decision","Ready")</x:f>
        <x:v>Ready</x:v>
      </x:c>
      <x:c r="D457" s="6" t="str">
        <x:v>平</x:v>
      </x:c>
      <x:c r="E457" s="6" t="str">
        <x:v>'uw (A)</x:v>
      </x:c>
      <x:c r="F457" s="6" t="str">
        <x:v>1</x:v>
      </x:c>
      <x:c r="G457" s="6" t="str"/>
      <x:c r="H457" s="6" t="str">
        <x:f>IF(B457="平","平",IF(B457="","","仄"))</x:f>
        <x:v>平</x:v>
      </x:c>
      <x:c r="I457" s="6" t="str">
        <x:f>IF(D451="","",IF(AND(ISNUMBER(SEARCH("平",D451)),OR(ISNUMBER(SEARCH("上",D451)),ISNUMBER(SEARCH("去",D451)),ISNUMBER(SEARCH("入",D451)))),"Ambiguous",IF(ISNUMBER(SEARCH("平",D451)),"平","仄")))</x:f>
        <x:v>仄</x:v>
      </x:c>
      <x:c r="J457" s="7" t="str"/>
    </x:row>
    <x:row r="458">
      <x:c r="A458" s="5" t="str">
        <x:v>十</x:v>
      </x:c>
      <x:c r="B458" s="6" t="str">
        <x:v>入</x:v>
      </x:c>
      <x:c r="C458" s="6" t="str">
        <x:f>IF(B458="","Needs decision","Ready")</x:f>
        <x:v>Ready</x:v>
      </x:c>
      <x:c r="D458" s="6" t="str">
        <x:v>入</x:v>
      </x:c>
      <x:c r="E458" s="6" t="str">
        <x:v>dzyip (D)</x:v>
      </x:c>
      <x:c r="F458" s="6" t="str">
        <x:v>1</x:v>
      </x:c>
      <x:c r="G458" s="6" t="str"/>
      <x:c r="H458" s="6" t="str">
        <x:f>IF(B458="平","平",IF(B458="","","仄"))</x:f>
        <x:v>仄</x:v>
      </x:c>
      <x:c r="I458" s="6" t="str">
        <x:f>IF(D452="","",IF(AND(ISNUMBER(SEARCH("平",D452)),OR(ISNUMBER(SEARCH("上",D452)),ISNUMBER(SEARCH("去",D452)),ISNUMBER(SEARCH("入",D452)))),"Ambiguous",IF(ISNUMBER(SEARCH("平",D452)),"平","仄")))</x:f>
        <x:v>仄</x:v>
      </x:c>
      <x:c r="J458" s="7" t="str"/>
    </x:row>
    <x:row r="459">
      <x:c r="A459" s="5" t="str">
        <x:v>千</x:v>
      </x:c>
      <x:c r="B459" s="6" t="str">
        <x:v>平</x:v>
      </x:c>
      <x:c r="C459" s="6" t="str">
        <x:f>IF(B459="","Needs decision","Ready")</x:f>
        <x:v>Ready</x:v>
      </x:c>
      <x:c r="D459" s="6" t="str">
        <x:v>平</x:v>
      </x:c>
      <x:c r="E459" s="6" t="str">
        <x:v>tshen (A)</x:v>
      </x:c>
      <x:c r="F459" s="6" t="str">
        <x:v>1</x:v>
      </x:c>
      <x:c r="G459" s="6" t="str"/>
      <x:c r="H459" s="6" t="str">
        <x:f>IF(B459="平","平",IF(B459="","","仄"))</x:f>
        <x:v>平</x:v>
      </x:c>
      <x:c r="I459" s="6" t="str">
        <x:f>IF(D453="","",IF(AND(ISNUMBER(SEARCH("平",D453)),OR(ISNUMBER(SEARCH("上",D453)),ISNUMBER(SEARCH("去",D453)),ISNUMBER(SEARCH("入",D453)))),"Ambiguous",IF(ISNUMBER(SEARCH("平",D453)),"平","仄")))</x:f>
        <x:v>仄</x:v>
      </x:c>
      <x:c r="J459" s="7" t="str"/>
    </x:row>
    <x:row r="460">
      <x:c r="A460" s="5" t="str">
        <x:v>升</x:v>
      </x:c>
      <x:c r="B460" s="6" t="str">
        <x:v>平</x:v>
      </x:c>
      <x:c r="C460" s="6" t="str">
        <x:f>IF(B460="","Needs decision","Ready")</x:f>
        <x:v>Ready</x:v>
      </x:c>
      <x:c r="D460" s="6" t="str">
        <x:v>平</x:v>
      </x:c>
      <x:c r="E460" s="6" t="str">
        <x:v>sying (A)</x:v>
      </x:c>
      <x:c r="F460" s="6" t="str">
        <x:v>1</x:v>
      </x:c>
      <x:c r="G460" s="6" t="str"/>
      <x:c r="H460" s="6" t="str">
        <x:f>IF(B460="平","平",IF(B460="","","仄"))</x:f>
        <x:v>平</x:v>
      </x:c>
      <x:c r="I460" s="6" t="str">
        <x:f>IF(D454="","",IF(AND(ISNUMBER(SEARCH("平",D454)),OR(ISNUMBER(SEARCH("上",D454)),ISNUMBER(SEARCH("去",D454)),ISNUMBER(SEARCH("入",D454)))),"Ambiguous",IF(ISNUMBER(SEARCH("平",D454)),"平","仄")))</x:f>
        <x:v>仄</x:v>
      </x:c>
      <x:c r="J460" s="7" t="str"/>
    </x:row>
    <x:row r="461">
      <x:c r="A461" s="5" t="str">
        <x:v>午</x:v>
      </x:c>
      <x:c r="B461" s="6" t="str">
        <x:v>上</x:v>
      </x:c>
      <x:c r="C461" s="6" t="str">
        <x:f>IF(B461="","Needs decision","Ready")</x:f>
        <x:v>Ready</x:v>
      </x:c>
      <x:c r="D461" s="6" t="str">
        <x:v>上</x:v>
      </x:c>
      <x:c r="E461" s="6" t="str">
        <x:v>nguX (B)</x:v>
      </x:c>
      <x:c r="F461" s="6" t="str">
        <x:v>1</x:v>
      </x:c>
      <x:c r="G461" s="6" t="str"/>
      <x:c r="H461" s="6" t="str">
        <x:f>IF(B461="平","平",IF(B461="","","仄"))</x:f>
        <x:v>仄</x:v>
      </x:c>
      <x:c r="I461" s="6" t="str">
        <x:f>IF(D455="","",IF(AND(ISNUMBER(SEARCH("平",D455)),OR(ISNUMBER(SEARCH("上",D455)),ISNUMBER(SEARCH("去",D455)),ISNUMBER(SEARCH("入",D455)))),"Ambiguous",IF(ISNUMBER(SEARCH("平",D455)),"平","仄")))</x:f>
        <x:v>仄</x:v>
      </x:c>
      <x:c r="J461" s="7" t="str"/>
    </x:row>
    <x:row r="462">
      <x:c r="A462" s="5" t="str">
        <x:v>半</x:v>
      </x:c>
      <x:c r="B462" s="6" t="str">
        <x:v>去</x:v>
      </x:c>
      <x:c r="C462" s="6" t="str">
        <x:f>IF(B462="","Needs decision","Ready")</x:f>
        <x:v>Ready</x:v>
      </x:c>
      <x:c r="D462" s="6" t="str">
        <x:v>去</x:v>
      </x:c>
      <x:c r="E462" s="6" t="str">
        <x:v>panH (C)</x:v>
      </x:c>
      <x:c r="F462" s="6" t="str">
        <x:v>1</x:v>
      </x:c>
      <x:c r="G462" s="6" t="str"/>
      <x:c r="H462" s="6" t="str">
        <x:f>IF(B462="平","平",IF(B462="","","仄"))</x:f>
        <x:v>仄</x:v>
      </x:c>
      <x:c r="I462" s="6" t="str">
        <x:f>IF(D456="","",IF(AND(ISNUMBER(SEARCH("平",D456)),OR(ISNUMBER(SEARCH("上",D456)),ISNUMBER(SEARCH("去",D456)),ISNUMBER(SEARCH("入",D456)))),"Ambiguous",IF(ISNUMBER(SEARCH("平",D456)),"平","仄")))</x:f>
        <x:v>仄</x:v>
      </x:c>
      <x:c r="J462" s="7" t="str"/>
    </x:row>
    <x:row r="463">
      <x:c r="A463" s="5" t="str">
        <x:v>卑</x:v>
      </x:c>
      <x:c r="B463" s="6" t="str">
        <x:v>平</x:v>
      </x:c>
      <x:c r="C463" s="6" t="str">
        <x:f>IF(B463="","Needs decision","Ready")</x:f>
        <x:v>Ready</x:v>
      </x:c>
      <x:c r="D463" s="6" t="str">
        <x:v>平</x:v>
      </x:c>
      <x:c r="E463" s="6" t="str">
        <x:v>pjie (A)</x:v>
      </x:c>
      <x:c r="F463" s="6" t="str">
        <x:v>1</x:v>
      </x:c>
      <x:c r="G463" s="6" t="str"/>
      <x:c r="H463" s="6" t="str">
        <x:f>IF(B463="平","平",IF(B463="","","仄"))</x:f>
        <x:v>平</x:v>
      </x:c>
      <x:c r="I463" s="6" t="str">
        <x:f>IF(D457="","",IF(AND(ISNUMBER(SEARCH("平",D457)),OR(ISNUMBER(SEARCH("上",D457)),ISNUMBER(SEARCH("去",D457)),ISNUMBER(SEARCH("入",D457)))),"Ambiguous",IF(ISNUMBER(SEARCH("平",D457)),"平","仄")))</x:f>
        <x:v>平</x:v>
      </x:c>
      <x:c r="J463" s="7" t="str"/>
    </x:row>
    <x:row r="464">
      <x:c r="A464" s="5" t="str">
        <x:v>卒</x:v>
      </x:c>
      <x:c r="B464" s="6" t="str">
        <x:v>入</x:v>
      </x:c>
      <x:c r="C464" s="6" t="str">
        <x:f>IF(B464="","Needs decision","Ready")</x:f>
        <x:v>Ready</x:v>
      </x:c>
      <x:c r="D464" s="6" t="str">
        <x:v>入</x:v>
      </x:c>
      <x:c r="E464" s="6" t="str">
        <x:v>tswit (D); tswot (D)</x:v>
      </x:c>
      <x:c r="F464" s="6" t="str">
        <x:v>2</x:v>
      </x:c>
      <x:c r="G464" s="6" t="str"/>
      <x:c r="H464" s="6" t="str">
        <x:f>IF(B464="平","平",IF(B464="","","仄"))</x:f>
        <x:v>仄</x:v>
      </x:c>
      <x:c r="I464" s="6" t="str">
        <x:f>IF(D458="","",IF(AND(ISNUMBER(SEARCH("平",D458)),OR(ISNUMBER(SEARCH("上",D458)),ISNUMBER(SEARCH("去",D458)),ISNUMBER(SEARCH("入",D458)))),"Ambiguous",IF(ISNUMBER(SEARCH("平",D458)),"平","仄")))</x:f>
        <x:v>仄</x:v>
      </x:c>
      <x:c r="J464" s="7" t="str"/>
    </x:row>
    <x:row r="465">
      <x:c r="A465" s="5" t="str">
        <x:v>卓</x:v>
      </x:c>
      <x:c r="B465" s="6" t="str">
        <x:v>入</x:v>
      </x:c>
      <x:c r="C465" s="6" t="str">
        <x:f>IF(B465="","Needs decision","Ready")</x:f>
        <x:v>Ready</x:v>
      </x:c>
      <x:c r="D465" s="6" t="str">
        <x:v>入</x:v>
      </x:c>
      <x:c r="E465" s="6" t="str">
        <x:v>traewk (D)</x:v>
      </x:c>
      <x:c r="F465" s="6" t="str">
        <x:v>1</x:v>
      </x:c>
      <x:c r="G465" s="6" t="str"/>
      <x:c r="H465" s="6" t="str">
        <x:f>IF(B465="平","平",IF(B465="","","仄"))</x:f>
        <x:v>仄</x:v>
      </x:c>
      <x:c r="I465" s="6" t="str">
        <x:f>IF(D459="","",IF(AND(ISNUMBER(SEARCH("平",D459)),OR(ISNUMBER(SEARCH("上",D459)),ISNUMBER(SEARCH("去",D459)),ISNUMBER(SEARCH("入",D459)))),"Ambiguous",IF(ISNUMBER(SEARCH("平",D459)),"平","仄")))</x:f>
        <x:v>平</x:v>
      </x:c>
      <x:c r="J465" s="7" t="str"/>
    </x:row>
    <x:row r="466">
      <x:c r="A466" s="5" t="str">
        <x:v>協</x:v>
      </x:c>
      <x:c r="B466" s="6" t="str">
        <x:v>入</x:v>
      </x:c>
      <x:c r="C466" s="6" t="str">
        <x:f>IF(B466="","Needs decision","Ready")</x:f>
        <x:v>Ready</x:v>
      </x:c>
      <x:c r="D466" s="6" t="str">
        <x:v>入</x:v>
      </x:c>
      <x:c r="E466" s="6" t="str">
        <x:v>hep (D)</x:v>
      </x:c>
      <x:c r="F466" s="6" t="str">
        <x:v>1</x:v>
      </x:c>
      <x:c r="G466" s="6" t="str"/>
      <x:c r="H466" s="6" t="str">
        <x:f>IF(B466="平","平",IF(B466="","","仄"))</x:f>
        <x:v>仄</x:v>
      </x:c>
      <x:c r="I466" s="6" t="str">
        <x:f>IF(D460="","",IF(AND(ISNUMBER(SEARCH("平",D460)),OR(ISNUMBER(SEARCH("上",D460)),ISNUMBER(SEARCH("去",D460)),ISNUMBER(SEARCH("入",D460)))),"Ambiguous",IF(ISNUMBER(SEARCH("平",D460)),"平","仄")))</x:f>
        <x:v>平</x:v>
      </x:c>
      <x:c r="J466" s="7" t="str"/>
    </x:row>
    <x:row r="467">
      <x:c r="A467" s="5" t="str">
        <x:v>南</x:v>
      </x:c>
      <x:c r="B467" s="6" t="str">
        <x:v>平</x:v>
      </x:c>
      <x:c r="C467" s="6" t="str">
        <x:f>IF(B467="","Needs decision","Ready")</x:f>
        <x:v>Ready</x:v>
      </x:c>
      <x:c r="D467" s="6" t="str">
        <x:v>平</x:v>
      </x:c>
      <x:c r="E467" s="6" t="str">
        <x:v>nom (A)</x:v>
      </x:c>
      <x:c r="F467" s="6" t="str">
        <x:v>1</x:v>
      </x:c>
      <x:c r="G467" s="6" t="str"/>
      <x:c r="H467" s="6" t="str">
        <x:f>IF(B467="平","平",IF(B467="","","仄"))</x:f>
        <x:v>平</x:v>
      </x:c>
      <x:c r="I467" s="6" t="str">
        <x:f>IF(D461="","",IF(AND(ISNUMBER(SEARCH("平",D461)),OR(ISNUMBER(SEARCH("上",D461)),ISNUMBER(SEARCH("去",D461)),ISNUMBER(SEARCH("入",D461)))),"Ambiguous",IF(ISNUMBER(SEARCH("平",D461)),"平","仄")))</x:f>
        <x:v>仄</x:v>
      </x:c>
      <x:c r="J467" s="7" t="str"/>
    </x:row>
    <x:row r="468">
      <x:c r="A468" s="5" t="str">
        <x:v>博</x:v>
      </x:c>
      <x:c r="B468" s="6" t="str">
        <x:v>入</x:v>
      </x:c>
      <x:c r="C468" s="6" t="str">
        <x:f>IF(B468="","Needs decision","Ready")</x:f>
        <x:v>Ready</x:v>
      </x:c>
      <x:c r="D468" s="6" t="str">
        <x:v>入</x:v>
      </x:c>
      <x:c r="E468" s="6" t="str">
        <x:v>pak (D)</x:v>
      </x:c>
      <x:c r="F468" s="6" t="str">
        <x:v>1</x:v>
      </x:c>
      <x:c r="G468" s="6" t="str"/>
      <x:c r="H468" s="6" t="str">
        <x:f>IF(B468="平","平",IF(B468="","","仄"))</x:f>
        <x:v>仄</x:v>
      </x:c>
      <x:c r="I468" s="6" t="str">
        <x:f>IF(D462="","",IF(AND(ISNUMBER(SEARCH("平",D462)),OR(ISNUMBER(SEARCH("上",D462)),ISNUMBER(SEARCH("去",D462)),ISNUMBER(SEARCH("入",D462)))),"Ambiguous",IF(ISNUMBER(SEARCH("平",D462)),"平","仄")))</x:f>
        <x:v>仄</x:v>
      </x:c>
      <x:c r="J468" s="7" t="str"/>
    </x:row>
    <x:row r="469">
      <x:c r="A469" s="5" t="str">
        <x:v>卜</x:v>
      </x:c>
      <x:c r="B469" s="6" t="str">
        <x:v>入</x:v>
      </x:c>
      <x:c r="C469" s="6" t="str">
        <x:f>IF(B469="","Needs decision","Ready")</x:f>
        <x:v>Ready</x:v>
      </x:c>
      <x:c r="D469" s="6" t="str">
        <x:v>入</x:v>
      </x:c>
      <x:c r="E469" s="6" t="str">
        <x:v>puwk (D)</x:v>
      </x:c>
      <x:c r="F469" s="6" t="str">
        <x:v>1</x:v>
      </x:c>
      <x:c r="G469" s="6" t="str"/>
      <x:c r="H469" s="6" t="str">
        <x:f>IF(B469="平","平",IF(B469="","","仄"))</x:f>
        <x:v>仄</x:v>
      </x:c>
      <x:c r="I469" s="6" t="str">
        <x:f>IF(D463="","",IF(AND(ISNUMBER(SEARCH("平",D463)),OR(ISNUMBER(SEARCH("上",D463)),ISNUMBER(SEARCH("去",D463)),ISNUMBER(SEARCH("入",D463)))),"Ambiguous",IF(ISNUMBER(SEARCH("平",D463)),"平","仄")))</x:f>
        <x:v>平</x:v>
      </x:c>
      <x:c r="J469" s="7" t="str"/>
    </x:row>
    <x:row r="470">
      <x:c r="A470" s="5" t="str">
        <x:v>卞</x:v>
      </x:c>
      <x:c r="B470" s="6" t="str">
        <x:v>去</x:v>
      </x:c>
      <x:c r="C470" s="6" t="str">
        <x:f>IF(B470="","Needs decision","Ready")</x:f>
        <x:v>Ready</x:v>
      </x:c>
      <x:c r="D470" s="6" t="str">
        <x:v>去</x:v>
      </x:c>
      <x:c r="E470" s="6" t="str">
        <x:v>bjenH (C)</x:v>
      </x:c>
      <x:c r="F470" s="6" t="str">
        <x:v>1</x:v>
      </x:c>
      <x:c r="G470" s="6" t="str"/>
      <x:c r="H470" s="6" t="str">
        <x:f>IF(B470="平","平",IF(B470="","","仄"))</x:f>
        <x:v>仄</x:v>
      </x:c>
      <x:c r="I470" s="6" t="str">
        <x:f>IF(D464="","",IF(AND(ISNUMBER(SEARCH("平",D464)),OR(ISNUMBER(SEARCH("上",D464)),ISNUMBER(SEARCH("去",D464)),ISNUMBER(SEARCH("入",D464)))),"Ambiguous",IF(ISNUMBER(SEARCH("平",D464)),"平","仄")))</x:f>
        <x:v>仄</x:v>
      </x:c>
      <x:c r="J470" s="7" t="str"/>
    </x:row>
    <x:row r="471">
      <x:c r="A471" s="5" t="str">
        <x:v>占</x:v>
      </x:c>
      <x:c r="B471" s="6" t="str">
        <x:v>平</x:v>
      </x:c>
      <x:c r="C471" s="6" t="str">
        <x:f>IF(B471="","Needs decision","Ready")</x:f>
        <x:v>Ready</x:v>
      </x:c>
      <x:c r="D471" s="6" t="str">
        <x:v>平</x:v>
      </x:c>
      <x:c r="E471" s="6" t="str">
        <x:v>tsyem (A)</x:v>
      </x:c>
      <x:c r="F471" s="6" t="str">
        <x:v>1</x:v>
      </x:c>
      <x:c r="G471" s="6" t="str"/>
      <x:c r="H471" s="6" t="str">
        <x:f>IF(B471="平","平",IF(B471="","","仄"))</x:f>
        <x:v>平</x:v>
      </x:c>
      <x:c r="I471" s="6" t="str">
        <x:f>IF(D465="","",IF(AND(ISNUMBER(SEARCH("平",D465)),OR(ISNUMBER(SEARCH("上",D465)),ISNUMBER(SEARCH("去",D465)),ISNUMBER(SEARCH("入",D465)))),"Ambiguous",IF(ISNUMBER(SEARCH("平",D465)),"平","仄")))</x:f>
        <x:v>仄</x:v>
      </x:c>
      <x:c r="J471" s="7" t="str"/>
    </x:row>
    <x:row r="472">
      <x:c r="A472" s="5" t="str">
        <x:v>卦</x:v>
      </x:c>
      <x:c r="B472" s="6" t="str">
        <x:v>去</x:v>
      </x:c>
      <x:c r="C472" s="6" t="str">
        <x:f>IF(B472="","Needs decision","Ready")</x:f>
        <x:v>Ready</x:v>
      </x:c>
      <x:c r="D472" s="6" t="str">
        <x:v>去</x:v>
      </x:c>
      <x:c r="E472" s="6" t="str">
        <x:v>kweaH (C)</x:v>
      </x:c>
      <x:c r="F472" s="6" t="str">
        <x:v>1</x:v>
      </x:c>
      <x:c r="G472" s="6" t="str"/>
      <x:c r="H472" s="6" t="str">
        <x:f>IF(B472="平","平",IF(B472="","","仄"))</x:f>
        <x:v>仄</x:v>
      </x:c>
      <x:c r="I472" s="6" t="str">
        <x:f>IF(D466="","",IF(AND(ISNUMBER(SEARCH("平",D466)),OR(ISNUMBER(SEARCH("上",D466)),ISNUMBER(SEARCH("去",D466)),ISNUMBER(SEARCH("入",D466)))),"Ambiguous",IF(ISNUMBER(SEARCH("平",D466)),"平","仄")))</x:f>
        <x:v>仄</x:v>
      </x:c>
      <x:c r="J472" s="7" t="str"/>
    </x:row>
    <x:row r="473">
      <x:c r="A473" s="5" t="str">
        <x:v>卪</x:v>
      </x:c>
      <x:c r="B473" s="6" t="str">
        <x:v>入</x:v>
      </x:c>
      <x:c r="C473" s="6" t="str">
        <x:f>IF(B473="","Needs decision","Ready")</x:f>
        <x:v>Ready</x:v>
      </x:c>
      <x:c r="D473" s="6" t="str">
        <x:v>入</x:v>
      </x:c>
      <x:c r="E473" s="6" t="str">
        <x:v>tset (D)</x:v>
      </x:c>
      <x:c r="F473" s="6" t="str">
        <x:v>1</x:v>
      </x:c>
      <x:c r="G473" s="6" t="str"/>
      <x:c r="H473" s="6" t="str">
        <x:f>IF(B473="平","平",IF(B473="","","仄"))</x:f>
        <x:v>仄</x:v>
      </x:c>
      <x:c r="I473" s="6" t="str">
        <x:f>IF(D467="","",IF(AND(ISNUMBER(SEARCH("平",D467)),OR(ISNUMBER(SEARCH("上",D467)),ISNUMBER(SEARCH("去",D467)),ISNUMBER(SEARCH("入",D467)))),"Ambiguous",IF(ISNUMBER(SEARCH("平",D467)),"平","仄")))</x:f>
        <x:v>平</x:v>
      </x:c>
      <x:c r="J473" s="7" t="str"/>
    </x:row>
    <x:row r="474">
      <x:c r="A474" s="5" t="str">
        <x:v>卬</x:v>
      </x:c>
      <x:c r="B474" s="6" t="str">
        <x:v>平</x:v>
      </x:c>
      <x:c r="C474" s="6" t="str">
        <x:f>IF(B474="","Needs decision","Ready")</x:f>
        <x:v>Ready</x:v>
      </x:c>
      <x:c r="D474" s="6" t="str">
        <x:v>平</x:v>
      </x:c>
      <x:c r="E474" s="6" t="str">
        <x:v>ngang (A)</x:v>
      </x:c>
      <x:c r="F474" s="6" t="str">
        <x:v>1</x:v>
      </x:c>
      <x:c r="G474" s="6" t="str"/>
      <x:c r="H474" s="6" t="str">
        <x:f>IF(B474="平","平",IF(B474="","","仄"))</x:f>
        <x:v>平</x:v>
      </x:c>
      <x:c r="I474" s="6" t="str">
        <x:f>IF(D468="","",IF(AND(ISNUMBER(SEARCH("平",D468)),OR(ISNUMBER(SEARCH("上",D468)),ISNUMBER(SEARCH("去",D468)),ISNUMBER(SEARCH("入",D468)))),"Ambiguous",IF(ISNUMBER(SEARCH("平",D468)),"平","仄")))</x:f>
        <x:v>仄</x:v>
      </x:c>
      <x:c r="J474" s="7" t="str"/>
    </x:row>
    <x:row r="475">
      <x:c r="A475" s="5" t="str">
        <x:v>卯</x:v>
      </x:c>
      <x:c r="B475" s="6" t="str">
        <x:v>上</x:v>
      </x:c>
      <x:c r="C475" s="6" t="str">
        <x:f>IF(B475="","Needs decision","Ready")</x:f>
        <x:v>Ready</x:v>
      </x:c>
      <x:c r="D475" s="6" t="str">
        <x:v>上</x:v>
      </x:c>
      <x:c r="E475" s="6" t="str">
        <x:v>maewX (B)</x:v>
      </x:c>
      <x:c r="F475" s="6" t="str">
        <x:v>1</x:v>
      </x:c>
      <x:c r="G475" s="6" t="str"/>
      <x:c r="H475" s="6" t="str">
        <x:f>IF(B475="平","平",IF(B475="","","仄"))</x:f>
        <x:v>仄</x:v>
      </x:c>
      <x:c r="I475" s="6" t="str">
        <x:f>IF(D469="","",IF(AND(ISNUMBER(SEARCH("平",D469)),OR(ISNUMBER(SEARCH("上",D469)),ISNUMBER(SEARCH("去",D469)),ISNUMBER(SEARCH("入",D469)))),"Ambiguous",IF(ISNUMBER(SEARCH("平",D469)),"平","仄")))</x:f>
        <x:v>仄</x:v>
      </x:c>
      <x:c r="J475" s="7" t="str"/>
    </x:row>
    <x:row r="476">
      <x:c r="A476" s="5" t="str">
        <x:v>印</x:v>
      </x:c>
      <x:c r="B476" s="6" t="str">
        <x:v>去</x:v>
      </x:c>
      <x:c r="C476" s="6" t="str">
        <x:f>IF(B476="","Needs decision","Ready")</x:f>
        <x:v>Ready</x:v>
      </x:c>
      <x:c r="D476" s="6" t="str">
        <x:v>去</x:v>
      </x:c>
      <x:c r="E476" s="6" t="str">
        <x:v>'jinH (C)</x:v>
      </x:c>
      <x:c r="F476" s="6" t="str">
        <x:v>1</x:v>
      </x:c>
      <x:c r="G476" s="6" t="str"/>
      <x:c r="H476" s="6" t="str">
        <x:f>IF(B476="平","平",IF(B476="","","仄"))</x:f>
        <x:v>仄</x:v>
      </x:c>
      <x:c r="I476" s="6" t="str">
        <x:f>IF(D470="","",IF(AND(ISNUMBER(SEARCH("平",D470)),OR(ISNUMBER(SEARCH("上",D470)),ISNUMBER(SEARCH("去",D470)),ISNUMBER(SEARCH("入",D470)))),"Ambiguous",IF(ISNUMBER(SEARCH("平",D470)),"平","仄")))</x:f>
        <x:v>仄</x:v>
      </x:c>
      <x:c r="J476" s="7" t="str"/>
    </x:row>
    <x:row r="477">
      <x:c r="A477" s="5" t="str">
        <x:v>危</x:v>
      </x:c>
      <x:c r="B477" s="6" t="str">
        <x:v>平</x:v>
      </x:c>
      <x:c r="C477" s="6" t="str">
        <x:f>IF(B477="","Needs decision","Ready")</x:f>
        <x:v>Ready</x:v>
      </x:c>
      <x:c r="D477" s="6" t="str">
        <x:v>平</x:v>
      </x:c>
      <x:c r="E477" s="6" t="str">
        <x:v>ngjwe (A)</x:v>
      </x:c>
      <x:c r="F477" s="6" t="str">
        <x:v>1</x:v>
      </x:c>
      <x:c r="G477" s="6" t="str"/>
      <x:c r="H477" s="6" t="str">
        <x:f>IF(B477="平","平",IF(B477="","","仄"))</x:f>
        <x:v>平</x:v>
      </x:c>
      <x:c r="I477" s="6" t="str">
        <x:f>IF(D471="","",IF(AND(ISNUMBER(SEARCH("平",D471)),OR(ISNUMBER(SEARCH("上",D471)),ISNUMBER(SEARCH("去",D471)),ISNUMBER(SEARCH("入",D471)))),"Ambiguous",IF(ISNUMBER(SEARCH("平",D471)),"平","仄")))</x:f>
        <x:v>平</x:v>
      </x:c>
      <x:c r="J477" s="7" t="str"/>
    </x:row>
    <x:row r="478">
      <x:c r="A478" s="5" t="str">
        <x:v>即</x:v>
      </x:c>
      <x:c r="B478" s="6" t="str">
        <x:v>入</x:v>
      </x:c>
      <x:c r="C478" s="6" t="str">
        <x:f>IF(B478="","Needs decision","Ready")</x:f>
        <x:v>Ready</x:v>
      </x:c>
      <x:c r="D478" s="6" t="str">
        <x:v>入</x:v>
      </x:c>
      <x:c r="E478" s="6" t="str">
        <x:v>tsik (D)</x:v>
      </x:c>
      <x:c r="F478" s="6" t="str">
        <x:v>1</x:v>
      </x:c>
      <x:c r="G478" s="6" t="str"/>
      <x:c r="H478" s="6" t="str">
        <x:f>IF(B478="平","平",IF(B478="","","仄"))</x:f>
        <x:v>仄</x:v>
      </x:c>
      <x:c r="I478" s="6" t="str">
        <x:f>IF(D472="","",IF(AND(ISNUMBER(SEARCH("平",D472)),OR(ISNUMBER(SEARCH("上",D472)),ISNUMBER(SEARCH("去",D472)),ISNUMBER(SEARCH("入",D472)))),"Ambiguous",IF(ISNUMBER(SEARCH("平",D472)),"平","仄")))</x:f>
        <x:v>仄</x:v>
      </x:c>
      <x:c r="J478" s="7" t="str"/>
    </x:row>
    <x:row r="479">
      <x:c r="A479" s="5" t="str">
        <x:v>却</x:v>
      </x:c>
      <x:c r="B479" s="6" t="str">
        <x:v>入</x:v>
      </x:c>
      <x:c r="C479" s="6" t="str">
        <x:f>IF(B479="","Needs decision","Ready")</x:f>
        <x:v>Ready</x:v>
      </x:c>
      <x:c r="D479" s="6" t="str">
        <x:v>入</x:v>
      </x:c>
      <x:c r="E479" s="6" t="str">
        <x:v>khjak (D)</x:v>
      </x:c>
      <x:c r="F479" s="6" t="str">
        <x:v>1</x:v>
      </x:c>
      <x:c r="G479" s="6" t="str"/>
      <x:c r="H479" s="6" t="str">
        <x:f>IF(B479="平","平",IF(B479="","","仄"))</x:f>
        <x:v>仄</x:v>
      </x:c>
      <x:c r="I479" s="6" t="str">
        <x:f>IF(D473="","",IF(AND(ISNUMBER(SEARCH("平",D473)),OR(ISNUMBER(SEARCH("上",D473)),ISNUMBER(SEARCH("去",D473)),ISNUMBER(SEARCH("入",D473)))),"Ambiguous",IF(ISNUMBER(SEARCH("平",D473)),"平","仄")))</x:f>
        <x:v>仄</x:v>
      </x:c>
      <x:c r="J479" s="7" t="str"/>
    </x:row>
    <x:row r="480">
      <x:c r="A480" s="5" t="str">
        <x:v>卵</x:v>
      </x:c>
      <x:c r="B480" s="6" t="str">
        <x:v>上</x:v>
      </x:c>
      <x:c r="C480" s="6" t="str">
        <x:f>IF(B480="","Needs decision","Ready")</x:f>
        <x:v>Ready</x:v>
      </x:c>
      <x:c r="D480" s="6" t="str">
        <x:v>上</x:v>
      </x:c>
      <x:c r="E480" s="6" t="str">
        <x:v>lwaX (B); lwanX (B)</x:v>
      </x:c>
      <x:c r="F480" s="6" t="str">
        <x:v>2</x:v>
      </x:c>
      <x:c r="G480" s="6" t="str"/>
      <x:c r="H480" s="6" t="str">
        <x:f>IF(B480="平","平",IF(B480="","","仄"))</x:f>
        <x:v>仄</x:v>
      </x:c>
      <x:c r="I480" s="6" t="str">
        <x:f>IF(D474="","",IF(AND(ISNUMBER(SEARCH("平",D474)),OR(ISNUMBER(SEARCH("上",D474)),ISNUMBER(SEARCH("去",D474)),ISNUMBER(SEARCH("入",D474)))),"Ambiguous",IF(ISNUMBER(SEARCH("平",D474)),"平","仄")))</x:f>
        <x:v>平</x:v>
      </x:c>
      <x:c r="J480" s="7" t="str"/>
    </x:row>
    <x:row r="481">
      <x:c r="A481" s="5" t="str">
        <x:v>卷</x:v>
      </x:c>
      <x:c r="B481" s="6" t="str">
        <x:v>上</x:v>
      </x:c>
      <x:c r="C481" s="6" t="str">
        <x:f>IF(B481="","Needs decision","Ready")</x:f>
        <x:v>Ready</x:v>
      </x:c>
      <x:c r="D481" s="6" t="str">
        <x:v>上/平</x:v>
      </x:c>
      <x:c r="E481" s="6" t="str">
        <x:v>kjwenX (B); gjwen (A)</x:v>
      </x:c>
      <x:c r="F481" s="6" t="str">
        <x:v>2</x:v>
      </x:c>
      <x:c r="G481" s="6" t="str">
        <x:v>User workbook edit 2026-09-03</x:v>
      </x:c>
      <x:c r="H481" s="6" t="str">
        <x:f>IF(B481="平","平",IF(B481="","","仄"))</x:f>
        <x:v>仄</x:v>
      </x:c>
      <x:c r="I481" s="6" t="str">
        <x:f>IF(D475="","",IF(AND(ISNUMBER(SEARCH("平",D475)),OR(ISNUMBER(SEARCH("上",D475)),ISNUMBER(SEARCH("去",D475)),ISNUMBER(SEARCH("入",D475)))),"Ambiguous",IF(ISNUMBER(SEARCH("平",D475)),"平","仄")))</x:f>
        <x:v>仄</x:v>
      </x:c>
      <x:c r="J481" s="7" t="str">
        <x:v>manual user correction</x:v>
      </x:c>
    </x:row>
    <x:row r="482">
      <x:c r="A482" s="5" t="str">
        <x:v>卸</x:v>
      </x:c>
      <x:c r="B482" s="6" t="str">
        <x:v>去</x:v>
      </x:c>
      <x:c r="C482" s="6" t="str">
        <x:f>IF(B482="","Needs decision","Ready")</x:f>
        <x:v>Ready</x:v>
      </x:c>
      <x:c r="D482" s="6" t="str">
        <x:v>去</x:v>
      </x:c>
      <x:c r="E482" s="6" t="str">
        <x:v>sjaeH (C)</x:v>
      </x:c>
      <x:c r="F482" s="6" t="str">
        <x:v>1</x:v>
      </x:c>
      <x:c r="G482" s="6" t="str"/>
      <x:c r="H482" s="6" t="str">
        <x:f>IF(B482="平","平",IF(B482="","","仄"))</x:f>
        <x:v>仄</x:v>
      </x:c>
      <x:c r="I482" s="6" t="str">
        <x:f>IF(D476="","",IF(AND(ISNUMBER(SEARCH("平",D476)),OR(ISNUMBER(SEARCH("上",D476)),ISNUMBER(SEARCH("去",D476)),ISNUMBER(SEARCH("入",D476)))),"Ambiguous",IF(ISNUMBER(SEARCH("平",D476)),"平","仄")))</x:f>
        <x:v>仄</x:v>
      </x:c>
      <x:c r="J482" s="7" t="str"/>
    </x:row>
    <x:row r="483">
      <x:c r="A483" s="5" t="str">
        <x:v>卹</x:v>
      </x:c>
      <x:c r="B483" s="6" t="str">
        <x:v>入</x:v>
      </x:c>
      <x:c r="C483" s="6" t="str">
        <x:f>IF(B483="","Needs decision","Ready")</x:f>
        <x:v>Ready</x:v>
      </x:c>
      <x:c r="D483" s="6" t="str">
        <x:v>入</x:v>
      </x:c>
      <x:c r="E483" s="6" t="str">
        <x:v>swit [sjwit] (入)</x:v>
      </x:c>
      <x:c r="F483" s="6" t="str">
        <x:v>1</x:v>
      </x:c>
      <x:c r="G483" s="6" t="str">
        <x:v>Tang 300 gap; frequency 1; provisional from Xun Gong</x:v>
      </x:c>
      <x:c r="H483" s="6" t="str">
        <x:f>IF(B483="平","平",IF(B483="","","仄"))</x:f>
        <x:v>仄</x:v>
      </x:c>
      <x:c r="I483" s="6" t="str">
        <x:f>IF(D477="","",IF(AND(ISNUMBER(SEARCH("平",D477)),OR(ISNUMBER(SEARCH("上",D477)),ISNUMBER(SEARCH("去",D477)),ISNUMBER(SEARCH("入",D477)))),"Ambiguous",IF(ISNUMBER(SEARCH("平",D477)),"平","仄")))</x:f>
        <x:v>平</x:v>
      </x:c>
      <x:c r="J483" s="7" t="str">
        <x:v>Xun Gong, Tang 300 gap fill</x:v>
      </x:c>
    </x:row>
    <x:row r="484">
      <x:c r="A484" s="5" t="str">
        <x:v>卻</x:v>
      </x:c>
      <x:c r="B484" s="6" t="str">
        <x:v>入</x:v>
      </x:c>
      <x:c r="C484" s="6" t="str">
        <x:f>IF(B484="","Needs decision","Ready")</x:f>
        <x:v>Ready</x:v>
      </x:c>
      <x:c r="D484" s="6" t="str">
        <x:v>入</x:v>
      </x:c>
      <x:c r="E484" s="6" t="str">
        <x:v>khjak (D)</x:v>
      </x:c>
      <x:c r="F484" s="6" t="str">
        <x:v>1</x:v>
      </x:c>
      <x:c r="G484" s="6" t="str"/>
      <x:c r="H484" s="6" t="str">
        <x:f>IF(B484="平","平",IF(B484="","","仄"))</x:f>
        <x:v>仄</x:v>
      </x:c>
      <x:c r="I484" s="6" t="str">
        <x:f>IF(D478="","",IF(AND(ISNUMBER(SEARCH("平",D478)),OR(ISNUMBER(SEARCH("上",D478)),ISNUMBER(SEARCH("去",D478)),ISNUMBER(SEARCH("入",D478)))),"Ambiguous",IF(ISNUMBER(SEARCH("平",D478)),"平","仄")))</x:f>
        <x:v>仄</x:v>
      </x:c>
      <x:c r="J484" s="7" t="str"/>
    </x:row>
    <x:row r="485">
      <x:c r="A485" s="5" t="str">
        <x:v>卽</x:v>
      </x:c>
      <x:c r="B485" s="6" t="str">
        <x:v>入</x:v>
      </x:c>
      <x:c r="C485" s="6" t="str">
        <x:f>IF(B485="","Needs decision","Ready")</x:f>
        <x:v>Ready</x:v>
      </x:c>
      <x:c r="D485" s="6" t="str">
        <x:v>入</x:v>
      </x:c>
      <x:c r="E485" s="6" t="str"/>
      <x:c r="F485" s="6" t="str"/>
      <x:c r="G485" s="6" t="str">
        <x:v>Manual user correction/addition</x:v>
      </x:c>
      <x:c r="H485" s="6" t="str">
        <x:f>IF(B485="平","平",IF(B485="","","仄"))</x:f>
        <x:v>仄</x:v>
      </x:c>
      <x:c r="I485" s="6" t="str">
        <x:f>IF(D479="","",IF(AND(ISNUMBER(SEARCH("平",D479)),OR(ISNUMBER(SEARCH("上",D479)),ISNUMBER(SEARCH("去",D479)),ISNUMBER(SEARCH("入",D479)))),"Ambiguous",IF(ISNUMBER(SEARCH("平",D479)),"平","仄")))</x:f>
        <x:v>仄</x:v>
      </x:c>
      <x:c r="J485" s="7" t="str">
        <x:v>manual user correction</x:v>
      </x:c>
    </x:row>
    <x:row r="486">
      <x:c r="A486" s="5" t="str">
        <x:v>卿</x:v>
      </x:c>
      <x:c r="B486" s="6" t="str">
        <x:v>平</x:v>
      </x:c>
      <x:c r="C486" s="6" t="str">
        <x:f>IF(B486="","Needs decision","Ready")</x:f>
        <x:v>Ready</x:v>
      </x:c>
      <x:c r="D486" s="6" t="str">
        <x:v>平</x:v>
      </x:c>
      <x:c r="E486" s="6" t="str">
        <x:v>khjaeng (A)</x:v>
      </x:c>
      <x:c r="F486" s="6" t="str">
        <x:v>1</x:v>
      </x:c>
      <x:c r="G486" s="6" t="str"/>
      <x:c r="H486" s="6" t="str">
        <x:f>IF(B486="平","平",IF(B486="","","仄"))</x:f>
        <x:v>平</x:v>
      </x:c>
      <x:c r="I486" s="6" t="str">
        <x:f>IF(D480="","",IF(AND(ISNUMBER(SEARCH("平",D480)),OR(ISNUMBER(SEARCH("上",D480)),ISNUMBER(SEARCH("去",D480)),ISNUMBER(SEARCH("入",D480)))),"Ambiguous",IF(ISNUMBER(SEARCH("平",D480)),"平","仄")))</x:f>
        <x:v>仄</x:v>
      </x:c>
      <x:c r="J486" s="7" t="str"/>
    </x:row>
    <x:row r="487">
      <x:c r="A487" s="5" t="str">
        <x:v>厂</x:v>
      </x:c>
      <x:c r="B487" s="6" t="str"/>
      <x:c r="C487" s="6" t="str">
        <x:f>IF(B487="","Needs decision","Ready")</x:f>
        <x:v>Needs decision</x:v>
      </x:c>
      <x:c r="D487" s="6" t="str">
        <x:v>上/去</x:v>
      </x:c>
      <x:c r="E487" s="6" t="str">
        <x:v>xanX (B); xanH (C)</x:v>
      </x:c>
      <x:c r="F487" s="6" t="str">
        <x:v>2</x:v>
      </x:c>
      <x:c r="G487" s="6" t="str"/>
      <x:c r="H487" s="6" t="str">
        <x:f>IF(B487="平","平",IF(B487="","","仄"))</x:f>
      </x:c>
      <x:c r="I487" s="6" t="str">
        <x:f>IF(D481="","",IF(AND(ISNUMBER(SEARCH("平",D481)),OR(ISNUMBER(SEARCH("上",D481)),ISNUMBER(SEARCH("去",D481)),ISNUMBER(SEARCH("入",D481)))),"Ambiguous",IF(ISNUMBER(SEARCH("平",D481)),"平","仄")))</x:f>
        <x:v>Ambiguous</x:v>
      </x:c>
      <x:c r="J487" s="7" t="str"/>
    </x:row>
    <x:row r="488">
      <x:c r="A488" s="5" t="str">
        <x:v>厃</x:v>
      </x:c>
      <x:c r="B488" s="6" t="str">
        <x:v>平</x:v>
      </x:c>
      <x:c r="C488" s="6" t="str">
        <x:f>IF(B488="","Needs decision","Ready")</x:f>
        <x:v>Ready</x:v>
      </x:c>
      <x:c r="D488" s="6" t="str">
        <x:v>平</x:v>
      </x:c>
      <x:c r="E488" s="6" t="str">
        <x:v>tsyem (A)</x:v>
      </x:c>
      <x:c r="F488" s="6" t="str">
        <x:v>1</x:v>
      </x:c>
      <x:c r="G488" s="6" t="str"/>
      <x:c r="H488" s="6" t="str">
        <x:f>IF(B488="平","平",IF(B488="","","仄"))</x:f>
        <x:v>平</x:v>
      </x:c>
      <x:c r="I488" s="6" t="str">
        <x:f>IF(D482="","",IF(AND(ISNUMBER(SEARCH("平",D482)),OR(ISNUMBER(SEARCH("上",D482)),ISNUMBER(SEARCH("去",D482)),ISNUMBER(SEARCH("入",D482)))),"Ambiguous",IF(ISNUMBER(SEARCH("平",D482)),"平","仄")))</x:f>
        <x:v>仄</x:v>
      </x:c>
      <x:c r="J488" s="7" t="str"/>
    </x:row>
    <x:row r="489">
      <x:c r="A489" s="5" t="str">
        <x:v>厄</x:v>
      </x:c>
      <x:c r="B489" s="6" t="str">
        <x:v>入</x:v>
      </x:c>
      <x:c r="C489" s="6" t="str">
        <x:f>IF(B489="","Needs decision","Ready")</x:f>
        <x:v>Ready</x:v>
      </x:c>
      <x:c r="D489" s="6" t="str">
        <x:v>入</x:v>
      </x:c>
      <x:c r="E489" s="6" t="str">
        <x:v>'eak (D)</x:v>
      </x:c>
      <x:c r="F489" s="6" t="str">
        <x:v>1</x:v>
      </x:c>
      <x:c r="G489" s="6" t="str"/>
      <x:c r="H489" s="6" t="str">
        <x:f>IF(B489="平","平",IF(B489="","","仄"))</x:f>
        <x:v>仄</x:v>
      </x:c>
      <x:c r="I489" s="6" t="str">
        <x:f>IF(D483="","",IF(AND(ISNUMBER(SEARCH("平",D483)),OR(ISNUMBER(SEARCH("上",D483)),ISNUMBER(SEARCH("去",D483)),ISNUMBER(SEARCH("入",D483)))),"Ambiguous",IF(ISNUMBER(SEARCH("平",D483)),"平","仄")))</x:f>
        <x:v>仄</x:v>
      </x:c>
      <x:c r="J489" s="7" t="str"/>
    </x:row>
    <x:row r="490">
      <x:c r="A490" s="5" t="str">
        <x:v>厈</x:v>
      </x:c>
      <x:c r="B490" s="6" t="str">
        <x:v>入</x:v>
      </x:c>
      <x:c r="C490" s="6" t="str">
        <x:f>IF(B490="","Needs decision","Ready")</x:f>
        <x:v>Ready</x:v>
      </x:c>
      <x:c r="D490" s="6" t="str">
        <x:v>入</x:v>
      </x:c>
      <x:c r="E490" s="6" t="str">
        <x:v>tsyhek (D)</x:v>
      </x:c>
      <x:c r="F490" s="6" t="str">
        <x:v>1</x:v>
      </x:c>
      <x:c r="G490" s="6" t="str"/>
      <x:c r="H490" s="6" t="str">
        <x:f>IF(B490="平","平",IF(B490="","","仄"))</x:f>
        <x:v>仄</x:v>
      </x:c>
      <x:c r="I490" s="6" t="str">
        <x:f>IF(D484="","",IF(AND(ISNUMBER(SEARCH("平",D484)),OR(ISNUMBER(SEARCH("上",D484)),ISNUMBER(SEARCH("去",D484)),ISNUMBER(SEARCH("入",D484)))),"Ambiguous",IF(ISNUMBER(SEARCH("平",D484)),"平","仄")))</x:f>
        <x:v>仄</x:v>
      </x:c>
      <x:c r="J490" s="7" t="str"/>
    </x:row>
    <x:row r="491">
      <x:c r="A491" s="5" t="str">
        <x:v>厓</x:v>
      </x:c>
      <x:c r="B491" s="6" t="str">
        <x:v>平</x:v>
      </x:c>
      <x:c r="C491" s="6" t="str">
        <x:f>IF(B491="","Needs decision","Ready")</x:f>
        <x:v>Ready</x:v>
      </x:c>
      <x:c r="D491" s="6" t="str">
        <x:v>平</x:v>
      </x:c>
      <x:c r="E491" s="6" t="str">
        <x:v>ngea (A)</x:v>
      </x:c>
      <x:c r="F491" s="6" t="str">
        <x:v>1</x:v>
      </x:c>
      <x:c r="G491" s="6" t="str"/>
      <x:c r="H491" s="6" t="str">
        <x:f>IF(B491="平","平",IF(B491="","","仄"))</x:f>
        <x:v>平</x:v>
      </x:c>
      <x:c r="I491" s="6" t="str">
        <x:f>IF(D485="","",IF(AND(ISNUMBER(SEARCH("平",D485)),OR(ISNUMBER(SEARCH("上",D485)),ISNUMBER(SEARCH("去",D485)),ISNUMBER(SEARCH("入",D485)))),"Ambiguous",IF(ISNUMBER(SEARCH("平",D485)),"平","仄")))</x:f>
        <x:v>仄</x:v>
      </x:c>
      <x:c r="J491" s="7" t="str"/>
    </x:row>
    <x:row r="492">
      <x:c r="A492" s="5" t="str">
        <x:v>厖</x:v>
      </x:c>
      <x:c r="B492" s="6" t="str">
        <x:v>平</x:v>
      </x:c>
      <x:c r="C492" s="6" t="str">
        <x:f>IF(B492="","Needs decision","Ready")</x:f>
        <x:v>Ready</x:v>
      </x:c>
      <x:c r="D492" s="6" t="str">
        <x:v>平</x:v>
      </x:c>
      <x:c r="E492" s="6" t="str">
        <x:v>maewng (A)</x:v>
      </x:c>
      <x:c r="F492" s="6" t="str">
        <x:v>1</x:v>
      </x:c>
      <x:c r="G492" s="6" t="str"/>
      <x:c r="H492" s="6" t="str">
        <x:f>IF(B492="平","平",IF(B492="","","仄"))</x:f>
        <x:v>平</x:v>
      </x:c>
      <x:c r="I492" s="6" t="str">
        <x:f>IF(D486="","",IF(AND(ISNUMBER(SEARCH("平",D486)),OR(ISNUMBER(SEARCH("上",D486)),ISNUMBER(SEARCH("去",D486)),ISNUMBER(SEARCH("入",D486)))),"Ambiguous",IF(ISNUMBER(SEARCH("平",D486)),"平","仄")))</x:f>
        <x:v>平</x:v>
      </x:c>
      <x:c r="J492" s="7" t="str"/>
    </x:row>
    <x:row r="493">
      <x:c r="A493" s="5" t="str">
        <x:v>厚</x:v>
      </x:c>
      <x:c r="B493" s="6" t="str">
        <x:v>上</x:v>
      </x:c>
      <x:c r="C493" s="6" t="str">
        <x:f>IF(B493="","Needs decision","Ready")</x:f>
        <x:v>Ready</x:v>
      </x:c>
      <x:c r="D493" s="6" t="str">
        <x:v>上</x:v>
      </x:c>
      <x:c r="E493" s="6" t="str">
        <x:v>huwX (B)</x:v>
      </x:c>
      <x:c r="F493" s="6" t="str">
        <x:v>1</x:v>
      </x:c>
      <x:c r="G493" s="6" t="str"/>
      <x:c r="H493" s="6" t="str">
        <x:f>IF(B493="平","平",IF(B493="","","仄"))</x:f>
        <x:v>仄</x:v>
      </x:c>
      <x:c r="I493" s="6" t="str">
        <x:f>IF(D487="","",IF(AND(ISNUMBER(SEARCH("平",D487)),OR(ISNUMBER(SEARCH("上",D487)),ISNUMBER(SEARCH("去",D487)),ISNUMBER(SEARCH("入",D487)))),"Ambiguous",IF(ISNUMBER(SEARCH("平",D487)),"平","仄")))</x:f>
        <x:v>仄</x:v>
      </x:c>
      <x:c r="J493" s="7" t="str"/>
    </x:row>
    <x:row r="494">
      <x:c r="A494" s="5" t="str">
        <x:v>厝</x:v>
      </x:c>
      <x:c r="B494" s="6" t="str"/>
      <x:c r="C494" s="6" t="str">
        <x:f>IF(B494="","Needs decision","Ready")</x:f>
        <x:v>Needs decision</x:v>
      </x:c>
      <x:c r="D494" s="6" t="str">
        <x:v>去/入</x:v>
      </x:c>
      <x:c r="E494" s="6" t="str">
        <x:v>tshuH [清一模去] t̙s̙ʰoh; tshak [清開一唐入] t̙s̙ʰɑk</x:v>
      </x:c>
      <x:c r="F494" s="6" t="str">
        <x:v>2</x:v>
      </x:c>
      <x:c r="G494" s="6" t="str">
        <x:v>Targeted preliminary fill from Xun Gong; review if uncertain</x:v>
      </x:c>
      <x:c r="H494" s="6" t="str">
        <x:f>IF(B494="平","平",IF(B494="","","仄"))</x:f>
      </x:c>
      <x:c r="I494" s="6" t="str">
        <x:f>IF(D488="","",IF(AND(ISNUMBER(SEARCH("平",D488)),OR(ISNUMBER(SEARCH("上",D488)),ISNUMBER(SEARCH("去",D488)),ISNUMBER(SEARCH("入",D488)))),"Ambiguous",IF(ISNUMBER(SEARCH("平",D488)),"平","仄")))</x:f>
        <x:v>平</x:v>
      </x:c>
      <x:c r="J494" s="7" t="str">
        <x:v>Xun Gong character-readings.csv</x:v>
      </x:c>
    </x:row>
    <x:row r="495">
      <x:c r="A495" s="5" t="str">
        <x:v>原</x:v>
      </x:c>
      <x:c r="B495" s="6" t="str">
        <x:v>平</x:v>
      </x:c>
      <x:c r="C495" s="6" t="str">
        <x:f>IF(B495="","Needs decision","Ready")</x:f>
        <x:v>Ready</x:v>
      </x:c>
      <x:c r="D495" s="6" t="str">
        <x:v>平</x:v>
      </x:c>
      <x:c r="E495" s="6" t="str">
        <x:v>ngjwon (A)</x:v>
      </x:c>
      <x:c r="F495" s="6" t="str">
        <x:v>1</x:v>
      </x:c>
      <x:c r="G495" s="6" t="str"/>
      <x:c r="H495" s="6" t="str">
        <x:f>IF(B495="平","平",IF(B495="","","仄"))</x:f>
        <x:v>平</x:v>
      </x:c>
      <x:c r="I495" s="6" t="str">
        <x:f>IF(D489="","",IF(AND(ISNUMBER(SEARCH("平",D489)),OR(ISNUMBER(SEARCH("上",D489)),ISNUMBER(SEARCH("去",D489)),ISNUMBER(SEARCH("入",D489)))),"Ambiguous",IF(ISNUMBER(SEARCH("平",D489)),"平","仄")))</x:f>
        <x:v>仄</x:v>
      </x:c>
      <x:c r="J495" s="7" t="str"/>
    </x:row>
    <x:row r="496">
      <x:c r="A496" s="5" t="str">
        <x:v>厠</x:v>
      </x:c>
      <x:c r="B496" s="6" t="str">
        <x:v>去</x:v>
      </x:c>
      <x:c r="C496" s="6" t="str">
        <x:f>IF(B496="","Needs decision","Ready")</x:f>
        <x:v>Ready</x:v>
      </x:c>
      <x:c r="D496" s="6" t="str">
        <x:v>去</x:v>
      </x:c>
      <x:c r="E496" s="6" t="str">
        <x:v>tsrhiH [初開三之去] tʂʰɨh</x:v>
      </x:c>
      <x:c r="F496" s="6" t="str">
        <x:v>1</x:v>
      </x:c>
      <x:c r="G496" s="6" t="str">
        <x:v>Targeted preliminary fill from Xun Gong; review if uncertain (looked up under 廁)</x:v>
      </x:c>
      <x:c r="H496" s="6" t="str">
        <x:f>IF(B496="平","平",IF(B496="","","仄"))</x:f>
        <x:v>仄</x:v>
      </x:c>
      <x:c r="I496" s="6" t="str">
        <x:f>IF(D490="","",IF(AND(ISNUMBER(SEARCH("平",D490)),OR(ISNUMBER(SEARCH("上",D490)),ISNUMBER(SEARCH("去",D490)),ISNUMBER(SEARCH("入",D490)))),"Ambiguous",IF(ISNUMBER(SEARCH("平",D490)),"平","仄")))</x:f>
        <x:v>仄</x:v>
      </x:c>
      <x:c r="J496" s="7" t="str">
        <x:v>Xun Gong character-readings.csv</x:v>
      </x:c>
    </x:row>
    <x:row r="497">
      <x:c r="A497" s="5" t="str">
        <x:v>厥</x:v>
      </x:c>
      <x:c r="B497" s="6" t="str">
        <x:v>入</x:v>
      </x:c>
      <x:c r="C497" s="6" t="str">
        <x:f>IF(B497="","Needs decision","Ready")</x:f>
        <x:v>Ready</x:v>
      </x:c>
      <x:c r="D497" s="6" t="str">
        <x:v>入</x:v>
      </x:c>
      <x:c r="E497" s="6" t="str">
        <x:v>kjwot (D)</x:v>
      </x:c>
      <x:c r="F497" s="6" t="str">
        <x:v>1</x:v>
      </x:c>
      <x:c r="G497" s="6" t="str"/>
      <x:c r="H497" s="6" t="str">
        <x:f>IF(B497="平","平",IF(B497="","","仄"))</x:f>
        <x:v>仄</x:v>
      </x:c>
      <x:c r="I497" s="6" t="str">
        <x:f>IF(D491="","",IF(AND(ISNUMBER(SEARCH("平",D491)),OR(ISNUMBER(SEARCH("上",D491)),ISNUMBER(SEARCH("去",D491)),ISNUMBER(SEARCH("入",D491)))),"Ambiguous",IF(ISNUMBER(SEARCH("平",D491)),"平","仄")))</x:f>
        <x:v>平</x:v>
      </x:c>
      <x:c r="J497" s="7" t="str"/>
    </x:row>
    <x:row r="498">
      <x:c r="A498" s="5" t="str">
        <x:v>厦</x:v>
      </x:c>
      <x:c r="B498" s="6" t="str">
        <x:v>上</x:v>
      </x:c>
      <x:c r="C498" s="6" t="str">
        <x:f>IF(B498="","Needs decision","Ready")</x:f>
        <x:v>Ready</x:v>
      </x:c>
      <x:c r="D498" s="6" t="str">
        <x:v>上</x:v>
      </x:c>
      <x:c r="E498" s="6" t="str">
        <x:v>haeX (B)</x:v>
      </x:c>
      <x:c r="F498" s="6" t="str">
        <x:v>1</x:v>
      </x:c>
      <x:c r="G498" s="6" t="str"/>
      <x:c r="H498" s="6" t="str">
        <x:f>IF(B498="平","平",IF(B498="","","仄"))</x:f>
        <x:v>仄</x:v>
      </x:c>
      <x:c r="I498" s="6" t="str">
        <x:f>IF(D492="","",IF(AND(ISNUMBER(SEARCH("平",D492)),OR(ISNUMBER(SEARCH("上",D492)),ISNUMBER(SEARCH("去",D492)),ISNUMBER(SEARCH("入",D492)))),"Ambiguous",IF(ISNUMBER(SEARCH("平",D492)),"平","仄")))</x:f>
        <x:v>平</x:v>
      </x:c>
      <x:c r="J498" s="7" t="str"/>
    </x:row>
    <x:row r="499">
      <x:c r="A499" s="5" t="str">
        <x:v>厭</x:v>
      </x:c>
      <x:c r="B499" s="6" t="str"/>
      <x:c r="C499" s="6" t="str">
        <x:f>IF(B499="","Needs decision","Ready")</x:f>
        <x:v>Needs decision</x:v>
      </x:c>
      <x:c r="D499" s="6" t="str">
        <x:v>入/平</x:v>
      </x:c>
      <x:c r="E499" s="6" t="str">
        <x:v>'jiep (D); 'jiem (A)</x:v>
      </x:c>
      <x:c r="F499" s="6" t="str">
        <x:v>2</x:v>
      </x:c>
      <x:c r="G499" s="6" t="str"/>
      <x:c r="H499" s="6" t="str">
        <x:f>IF(B499="平","平",IF(B499="","","仄"))</x:f>
      </x:c>
      <x:c r="I499" s="6" t="str">
        <x:f>IF(D493="","",IF(AND(ISNUMBER(SEARCH("平",D493)),OR(ISNUMBER(SEARCH("上",D493)),ISNUMBER(SEARCH("去",D493)),ISNUMBER(SEARCH("入",D493)))),"Ambiguous",IF(ISNUMBER(SEARCH("平",D493)),"平","仄")))</x:f>
        <x:v>仄</x:v>
      </x:c>
      <x:c r="J499" s="7" t="str"/>
    </x:row>
    <x:row r="500">
      <x:c r="A500" s="5" t="str">
        <x:v>厲</x:v>
      </x:c>
      <x:c r="B500" s="6" t="str">
        <x:v>去</x:v>
      </x:c>
      <x:c r="C500" s="6" t="str">
        <x:f>IF(B500="","Needs decision","Ready")</x:f>
        <x:v>Ready</x:v>
      </x:c>
      <x:c r="D500" s="6" t="str">
        <x:v>去</x:v>
      </x:c>
      <x:c r="E500" s="6" t="str">
        <x:v>ljejH (C)</x:v>
      </x:c>
      <x:c r="F500" s="6" t="str">
        <x:v>1</x:v>
      </x:c>
      <x:c r="G500" s="6" t="str"/>
      <x:c r="H500" s="6" t="str">
        <x:f>IF(B500="平","平",IF(B500="","","仄"))</x:f>
        <x:v>仄</x:v>
      </x:c>
      <x:c r="I500" s="6" t="str">
        <x:f>IF(D494="","",IF(AND(ISNUMBER(SEARCH("平",D494)),OR(ISNUMBER(SEARCH("上",D494)),ISNUMBER(SEARCH("去",D494)),ISNUMBER(SEARCH("入",D494)))),"Ambiguous",IF(ISNUMBER(SEARCH("平",D494)),"平","仄")))</x:f>
        <x:v>仄</x:v>
      </x:c>
      <x:c r="J500" s="7" t="str"/>
    </x:row>
    <x:row r="501">
      <x:c r="A501" s="5" t="str">
        <x:v>去</x:v>
      </x:c>
      <x:c r="B501" s="6" t="str">
        <x:v>去</x:v>
      </x:c>
      <x:c r="C501" s="6" t="str">
        <x:f>IF(B501="","Needs decision","Ready")</x:f>
        <x:v>Ready</x:v>
      </x:c>
      <x:c r="D501" s="6" t="str">
        <x:v>上/去</x:v>
      </x:c>
      <x:c r="E501" s="6" t="str">
        <x:v>khjoX (B); khjoH (C)</x:v>
      </x:c>
      <x:c r="F501" s="6" t="str">
        <x:v>2</x:v>
      </x:c>
      <x:c r="G501" s="6" t="str"/>
      <x:c r="H501" s="6" t="str">
        <x:f>IF(B501="平","平",IF(B501="","","仄"))</x:f>
        <x:v>仄</x:v>
      </x:c>
      <x:c r="I501" s="6" t="str">
        <x:f>IF(D495="","",IF(AND(ISNUMBER(SEARCH("平",D495)),OR(ISNUMBER(SEARCH("上",D495)),ISNUMBER(SEARCH("去",D495)),ISNUMBER(SEARCH("入",D495)))),"Ambiguous",IF(ISNUMBER(SEARCH("平",D495)),"平","仄")))</x:f>
        <x:v>平</x:v>
      </x:c>
      <x:c r="J501" s="7" t="str"/>
    </x:row>
    <x:row r="502">
      <x:c r="A502" s="5" t="str">
        <x:v>叀</x:v>
      </x:c>
      <x:c r="B502" s="6" t="str">
        <x:v>去</x:v>
      </x:c>
      <x:c r="C502" s="6" t="str">
        <x:f>IF(B502="","Needs decision","Ready")</x:f>
        <x:v>Ready</x:v>
      </x:c>
      <x:c r="D502" s="6" t="str">
        <x:v>去</x:v>
      </x:c>
      <x:c r="E502" s="6" t="str">
        <x:v>hwejH (C)</x:v>
      </x:c>
      <x:c r="F502" s="6" t="str">
        <x:v>1</x:v>
      </x:c>
      <x:c r="G502" s="6" t="str"/>
      <x:c r="H502" s="6" t="str">
        <x:f>IF(B502="平","平",IF(B502="","","仄"))</x:f>
        <x:v>仄</x:v>
      </x:c>
      <x:c r="I502" s="6" t="str">
        <x:f>IF(D496="","",IF(AND(ISNUMBER(SEARCH("平",D496)),OR(ISNUMBER(SEARCH("上",D496)),ISNUMBER(SEARCH("去",D496)),ISNUMBER(SEARCH("入",D496)))),"Ambiguous",IF(ISNUMBER(SEARCH("平",D496)),"平","仄")))</x:f>
        <x:v>仄</x:v>
      </x:c>
      <x:c r="J502" s="7" t="str"/>
    </x:row>
    <x:row r="503">
      <x:c r="A503" s="5" t="str">
        <x:v>參</x:v>
      </x:c>
      <x:c r="B503" s="6" t="str">
        <x:v>平</x:v>
      </x:c>
      <x:c r="C503" s="6" t="str">
        <x:f>IF(B503="","Needs decision","Ready")</x:f>
        <x:v>Ready</x:v>
      </x:c>
      <x:c r="D503" s="6" t="str">
        <x:v>平</x:v>
      </x:c>
      <x:c r="E503" s="6" t="str">
        <x:v>tshom (A); tsrhim (A); sam (A); srim (A)</x:v>
      </x:c>
      <x:c r="F503" s="6" t="str">
        <x:v>4</x:v>
      </x:c>
      <x:c r="G503" s="6" t="str"/>
      <x:c r="H503" s="6" t="str">
        <x:f>IF(B503="平","平",IF(B503="","","仄"))</x:f>
        <x:v>平</x:v>
      </x:c>
      <x:c r="I503" s="6" t="str">
        <x:f>IF(D497="","",IF(AND(ISNUMBER(SEARCH("平",D497)),OR(ISNUMBER(SEARCH("上",D497)),ISNUMBER(SEARCH("去",D497)),ISNUMBER(SEARCH("入",D497)))),"Ambiguous",IF(ISNUMBER(SEARCH("平",D497)),"平","仄")))</x:f>
        <x:v>仄</x:v>
      </x:c>
      <x:c r="J503" s="7" t="str"/>
    </x:row>
    <x:row r="504">
      <x:c r="A504" s="5" t="str">
        <x:v>又</x:v>
      </x:c>
      <x:c r="B504" s="6" t="str">
        <x:v>去</x:v>
      </x:c>
      <x:c r="C504" s="6" t="str">
        <x:f>IF(B504="","Needs decision","Ready")</x:f>
        <x:v>Ready</x:v>
      </x:c>
      <x:c r="D504" s="6" t="str">
        <x:v>去</x:v>
      </x:c>
      <x:c r="E504" s="6" t="str">
        <x:v>hjuwH (C)</x:v>
      </x:c>
      <x:c r="F504" s="6" t="str">
        <x:v>1</x:v>
      </x:c>
      <x:c r="G504" s="6" t="str"/>
      <x:c r="H504" s="6" t="str">
        <x:f>IF(B504="平","平",IF(B504="","","仄"))</x:f>
        <x:v>仄</x:v>
      </x:c>
      <x:c r="I504" s="6" t="str">
        <x:f>IF(D498="","",IF(AND(ISNUMBER(SEARCH("平",D498)),OR(ISNUMBER(SEARCH("上",D498)),ISNUMBER(SEARCH("去",D498)),ISNUMBER(SEARCH("入",D498)))),"Ambiguous",IF(ISNUMBER(SEARCH("平",D498)),"平","仄")))</x:f>
        <x:v>仄</x:v>
      </x:c>
      <x:c r="J504" s="7" t="str"/>
    </x:row>
    <x:row r="505">
      <x:c r="A505" s="5" t="str">
        <x:v>及</x:v>
      </x:c>
      <x:c r="B505" s="6" t="str">
        <x:v>入</x:v>
      </x:c>
      <x:c r="C505" s="6" t="str">
        <x:f>IF(B505="","Needs decision","Ready")</x:f>
        <x:v>Ready</x:v>
      </x:c>
      <x:c r="D505" s="6" t="str">
        <x:v>入</x:v>
      </x:c>
      <x:c r="E505" s="6" t="str">
        <x:v>gip (D)</x:v>
      </x:c>
      <x:c r="F505" s="6" t="str">
        <x:v>1</x:v>
      </x:c>
      <x:c r="G505" s="6" t="str"/>
      <x:c r="H505" s="6" t="str">
        <x:f>IF(B505="平","平",IF(B505="","","仄"))</x:f>
        <x:v>仄</x:v>
      </x:c>
      <x:c r="I505" s="6" t="str">
        <x:f>IF(D499="","",IF(AND(ISNUMBER(SEARCH("平",D499)),OR(ISNUMBER(SEARCH("上",D499)),ISNUMBER(SEARCH("去",D499)),ISNUMBER(SEARCH("入",D499)))),"Ambiguous",IF(ISNUMBER(SEARCH("平",D499)),"平","仄")))</x:f>
        <x:v>Ambiguous</x:v>
      </x:c>
      <x:c r="J505" s="7" t="str"/>
    </x:row>
    <x:row r="506">
      <x:c r="A506" s="5" t="str">
        <x:v>友</x:v>
      </x:c>
      <x:c r="B506" s="6" t="str">
        <x:v>上</x:v>
      </x:c>
      <x:c r="C506" s="6" t="str">
        <x:f>IF(B506="","Needs decision","Ready")</x:f>
        <x:v>Ready</x:v>
      </x:c>
      <x:c r="D506" s="6" t="str">
        <x:v>上</x:v>
      </x:c>
      <x:c r="E506" s="6" t="str">
        <x:v>hjuwX (B)</x:v>
      </x:c>
      <x:c r="F506" s="6" t="str">
        <x:v>1</x:v>
      </x:c>
      <x:c r="G506" s="6" t="str"/>
      <x:c r="H506" s="6" t="str">
        <x:f>IF(B506="平","平",IF(B506="","","仄"))</x:f>
        <x:v>仄</x:v>
      </x:c>
      <x:c r="I506" s="6" t="str">
        <x:f>IF(D500="","",IF(AND(ISNUMBER(SEARCH("平",D500)),OR(ISNUMBER(SEARCH("上",D500)),ISNUMBER(SEARCH("去",D500)),ISNUMBER(SEARCH("入",D500)))),"Ambiguous",IF(ISNUMBER(SEARCH("平",D500)),"平","仄")))</x:f>
        <x:v>仄</x:v>
      </x:c>
      <x:c r="J506" s="7" t="str"/>
    </x:row>
    <x:row r="507">
      <x:c r="A507" s="5" t="str">
        <x:v>反</x:v>
      </x:c>
      <x:c r="B507" s="6" t="str">
        <x:v>上</x:v>
      </x:c>
      <x:c r="C507" s="6" t="str">
        <x:f>IF(B507="","Needs decision","Ready")</x:f>
        <x:v>Ready</x:v>
      </x:c>
      <x:c r="D507" s="6" t="str">
        <x:v>上</x:v>
      </x:c>
      <x:c r="E507" s="6" t="str">
        <x:v>baenX (B); pjonX (B)</x:v>
      </x:c>
      <x:c r="F507" s="6" t="str">
        <x:v>2</x:v>
      </x:c>
      <x:c r="G507" s="6" t="str"/>
      <x:c r="H507" s="6" t="str">
        <x:f>IF(B507="平","平",IF(B507="","","仄"))</x:f>
        <x:v>仄</x:v>
      </x:c>
      <x:c r="I507" s="6" t="str">
        <x:f>IF(D501="","",IF(AND(ISNUMBER(SEARCH("平",D501)),OR(ISNUMBER(SEARCH("上",D501)),ISNUMBER(SEARCH("去",D501)),ISNUMBER(SEARCH("入",D501)))),"Ambiguous",IF(ISNUMBER(SEARCH("平",D501)),"平","仄")))</x:f>
        <x:v>仄</x:v>
      </x:c>
      <x:c r="J507" s="7" t="str"/>
    </x:row>
    <x:row r="508">
      <x:c r="A508" s="5" t="str">
        <x:v>叔</x:v>
      </x:c>
      <x:c r="B508" s="6" t="str">
        <x:v>入</x:v>
      </x:c>
      <x:c r="C508" s="6" t="str">
        <x:f>IF(B508="","Needs decision","Ready")</x:f>
        <x:v>Ready</x:v>
      </x:c>
      <x:c r="D508" s="6" t="str">
        <x:v>入</x:v>
      </x:c>
      <x:c r="E508" s="6" t="str">
        <x:v>syuwk (D)</x:v>
      </x:c>
      <x:c r="F508" s="6" t="str">
        <x:v>1</x:v>
      </x:c>
      <x:c r="G508" s="6" t="str"/>
      <x:c r="H508" s="6" t="str">
        <x:f>IF(B508="平","平",IF(B508="","","仄"))</x:f>
        <x:v>仄</x:v>
      </x:c>
      <x:c r="I508" s="6" t="str">
        <x:f>IF(D502="","",IF(AND(ISNUMBER(SEARCH("平",D502)),OR(ISNUMBER(SEARCH("上",D502)),ISNUMBER(SEARCH("去",D502)),ISNUMBER(SEARCH("入",D502)))),"Ambiguous",IF(ISNUMBER(SEARCH("平",D502)),"平","仄")))</x:f>
        <x:v>仄</x:v>
      </x:c>
      <x:c r="J508" s="7" t="str"/>
    </x:row>
    <x:row r="509">
      <x:c r="A509" s="5" t="str">
        <x:v>叕</x:v>
      </x:c>
      <x:c r="B509" s="6" t="str"/>
      <x:c r="C509" s="6" t="str">
        <x:f>IF(B509="","Needs decision","Ready")</x:f>
        <x:v>Needs decision</x:v>
      </x:c>
      <x:c r="D509" s="6" t="str">
        <x:v>去/入</x:v>
      </x:c>
      <x:c r="E509" s="6" t="str">
        <x:v>trjwejH (C); trjwet (D)</x:v>
      </x:c>
      <x:c r="F509" s="6" t="str">
        <x:v>2</x:v>
      </x:c>
      <x:c r="G509" s="6" t="str"/>
      <x:c r="H509" s="6" t="str">
        <x:f>IF(B509="平","平",IF(B509="","","仄"))</x:f>
      </x:c>
      <x:c r="I509" s="6" t="str">
        <x:f>IF(D503="","",IF(AND(ISNUMBER(SEARCH("平",D503)),OR(ISNUMBER(SEARCH("上",D503)),ISNUMBER(SEARCH("去",D503)),ISNUMBER(SEARCH("入",D503)))),"Ambiguous",IF(ISNUMBER(SEARCH("平",D503)),"平","仄")))</x:f>
        <x:v>平</x:v>
      </x:c>
      <x:c r="J509" s="7" t="str"/>
    </x:row>
    <x:row r="510">
      <x:c r="A510" s="5" t="str">
        <x:v>取</x:v>
      </x:c>
      <x:c r="B510" s="6" t="str">
        <x:v>上</x:v>
      </x:c>
      <x:c r="C510" s="6" t="str">
        <x:f>IF(B510="","Needs decision","Ready")</x:f>
        <x:v>Ready</x:v>
      </x:c>
      <x:c r="D510" s="6" t="str">
        <x:v>上/去</x:v>
      </x:c>
      <x:c r="E510" s="6" t="str">
        <x:v>tshuwX (B); tshjuX (B); tshjuH (C)</x:v>
      </x:c>
      <x:c r="F510" s="6" t="str">
        <x:v>3</x:v>
      </x:c>
      <x:c r="G510" s="6" t="str">
        <x:v>Manual user correction/addition</x:v>
      </x:c>
      <x:c r="H510" s="6" t="str">
        <x:f>IF(B510="平","平",IF(B510="","","仄"))</x:f>
        <x:v>仄</x:v>
      </x:c>
      <x:c r="I510" s="6" t="str">
        <x:f>IF(D504="","",IF(AND(ISNUMBER(SEARCH("平",D504)),OR(ISNUMBER(SEARCH("上",D504)),ISNUMBER(SEARCH("去",D504)),ISNUMBER(SEARCH("入",D504)))),"Ambiguous",IF(ISNUMBER(SEARCH("平",D504)),"平","仄")))</x:f>
        <x:v>仄</x:v>
      </x:c>
      <x:c r="J510" s="7" t="str">
        <x:v>manual user correction</x:v>
      </x:c>
    </x:row>
    <x:row r="511">
      <x:c r="A511" s="5" t="str">
        <x:v>受</x:v>
      </x:c>
      <x:c r="B511" s="6" t="str">
        <x:v>上</x:v>
      </x:c>
      <x:c r="C511" s="6" t="str">
        <x:f>IF(B511="","Needs decision","Ready")</x:f>
        <x:v>Ready</x:v>
      </x:c>
      <x:c r="D511" s="6" t="str">
        <x:v>上</x:v>
      </x:c>
      <x:c r="E511" s="6" t="str">
        <x:v>dzyuwX (B)</x:v>
      </x:c>
      <x:c r="F511" s="6" t="str">
        <x:v>1</x:v>
      </x:c>
      <x:c r="G511" s="6" t="str"/>
      <x:c r="H511" s="6" t="str">
        <x:f>IF(B511="平","平",IF(B511="","","仄"))</x:f>
        <x:v>仄</x:v>
      </x:c>
      <x:c r="I511" s="6" t="str">
        <x:f>IF(D505="","",IF(AND(ISNUMBER(SEARCH("平",D505)),OR(ISNUMBER(SEARCH("上",D505)),ISNUMBER(SEARCH("去",D505)),ISNUMBER(SEARCH("入",D505)))),"Ambiguous",IF(ISNUMBER(SEARCH("平",D505)),"平","仄")))</x:f>
        <x:v>仄</x:v>
      </x:c>
      <x:c r="J511" s="7" t="str"/>
    </x:row>
    <x:row r="512">
      <x:c r="A512" s="5" t="str">
        <x:v>叚</x:v>
      </x:c>
      <x:c r="B512" s="6" t="str">
        <x:v>上</x:v>
      </x:c>
      <x:c r="C512" s="6" t="str">
        <x:f>IF(B512="","Needs decision","Ready")</x:f>
        <x:v>Ready</x:v>
      </x:c>
      <x:c r="D512" s="6" t="str">
        <x:v>上</x:v>
      </x:c>
      <x:c r="E512" s="6" t="str">
        <x:v>kaeX (B)</x:v>
      </x:c>
      <x:c r="F512" s="6" t="str">
        <x:v>1</x:v>
      </x:c>
      <x:c r="G512" s="6" t="str"/>
      <x:c r="H512" s="6" t="str">
        <x:f>IF(B512="平","平",IF(B512="","","仄"))</x:f>
        <x:v>仄</x:v>
      </x:c>
      <x:c r="I512" s="6" t="str">
        <x:f>IF(D506="","",IF(AND(ISNUMBER(SEARCH("平",D506)),OR(ISNUMBER(SEARCH("上",D506)),ISNUMBER(SEARCH("去",D506)),ISNUMBER(SEARCH("入",D506)))),"Ambiguous",IF(ISNUMBER(SEARCH("平",D506)),"平","仄")))</x:f>
        <x:v>仄</x:v>
      </x:c>
      <x:c r="J512" s="7" t="str"/>
    </x:row>
    <x:row r="513">
      <x:c r="A513" s="5" t="str">
        <x:v>叜</x:v>
      </x:c>
      <x:c r="B513" s="6" t="str">
        <x:v>上</x:v>
      </x:c>
      <x:c r="C513" s="6" t="str">
        <x:f>IF(B513="","Needs decision","Ready")</x:f>
        <x:v>Ready</x:v>
      </x:c>
      <x:c r="D513" s="6" t="str">
        <x:v>上</x:v>
      </x:c>
      <x:c r="E513" s="6" t="str">
        <x:v>suwX (B)</x:v>
      </x:c>
      <x:c r="F513" s="6" t="str">
        <x:v>1</x:v>
      </x:c>
      <x:c r="G513" s="6" t="str"/>
      <x:c r="H513" s="6" t="str">
        <x:f>IF(B513="平","平",IF(B513="","","仄"))</x:f>
        <x:v>仄</x:v>
      </x:c>
      <x:c r="I513" s="6" t="str">
        <x:f>IF(D507="","",IF(AND(ISNUMBER(SEARCH("平",D507)),OR(ISNUMBER(SEARCH("上",D507)),ISNUMBER(SEARCH("去",D507)),ISNUMBER(SEARCH("入",D507)))),"Ambiguous",IF(ISNUMBER(SEARCH("平",D507)),"平","仄")))</x:f>
        <x:v>仄</x:v>
      </x:c>
      <x:c r="J513" s="7" t="str"/>
    </x:row>
    <x:row r="514">
      <x:c r="A514" s="5" t="str">
        <x:v>叟</x:v>
      </x:c>
      <x:c r="B514" s="6" t="str">
        <x:v>上</x:v>
      </x:c>
      <x:c r="C514" s="6" t="str">
        <x:f>IF(B514="","Needs decision","Ready")</x:f>
        <x:v>Ready</x:v>
      </x:c>
      <x:c r="D514" s="6" t="str">
        <x:v>上</x:v>
      </x:c>
      <x:c r="E514" s="6" t="str">
        <x:v>suwX (B)</x:v>
      </x:c>
      <x:c r="F514" s="6" t="str">
        <x:v>1</x:v>
      </x:c>
      <x:c r="G514" s="6" t="str"/>
      <x:c r="H514" s="6" t="str">
        <x:f>IF(B514="平","平",IF(B514="","","仄"))</x:f>
        <x:v>仄</x:v>
      </x:c>
      <x:c r="I514" s="6" t="str">
        <x:f>IF(D508="","",IF(AND(ISNUMBER(SEARCH("平",D508)),OR(ISNUMBER(SEARCH("上",D508)),ISNUMBER(SEARCH("去",D508)),ISNUMBER(SEARCH("入",D508)))),"Ambiguous",IF(ISNUMBER(SEARCH("平",D508)),"平","仄")))</x:f>
        <x:v>仄</x:v>
      </x:c>
      <x:c r="J514" s="7" t="str"/>
    </x:row>
    <x:row r="515">
      <x:c r="A515" s="5" t="str">
        <x:v>叢</x:v>
      </x:c>
      <x:c r="B515" s="6" t="str">
        <x:v>平</x:v>
      </x:c>
      <x:c r="C515" s="6" t="str">
        <x:f>IF(B515="","Needs decision","Ready")</x:f>
        <x:v>Ready</x:v>
      </x:c>
      <x:c r="D515" s="6" t="str">
        <x:v>平</x:v>
      </x:c>
      <x:c r="E515" s="6" t="str">
        <x:v>dzuwng (A)</x:v>
      </x:c>
      <x:c r="F515" s="6" t="str">
        <x:v>1</x:v>
      </x:c>
      <x:c r="G515" s="6" t="str"/>
      <x:c r="H515" s="6" t="str">
        <x:f>IF(B515="平","平",IF(B515="","","仄"))</x:f>
        <x:v>平</x:v>
      </x:c>
      <x:c r="I515" s="6" t="str">
        <x:f>IF(D509="","",IF(AND(ISNUMBER(SEARCH("平",D509)),OR(ISNUMBER(SEARCH("上",D509)),ISNUMBER(SEARCH("去",D509)),ISNUMBER(SEARCH("入",D509)))),"Ambiguous",IF(ISNUMBER(SEARCH("平",D509)),"平","仄")))</x:f>
        <x:v>仄</x:v>
      </x:c>
      <x:c r="J515" s="7" t="str"/>
    </x:row>
    <x:row r="516">
      <x:c r="A516" s="5" t="str">
        <x:v>口</x:v>
      </x:c>
      <x:c r="B516" s="6" t="str">
        <x:v>上</x:v>
      </x:c>
      <x:c r="C516" s="6" t="str">
        <x:f>IF(B516="","Needs decision","Ready")</x:f>
        <x:v>Ready</x:v>
      </x:c>
      <x:c r="D516" s="6" t="str">
        <x:v>上</x:v>
      </x:c>
      <x:c r="E516" s="6" t="str">
        <x:v>khuwX (B)</x:v>
      </x:c>
      <x:c r="F516" s="6" t="str">
        <x:v>1</x:v>
      </x:c>
      <x:c r="G516" s="6" t="str"/>
      <x:c r="H516" s="6" t="str">
        <x:f>IF(B516="平","平",IF(B516="","","仄"))</x:f>
        <x:v>仄</x:v>
      </x:c>
      <x:c r="I516" s="6" t="str">
        <x:f>IF(D510="","",IF(AND(ISNUMBER(SEARCH("平",D510)),OR(ISNUMBER(SEARCH("上",D510)),ISNUMBER(SEARCH("去",D510)),ISNUMBER(SEARCH("入",D510)))),"Ambiguous",IF(ISNUMBER(SEARCH("平",D510)),"平","仄")))</x:f>
        <x:v>仄</x:v>
      </x:c>
      <x:c r="J516" s="7" t="str"/>
    </x:row>
    <x:row r="517">
      <x:c r="A517" s="5" t="str">
        <x:v>古</x:v>
      </x:c>
      <x:c r="B517" s="6" t="str">
        <x:v>上</x:v>
      </x:c>
      <x:c r="C517" s="6" t="str">
        <x:f>IF(B517="","Needs decision","Ready")</x:f>
        <x:v>Ready</x:v>
      </x:c>
      <x:c r="D517" s="6" t="str">
        <x:v>上</x:v>
      </x:c>
      <x:c r="E517" s="6" t="str">
        <x:v>kuX (B)</x:v>
      </x:c>
      <x:c r="F517" s="6" t="str">
        <x:v>1</x:v>
      </x:c>
      <x:c r="G517" s="6" t="str"/>
      <x:c r="H517" s="6" t="str">
        <x:f>IF(B517="平","平",IF(B517="","","仄"))</x:f>
        <x:v>仄</x:v>
      </x:c>
      <x:c r="I517" s="6" t="str">
        <x:f>IF(D511="","",IF(AND(ISNUMBER(SEARCH("平",D511)),OR(ISNUMBER(SEARCH("上",D511)),ISNUMBER(SEARCH("去",D511)),ISNUMBER(SEARCH("入",D511)))),"Ambiguous",IF(ISNUMBER(SEARCH("平",D511)),"平","仄")))</x:f>
        <x:v>仄</x:v>
      </x:c>
      <x:c r="J517" s="7" t="str"/>
    </x:row>
    <x:row r="518">
      <x:c r="A518" s="5" t="str">
        <x:v>句</x:v>
      </x:c>
      <x:c r="B518" s="6" t="str"/>
      <x:c r="C518" s="6" t="str">
        <x:f>IF(B518="","Needs decision","Ready")</x:f>
        <x:v>Needs decision</x:v>
      </x:c>
      <x:c r="D518" s="6" t="str">
        <x:v>平/去</x:v>
      </x:c>
      <x:c r="E518" s="6" t="str">
        <x:v>kuw (A); kuwH (C); kjuH (C)</x:v>
      </x:c>
      <x:c r="F518" s="6" t="str">
        <x:v>3</x:v>
      </x:c>
      <x:c r="G518" s="6" t="str"/>
      <x:c r="H518" s="6" t="str">
        <x:f>IF(B518="平","平",IF(B518="","","仄"))</x:f>
      </x:c>
      <x:c r="I518" s="6" t="str">
        <x:f>IF(D512="","",IF(AND(ISNUMBER(SEARCH("平",D512)),OR(ISNUMBER(SEARCH("上",D512)),ISNUMBER(SEARCH("去",D512)),ISNUMBER(SEARCH("入",D512)))),"Ambiguous",IF(ISNUMBER(SEARCH("平",D512)),"平","仄")))</x:f>
        <x:v>仄</x:v>
      </x:c>
      <x:c r="J518" s="7" t="str"/>
    </x:row>
    <x:row r="519">
      <x:c r="A519" s="5" t="str">
        <x:v>叩</x:v>
      </x:c>
      <x:c r="B519" s="6" t="str"/>
      <x:c r="C519" s="6" t="str">
        <x:f>IF(B519="","Needs decision","Ready")</x:f>
        <x:v>Needs decision</x:v>
      </x:c>
      <x:c r="D519" s="6" t="str">
        <x:v>上/去</x:v>
      </x:c>
      <x:c r="E519" s="6" t="str">
        <x:v>khuwX (B); khuwH (C)</x:v>
      </x:c>
      <x:c r="F519" s="6" t="str">
        <x:v>2</x:v>
      </x:c>
      <x:c r="G519" s="6" t="str"/>
      <x:c r="H519" s="6" t="str">
        <x:f>IF(B519="平","平",IF(B519="","","仄"))</x:f>
      </x:c>
      <x:c r="I519" s="6" t="str">
        <x:f>IF(D513="","",IF(AND(ISNUMBER(SEARCH("平",D513)),OR(ISNUMBER(SEARCH("上",D513)),ISNUMBER(SEARCH("去",D513)),ISNUMBER(SEARCH("入",D513)))),"Ambiguous",IF(ISNUMBER(SEARCH("平",D513)),"平","仄")))</x:f>
        <x:v>仄</x:v>
      </x:c>
      <x:c r="J519" s="7" t="str"/>
    </x:row>
    <x:row r="520">
      <x:c r="A520" s="5" t="str">
        <x:v>只</x:v>
      </x:c>
      <x:c r="B520" s="6" t="str"/>
      <x:c r="C520" s="6" t="str">
        <x:f>IF(B520="","Needs decision","Ready")</x:f>
        <x:v>Needs decision</x:v>
      </x:c>
      <x:c r="D520" s="6" t="str">
        <x:v>平/上</x:v>
      </x:c>
      <x:c r="E520" s="6" t="str">
        <x:v>tsye [tɕie] (平); tsyeX [tɕieʔ] (上)</x:v>
      </x:c>
      <x:c r="F520" s="6" t="str">
        <x:v>2</x:v>
      </x:c>
      <x:c r="G520" s="6" t="str">
        <x:v>Tang 300 gap; frequency 8; ambiguous in Xun Gong</x:v>
      </x:c>
      <x:c r="H520" s="6" t="str">
        <x:f>IF(B520="平","平",IF(B520="","","仄"))</x:f>
      </x:c>
      <x:c r="I520" s="6" t="str">
        <x:f>IF(D514="","",IF(AND(ISNUMBER(SEARCH("平",D514)),OR(ISNUMBER(SEARCH("上",D514)),ISNUMBER(SEARCH("去",D514)),ISNUMBER(SEARCH("入",D514)))),"Ambiguous",IF(ISNUMBER(SEARCH("平",D514)),"平","仄")))</x:f>
        <x:v>仄</x:v>
      </x:c>
      <x:c r="J520" s="7" t="str">
        <x:v>Xun Gong, Tang 300 gap fill</x:v>
      </x:c>
    </x:row>
    <x:row r="521">
      <x:c r="A521" s="5" t="str">
        <x:v>叫</x:v>
      </x:c>
      <x:c r="B521" s="6" t="str">
        <x:v>去</x:v>
      </x:c>
      <x:c r="C521" s="6" t="str">
        <x:f>IF(B521="","Needs decision","Ready")</x:f>
        <x:v>Ready</x:v>
      </x:c>
      <x:c r="D521" s="6" t="str">
        <x:v>去</x:v>
      </x:c>
      <x:c r="E521" s="6" t="str">
        <x:v>kewH (C)</x:v>
      </x:c>
      <x:c r="F521" s="6" t="str">
        <x:v>1</x:v>
      </x:c>
      <x:c r="G521" s="6" t="str"/>
      <x:c r="H521" s="6" t="str">
        <x:f>IF(B521="平","平",IF(B521="","","仄"))</x:f>
        <x:v>仄</x:v>
      </x:c>
      <x:c r="I521" s="6" t="str">
        <x:f>IF(D515="","",IF(AND(ISNUMBER(SEARCH("平",D515)),OR(ISNUMBER(SEARCH("上",D515)),ISNUMBER(SEARCH("去",D515)),ISNUMBER(SEARCH("入",D515)))),"Ambiguous",IF(ISNUMBER(SEARCH("平",D515)),"平","仄")))</x:f>
        <x:v>平</x:v>
      </x:c>
      <x:c r="J521" s="7" t="str"/>
    </x:row>
    <x:row r="522">
      <x:c r="A522" s="5" t="str">
        <x:v>召</x:v>
      </x:c>
      <x:c r="B522" s="6" t="str"/>
      <x:c r="C522" s="6" t="str">
        <x:f>IF(B522="","Needs decision","Ready")</x:f>
        <x:v>Needs decision</x:v>
      </x:c>
      <x:c r="D522" s="6" t="str">
        <x:v>上/去</x:v>
      </x:c>
      <x:c r="E522" s="6" t="str">
        <x:v>dzyewX (B); drjewH (C)</x:v>
      </x:c>
      <x:c r="F522" s="6" t="str">
        <x:v>2</x:v>
      </x:c>
      <x:c r="G522" s="6" t="str"/>
      <x:c r="H522" s="6" t="str">
        <x:f>IF(B522="平","平",IF(B522="","","仄"))</x:f>
      </x:c>
      <x:c r="I522" s="6" t="str">
        <x:f>IF(D516="","",IF(AND(ISNUMBER(SEARCH("平",D516)),OR(ISNUMBER(SEARCH("上",D516)),ISNUMBER(SEARCH("去",D516)),ISNUMBER(SEARCH("入",D516)))),"Ambiguous",IF(ISNUMBER(SEARCH("平",D516)),"平","仄")))</x:f>
        <x:v>仄</x:v>
      </x:c>
      <x:c r="J522" s="7" t="str"/>
    </x:row>
    <x:row r="523">
      <x:c r="A523" s="5" t="str">
        <x:v>可</x:v>
      </x:c>
      <x:c r="B523" s="6" t="str">
        <x:v>上</x:v>
      </x:c>
      <x:c r="C523" s="6" t="str">
        <x:f>IF(B523="","Needs decision","Ready")</x:f>
        <x:v>Ready</x:v>
      </x:c>
      <x:c r="D523" s="6" t="str">
        <x:v>上</x:v>
      </x:c>
      <x:c r="E523" s="6" t="str">
        <x:v>khaX (B)</x:v>
      </x:c>
      <x:c r="F523" s="6" t="str">
        <x:v>1</x:v>
      </x:c>
      <x:c r="G523" s="6" t="str"/>
      <x:c r="H523" s="6" t="str">
        <x:f>IF(B523="平","平",IF(B523="","","仄"))</x:f>
        <x:v>仄</x:v>
      </x:c>
      <x:c r="I523" s="6" t="str">
        <x:f>IF(D517="","",IF(AND(ISNUMBER(SEARCH("平",D517)),OR(ISNUMBER(SEARCH("上",D517)),ISNUMBER(SEARCH("去",D517)),ISNUMBER(SEARCH("入",D517)))),"Ambiguous",IF(ISNUMBER(SEARCH("平",D517)),"平","仄")))</x:f>
        <x:v>仄</x:v>
      </x:c>
      <x:c r="J523" s="7" t="str"/>
    </x:row>
    <x:row r="524">
      <x:c r="A524" s="5" t="str">
        <x:v>台</x:v>
      </x:c>
      <x:c r="B524" s="6" t="str">
        <x:v>平</x:v>
      </x:c>
      <x:c r="C524" s="6" t="str">
        <x:f>IF(B524="","Needs decision","Ready")</x:f>
        <x:v>Ready</x:v>
      </x:c>
      <x:c r="D524" s="6" t="str">
        <x:v>平</x:v>
      </x:c>
      <x:c r="E524" s="6" t="str">
        <x:v>yi (A)</x:v>
      </x:c>
      <x:c r="F524" s="6" t="str">
        <x:v>1</x:v>
      </x:c>
      <x:c r="G524" s="6" t="str"/>
      <x:c r="H524" s="6" t="str">
        <x:f>IF(B524="平","平",IF(B524="","","仄"))</x:f>
        <x:v>平</x:v>
      </x:c>
      <x:c r="I524" s="6" t="str">
        <x:f>IF(D518="","",IF(AND(ISNUMBER(SEARCH("平",D518)),OR(ISNUMBER(SEARCH("上",D518)),ISNUMBER(SEARCH("去",D518)),ISNUMBER(SEARCH("入",D518)))),"Ambiguous",IF(ISNUMBER(SEARCH("平",D518)),"平","仄")))</x:f>
        <x:v>Ambiguous</x:v>
      </x:c>
      <x:c r="J524" s="7" t="str"/>
    </x:row>
    <x:row r="525">
      <x:c r="A525" s="5" t="str">
        <x:v>史</x:v>
      </x:c>
      <x:c r="B525" s="6" t="str">
        <x:v>上</x:v>
      </x:c>
      <x:c r="C525" s="6" t="str">
        <x:f>IF(B525="","Needs decision","Ready")</x:f>
        <x:v>Ready</x:v>
      </x:c>
      <x:c r="D525" s="6" t="str">
        <x:v>上</x:v>
      </x:c>
      <x:c r="E525" s="6" t="str">
        <x:v>sriX (B)</x:v>
      </x:c>
      <x:c r="F525" s="6" t="str">
        <x:v>1</x:v>
      </x:c>
      <x:c r="G525" s="6" t="str"/>
      <x:c r="H525" s="6" t="str">
        <x:f>IF(B525="平","平",IF(B525="","","仄"))</x:f>
        <x:v>仄</x:v>
      </x:c>
      <x:c r="I525" s="6" t="str">
        <x:f>IF(D519="","",IF(AND(ISNUMBER(SEARCH("平",D519)),OR(ISNUMBER(SEARCH("上",D519)),ISNUMBER(SEARCH("去",D519)),ISNUMBER(SEARCH("入",D519)))),"Ambiguous",IF(ISNUMBER(SEARCH("平",D519)),"平","仄")))</x:f>
        <x:v>仄</x:v>
      </x:c>
      <x:c r="J525" s="7" t="str"/>
    </x:row>
    <x:row r="526">
      <x:c r="A526" s="5" t="str">
        <x:v>右</x:v>
      </x:c>
      <x:c r="B526" s="6" t="str"/>
      <x:c r="C526" s="6" t="str">
        <x:f>IF(B526="","Needs decision","Ready")</x:f>
        <x:v>Needs decision</x:v>
      </x:c>
      <x:c r="D526" s="6" t="str">
        <x:v>上/去</x:v>
      </x:c>
      <x:c r="E526" s="6" t="str">
        <x:v>hjuwX (B); hjuwH (C)</x:v>
      </x:c>
      <x:c r="F526" s="6" t="str">
        <x:v>2</x:v>
      </x:c>
      <x:c r="G526" s="6" t="str"/>
      <x:c r="H526" s="6" t="str">
        <x:f>IF(B526="平","平",IF(B526="","","仄"))</x:f>
      </x:c>
      <x:c r="I526" s="6" t="str">
        <x:f>IF(D520="","",IF(AND(ISNUMBER(SEARCH("平",D520)),OR(ISNUMBER(SEARCH("上",D520)),ISNUMBER(SEARCH("去",D520)),ISNUMBER(SEARCH("入",D520)))),"Ambiguous",IF(ISNUMBER(SEARCH("平",D520)),"平","仄")))</x:f>
        <x:v>Ambiguous</x:v>
      </x:c>
      <x:c r="J526" s="7" t="str"/>
    </x:row>
    <x:row r="527">
      <x:c r="A527" s="5" t="str">
        <x:v>号</x:v>
      </x:c>
      <x:c r="B527" s="6" t="str">
        <x:v>去</x:v>
      </x:c>
      <x:c r="C527" s="6" t="str">
        <x:f>IF(B527="","Needs decision","Ready")</x:f>
        <x:v>Ready</x:v>
      </x:c>
      <x:c r="D527" s="6" t="str">
        <x:v>去</x:v>
      </x:c>
      <x:c r="E527" s="6" t="str">
        <x:v>hawH (C)</x:v>
      </x:c>
      <x:c r="F527" s="6" t="str">
        <x:v>1</x:v>
      </x:c>
      <x:c r="G527" s="6" t="str"/>
      <x:c r="H527" s="6" t="str">
        <x:f>IF(B527="平","平",IF(B527="","","仄"))</x:f>
        <x:v>仄</x:v>
      </x:c>
      <x:c r="I527" s="6" t="str">
        <x:f>IF(D521="","",IF(AND(ISNUMBER(SEARCH("平",D521)),OR(ISNUMBER(SEARCH("上",D521)),ISNUMBER(SEARCH("去",D521)),ISNUMBER(SEARCH("入",D521)))),"Ambiguous",IF(ISNUMBER(SEARCH("平",D521)),"平","仄")))</x:f>
        <x:v>仄</x:v>
      </x:c>
      <x:c r="J527" s="7" t="str"/>
    </x:row>
    <x:row r="528">
      <x:c r="A528" s="5" t="str">
        <x:v>司</x:v>
      </x:c>
      <x:c r="B528" s="6" t="str">
        <x:v>平</x:v>
      </x:c>
      <x:c r="C528" s="6" t="str">
        <x:f>IF(B528="","Needs decision","Ready")</x:f>
        <x:v>Ready</x:v>
      </x:c>
      <x:c r="D528" s="6" t="str">
        <x:v>平</x:v>
      </x:c>
      <x:c r="E528" s="6" t="str">
        <x:v>si (A)</x:v>
      </x:c>
      <x:c r="F528" s="6" t="str">
        <x:v>1</x:v>
      </x:c>
      <x:c r="G528" s="6" t="str"/>
      <x:c r="H528" s="6" t="str">
        <x:f>IF(B528="平","平",IF(B528="","","仄"))</x:f>
        <x:v>平</x:v>
      </x:c>
      <x:c r="I528" s="6" t="str">
        <x:f>IF(D522="","",IF(AND(ISNUMBER(SEARCH("平",D522)),OR(ISNUMBER(SEARCH("上",D522)),ISNUMBER(SEARCH("去",D522)),ISNUMBER(SEARCH("入",D522)))),"Ambiguous",IF(ISNUMBER(SEARCH("平",D522)),"平","仄")))</x:f>
        <x:v>仄</x:v>
      </x:c>
      <x:c r="J528" s="7" t="str"/>
    </x:row>
    <x:row r="529">
      <x:c r="A529" s="5" t="str">
        <x:v>吁</x:v>
      </x:c>
      <x:c r="B529" s="6" t="str">
        <x:v>平</x:v>
      </x:c>
      <x:c r="C529" s="6" t="str">
        <x:f>IF(B529="","Needs decision","Ready")</x:f>
        <x:v>Ready</x:v>
      </x:c>
      <x:c r="D529" s="6" t="str">
        <x:v>平</x:v>
      </x:c>
      <x:c r="E529" s="6" t="str">
        <x:v>xju (A)</x:v>
      </x:c>
      <x:c r="F529" s="6" t="str">
        <x:v>1</x:v>
      </x:c>
      <x:c r="G529" s="6" t="str"/>
      <x:c r="H529" s="6" t="str">
        <x:f>IF(B529="平","平",IF(B529="","","仄"))</x:f>
        <x:v>平</x:v>
      </x:c>
      <x:c r="I529" s="6" t="str">
        <x:f>IF(D523="","",IF(AND(ISNUMBER(SEARCH("平",D523)),OR(ISNUMBER(SEARCH("上",D523)),ISNUMBER(SEARCH("去",D523)),ISNUMBER(SEARCH("入",D523)))),"Ambiguous",IF(ISNUMBER(SEARCH("平",D523)),"平","仄")))</x:f>
        <x:v>仄</x:v>
      </x:c>
      <x:c r="J529" s="7" t="str"/>
    </x:row>
    <x:row r="530">
      <x:c r="A530" s="5" t="str">
        <x:v>各</x:v>
      </x:c>
      <x:c r="B530" s="6" t="str">
        <x:v>入</x:v>
      </x:c>
      <x:c r="C530" s="6" t="str">
        <x:f>IF(B530="","Needs decision","Ready")</x:f>
        <x:v>Ready</x:v>
      </x:c>
      <x:c r="D530" s="6" t="str">
        <x:v>入</x:v>
      </x:c>
      <x:c r="E530" s="6" t="str">
        <x:v>kak (D)</x:v>
      </x:c>
      <x:c r="F530" s="6" t="str">
        <x:v>1</x:v>
      </x:c>
      <x:c r="G530" s="6" t="str"/>
      <x:c r="H530" s="6" t="str">
        <x:f>IF(B530="平","平",IF(B530="","","仄"))</x:f>
        <x:v>仄</x:v>
      </x:c>
      <x:c r="I530" s="6" t="str">
        <x:f>IF(D524="","",IF(AND(ISNUMBER(SEARCH("平",D524)),OR(ISNUMBER(SEARCH("上",D524)),ISNUMBER(SEARCH("去",D524)),ISNUMBER(SEARCH("入",D524)))),"Ambiguous",IF(ISNUMBER(SEARCH("平",D524)),"平","仄")))</x:f>
        <x:v>平</x:v>
      </x:c>
      <x:c r="J530" s="7" t="str"/>
    </x:row>
    <x:row r="531">
      <x:c r="A531" s="5" t="str">
        <x:v>吅</x:v>
      </x:c>
      <x:c r="B531" s="6" t="str">
        <x:v>平</x:v>
      </x:c>
      <x:c r="C531" s="6" t="str">
        <x:f>IF(B531="","Needs decision","Ready")</x:f>
        <x:v>Ready</x:v>
      </x:c>
      <x:c r="D531" s="6" t="str">
        <x:v>平</x:v>
      </x:c>
      <x:c r="E531" s="6" t="str">
        <x:v>xjwon (A)</x:v>
      </x:c>
      <x:c r="F531" s="6" t="str">
        <x:v>1</x:v>
      </x:c>
      <x:c r="G531" s="6" t="str"/>
      <x:c r="H531" s="6" t="str">
        <x:f>IF(B531="平","平",IF(B531="","","仄"))</x:f>
        <x:v>平</x:v>
      </x:c>
      <x:c r="I531" s="6" t="str">
        <x:f>IF(D525="","",IF(AND(ISNUMBER(SEARCH("平",D525)),OR(ISNUMBER(SEARCH("上",D525)),ISNUMBER(SEARCH("去",D525)),ISNUMBER(SEARCH("入",D525)))),"Ambiguous",IF(ISNUMBER(SEARCH("平",D525)),"平","仄")))</x:f>
        <x:v>仄</x:v>
      </x:c>
      <x:c r="J531" s="7" t="str"/>
    </x:row>
    <x:row r="532">
      <x:c r="A532" s="5" t="str">
        <x:v>合</x:v>
      </x:c>
      <x:c r="B532" s="6" t="str">
        <x:v>入</x:v>
      </x:c>
      <x:c r="C532" s="6" t="str">
        <x:f>IF(B532="","Needs decision","Ready")</x:f>
        <x:v>Ready</x:v>
      </x:c>
      <x:c r="D532" s="6" t="str">
        <x:v>入</x:v>
      </x:c>
      <x:c r="E532" s="6" t="str">
        <x:v>kop (D); hop (D)</x:v>
      </x:c>
      <x:c r="F532" s="6" t="str">
        <x:v>2</x:v>
      </x:c>
      <x:c r="G532" s="6" t="str"/>
      <x:c r="H532" s="6" t="str">
        <x:f>IF(B532="平","平",IF(B532="","","仄"))</x:f>
        <x:v>仄</x:v>
      </x:c>
      <x:c r="I532" s="6" t="str">
        <x:f>IF(D526="","",IF(AND(ISNUMBER(SEARCH("平",D526)),OR(ISNUMBER(SEARCH("上",D526)),ISNUMBER(SEARCH("去",D526)),ISNUMBER(SEARCH("入",D526)))),"Ambiguous",IF(ISNUMBER(SEARCH("平",D526)),"平","仄")))</x:f>
        <x:v>仄</x:v>
      </x:c>
      <x:c r="J532" s="7" t="str"/>
    </x:row>
    <x:row r="533">
      <x:c r="A533" s="5" t="str">
        <x:v>吉</x:v>
      </x:c>
      <x:c r="B533" s="6" t="str">
        <x:v>入</x:v>
      </x:c>
      <x:c r="C533" s="6" t="str">
        <x:f>IF(B533="","Needs decision","Ready")</x:f>
        <x:v>Ready</x:v>
      </x:c>
      <x:c r="D533" s="6" t="str">
        <x:v>入</x:v>
      </x:c>
      <x:c r="E533" s="6" t="str">
        <x:v>kjit (D)</x:v>
      </x:c>
      <x:c r="F533" s="6" t="str">
        <x:v>1</x:v>
      </x:c>
      <x:c r="G533" s="6" t="str"/>
      <x:c r="H533" s="6" t="str">
        <x:f>IF(B533="平","平",IF(B533="","","仄"))</x:f>
        <x:v>仄</x:v>
      </x:c>
      <x:c r="I533" s="6" t="str">
        <x:f>IF(D527="","",IF(AND(ISNUMBER(SEARCH("平",D527)),OR(ISNUMBER(SEARCH("上",D527)),ISNUMBER(SEARCH("去",D527)),ISNUMBER(SEARCH("入",D527)))),"Ambiguous",IF(ISNUMBER(SEARCH("平",D527)),"平","仄")))</x:f>
        <x:v>仄</x:v>
      </x:c>
      <x:c r="J533" s="7" t="str"/>
    </x:row>
    <x:row r="534">
      <x:c r="A534" s="5" t="str">
        <x:v>同</x:v>
      </x:c>
      <x:c r="B534" s="6" t="str">
        <x:v>平</x:v>
      </x:c>
      <x:c r="C534" s="6" t="str">
        <x:f>IF(B534="","Needs decision","Ready")</x:f>
        <x:v>Ready</x:v>
      </x:c>
      <x:c r="D534" s="6" t="str">
        <x:v>平</x:v>
      </x:c>
      <x:c r="E534" s="6" t="str">
        <x:v>duwng (A)</x:v>
      </x:c>
      <x:c r="F534" s="6" t="str">
        <x:v>1</x:v>
      </x:c>
      <x:c r="G534" s="6" t="str"/>
      <x:c r="H534" s="6" t="str">
        <x:f>IF(B534="平","平",IF(B534="","","仄"))</x:f>
        <x:v>平</x:v>
      </x:c>
      <x:c r="I534" s="6" t="str">
        <x:f>IF(D528="","",IF(AND(ISNUMBER(SEARCH("平",D528)),OR(ISNUMBER(SEARCH("上",D528)),ISNUMBER(SEARCH("去",D528)),ISNUMBER(SEARCH("入",D528)))),"Ambiguous",IF(ISNUMBER(SEARCH("平",D528)),"平","仄")))</x:f>
        <x:v>平</x:v>
      </x:c>
      <x:c r="J534" s="7" t="str"/>
    </x:row>
    <x:row r="535">
      <x:c r="A535" s="5" t="str">
        <x:v>名</x:v>
      </x:c>
      <x:c r="B535" s="6" t="str">
        <x:v>平</x:v>
      </x:c>
      <x:c r="C535" s="6" t="str">
        <x:f>IF(B535="","Needs decision","Ready")</x:f>
        <x:v>Ready</x:v>
      </x:c>
      <x:c r="D535" s="6" t="str">
        <x:v>平</x:v>
      </x:c>
      <x:c r="E535" s="6" t="str">
        <x:v>mjieng (A)</x:v>
      </x:c>
      <x:c r="F535" s="6" t="str">
        <x:v>1</x:v>
      </x:c>
      <x:c r="G535" s="6" t="str"/>
      <x:c r="H535" s="6" t="str">
        <x:f>IF(B535="平","平",IF(B535="","","仄"))</x:f>
        <x:v>平</x:v>
      </x:c>
      <x:c r="I535" s="6" t="str">
        <x:f>IF(D529="","",IF(AND(ISNUMBER(SEARCH("平",D529)),OR(ISNUMBER(SEARCH("上",D529)),ISNUMBER(SEARCH("去",D529)),ISNUMBER(SEARCH("入",D529)))),"Ambiguous",IF(ISNUMBER(SEARCH("平",D529)),"平","仄")))</x:f>
        <x:v>平</x:v>
      </x:c>
      <x:c r="J535" s="7" t="str"/>
    </x:row>
    <x:row r="536">
      <x:c r="A536" s="5" t="str">
        <x:v>后</x:v>
      </x:c>
      <x:c r="B536" s="6" t="str">
        <x:v>上</x:v>
      </x:c>
      <x:c r="C536" s="6" t="str">
        <x:f>IF(B536="","Needs decision","Ready")</x:f>
        <x:v>Ready</x:v>
      </x:c>
      <x:c r="D536" s="6" t="str">
        <x:v>上</x:v>
      </x:c>
      <x:c r="E536" s="6" t="str">
        <x:v>huwX (B)</x:v>
      </x:c>
      <x:c r="F536" s="6" t="str">
        <x:v>1</x:v>
      </x:c>
      <x:c r="G536" s="6" t="str"/>
      <x:c r="H536" s="6" t="str">
        <x:f>IF(B536="平","平",IF(B536="","","仄"))</x:f>
        <x:v>仄</x:v>
      </x:c>
      <x:c r="I536" s="6" t="str">
        <x:f>IF(D530="","",IF(AND(ISNUMBER(SEARCH("平",D530)),OR(ISNUMBER(SEARCH("上",D530)),ISNUMBER(SEARCH("去",D530)),ISNUMBER(SEARCH("入",D530)))),"Ambiguous",IF(ISNUMBER(SEARCH("平",D530)),"平","仄")))</x:f>
        <x:v>仄</x:v>
      </x:c>
      <x:c r="J536" s="7" t="str"/>
    </x:row>
    <x:row r="537">
      <x:c r="A537" s="5" t="str">
        <x:v>吏</x:v>
      </x:c>
      <x:c r="B537" s="6" t="str">
        <x:v>去</x:v>
      </x:c>
      <x:c r="C537" s="6" t="str">
        <x:f>IF(B537="","Needs decision","Ready")</x:f>
        <x:v>Ready</x:v>
      </x:c>
      <x:c r="D537" s="6" t="str">
        <x:v>去</x:v>
      </x:c>
      <x:c r="E537" s="6" t="str">
        <x:v>liH (C)</x:v>
      </x:c>
      <x:c r="F537" s="6" t="str">
        <x:v>1</x:v>
      </x:c>
      <x:c r="G537" s="6" t="str"/>
      <x:c r="H537" s="6" t="str">
        <x:f>IF(B537="平","平",IF(B537="","","仄"))</x:f>
        <x:v>仄</x:v>
      </x:c>
      <x:c r="I537" s="6" t="str">
        <x:f>IF(D531="","",IF(AND(ISNUMBER(SEARCH("平",D531)),OR(ISNUMBER(SEARCH("上",D531)),ISNUMBER(SEARCH("去",D531)),ISNUMBER(SEARCH("入",D531)))),"Ambiguous",IF(ISNUMBER(SEARCH("平",D531)),"平","仄")))</x:f>
        <x:v>平</x:v>
      </x:c>
      <x:c r="J537" s="7" t="str"/>
    </x:row>
    <x:row r="538">
      <x:c r="A538" s="5" t="str">
        <x:v>吐</x:v>
      </x:c>
      <x:c r="B538" s="6" t="str">
        <x:v>上</x:v>
      </x:c>
      <x:c r="C538" s="6" t="str">
        <x:f>IF(B538="","Needs decision","Ready")</x:f>
        <x:v>Ready</x:v>
      </x:c>
      <x:c r="D538" s="6" t="str">
        <x:v>上/去</x:v>
      </x:c>
      <x:c r="E538" s="6" t="str">
        <x:v>thuX (B); thuH (C)</x:v>
      </x:c>
      <x:c r="F538" s="6" t="str">
        <x:v>2</x:v>
      </x:c>
      <x:c r="G538" s="6" t="str">
        <x:v>User workbook edit 2026-09-03</x:v>
      </x:c>
      <x:c r="H538" s="6" t="str">
        <x:f>IF(B538="平","平",IF(B538="","","仄"))</x:f>
        <x:v>仄</x:v>
      </x:c>
      <x:c r="I538" s="6" t="str">
        <x:f>IF(D532="","",IF(AND(ISNUMBER(SEARCH("平",D532)),OR(ISNUMBER(SEARCH("上",D532)),ISNUMBER(SEARCH("去",D532)),ISNUMBER(SEARCH("入",D532)))),"Ambiguous",IF(ISNUMBER(SEARCH("平",D532)),"平","仄")))</x:f>
        <x:v>仄</x:v>
      </x:c>
      <x:c r="J538" s="7" t="str">
        <x:v>manual user correction</x:v>
      </x:c>
    </x:row>
    <x:row r="539">
      <x:c r="A539" s="5" t="str">
        <x:v>向</x:v>
      </x:c>
      <x:c r="B539" s="6" t="str">
        <x:v>去</x:v>
      </x:c>
      <x:c r="C539" s="6" t="str">
        <x:f>IF(B539="","Needs decision","Ready")</x:f>
        <x:v>Ready</x:v>
      </x:c>
      <x:c r="D539" s="6" t="str">
        <x:v>去</x:v>
      </x:c>
      <x:c r="E539" s="6" t="str">
        <x:v>xjangH (C)</x:v>
      </x:c>
      <x:c r="F539" s="6" t="str">
        <x:v>1</x:v>
      </x:c>
      <x:c r="G539" s="6" t="str"/>
      <x:c r="H539" s="6" t="str">
        <x:f>IF(B539="平","平",IF(B539="","","仄"))</x:f>
        <x:v>仄</x:v>
      </x:c>
      <x:c r="I539" s="6" t="str">
        <x:f>IF(D533="","",IF(AND(ISNUMBER(SEARCH("平",D533)),OR(ISNUMBER(SEARCH("上",D533)),ISNUMBER(SEARCH("去",D533)),ISNUMBER(SEARCH("入",D533)))),"Ambiguous",IF(ISNUMBER(SEARCH("平",D533)),"平","仄")))</x:f>
        <x:v>仄</x:v>
      </x:c>
      <x:c r="J539" s="7" t="str"/>
    </x:row>
    <x:row r="540">
      <x:c r="A540" s="5" t="str">
        <x:v>吚</x:v>
      </x:c>
      <x:c r="B540" s="6" t="str">
        <x:v>平</x:v>
      </x:c>
      <x:c r="C540" s="6" t="str">
        <x:f>IF(B540="","Needs decision","Ready")</x:f>
        <x:v>Ready</x:v>
      </x:c>
      <x:c r="D540" s="6" t="str">
        <x:v>平</x:v>
      </x:c>
      <x:c r="E540" s="6" t="str">
        <x:v>'jij (A)</x:v>
      </x:c>
      <x:c r="F540" s="6" t="str">
        <x:v>1</x:v>
      </x:c>
      <x:c r="G540" s="6" t="str"/>
      <x:c r="H540" s="6" t="str">
        <x:f>IF(B540="平","平",IF(B540="","","仄"))</x:f>
        <x:v>平</x:v>
      </x:c>
      <x:c r="I540" s="6" t="str">
        <x:f>IF(D534="","",IF(AND(ISNUMBER(SEARCH("平",D534)),OR(ISNUMBER(SEARCH("上",D534)),ISNUMBER(SEARCH("去",D534)),ISNUMBER(SEARCH("入",D534)))),"Ambiguous",IF(ISNUMBER(SEARCH("平",D534)),"平","仄")))</x:f>
        <x:v>平</x:v>
      </x:c>
      <x:c r="J540" s="7" t="str"/>
    </x:row>
    <x:row r="541">
      <x:c r="A541" s="5" t="str">
        <x:v>君</x:v>
      </x:c>
      <x:c r="B541" s="6" t="str">
        <x:v>平</x:v>
      </x:c>
      <x:c r="C541" s="6" t="str">
        <x:f>IF(B541="","Needs decision","Ready")</x:f>
        <x:v>Ready</x:v>
      </x:c>
      <x:c r="D541" s="6" t="str">
        <x:v>平</x:v>
      </x:c>
      <x:c r="E541" s="6" t="str">
        <x:v>kjun (A)</x:v>
      </x:c>
      <x:c r="F541" s="6" t="str">
        <x:v>1</x:v>
      </x:c>
      <x:c r="G541" s="6" t="str"/>
      <x:c r="H541" s="6" t="str">
        <x:f>IF(B541="平","平",IF(B541="","","仄"))</x:f>
        <x:v>平</x:v>
      </x:c>
      <x:c r="I541" s="6" t="str">
        <x:f>IF(D535="","",IF(AND(ISNUMBER(SEARCH("平",D535)),OR(ISNUMBER(SEARCH("上",D535)),ISNUMBER(SEARCH("去",D535)),ISNUMBER(SEARCH("入",D535)))),"Ambiguous",IF(ISNUMBER(SEARCH("平",D535)),"平","仄")))</x:f>
        <x:v>平</x:v>
      </x:c>
      <x:c r="J541" s="7" t="str"/>
    </x:row>
    <x:row r="542">
      <x:c r="A542" s="5" t="str">
        <x:v>吝</x:v>
      </x:c>
      <x:c r="B542" s="6" t="str">
        <x:v>去</x:v>
      </x:c>
      <x:c r="C542" s="6" t="str">
        <x:f>IF(B542="","Needs decision","Ready")</x:f>
        <x:v>Ready</x:v>
      </x:c>
      <x:c r="D542" s="6" t="str">
        <x:v>去</x:v>
      </x:c>
      <x:c r="E542" s="6" t="str">
        <x:v>linH (C)</x:v>
      </x:c>
      <x:c r="F542" s="6" t="str">
        <x:v>1</x:v>
      </x:c>
      <x:c r="G542" s="6" t="str"/>
      <x:c r="H542" s="6" t="str">
        <x:f>IF(B542="平","平",IF(B542="","","仄"))</x:f>
        <x:v>仄</x:v>
      </x:c>
      <x:c r="I542" s="6" t="str">
        <x:f>IF(D536="","",IF(AND(ISNUMBER(SEARCH("平",D536)),OR(ISNUMBER(SEARCH("上",D536)),ISNUMBER(SEARCH("去",D536)),ISNUMBER(SEARCH("入",D536)))),"Ambiguous",IF(ISNUMBER(SEARCH("平",D536)),"平","仄")))</x:f>
        <x:v>仄</x:v>
      </x:c>
      <x:c r="J542" s="7" t="str"/>
    </x:row>
    <x:row r="543">
      <x:c r="A543" s="5" t="str">
        <x:v>吞</x:v>
      </x:c>
      <x:c r="B543" s="6" t="str">
        <x:v>平</x:v>
      </x:c>
      <x:c r="C543" s="6" t="str">
        <x:f>IF(B543="","Needs decision","Ready")</x:f>
        <x:v>Ready</x:v>
      </x:c>
      <x:c r="D543" s="6" t="str">
        <x:v>平</x:v>
      </x:c>
      <x:c r="E543" s="6" t="str">
        <x:v>then (A); thon (A)</x:v>
      </x:c>
      <x:c r="F543" s="6" t="str">
        <x:v>2</x:v>
      </x:c>
      <x:c r="G543" s="6" t="str"/>
      <x:c r="H543" s="6" t="str">
        <x:f>IF(B543="平","平",IF(B543="","","仄"))</x:f>
        <x:v>平</x:v>
      </x:c>
      <x:c r="I543" s="6" t="str">
        <x:f>IF(D537="","",IF(AND(ISNUMBER(SEARCH("平",D537)),OR(ISNUMBER(SEARCH("上",D537)),ISNUMBER(SEARCH("去",D537)),ISNUMBER(SEARCH("入",D537)))),"Ambiguous",IF(ISNUMBER(SEARCH("平",D537)),"平","仄")))</x:f>
        <x:v>仄</x:v>
      </x:c>
      <x:c r="J543" s="7" t="str"/>
    </x:row>
    <x:row r="544">
      <x:c r="A544" s="5" t="str">
        <x:v>吟</x:v>
      </x:c>
      <x:c r="B544" s="6" t="str">
        <x:v>平</x:v>
      </x:c>
      <x:c r="C544" s="6" t="str">
        <x:f>IF(B544="","Needs decision","Ready")</x:f>
        <x:v>Ready</x:v>
      </x:c>
      <x:c r="D544" s="6" t="str">
        <x:v>平</x:v>
      </x:c>
      <x:c r="E544" s="6" t="str">
        <x:v>ngim (A)</x:v>
      </x:c>
      <x:c r="F544" s="6" t="str">
        <x:v>1</x:v>
      </x:c>
      <x:c r="G544" s="6" t="str"/>
      <x:c r="H544" s="6" t="str">
        <x:f>IF(B544="平","平",IF(B544="","","仄"))</x:f>
        <x:v>平</x:v>
      </x:c>
      <x:c r="I544" s="6" t="str">
        <x:f>IF(D538="","",IF(AND(ISNUMBER(SEARCH("平",D538)),OR(ISNUMBER(SEARCH("上",D538)),ISNUMBER(SEARCH("去",D538)),ISNUMBER(SEARCH("入",D538)))),"Ambiguous",IF(ISNUMBER(SEARCH("平",D538)),"平","仄")))</x:f>
        <x:v>仄</x:v>
      </x:c>
      <x:c r="J544" s="7" t="str"/>
    </x:row>
    <x:row r="545">
      <x:c r="A545" s="5" t="str">
        <x:v>吠</x:v>
      </x:c>
      <x:c r="B545" s="6" t="str">
        <x:v>去</x:v>
      </x:c>
      <x:c r="C545" s="6" t="str">
        <x:f>IF(B545="","Needs decision","Ready")</x:f>
        <x:v>Ready</x:v>
      </x:c>
      <x:c r="D545" s="6" t="str">
        <x:v>去</x:v>
      </x:c>
      <x:c r="E545" s="6" t="str">
        <x:v>bjojH (C)</x:v>
      </x:c>
      <x:c r="F545" s="6" t="str">
        <x:v>1</x:v>
      </x:c>
      <x:c r="G545" s="6" t="str"/>
      <x:c r="H545" s="6" t="str">
        <x:f>IF(B545="平","平",IF(B545="","","仄"))</x:f>
        <x:v>仄</x:v>
      </x:c>
      <x:c r="I545" s="6" t="str">
        <x:f>IF(D539="","",IF(AND(ISNUMBER(SEARCH("平",D539)),OR(ISNUMBER(SEARCH("上",D539)),ISNUMBER(SEARCH("去",D539)),ISNUMBER(SEARCH("入",D539)))),"Ambiguous",IF(ISNUMBER(SEARCH("平",D539)),"平","仄")))</x:f>
        <x:v>仄</x:v>
      </x:c>
      <x:c r="J545" s="7" t="str"/>
    </x:row>
    <x:row r="546">
      <x:c r="A546" s="5" t="str">
        <x:v>否</x:v>
      </x:c>
      <x:c r="B546" s="6" t="str">
        <x:v>上</x:v>
      </x:c>
      <x:c r="C546" s="6" t="str">
        <x:f>IF(B546="","Needs decision","Ready")</x:f>
        <x:v>Ready</x:v>
      </x:c>
      <x:c r="D546" s="6" t="str">
        <x:v>上</x:v>
      </x:c>
      <x:c r="E546" s="6" t="str">
        <x:v>pjuwX (B)</x:v>
      </x:c>
      <x:c r="F546" s="6" t="str">
        <x:v>1</x:v>
      </x:c>
      <x:c r="G546" s="6" t="str"/>
      <x:c r="H546" s="6" t="str">
        <x:f>IF(B546="平","平",IF(B546="","","仄"))</x:f>
        <x:v>仄</x:v>
      </x:c>
      <x:c r="I546" s="6" t="str">
        <x:f>IF(D540="","",IF(AND(ISNUMBER(SEARCH("平",D540)),OR(ISNUMBER(SEARCH("上",D540)),ISNUMBER(SEARCH("去",D540)),ISNUMBER(SEARCH("入",D540)))),"Ambiguous",IF(ISNUMBER(SEARCH("平",D540)),"平","仄")))</x:f>
        <x:v>平</x:v>
      </x:c>
      <x:c r="J546" s="7" t="str"/>
    </x:row>
    <x:row r="547">
      <x:c r="A547" s="5" t="str">
        <x:v>吪</x:v>
      </x:c>
      <x:c r="B547" s="6" t="str">
        <x:v>平</x:v>
      </x:c>
      <x:c r="C547" s="6" t="str">
        <x:f>IF(B547="","Needs decision","Ready")</x:f>
        <x:v>Ready</x:v>
      </x:c>
      <x:c r="D547" s="6" t="str">
        <x:v>平</x:v>
      </x:c>
      <x:c r="E547" s="6" t="str">
        <x:v>ngwa (A)</x:v>
      </x:c>
      <x:c r="F547" s="6" t="str">
        <x:v>1</x:v>
      </x:c>
      <x:c r="G547" s="6" t="str"/>
      <x:c r="H547" s="6" t="str">
        <x:f>IF(B547="平","平",IF(B547="","","仄"))</x:f>
        <x:v>平</x:v>
      </x:c>
      <x:c r="I547" s="6" t="str">
        <x:f>IF(D541="","",IF(AND(ISNUMBER(SEARCH("平",D541)),OR(ISNUMBER(SEARCH("上",D541)),ISNUMBER(SEARCH("去",D541)),ISNUMBER(SEARCH("入",D541)))),"Ambiguous",IF(ISNUMBER(SEARCH("平",D541)),"平","仄")))</x:f>
        <x:v>平</x:v>
      </x:c>
      <x:c r="J547" s="7" t="str"/>
    </x:row>
    <x:row r="548">
      <x:c r="A548" s="5" t="str">
        <x:v>含</x:v>
      </x:c>
      <x:c r="B548" s="6" t="str">
        <x:v>平</x:v>
      </x:c>
      <x:c r="C548" s="6" t="str">
        <x:f>IF(B548="","Needs decision","Ready")</x:f>
        <x:v>Ready</x:v>
      </x:c>
      <x:c r="D548" s="6" t="str">
        <x:v>平/去</x:v>
      </x:c>
      <x:c r="E548" s="6" t="str">
        <x:v>hom (A); homH (C)</x:v>
      </x:c>
      <x:c r="F548" s="6" t="str">
        <x:v>2</x:v>
      </x:c>
      <x:c r="G548" s="6" t="str">
        <x:v>User workbook edit 2026-09-03</x:v>
      </x:c>
      <x:c r="H548" s="6" t="str">
        <x:f>IF(B548="平","平",IF(B548="","","仄"))</x:f>
        <x:v>平</x:v>
      </x:c>
      <x:c r="I548" s="6" t="str">
        <x:f>IF(D542="","",IF(AND(ISNUMBER(SEARCH("平",D542)),OR(ISNUMBER(SEARCH("上",D542)),ISNUMBER(SEARCH("去",D542)),ISNUMBER(SEARCH("入",D542)))),"Ambiguous",IF(ISNUMBER(SEARCH("平",D542)),"平","仄")))</x:f>
        <x:v>仄</x:v>
      </x:c>
      <x:c r="J548" s="7" t="str">
        <x:v>manual user correction</x:v>
      </x:c>
    </x:row>
    <x:row r="549">
      <x:c r="A549" s="5" t="str">
        <x:v>吮</x:v>
      </x:c>
      <x:c r="B549" s="6" t="str">
        <x:v>上</x:v>
      </x:c>
      <x:c r="C549" s="6" t="str">
        <x:f>IF(B549="","Needs decision","Ready")</x:f>
        <x:v>Ready</x:v>
      </x:c>
      <x:c r="D549" s="6" t="str">
        <x:v>上</x:v>
      </x:c>
      <x:c r="E549" s="6" t="str">
        <x:v>dzjwenX [dzjwenʔ] (上); zywinX [ʑwinʔ] (上)</x:v>
      </x:c>
      <x:c r="F549" s="6" t="str">
        <x:v>2</x:v>
      </x:c>
      <x:c r="G549" s="6" t="str">
        <x:v>Tang 300 gap; frequency 1; provisional from Xun Gong</x:v>
      </x:c>
      <x:c r="H549" s="6" t="str">
        <x:f>IF(B549="平","平",IF(B549="","","仄"))</x:f>
        <x:v>仄</x:v>
      </x:c>
      <x:c r="I549" s="6" t="str">
        <x:f>IF(D543="","",IF(AND(ISNUMBER(SEARCH("平",D543)),OR(ISNUMBER(SEARCH("上",D543)),ISNUMBER(SEARCH("去",D543)),ISNUMBER(SEARCH("入",D543)))),"Ambiguous",IF(ISNUMBER(SEARCH("平",D543)),"平","仄")))</x:f>
        <x:v>平</x:v>
      </x:c>
      <x:c r="J549" s="7" t="str">
        <x:v>Xun Gong, Tang 300 gap fill</x:v>
      </x:c>
    </x:row>
    <x:row r="550">
      <x:c r="A550" s="5" t="str">
        <x:v>启</x:v>
      </x:c>
      <x:c r="B550" s="6" t="str">
        <x:v>上</x:v>
      </x:c>
      <x:c r="C550" s="6" t="str">
        <x:f>IF(B550="","Needs decision","Ready")</x:f>
        <x:v>Ready</x:v>
      </x:c>
      <x:c r="D550" s="6" t="str">
        <x:v>上</x:v>
      </x:c>
      <x:c r="E550" s="6" t="str">
        <x:v>khejX (B)</x:v>
      </x:c>
      <x:c r="F550" s="6" t="str">
        <x:v>1</x:v>
      </x:c>
      <x:c r="G550" s="6" t="str"/>
      <x:c r="H550" s="6" t="str">
        <x:f>IF(B550="平","平",IF(B550="","","仄"))</x:f>
        <x:v>仄</x:v>
      </x:c>
      <x:c r="I550" s="6" t="str">
        <x:f>IF(D544="","",IF(AND(ISNUMBER(SEARCH("平",D544)),OR(ISNUMBER(SEARCH("上",D544)),ISNUMBER(SEARCH("去",D544)),ISNUMBER(SEARCH("入",D544)))),"Ambiguous",IF(ISNUMBER(SEARCH("平",D544)),"平","仄")))</x:f>
        <x:v>平</x:v>
      </x:c>
      <x:c r="J550" s="7" t="str"/>
    </x:row>
    <x:row r="551">
      <x:c r="A551" s="5" t="str">
        <x:v>吳</x:v>
      </x:c>
      <x:c r="B551" s="6" t="str">
        <x:v>平</x:v>
      </x:c>
      <x:c r="C551" s="6" t="str">
        <x:f>IF(B551="","Needs decision","Ready")</x:f>
        <x:v>Ready</x:v>
      </x:c>
      <x:c r="D551" s="6" t="str">
        <x:v>平</x:v>
      </x:c>
      <x:c r="E551" s="6" t="str">
        <x:v>ngu (A)</x:v>
      </x:c>
      <x:c r="F551" s="6" t="str">
        <x:v>1</x:v>
      </x:c>
      <x:c r="G551" s="6" t="str"/>
      <x:c r="H551" s="6" t="str">
        <x:f>IF(B551="平","平",IF(B551="","","仄"))</x:f>
        <x:v>平</x:v>
      </x:c>
      <x:c r="I551" s="6" t="str">
        <x:f>IF(D545="","",IF(AND(ISNUMBER(SEARCH("平",D545)),OR(ISNUMBER(SEARCH("上",D545)),ISNUMBER(SEARCH("去",D545)),ISNUMBER(SEARCH("入",D545)))),"Ambiguous",IF(ISNUMBER(SEARCH("平",D545)),"平","仄")))</x:f>
        <x:v>仄</x:v>
      </x:c>
      <x:c r="J551" s="7" t="str"/>
    </x:row>
    <x:row r="552">
      <x:c r="A552" s="5" t="str">
        <x:v>吶</x:v>
      </x:c>
      <x:c r="B552" s="6" t="str">
        <x:v>入</x:v>
      </x:c>
      <x:c r="C552" s="6" t="str">
        <x:f>IF(B552="","Needs decision","Ready")</x:f>
        <x:v>Ready</x:v>
      </x:c>
      <x:c r="D552" s="6" t="str">
        <x:v>入</x:v>
      </x:c>
      <x:c r="E552" s="6" t="str">
        <x:v>nywet (D)</x:v>
      </x:c>
      <x:c r="F552" s="6" t="str">
        <x:v>1</x:v>
      </x:c>
      <x:c r="G552" s="6" t="str"/>
      <x:c r="H552" s="6" t="str">
        <x:f>IF(B552="平","平",IF(B552="","","仄"))</x:f>
        <x:v>仄</x:v>
      </x:c>
      <x:c r="I552" s="6" t="str">
        <x:f>IF(D546="","",IF(AND(ISNUMBER(SEARCH("平",D546)),OR(ISNUMBER(SEARCH("上",D546)),ISNUMBER(SEARCH("去",D546)),ISNUMBER(SEARCH("入",D546)))),"Ambiguous",IF(ISNUMBER(SEARCH("平",D546)),"平","仄")))</x:f>
        <x:v>仄</x:v>
      </x:c>
      <x:c r="J552" s="7" t="str"/>
    </x:row>
    <x:row r="553">
      <x:c r="A553" s="5" t="str">
        <x:v>吸</x:v>
      </x:c>
      <x:c r="B553" s="6" t="str">
        <x:v>入</x:v>
      </x:c>
      <x:c r="C553" s="6" t="str">
        <x:f>IF(B553="","Needs decision","Ready")</x:f>
        <x:v>Ready</x:v>
      </x:c>
      <x:c r="D553" s="6" t="str">
        <x:v>入</x:v>
      </x:c>
      <x:c r="E553" s="6" t="str">
        <x:v>xip (D)</x:v>
      </x:c>
      <x:c r="F553" s="6" t="str">
        <x:v>1</x:v>
      </x:c>
      <x:c r="G553" s="6" t="str"/>
      <x:c r="H553" s="6" t="str">
        <x:f>IF(B553="平","平",IF(B553="","","仄"))</x:f>
        <x:v>仄</x:v>
      </x:c>
      <x:c r="I553" s="6" t="str">
        <x:f>IF(D547="","",IF(AND(ISNUMBER(SEARCH("平",D547)),OR(ISNUMBER(SEARCH("上",D547)),ISNUMBER(SEARCH("去",D547)),ISNUMBER(SEARCH("入",D547)))),"Ambiguous",IF(ISNUMBER(SEARCH("平",D547)),"平","仄")))</x:f>
        <x:v>平</x:v>
      </x:c>
      <x:c r="J553" s="7" t="str"/>
    </x:row>
    <x:row r="554">
      <x:c r="A554" s="5" t="str">
        <x:v>吹</x:v>
      </x:c>
      <x:c r="B554" s="6" t="str">
        <x:v>平</x:v>
      </x:c>
      <x:c r="C554" s="6" t="str">
        <x:f>IF(B554="","Needs decision","Ready")</x:f>
        <x:v>Ready</x:v>
      </x:c>
      <x:c r="D554" s="6" t="str">
        <x:v>平/去</x:v>
      </x:c>
      <x:c r="E554" s="6" t="str">
        <x:v>tsyhwe (A); tsyhweH (C)</x:v>
      </x:c>
      <x:c r="F554" s="6" t="str">
        <x:v>2</x:v>
      </x:c>
      <x:c r="G554" s="6" t="str">
        <x:v>User workbook edit 2026-09-03</x:v>
      </x:c>
      <x:c r="H554" s="6" t="str">
        <x:f>IF(B554="平","平",IF(B554="","","仄"))</x:f>
        <x:v>平</x:v>
      </x:c>
      <x:c r="I554" s="6" t="str">
        <x:f>IF(D548="","",IF(AND(ISNUMBER(SEARCH("平",D548)),OR(ISNUMBER(SEARCH("上",D548)),ISNUMBER(SEARCH("去",D548)),ISNUMBER(SEARCH("入",D548)))),"Ambiguous",IF(ISNUMBER(SEARCH("平",D548)),"平","仄")))</x:f>
        <x:v>Ambiguous</x:v>
      </x:c>
      <x:c r="J554" s="7" t="str">
        <x:v>manual user correction</x:v>
      </x:c>
    </x:row>
    <x:row r="555">
      <x:c r="A555" s="5" t="str">
        <x:v>吼</x:v>
      </x:c>
      <x:c r="B555" s="6" t="str"/>
      <x:c r="C555" s="6" t="str">
        <x:f>IF(B555="","Needs decision","Ready")</x:f>
        <x:v>Needs decision</x:v>
      </x:c>
      <x:c r="D555" s="6" t="str">
        <x:v>上/去</x:v>
      </x:c>
      <x:c r="E555" s="6" t="str">
        <x:v>xuwX [曉一侯上] χuʔ; xuwH [曉一侯去] χuh</x:v>
      </x:c>
      <x:c r="F555" s="6" t="str">
        <x:v>2</x:v>
      </x:c>
      <x:c r="G555" s="6" t="str">
        <x:v>Targeted preliminary fill from Xun Gong; review if uncertain</x:v>
      </x:c>
      <x:c r="H555" s="6" t="str">
        <x:f>IF(B555="平","平",IF(B555="","","仄"))</x:f>
      </x:c>
      <x:c r="I555" s="6" t="str">
        <x:f>IF(D549="","",IF(AND(ISNUMBER(SEARCH("平",D549)),OR(ISNUMBER(SEARCH("上",D549)),ISNUMBER(SEARCH("去",D549)),ISNUMBER(SEARCH("入",D549)))),"Ambiguous",IF(ISNUMBER(SEARCH("平",D549)),"平","仄")))</x:f>
        <x:v>仄</x:v>
      </x:c>
      <x:c r="J555" s="7" t="str">
        <x:v>Xun Gong character-readings.csv</x:v>
      </x:c>
    </x:row>
    <x:row r="556">
      <x:c r="A556" s="5" t="str">
        <x:v>吾</x:v>
      </x:c>
      <x:c r="B556" s="6" t="str">
        <x:v>平</x:v>
      </x:c>
      <x:c r="C556" s="6" t="str">
        <x:f>IF(B556="","Needs decision","Ready")</x:f>
        <x:v>Ready</x:v>
      </x:c>
      <x:c r="D556" s="6" t="str">
        <x:v>平</x:v>
      </x:c>
      <x:c r="E556" s="6" t="str">
        <x:v>ngu (A)</x:v>
      </x:c>
      <x:c r="F556" s="6" t="str">
        <x:v>1</x:v>
      </x:c>
      <x:c r="G556" s="6" t="str"/>
      <x:c r="H556" s="6" t="str">
        <x:f>IF(B556="平","平",IF(B556="","","仄"))</x:f>
        <x:v>平</x:v>
      </x:c>
      <x:c r="I556" s="6" t="str">
        <x:f>IF(D550="","",IF(AND(ISNUMBER(SEARCH("平",D550)),OR(ISNUMBER(SEARCH("上",D550)),ISNUMBER(SEARCH("去",D550)),ISNUMBER(SEARCH("入",D550)))),"Ambiguous",IF(ISNUMBER(SEARCH("平",D550)),"平","仄")))</x:f>
        <x:v>仄</x:v>
      </x:c>
      <x:c r="J556" s="7" t="str"/>
    </x:row>
    <x:row r="557">
      <x:c r="A557" s="5" t="str">
        <x:v>呂</x:v>
      </x:c>
      <x:c r="B557" s="6" t="str">
        <x:v>上</x:v>
      </x:c>
      <x:c r="C557" s="6" t="str">
        <x:f>IF(B557="","Needs decision","Ready")</x:f>
        <x:v>Ready</x:v>
      </x:c>
      <x:c r="D557" s="6" t="str">
        <x:v>上</x:v>
      </x:c>
      <x:c r="E557" s="6" t="str">
        <x:v>ljoX (B)</x:v>
      </x:c>
      <x:c r="F557" s="6" t="str">
        <x:v>1</x:v>
      </x:c>
      <x:c r="G557" s="6" t="str"/>
      <x:c r="H557" s="6" t="str">
        <x:f>IF(B557="平","平",IF(B557="","","仄"))</x:f>
        <x:v>仄</x:v>
      </x:c>
      <x:c r="I557" s="6" t="str">
        <x:f>IF(D551="","",IF(AND(ISNUMBER(SEARCH("平",D551)),OR(ISNUMBER(SEARCH("上",D551)),ISNUMBER(SEARCH("去",D551)),ISNUMBER(SEARCH("入",D551)))),"Ambiguous",IF(ISNUMBER(SEARCH("平",D551)),"平","仄")))</x:f>
        <x:v>平</x:v>
      </x:c>
      <x:c r="J557" s="7" t="str"/>
    </x:row>
    <x:row r="558">
      <x:c r="A558" s="5" t="str">
        <x:v>呈</x:v>
      </x:c>
      <x:c r="B558" s="6" t="str">
        <x:v>平</x:v>
      </x:c>
      <x:c r="C558" s="6" t="str">
        <x:f>IF(B558="","Needs decision","Ready")</x:f>
        <x:v>Ready</x:v>
      </x:c>
      <x:c r="D558" s="6" t="str">
        <x:v>平</x:v>
      </x:c>
      <x:c r="E558" s="6" t="str">
        <x:v>drjeng (A)</x:v>
      </x:c>
      <x:c r="F558" s="6" t="str">
        <x:v>1</x:v>
      </x:c>
      <x:c r="G558" s="6" t="str"/>
      <x:c r="H558" s="6" t="str">
        <x:f>IF(B558="平","平",IF(B558="","","仄"))</x:f>
        <x:v>平</x:v>
      </x:c>
      <x:c r="I558" s="6" t="str">
        <x:f>IF(D552="","",IF(AND(ISNUMBER(SEARCH("平",D552)),OR(ISNUMBER(SEARCH("上",D552)),ISNUMBER(SEARCH("去",D552)),ISNUMBER(SEARCH("入",D552)))),"Ambiguous",IF(ISNUMBER(SEARCH("平",D552)),"平","仄")))</x:f>
        <x:v>仄</x:v>
      </x:c>
      <x:c r="J558" s="7" t="str"/>
    </x:row>
    <x:row r="559">
      <x:c r="A559" s="5" t="str">
        <x:v>告</x:v>
      </x:c>
      <x:c r="B559" s="6" t="str">
        <x:v>去</x:v>
      </x:c>
      <x:c r="C559" s="6" t="str">
        <x:f>IF(B559="","Needs decision","Ready")</x:f>
        <x:v>Ready</x:v>
      </x:c>
      <x:c r="D559" s="6" t="str">
        <x:v>去/入</x:v>
      </x:c>
      <x:c r="E559" s="6" t="str">
        <x:v>kawH (C); kowk (D)</x:v>
      </x:c>
      <x:c r="F559" s="6" t="str">
        <x:v>2</x:v>
      </x:c>
      <x:c r="G559" s="6" t="str">
        <x:v>User workbook edit 2026-09-03</x:v>
      </x:c>
      <x:c r="H559" s="6" t="str">
        <x:f>IF(B559="平","平",IF(B559="","","仄"))</x:f>
        <x:v>仄</x:v>
      </x:c>
      <x:c r="I559" s="6" t="str">
        <x:f>IF(D553="","",IF(AND(ISNUMBER(SEARCH("平",D553)),OR(ISNUMBER(SEARCH("上",D553)),ISNUMBER(SEARCH("去",D553)),ISNUMBER(SEARCH("入",D553)))),"Ambiguous",IF(ISNUMBER(SEARCH("平",D553)),"平","仄")))</x:f>
        <x:v>仄</x:v>
      </x:c>
      <x:c r="J559" s="7" t="str">
        <x:v>manual user correction</x:v>
      </x:c>
    </x:row>
    <x:row r="560">
      <x:c r="A560" s="5" t="str">
        <x:v>呦</x:v>
      </x:c>
      <x:c r="B560" s="6" t="str">
        <x:v>平</x:v>
      </x:c>
      <x:c r="C560" s="6" t="str">
        <x:f>IF(B560="","Needs decision","Ready")</x:f>
        <x:v>Ready</x:v>
      </x:c>
      <x:c r="D560" s="6" t="str">
        <x:v>平</x:v>
      </x:c>
      <x:c r="E560" s="6" t="str">
        <x:v>'jiw [ʔjiw] (平)</x:v>
      </x:c>
      <x:c r="F560" s="6" t="str">
        <x:v>1</x:v>
      </x:c>
      <x:c r="G560" s="6" t="str">
        <x:v>Tang 300 gap; frequency 2; provisional from Xun Gong</x:v>
      </x:c>
      <x:c r="H560" s="6" t="str">
        <x:f>IF(B560="平","平",IF(B560="","","仄"))</x:f>
        <x:v>平</x:v>
      </x:c>
      <x:c r="I560" s="6" t="str">
        <x:f>IF(D554="","",IF(AND(ISNUMBER(SEARCH("平",D554)),OR(ISNUMBER(SEARCH("上",D554)),ISNUMBER(SEARCH("去",D554)),ISNUMBER(SEARCH("入",D554)))),"Ambiguous",IF(ISNUMBER(SEARCH("平",D554)),"平","仄")))</x:f>
        <x:v>Ambiguous</x:v>
      </x:c>
      <x:c r="J560" s="7" t="str">
        <x:v>Xun Gong, Tang 300 gap fill</x:v>
      </x:c>
    </x:row>
    <x:row r="561">
      <x:c r="A561" s="5" t="str">
        <x:v>周</x:v>
      </x:c>
      <x:c r="B561" s="6" t="str">
        <x:v>平</x:v>
      </x:c>
      <x:c r="C561" s="6" t="str">
        <x:f>IF(B561="","Needs decision","Ready")</x:f>
        <x:v>Ready</x:v>
      </x:c>
      <x:c r="D561" s="6" t="str">
        <x:v>平</x:v>
      </x:c>
      <x:c r="E561" s="6" t="str">
        <x:v>tsyuw (A)</x:v>
      </x:c>
      <x:c r="F561" s="6" t="str">
        <x:v>1</x:v>
      </x:c>
      <x:c r="G561" s="6" t="str"/>
      <x:c r="H561" s="6" t="str">
        <x:f>IF(B561="平","平",IF(B561="","","仄"))</x:f>
        <x:v>平</x:v>
      </x:c>
      <x:c r="I561" s="6" t="str">
        <x:f>IF(D555="","",IF(AND(ISNUMBER(SEARCH("平",D555)),OR(ISNUMBER(SEARCH("上",D555)),ISNUMBER(SEARCH("去",D555)),ISNUMBER(SEARCH("入",D555)))),"Ambiguous",IF(ISNUMBER(SEARCH("平",D555)),"平","仄")))</x:f>
        <x:v>仄</x:v>
      </x:c>
      <x:c r="J561" s="7" t="str"/>
    </x:row>
    <x:row r="562">
      <x:c r="A562" s="5" t="str">
        <x:v>呱</x:v>
      </x:c>
      <x:c r="B562" s="6" t="str">
        <x:v>平</x:v>
      </x:c>
      <x:c r="C562" s="6" t="str">
        <x:f>IF(B562="","Needs decision","Ready")</x:f>
        <x:v>Ready</x:v>
      </x:c>
      <x:c r="D562" s="6" t="str">
        <x:v>平</x:v>
      </x:c>
      <x:c r="E562" s="6" t="str">
        <x:v>ku (A)</x:v>
      </x:c>
      <x:c r="F562" s="6" t="str">
        <x:v>1</x:v>
      </x:c>
      <x:c r="G562" s="6" t="str"/>
      <x:c r="H562" s="6" t="str">
        <x:f>IF(B562="平","平",IF(B562="","","仄"))</x:f>
        <x:v>平</x:v>
      </x:c>
      <x:c r="I562" s="6" t="str">
        <x:f>IF(D556="","",IF(AND(ISNUMBER(SEARCH("平",D556)),OR(ISNUMBER(SEARCH("上",D556)),ISNUMBER(SEARCH("去",D556)),ISNUMBER(SEARCH("入",D556)))),"Ambiguous",IF(ISNUMBER(SEARCH("平",D556)),"平","仄")))</x:f>
        <x:v>平</x:v>
      </x:c>
      <x:c r="J562" s="7" t="str"/>
    </x:row>
    <x:row r="563">
      <x:c r="A563" s="5" t="str">
        <x:v>味</x:v>
      </x:c>
      <x:c r="B563" s="6" t="str">
        <x:v>去</x:v>
      </x:c>
      <x:c r="C563" s="6" t="str">
        <x:f>IF(B563="","Needs decision","Ready")</x:f>
        <x:v>Ready</x:v>
      </x:c>
      <x:c r="D563" s="6" t="str">
        <x:v>去</x:v>
      </x:c>
      <x:c r="E563" s="6" t="str">
        <x:v>mj+jH (C)</x:v>
      </x:c>
      <x:c r="F563" s="6" t="str">
        <x:v>1</x:v>
      </x:c>
      <x:c r="G563" s="6" t="str"/>
      <x:c r="H563" s="6" t="str">
        <x:f>IF(B563="平","平",IF(B563="","","仄"))</x:f>
        <x:v>仄</x:v>
      </x:c>
      <x:c r="I563" s="6" t="str">
        <x:f>IF(D557="","",IF(AND(ISNUMBER(SEARCH("平",D557)),OR(ISNUMBER(SEARCH("上",D557)),ISNUMBER(SEARCH("去",D557)),ISNUMBER(SEARCH("入",D557)))),"Ambiguous",IF(ISNUMBER(SEARCH("平",D557)),"平","仄")))</x:f>
        <x:v>仄</x:v>
      </x:c>
      <x:c r="J563" s="7" t="str"/>
    </x:row>
    <x:row r="564">
      <x:c r="A564" s="5" t="str">
        <x:v>呵</x:v>
      </x:c>
      <x:c r="B564" s="6" t="str">
        <x:v>平</x:v>
      </x:c>
      <x:c r="C564" s="6" t="str">
        <x:f>IF(B564="","Needs decision","Ready")</x:f>
        <x:v>Ready</x:v>
      </x:c>
      <x:c r="D564" s="6" t="str">
        <x:v>平</x:v>
      </x:c>
      <x:c r="E564" s="6" t="str">
        <x:v>xa (A)</x:v>
      </x:c>
      <x:c r="F564" s="6" t="str">
        <x:v>1</x:v>
      </x:c>
      <x:c r="G564" s="6" t="str"/>
      <x:c r="H564" s="6" t="str">
        <x:f>IF(B564="平","平",IF(B564="","","仄"))</x:f>
        <x:v>平</x:v>
      </x:c>
      <x:c r="I564" s="6" t="str">
        <x:f>IF(D558="","",IF(AND(ISNUMBER(SEARCH("平",D558)),OR(ISNUMBER(SEARCH("上",D558)),ISNUMBER(SEARCH("去",D558)),ISNUMBER(SEARCH("入",D558)))),"Ambiguous",IF(ISNUMBER(SEARCH("平",D558)),"平","仄")))</x:f>
        <x:v>平</x:v>
      </x:c>
      <x:c r="J564" s="7" t="str"/>
    </x:row>
    <x:row r="565">
      <x:c r="A565" s="5" t="str">
        <x:v>呻</x:v>
      </x:c>
      <x:c r="B565" s="6" t="str">
        <x:v>平</x:v>
      </x:c>
      <x:c r="C565" s="6" t="str">
        <x:f>IF(B565="","Needs decision","Ready")</x:f>
        <x:v>Ready</x:v>
      </x:c>
      <x:c r="D565" s="6" t="str">
        <x:v>平</x:v>
      </x:c>
      <x:c r="E565" s="6" t="str">
        <x:v>syin (A)</x:v>
      </x:c>
      <x:c r="F565" s="6" t="str">
        <x:v>1</x:v>
      </x:c>
      <x:c r="G565" s="6" t="str"/>
      <x:c r="H565" s="6" t="str">
        <x:f>IF(B565="平","平",IF(B565="","","仄"))</x:f>
        <x:v>平</x:v>
      </x:c>
      <x:c r="I565" s="6" t="str">
        <x:f>IF(D559="","",IF(AND(ISNUMBER(SEARCH("平",D559)),OR(ISNUMBER(SEARCH("上",D559)),ISNUMBER(SEARCH("去",D559)),ISNUMBER(SEARCH("入",D559)))),"Ambiguous",IF(ISNUMBER(SEARCH("平",D559)),"平","仄")))</x:f>
        <x:v>仄</x:v>
      </x:c>
      <x:c r="J565" s="7" t="str"/>
    </x:row>
    <x:row r="566">
      <x:c r="A566" s="5" t="str">
        <x:v>呼</x:v>
      </x:c>
      <x:c r="B566" s="6" t="str">
        <x:v>平</x:v>
      </x:c>
      <x:c r="C566" s="6" t="str">
        <x:f>IF(B566="","Needs decision","Ready")</x:f>
        <x:v>Ready</x:v>
      </x:c>
      <x:c r="D566" s="6" t="str">
        <x:v>平/去</x:v>
      </x:c>
      <x:c r="E566" s="6" t="str">
        <x:v>xu (A); xuH (C)</x:v>
      </x:c>
      <x:c r="F566" s="6" t="str">
        <x:v>2</x:v>
      </x:c>
      <x:c r="G566" s="6" t="str">
        <x:v>User workbook edit 2026-09-03</x:v>
      </x:c>
      <x:c r="H566" s="6" t="str">
        <x:f>IF(B566="平","平",IF(B566="","","仄"))</x:f>
        <x:v>平</x:v>
      </x:c>
      <x:c r="I566" s="6" t="str">
        <x:f>IF(D560="","",IF(AND(ISNUMBER(SEARCH("平",D560)),OR(ISNUMBER(SEARCH("上",D560)),ISNUMBER(SEARCH("去",D560)),ISNUMBER(SEARCH("入",D560)))),"Ambiguous",IF(ISNUMBER(SEARCH("平",D560)),"平","仄")))</x:f>
        <x:v>平</x:v>
      </x:c>
      <x:c r="J566" s="7" t="str">
        <x:v>manual user correction</x:v>
      </x:c>
    </x:row>
    <x:row r="567">
      <x:c r="A567" s="5" t="str">
        <x:v>命</x:v>
      </x:c>
      <x:c r="B567" s="6" t="str">
        <x:v>去</x:v>
      </x:c>
      <x:c r="C567" s="6" t="str">
        <x:f>IF(B567="","Needs decision","Ready")</x:f>
        <x:v>Ready</x:v>
      </x:c>
      <x:c r="D567" s="6" t="str">
        <x:v>去</x:v>
      </x:c>
      <x:c r="E567" s="6" t="str">
        <x:v>mjaengH (C)</x:v>
      </x:c>
      <x:c r="F567" s="6" t="str">
        <x:v>1</x:v>
      </x:c>
      <x:c r="G567" s="6" t="str"/>
      <x:c r="H567" s="6" t="str">
        <x:f>IF(B567="平","平",IF(B567="","","仄"))</x:f>
        <x:v>仄</x:v>
      </x:c>
      <x:c r="I567" s="6" t="str">
        <x:f>IF(D561="","",IF(AND(ISNUMBER(SEARCH("平",D561)),OR(ISNUMBER(SEARCH("上",D561)),ISNUMBER(SEARCH("去",D561)),ISNUMBER(SEARCH("入",D561)))),"Ambiguous",IF(ISNUMBER(SEARCH("平",D561)),"平","仄")))</x:f>
        <x:v>平</x:v>
      </x:c>
      <x:c r="J567" s="7" t="str"/>
    </x:row>
    <x:row r="568">
      <x:c r="A568" s="5" t="str">
        <x:v>咄</x:v>
      </x:c>
      <x:c r="B568" s="6" t="str">
        <x:v>入</x:v>
      </x:c>
      <x:c r="C568" s="6" t="str">
        <x:f>IF(B568="","Needs decision","Ready")</x:f>
        <x:v>Ready</x:v>
      </x:c>
      <x:c r="D568" s="6" t="str">
        <x:v>入</x:v>
      </x:c>
      <x:c r="E568" s="6" t="str">
        <x:v>twot (D)</x:v>
      </x:c>
      <x:c r="F568" s="6" t="str">
        <x:v>1</x:v>
      </x:c>
      <x:c r="G568" s="6" t="str"/>
      <x:c r="H568" s="6" t="str">
        <x:f>IF(B568="平","平",IF(B568="","","仄"))</x:f>
        <x:v>仄</x:v>
      </x:c>
      <x:c r="I568" s="6" t="str">
        <x:f>IF(D562="","",IF(AND(ISNUMBER(SEARCH("平",D562)),OR(ISNUMBER(SEARCH("上",D562)),ISNUMBER(SEARCH("去",D562)),ISNUMBER(SEARCH("入",D562)))),"Ambiguous",IF(ISNUMBER(SEARCH("平",D562)),"平","仄")))</x:f>
        <x:v>平</x:v>
      </x:c>
      <x:c r="J568" s="7" t="str"/>
    </x:row>
    <x:row r="569">
      <x:c r="A569" s="5" t="str">
        <x:v>咆</x:v>
      </x:c>
      <x:c r="B569" s="6" t="str">
        <x:v>平</x:v>
      </x:c>
      <x:c r="C569" s="6" t="str">
        <x:f>IF(B569="","Needs decision","Ready")</x:f>
        <x:v>Ready</x:v>
      </x:c>
      <x:c r="D569" s="6" t="str">
        <x:v>平</x:v>
      </x:c>
      <x:c r="E569" s="6" t="str">
        <x:v>baew [b̙aˤw] (平)</x:v>
      </x:c>
      <x:c r="F569" s="6" t="str">
        <x:v>1</x:v>
      </x:c>
      <x:c r="G569" s="6" t="str">
        <x:v>Tang 300 gap; frequency 1; provisional from Xun Gong</x:v>
      </x:c>
      <x:c r="H569" s="6" t="str">
        <x:f>IF(B569="平","平",IF(B569="","","仄"))</x:f>
        <x:v>平</x:v>
      </x:c>
      <x:c r="I569" s="6" t="str">
        <x:f>IF(D563="","",IF(AND(ISNUMBER(SEARCH("平",D563)),OR(ISNUMBER(SEARCH("上",D563)),ISNUMBER(SEARCH("去",D563)),ISNUMBER(SEARCH("入",D563)))),"Ambiguous",IF(ISNUMBER(SEARCH("平",D563)),"平","仄")))</x:f>
        <x:v>仄</x:v>
      </x:c>
      <x:c r="J569" s="7" t="str">
        <x:v>Xun Gong, Tang 300 gap fill</x:v>
      </x:c>
    </x:row>
    <x:row r="570">
      <x:c r="A570" s="5" t="str">
        <x:v>咈</x:v>
      </x:c>
      <x:c r="B570" s="6" t="str">
        <x:v>入</x:v>
      </x:c>
      <x:c r="C570" s="6" t="str">
        <x:f>IF(B570="","Needs decision","Ready")</x:f>
        <x:v>Ready</x:v>
      </x:c>
      <x:c r="D570" s="6" t="str">
        <x:v>入</x:v>
      </x:c>
      <x:c r="E570" s="6" t="str">
        <x:v>bjut (D)</x:v>
      </x:c>
      <x:c r="F570" s="6" t="str">
        <x:v>1</x:v>
      </x:c>
      <x:c r="G570" s="6" t="str"/>
      <x:c r="H570" s="6" t="str">
        <x:f>IF(B570="平","平",IF(B570="","","仄"))</x:f>
        <x:v>仄</x:v>
      </x:c>
      <x:c r="I570" s="6" t="str">
        <x:f>IF(D564="","",IF(AND(ISNUMBER(SEARCH("平",D564)),OR(ISNUMBER(SEARCH("上",D564)),ISNUMBER(SEARCH("去",D564)),ISNUMBER(SEARCH("入",D564)))),"Ambiguous",IF(ISNUMBER(SEARCH("平",D564)),"平","仄")))</x:f>
        <x:v>平</x:v>
      </x:c>
      <x:c r="J570" s="7" t="str"/>
    </x:row>
    <x:row r="571">
      <x:c r="A571" s="5" t="str">
        <x:v>咋</x:v>
      </x:c>
      <x:c r="B571" s="6" t="str"/>
      <x:c r="C571" s="6" t="str">
        <x:f>IF(B571="","Needs decision","Ready")</x:f>
        <x:v>Needs decision</x:v>
      </x:c>
      <x:c r="D571" s="6" t="str">
        <x:v>入/去</x:v>
      </x:c>
      <x:c r="E571" s="6" t="str">
        <x:v>dzraek [崇開二庚入] dʐaˤk; tsreak [莊開二耕入] tʂeˤk; tsraeH [莊開二麻去] tʂaˤh</x:v>
      </x:c>
      <x:c r="F571" s="6" t="str">
        <x:v>3</x:v>
      </x:c>
      <x:c r="G571" s="6" t="str">
        <x:v>Targeted preliminary fill from Xun Gong; review if uncertain</x:v>
      </x:c>
      <x:c r="H571" s="6" t="str">
        <x:f>IF(B571="平","平",IF(B571="","","仄"))</x:f>
      </x:c>
      <x:c r="I571" s="6" t="str">
        <x:f>IF(D565="","",IF(AND(ISNUMBER(SEARCH("平",D565)),OR(ISNUMBER(SEARCH("上",D565)),ISNUMBER(SEARCH("去",D565)),ISNUMBER(SEARCH("入",D565)))),"Ambiguous",IF(ISNUMBER(SEARCH("平",D565)),"平","仄")))</x:f>
        <x:v>平</x:v>
      </x:c>
      <x:c r="J571" s="7" t="str">
        <x:v>Xun Gong character-readings.csv</x:v>
      </x:c>
    </x:row>
    <x:row r="572">
      <x:c r="A572" s="5" t="str">
        <x:v>和</x:v>
      </x:c>
      <x:c r="B572" s="6" t="str">
        <x:v>平</x:v>
      </x:c>
      <x:c r="C572" s="6" t="str">
        <x:f>IF(B572="","Needs decision","Ready")</x:f>
        <x:v>Ready</x:v>
      </x:c>
      <x:c r="D572" s="6" t="str">
        <x:v>平/去</x:v>
      </x:c>
      <x:c r="E572" s="6" t="str">
        <x:v>hwa (A); hwaH (C)</x:v>
      </x:c>
      <x:c r="F572" s="6" t="str">
        <x:v>2</x:v>
      </x:c>
      <x:c r="G572" s="6" t="str">
        <x:v>User workbook edit 2026-09-03</x:v>
      </x:c>
      <x:c r="H572" s="6" t="str">
        <x:f>IF(B572="平","平",IF(B572="","","仄"))</x:f>
        <x:v>平</x:v>
      </x:c>
      <x:c r="I572" s="6" t="str">
        <x:f>IF(D566="","",IF(AND(ISNUMBER(SEARCH("平",D566)),OR(ISNUMBER(SEARCH("上",D566)),ISNUMBER(SEARCH("去",D566)),ISNUMBER(SEARCH("入",D566)))),"Ambiguous",IF(ISNUMBER(SEARCH("平",D566)),"平","仄")))</x:f>
        <x:v>Ambiguous</x:v>
      </x:c>
      <x:c r="J572" s="7" t="str">
        <x:v>manual user correction</x:v>
      </x:c>
    </x:row>
    <x:row r="573">
      <x:c r="A573" s="5" t="str">
        <x:v>咎</x:v>
      </x:c>
      <x:c r="B573" s="6" t="str">
        <x:v>上</x:v>
      </x:c>
      <x:c r="C573" s="6" t="str">
        <x:f>IF(B573="","Needs decision","Ready")</x:f>
        <x:v>Ready</x:v>
      </x:c>
      <x:c r="D573" s="6" t="str">
        <x:v>上</x:v>
      </x:c>
      <x:c r="E573" s="6" t="str">
        <x:v>gjuwX (B)</x:v>
      </x:c>
      <x:c r="F573" s="6" t="str">
        <x:v>1</x:v>
      </x:c>
      <x:c r="G573" s="6" t="str"/>
      <x:c r="H573" s="6" t="str">
        <x:f>IF(B573="平","平",IF(B573="","","仄"))</x:f>
        <x:v>仄</x:v>
      </x:c>
      <x:c r="I573" s="6" t="str">
        <x:f>IF(D567="","",IF(AND(ISNUMBER(SEARCH("平",D567)),OR(ISNUMBER(SEARCH("上",D567)),ISNUMBER(SEARCH("去",D567)),ISNUMBER(SEARCH("入",D567)))),"Ambiguous",IF(ISNUMBER(SEARCH("平",D567)),"平","仄")))</x:f>
        <x:v>仄</x:v>
      </x:c>
      <x:c r="J573" s="7" t="str"/>
    </x:row>
    <x:row r="574">
      <x:c r="A574" s="5" t="str">
        <x:v>咏</x:v>
      </x:c>
      <x:c r="B574" s="6" t="str">
        <x:v>去</x:v>
      </x:c>
      <x:c r="C574" s="6" t="str">
        <x:f>IF(B574="","Needs decision","Ready")</x:f>
        <x:v>Ready</x:v>
      </x:c>
      <x:c r="D574" s="6" t="str">
        <x:v>去</x:v>
      </x:c>
      <x:c r="E574" s="6" t="str">
        <x:v>hjwaengH (C)</x:v>
      </x:c>
      <x:c r="F574" s="6" t="str">
        <x:v>1</x:v>
      </x:c>
      <x:c r="G574" s="6" t="str"/>
      <x:c r="H574" s="6" t="str">
        <x:f>IF(B574="平","平",IF(B574="","","仄"))</x:f>
        <x:v>仄</x:v>
      </x:c>
      <x:c r="I574" s="6" t="str">
        <x:f>IF(D568="","",IF(AND(ISNUMBER(SEARCH("平",D568)),OR(ISNUMBER(SEARCH("上",D568)),ISNUMBER(SEARCH("去",D568)),ISNUMBER(SEARCH("入",D568)))),"Ambiguous",IF(ISNUMBER(SEARCH("平",D568)),"平","仄")))</x:f>
        <x:v>仄</x:v>
      </x:c>
      <x:c r="J574" s="7" t="str"/>
    </x:row>
    <x:row r="575">
      <x:c r="A575" s="5" t="str">
        <x:v>咢</x:v>
      </x:c>
      <x:c r="B575" s="6" t="str">
        <x:v>入</x:v>
      </x:c>
      <x:c r="C575" s="6" t="str">
        <x:f>IF(B575="","Needs decision","Ready")</x:f>
        <x:v>Ready</x:v>
      </x:c>
      <x:c r="D575" s="6" t="str">
        <x:v>入</x:v>
      </x:c>
      <x:c r="E575" s="6" t="str">
        <x:v>ngak (D)</x:v>
      </x:c>
      <x:c r="F575" s="6" t="str">
        <x:v>1</x:v>
      </x:c>
      <x:c r="G575" s="6" t="str"/>
      <x:c r="H575" s="6" t="str">
        <x:f>IF(B575="平","平",IF(B575="","","仄"))</x:f>
        <x:v>仄</x:v>
      </x:c>
      <x:c r="I575" s="6" t="str">
        <x:f>IF(D569="","",IF(AND(ISNUMBER(SEARCH("平",D569)),OR(ISNUMBER(SEARCH("上",D569)),ISNUMBER(SEARCH("去",D569)),ISNUMBER(SEARCH("入",D569)))),"Ambiguous",IF(ISNUMBER(SEARCH("平",D569)),"平","仄")))</x:f>
        <x:v>平</x:v>
      </x:c>
      <x:c r="J575" s="7" t="str"/>
    </x:row>
    <x:row r="576">
      <x:c r="A576" s="5" t="str">
        <x:v>咨</x:v>
      </x:c>
      <x:c r="B576" s="6" t="str">
        <x:v>平</x:v>
      </x:c>
      <x:c r="C576" s="6" t="str">
        <x:f>IF(B576="","Needs decision","Ready")</x:f>
        <x:v>Ready</x:v>
      </x:c>
      <x:c r="D576" s="6" t="str">
        <x:v>平</x:v>
      </x:c>
      <x:c r="E576" s="6" t="str">
        <x:v>tsij (A)</x:v>
      </x:c>
      <x:c r="F576" s="6" t="str">
        <x:v>1</x:v>
      </x:c>
      <x:c r="G576" s="6" t="str"/>
      <x:c r="H576" s="6" t="str">
        <x:f>IF(B576="平","平",IF(B576="","","仄"))</x:f>
        <x:v>平</x:v>
      </x:c>
      <x:c r="I576" s="6" t="str">
        <x:f>IF(D570="","",IF(AND(ISNUMBER(SEARCH("平",D570)),OR(ISNUMBER(SEARCH("上",D570)),ISNUMBER(SEARCH("去",D570)),ISNUMBER(SEARCH("入",D570)))),"Ambiguous",IF(ISNUMBER(SEARCH("平",D570)),"平","仄")))</x:f>
        <x:v>仄</x:v>
      </x:c>
      <x:c r="J576" s="7" t="str"/>
    </x:row>
    <x:row r="577">
      <x:c r="A577" s="5" t="str">
        <x:v>咫</x:v>
      </x:c>
      <x:c r="B577" s="6" t="str">
        <x:v>上</x:v>
      </x:c>
      <x:c r="C577" s="6" t="str">
        <x:f>IF(B577="","Needs decision","Ready")</x:f>
        <x:v>Ready</x:v>
      </x:c>
      <x:c r="D577" s="6" t="str">
        <x:v>上</x:v>
      </x:c>
      <x:c r="E577" s="6" t="str">
        <x:v>tsyeX (B)</x:v>
      </x:c>
      <x:c r="F577" s="6" t="str">
        <x:v>1</x:v>
      </x:c>
      <x:c r="G577" s="6" t="str"/>
      <x:c r="H577" s="6" t="str">
        <x:f>IF(B577="平","平",IF(B577="","","仄"))</x:f>
        <x:v>仄</x:v>
      </x:c>
      <x:c r="I577" s="6" t="str">
        <x:f>IF(D571="","",IF(AND(ISNUMBER(SEARCH("平",D571)),OR(ISNUMBER(SEARCH("上",D571)),ISNUMBER(SEARCH("去",D571)),ISNUMBER(SEARCH("入",D571)))),"Ambiguous",IF(ISNUMBER(SEARCH("平",D571)),"平","仄")))</x:f>
        <x:v>仄</x:v>
      </x:c>
      <x:c r="J577" s="7" t="str"/>
    </x:row>
    <x:row r="578">
      <x:c r="A578" s="5" t="str">
        <x:v>咮</x:v>
      </x:c>
      <x:c r="B578" s="6" t="str">
        <x:v>去</x:v>
      </x:c>
      <x:c r="C578" s="6" t="str">
        <x:f>IF(B578="","Needs decision","Ready")</x:f>
        <x:v>Ready</x:v>
      </x:c>
      <x:c r="D578" s="6" t="str">
        <x:v>去</x:v>
      </x:c>
      <x:c r="E578" s="6" t="str">
        <x:v>trjuwH (C)</x:v>
      </x:c>
      <x:c r="F578" s="6" t="str">
        <x:v>1</x:v>
      </x:c>
      <x:c r="G578" s="6" t="str"/>
      <x:c r="H578" s="6" t="str">
        <x:f>IF(B578="平","平",IF(B578="","","仄"))</x:f>
        <x:v>仄</x:v>
      </x:c>
      <x:c r="I578" s="6" t="str">
        <x:f>IF(D572="","",IF(AND(ISNUMBER(SEARCH("平",D572)),OR(ISNUMBER(SEARCH("上",D572)),ISNUMBER(SEARCH("去",D572)),ISNUMBER(SEARCH("入",D572)))),"Ambiguous",IF(ISNUMBER(SEARCH("平",D572)),"平","仄")))</x:f>
        <x:v>Ambiguous</x:v>
      </x:c>
      <x:c r="J578" s="7" t="str"/>
    </x:row>
    <x:row r="579">
      <x:c r="A579" s="5" t="str">
        <x:v>咳</x:v>
      </x:c>
      <x:c r="B579" s="6" t="str">
        <x:v>去</x:v>
      </x:c>
      <x:c r="C579" s="6" t="str">
        <x:f>IF(B579="","Needs decision","Ready")</x:f>
        <x:v>Ready</x:v>
      </x:c>
      <x:c r="D579" s="6" t="str">
        <x:v>去</x:v>
      </x:c>
      <x:c r="E579" s="6" t="str">
        <x:v>khojH (C)</x:v>
      </x:c>
      <x:c r="F579" s="6" t="str">
        <x:v>1</x:v>
      </x:c>
      <x:c r="G579" s="6" t="str"/>
      <x:c r="H579" s="6" t="str">
        <x:f>IF(B579="平","平",IF(B579="","","仄"))</x:f>
        <x:v>仄</x:v>
      </x:c>
      <x:c r="I579" s="6" t="str">
        <x:f>IF(D573="","",IF(AND(ISNUMBER(SEARCH("平",D573)),OR(ISNUMBER(SEARCH("上",D573)),ISNUMBER(SEARCH("去",D573)),ISNUMBER(SEARCH("入",D573)))),"Ambiguous",IF(ISNUMBER(SEARCH("平",D573)),"平","仄")))</x:f>
        <x:v>仄</x:v>
      </x:c>
      <x:c r="J579" s="7" t="str"/>
    </x:row>
    <x:row r="580">
      <x:c r="A580" s="5" t="str">
        <x:v>咸</x:v>
      </x:c>
      <x:c r="B580" s="6" t="str">
        <x:v>平</x:v>
      </x:c>
      <x:c r="C580" s="6" t="str">
        <x:f>IF(B580="","Needs decision","Ready")</x:f>
        <x:v>Ready</x:v>
      </x:c>
      <x:c r="D580" s="6" t="str">
        <x:v>平</x:v>
      </x:c>
      <x:c r="E580" s="6" t="str">
        <x:v>heam (A)</x:v>
      </x:c>
      <x:c r="F580" s="6" t="str">
        <x:v>1</x:v>
      </x:c>
      <x:c r="G580" s="6" t="str"/>
      <x:c r="H580" s="6" t="str">
        <x:f>IF(B580="平","平",IF(B580="","","仄"))</x:f>
        <x:v>平</x:v>
      </x:c>
      <x:c r="I580" s="6" t="str">
        <x:f>IF(D574="","",IF(AND(ISNUMBER(SEARCH("平",D574)),OR(ISNUMBER(SEARCH("上",D574)),ISNUMBER(SEARCH("去",D574)),ISNUMBER(SEARCH("入",D574)))),"Ambiguous",IF(ISNUMBER(SEARCH("平",D574)),"平","仄")))</x:f>
        <x:v>仄</x:v>
      </x:c>
      <x:c r="J580" s="7" t="str"/>
    </x:row>
    <x:row r="581">
      <x:c r="A581" s="5" t="str">
        <x:v>咺</x:v>
      </x:c>
      <x:c r="B581" s="6" t="str">
        <x:v>上</x:v>
      </x:c>
      <x:c r="C581" s="6" t="str">
        <x:f>IF(B581="","Needs decision","Ready")</x:f>
        <x:v>Ready</x:v>
      </x:c>
      <x:c r="D581" s="6" t="str">
        <x:v>上</x:v>
      </x:c>
      <x:c r="E581" s="6" t="str">
        <x:v>xjwonX (B)</x:v>
      </x:c>
      <x:c r="F581" s="6" t="str">
        <x:v>1</x:v>
      </x:c>
      <x:c r="G581" s="6" t="str"/>
      <x:c r="H581" s="6" t="str">
        <x:f>IF(B581="平","平",IF(B581="","","仄"))</x:f>
        <x:v>仄</x:v>
      </x:c>
      <x:c r="I581" s="6" t="str">
        <x:f>IF(D575="","",IF(AND(ISNUMBER(SEARCH("平",D575)),OR(ISNUMBER(SEARCH("上",D575)),ISNUMBER(SEARCH("去",D575)),ISNUMBER(SEARCH("入",D575)))),"Ambiguous",IF(ISNUMBER(SEARCH("平",D575)),"平","仄")))</x:f>
        <x:v>仄</x:v>
      </x:c>
      <x:c r="J581" s="7" t="str"/>
    </x:row>
    <x:row r="582">
      <x:c r="A582" s="5" t="str">
        <x:v>咼</x:v>
      </x:c>
      <x:c r="B582" s="6" t="str">
        <x:v>上</x:v>
      </x:c>
      <x:c r="C582" s="6" t="str">
        <x:f>IF(B582="","Needs decision","Ready")</x:f>
        <x:v>Ready</x:v>
      </x:c>
      <x:c r="D582" s="6" t="str">
        <x:v>上</x:v>
      </x:c>
      <x:c r="E582" s="6" t="str">
        <x:v>kwaeX (B)</x:v>
      </x:c>
      <x:c r="F582" s="6" t="str">
        <x:v>1</x:v>
      </x:c>
      <x:c r="G582" s="6" t="str"/>
      <x:c r="H582" s="6" t="str">
        <x:f>IF(B582="平","平",IF(B582="","","仄"))</x:f>
        <x:v>仄</x:v>
      </x:c>
      <x:c r="I582" s="6" t="str">
        <x:f>IF(D576="","",IF(AND(ISNUMBER(SEARCH("平",D576)),OR(ISNUMBER(SEARCH("上",D576)),ISNUMBER(SEARCH("去",D576)),ISNUMBER(SEARCH("入",D576)))),"Ambiguous",IF(ISNUMBER(SEARCH("平",D576)),"平","仄")))</x:f>
        <x:v>平</x:v>
      </x:c>
      <x:c r="J582" s="7" t="str"/>
    </x:row>
    <x:row r="583">
      <x:c r="A583" s="5" t="str">
        <x:v>咽</x:v>
      </x:c>
      <x:c r="B583" s="6" t="str"/>
      <x:c r="C583" s="6" t="str">
        <x:f>IF(B583="","Needs decision","Ready")</x:f>
        <x:v>Needs decision</x:v>
      </x:c>
      <x:c r="D583" s="6" t="str">
        <x:v>平/去</x:v>
      </x:c>
      <x:c r="E583" s="6" t="str">
        <x:v>'en (A); 'enH (C)</x:v>
      </x:c>
      <x:c r="F583" s="6" t="str">
        <x:v>2</x:v>
      </x:c>
      <x:c r="G583" s="6" t="str"/>
      <x:c r="H583" s="6" t="str">
        <x:f>IF(B583="平","平",IF(B583="","","仄"))</x:f>
      </x:c>
      <x:c r="I583" s="6" t="str">
        <x:f>IF(D577="","",IF(AND(ISNUMBER(SEARCH("平",D577)),OR(ISNUMBER(SEARCH("上",D577)),ISNUMBER(SEARCH("去",D577)),ISNUMBER(SEARCH("入",D577)))),"Ambiguous",IF(ISNUMBER(SEARCH("平",D577)),"平","仄")))</x:f>
        <x:v>仄</x:v>
      </x:c>
      <x:c r="J583" s="7" t="str"/>
    </x:row>
    <x:row r="584">
      <x:c r="A584" s="5" t="str">
        <x:v>咿</x:v>
      </x:c>
      <x:c r="B584" s="6" t="str">
        <x:v>平</x:v>
      </x:c>
      <x:c r="C584" s="6" t="str">
        <x:f>IF(B584="","Needs decision","Ready")</x:f>
        <x:v>Ready</x:v>
      </x:c>
      <x:c r="D584" s="6" t="str">
        <x:v>平</x:v>
      </x:c>
      <x:c r="E584" s="6" t="str">
        <x:v>'jij (A)</x:v>
      </x:c>
      <x:c r="F584" s="6" t="str">
        <x:v>1</x:v>
      </x:c>
      <x:c r="G584" s="6" t="str"/>
      <x:c r="H584" s="6" t="str">
        <x:f>IF(B584="平","平",IF(B584="","","仄"))</x:f>
        <x:v>平</x:v>
      </x:c>
      <x:c r="I584" s="6" t="str">
        <x:f>IF(D578="","",IF(AND(ISNUMBER(SEARCH("平",D578)),OR(ISNUMBER(SEARCH("上",D578)),ISNUMBER(SEARCH("去",D578)),ISNUMBER(SEARCH("入",D578)))),"Ambiguous",IF(ISNUMBER(SEARCH("平",D578)),"平","仄")))</x:f>
        <x:v>仄</x:v>
      </x:c>
      <x:c r="J584" s="7" t="str"/>
    </x:row>
    <x:row r="585">
      <x:c r="A585" s="5" t="str">
        <x:v>哀</x:v>
      </x:c>
      <x:c r="B585" s="6" t="str">
        <x:v>平</x:v>
      </x:c>
      <x:c r="C585" s="6" t="str">
        <x:f>IF(B585="","Needs decision","Ready")</x:f>
        <x:v>Ready</x:v>
      </x:c>
      <x:c r="D585" s="6" t="str">
        <x:v>平</x:v>
      </x:c>
      <x:c r="E585" s="6" t="str">
        <x:v>'oj (A)</x:v>
      </x:c>
      <x:c r="F585" s="6" t="str">
        <x:v>1</x:v>
      </x:c>
      <x:c r="G585" s="6" t="str"/>
      <x:c r="H585" s="6" t="str">
        <x:f>IF(B585="平","平",IF(B585="","","仄"))</x:f>
        <x:v>平</x:v>
      </x:c>
      <x:c r="I585" s="6" t="str">
        <x:f>IF(D579="","",IF(AND(ISNUMBER(SEARCH("平",D579)),OR(ISNUMBER(SEARCH("上",D579)),ISNUMBER(SEARCH("去",D579)),ISNUMBER(SEARCH("入",D579)))),"Ambiguous",IF(ISNUMBER(SEARCH("平",D579)),"平","仄")))</x:f>
        <x:v>仄</x:v>
      </x:c>
      <x:c r="J585" s="7" t="str"/>
    </x:row>
    <x:row r="586">
      <x:c r="A586" s="5" t="str">
        <x:v>品</x:v>
      </x:c>
      <x:c r="B586" s="6" t="str">
        <x:v>上</x:v>
      </x:c>
      <x:c r="C586" s="6" t="str">
        <x:f>IF(B586="","Needs decision","Ready")</x:f>
        <x:v>Ready</x:v>
      </x:c>
      <x:c r="D586" s="6" t="str">
        <x:v>上</x:v>
      </x:c>
      <x:c r="E586" s="6" t="str">
        <x:v>phimX (B)</x:v>
      </x:c>
      <x:c r="F586" s="6" t="str">
        <x:v>1</x:v>
      </x:c>
      <x:c r="G586" s="6" t="str"/>
      <x:c r="H586" s="6" t="str">
        <x:f>IF(B586="平","平",IF(B586="","","仄"))</x:f>
        <x:v>仄</x:v>
      </x:c>
      <x:c r="I586" s="6" t="str">
        <x:f>IF(D580="","",IF(AND(ISNUMBER(SEARCH("平",D580)),OR(ISNUMBER(SEARCH("上",D580)),ISNUMBER(SEARCH("去",D580)),ISNUMBER(SEARCH("入",D580)))),"Ambiguous",IF(ISNUMBER(SEARCH("平",D580)),"平","仄")))</x:f>
        <x:v>平</x:v>
      </x:c>
      <x:c r="J586" s="7" t="str"/>
    </x:row>
    <x:row r="587">
      <x:c r="A587" s="5" t="str">
        <x:v>哂</x:v>
      </x:c>
      <x:c r="B587" s="6" t="str">
        <x:v>上</x:v>
      </x:c>
      <x:c r="C587" s="6" t="str">
        <x:f>IF(B587="","Needs decision","Ready")</x:f>
        <x:v>Ready</x:v>
      </x:c>
      <x:c r="D587" s="6" t="str">
        <x:v>上</x:v>
      </x:c>
      <x:c r="E587" s="6" t="str">
        <x:v>syinX (B)</x:v>
      </x:c>
      <x:c r="F587" s="6" t="str">
        <x:v>1</x:v>
      </x:c>
      <x:c r="G587" s="6" t="str"/>
      <x:c r="H587" s="6" t="str">
        <x:f>IF(B587="平","平",IF(B587="","","仄"))</x:f>
        <x:v>仄</x:v>
      </x:c>
      <x:c r="I587" s="6" t="str">
        <x:f>IF(D581="","",IF(AND(ISNUMBER(SEARCH("平",D581)),OR(ISNUMBER(SEARCH("上",D581)),ISNUMBER(SEARCH("去",D581)),ISNUMBER(SEARCH("入",D581)))),"Ambiguous",IF(ISNUMBER(SEARCH("平",D581)),"平","仄")))</x:f>
        <x:v>仄</x:v>
      </x:c>
      <x:c r="J587" s="7" t="str"/>
    </x:row>
    <x:row r="588">
      <x:c r="A588" s="5" t="str">
        <x:v>哆</x:v>
      </x:c>
      <x:c r="B588" s="6" t="str">
        <x:v>上</x:v>
      </x:c>
      <x:c r="C588" s="6" t="str">
        <x:f>IF(B588="","Needs decision","Ready")</x:f>
        <x:v>Ready</x:v>
      </x:c>
      <x:c r="D588" s="6" t="str">
        <x:v>上</x:v>
      </x:c>
      <x:c r="E588" s="6" t="str">
        <x:v>tsyhaeX (B); tsyheX (B)</x:v>
      </x:c>
      <x:c r="F588" s="6" t="str">
        <x:v>2</x:v>
      </x:c>
      <x:c r="G588" s="6" t="str"/>
      <x:c r="H588" s="6" t="str">
        <x:f>IF(B588="平","平",IF(B588="","","仄"))</x:f>
        <x:v>仄</x:v>
      </x:c>
      <x:c r="I588" s="6" t="str">
        <x:f>IF(D582="","",IF(AND(ISNUMBER(SEARCH("平",D582)),OR(ISNUMBER(SEARCH("上",D582)),ISNUMBER(SEARCH("去",D582)),ISNUMBER(SEARCH("入",D582)))),"Ambiguous",IF(ISNUMBER(SEARCH("平",D582)),"平","仄")))</x:f>
        <x:v>仄</x:v>
      </x:c>
      <x:c r="J588" s="7" t="str"/>
    </x:row>
    <x:row r="589">
      <x:c r="A589" s="5" t="str">
        <x:v>哉</x:v>
      </x:c>
      <x:c r="B589" s="6" t="str">
        <x:v>平</x:v>
      </x:c>
      <x:c r="C589" s="6" t="str">
        <x:f>IF(B589="","Needs decision","Ready")</x:f>
        <x:v>Ready</x:v>
      </x:c>
      <x:c r="D589" s="6" t="str">
        <x:v>平</x:v>
      </x:c>
      <x:c r="E589" s="6" t="str">
        <x:v>tsoj (A)</x:v>
      </x:c>
      <x:c r="F589" s="6" t="str">
        <x:v>1</x:v>
      </x:c>
      <x:c r="G589" s="6" t="str"/>
      <x:c r="H589" s="6" t="str">
        <x:f>IF(B589="平","平",IF(B589="","","仄"))</x:f>
        <x:v>平</x:v>
      </x:c>
      <x:c r="I589" s="6" t="str">
        <x:f>IF(D583="","",IF(AND(ISNUMBER(SEARCH("平",D583)),OR(ISNUMBER(SEARCH("上",D583)),ISNUMBER(SEARCH("去",D583)),ISNUMBER(SEARCH("入",D583)))),"Ambiguous",IF(ISNUMBER(SEARCH("平",D583)),"平","仄")))</x:f>
        <x:v>Ambiguous</x:v>
      </x:c>
      <x:c r="J589" s="7" t="str"/>
    </x:row>
    <x:row r="590">
      <x:c r="A590" s="5" t="str">
        <x:v>員</x:v>
      </x:c>
      <x:c r="B590" s="6" t="str">
        <x:v>平</x:v>
      </x:c>
      <x:c r="C590" s="6" t="str">
        <x:f>IF(B590="","Needs decision","Ready")</x:f>
        <x:v>Ready</x:v>
      </x:c>
      <x:c r="D590" s="6" t="str">
        <x:v>平</x:v>
      </x:c>
      <x:c r="E590" s="6" t="str">
        <x:v>hjwen (A); hjun (A)</x:v>
      </x:c>
      <x:c r="F590" s="6" t="str">
        <x:v>2</x:v>
      </x:c>
      <x:c r="G590" s="6" t="str"/>
      <x:c r="H590" s="6" t="str">
        <x:f>IF(B590="平","平",IF(B590="","","仄"))</x:f>
        <x:v>平</x:v>
      </x:c>
      <x:c r="I590" s="6" t="str">
        <x:f>IF(D584="","",IF(AND(ISNUMBER(SEARCH("平",D584)),OR(ISNUMBER(SEARCH("上",D584)),ISNUMBER(SEARCH("去",D584)),ISNUMBER(SEARCH("入",D584)))),"Ambiguous",IF(ISNUMBER(SEARCH("平",D584)),"平","仄")))</x:f>
        <x:v>平</x:v>
      </x:c>
      <x:c r="J590" s="7" t="str"/>
    </x:row>
    <x:row r="591">
      <x:c r="A591" s="5" t="str">
        <x:v>哤</x:v>
      </x:c>
      <x:c r="B591" s="6" t="str">
        <x:v>平</x:v>
      </x:c>
      <x:c r="C591" s="6" t="str">
        <x:f>IF(B591="","Needs decision","Ready")</x:f>
        <x:v>Ready</x:v>
      </x:c>
      <x:c r="D591" s="6" t="str">
        <x:v>平</x:v>
      </x:c>
      <x:c r="E591" s="6" t="str">
        <x:v>maewng (A)</x:v>
      </x:c>
      <x:c r="F591" s="6" t="str">
        <x:v>1</x:v>
      </x:c>
      <x:c r="G591" s="6" t="str"/>
      <x:c r="H591" s="6" t="str">
        <x:f>IF(B591="平","平",IF(B591="","","仄"))</x:f>
        <x:v>平</x:v>
      </x:c>
      <x:c r="I591" s="6" t="str">
        <x:f>IF(D585="","",IF(AND(ISNUMBER(SEARCH("平",D585)),OR(ISNUMBER(SEARCH("上",D585)),ISNUMBER(SEARCH("去",D585)),ISNUMBER(SEARCH("入",D585)))),"Ambiguous",IF(ISNUMBER(SEARCH("平",D585)),"平","仄")))</x:f>
        <x:v>平</x:v>
      </x:c>
      <x:c r="J591" s="7" t="str"/>
    </x:row>
    <x:row r="592">
      <x:c r="A592" s="5" t="str">
        <x:v>哥</x:v>
      </x:c>
      <x:c r="B592" s="6" t="str">
        <x:v>平</x:v>
      </x:c>
      <x:c r="C592" s="6" t="str">
        <x:f>IF(B592="","Needs decision","Ready")</x:f>
        <x:v>Ready</x:v>
      </x:c>
      <x:c r="D592" s="6" t="str">
        <x:v>平</x:v>
      </x:c>
      <x:c r="E592" s="6" t="str">
        <x:v>ka [qɑ] (平)</x:v>
      </x:c>
      <x:c r="F592" s="6" t="str">
        <x:v>1</x:v>
      </x:c>
      <x:c r="G592" s="6" t="str">
        <x:v>Tang 300 gap; frequency 1; provisional from Xun Gong</x:v>
      </x:c>
      <x:c r="H592" s="6" t="str">
        <x:f>IF(B592="平","平",IF(B592="","","仄"))</x:f>
        <x:v>平</x:v>
      </x:c>
      <x:c r="I592" s="6" t="str">
        <x:f>IF(D586="","",IF(AND(ISNUMBER(SEARCH("平",D586)),OR(ISNUMBER(SEARCH("上",D586)),ISNUMBER(SEARCH("去",D586)),ISNUMBER(SEARCH("入",D586)))),"Ambiguous",IF(ISNUMBER(SEARCH("平",D586)),"平","仄")))</x:f>
        <x:v>仄</x:v>
      </x:c>
      <x:c r="J592" s="7" t="str">
        <x:v>Xun Gong, Tang 300 gap fill</x:v>
      </x:c>
    </x:row>
    <x:row r="593">
      <x:c r="A593" s="5" t="str">
        <x:v>哦</x:v>
      </x:c>
      <x:c r="B593" s="6" t="str">
        <x:v>平</x:v>
      </x:c>
      <x:c r="C593" s="6" t="str">
        <x:f>IF(B593="","Needs decision","Ready")</x:f>
        <x:v>Ready</x:v>
      </x:c>
      <x:c r="D593" s="6" t="str">
        <x:v>平</x:v>
      </x:c>
      <x:c r="E593" s="6" t="str">
        <x:v>nga [ɴɑ] (平)</x:v>
      </x:c>
      <x:c r="F593" s="6" t="str">
        <x:v>1</x:v>
      </x:c>
      <x:c r="G593" s="6" t="str">
        <x:v>Tang 300 gap; frequency 1; provisional from Xun Gong</x:v>
      </x:c>
      <x:c r="H593" s="6" t="str">
        <x:f>IF(B593="平","平",IF(B593="","","仄"))</x:f>
        <x:v>平</x:v>
      </x:c>
      <x:c r="I593" s="6" t="str">
        <x:f>IF(D587="","",IF(AND(ISNUMBER(SEARCH("平",D587)),OR(ISNUMBER(SEARCH("上",D587)),ISNUMBER(SEARCH("去",D587)),ISNUMBER(SEARCH("入",D587)))),"Ambiguous",IF(ISNUMBER(SEARCH("平",D587)),"平","仄")))</x:f>
        <x:v>仄</x:v>
      </x:c>
      <x:c r="J593" s="7" t="str">
        <x:v>Xun Gong, Tang 300 gap fill</x:v>
      </x:c>
    </x:row>
    <x:row r="594">
      <x:c r="A594" s="5" t="str">
        <x:v>哭</x:v>
      </x:c>
      <x:c r="B594" s="6" t="str">
        <x:v>入</x:v>
      </x:c>
      <x:c r="C594" s="6" t="str">
        <x:f>IF(B594="","Needs decision","Ready")</x:f>
        <x:v>Ready</x:v>
      </x:c>
      <x:c r="D594" s="6" t="str">
        <x:v>入</x:v>
      </x:c>
      <x:c r="E594" s="6" t="str">
        <x:v>khuwk (D)</x:v>
      </x:c>
      <x:c r="F594" s="6" t="str">
        <x:v>1</x:v>
      </x:c>
      <x:c r="G594" s="6" t="str"/>
      <x:c r="H594" s="6" t="str">
        <x:f>IF(B594="平","平",IF(B594="","","仄"))</x:f>
        <x:v>仄</x:v>
      </x:c>
      <x:c r="I594" s="6" t="str">
        <x:f>IF(D588="","",IF(AND(ISNUMBER(SEARCH("平",D588)),OR(ISNUMBER(SEARCH("上",D588)),ISNUMBER(SEARCH("去",D588)),ISNUMBER(SEARCH("入",D588)))),"Ambiguous",IF(ISNUMBER(SEARCH("平",D588)),"平","仄")))</x:f>
        <x:v>仄</x:v>
      </x:c>
      <x:c r="J594" s="7" t="str"/>
    </x:row>
    <x:row r="595">
      <x:c r="A595" s="5" t="str">
        <x:v>哮</x:v>
      </x:c>
      <x:c r="B595" s="6" t="str"/>
      <x:c r="C595" s="6" t="str">
        <x:f>IF(B595="","Needs decision","Ready")</x:f>
        <x:v>Needs decision</x:v>
      </x:c>
      <x:c r="D595" s="6" t="str">
        <x:v>去/平</x:v>
      </x:c>
      <x:c r="E595" s="6" t="str">
        <x:v>xaewH [曉開二肴去] χaˤwh; xaew [曉開二肴平] χaˤw</x:v>
      </x:c>
      <x:c r="F595" s="6" t="str">
        <x:v>2</x:v>
      </x:c>
      <x:c r="G595" s="6" t="str">
        <x:v>Targeted preliminary fill from Xun Gong; review if uncertain</x:v>
      </x:c>
      <x:c r="H595" s="6" t="str">
        <x:f>IF(B595="平","平",IF(B595="","","仄"))</x:f>
      </x:c>
      <x:c r="I595" s="6" t="str">
        <x:f>IF(D589="","",IF(AND(ISNUMBER(SEARCH("平",D589)),OR(ISNUMBER(SEARCH("上",D589)),ISNUMBER(SEARCH("去",D589)),ISNUMBER(SEARCH("入",D589)))),"Ambiguous",IF(ISNUMBER(SEARCH("平",D589)),"平","仄")))</x:f>
        <x:v>平</x:v>
      </x:c>
      <x:c r="J595" s="7" t="str">
        <x:v>Xun Gong character-readings.csv</x:v>
      </x:c>
    </x:row>
    <x:row r="596">
      <x:c r="A596" s="5" t="str">
        <x:v>哲</x:v>
      </x:c>
      <x:c r="B596" s="6" t="str">
        <x:v>入</x:v>
      </x:c>
      <x:c r="C596" s="6" t="str">
        <x:f>IF(B596="","Needs decision","Ready")</x:f>
        <x:v>Ready</x:v>
      </x:c>
      <x:c r="D596" s="6" t="str">
        <x:v>入</x:v>
      </x:c>
      <x:c r="E596" s="6" t="str">
        <x:v>trjet (D)</x:v>
      </x:c>
      <x:c r="F596" s="6" t="str">
        <x:v>1</x:v>
      </x:c>
      <x:c r="G596" s="6" t="str"/>
      <x:c r="H596" s="6" t="str">
        <x:f>IF(B596="平","平",IF(B596="","","仄"))</x:f>
        <x:v>仄</x:v>
      </x:c>
      <x:c r="I596" s="6" t="str">
        <x:f>IF(D590="","",IF(AND(ISNUMBER(SEARCH("平",D590)),OR(ISNUMBER(SEARCH("上",D590)),ISNUMBER(SEARCH("去",D590)),ISNUMBER(SEARCH("入",D590)))),"Ambiguous",IF(ISNUMBER(SEARCH("平",D590)),"平","仄")))</x:f>
        <x:v>平</x:v>
      </x:c>
      <x:c r="J596" s="7" t="str"/>
    </x:row>
    <x:row r="597">
      <x:c r="A597" s="5" t="str">
        <x:v>哳</x:v>
      </x:c>
      <x:c r="B597" s="6" t="str">
        <x:v>入</x:v>
      </x:c>
      <x:c r="C597" s="6" t="str">
        <x:f>IF(B597="","Needs decision","Ready")</x:f>
        <x:v>Ready</x:v>
      </x:c>
      <x:c r="D597" s="6" t="str">
        <x:v>入</x:v>
      </x:c>
      <x:c r="E597" s="6" t="str"/>
      <x:c r="F597" s="6" t="str"/>
      <x:c r="G597" s="6" t="str">
        <x:v>Manual user correction/addition</x:v>
      </x:c>
      <x:c r="H597" s="6" t="str">
        <x:f>IF(B597="平","平",IF(B597="","","仄"))</x:f>
        <x:v>仄</x:v>
      </x:c>
      <x:c r="I597" s="6" t="str">
        <x:f>IF(D591="","",IF(AND(ISNUMBER(SEARCH("平",D591)),OR(ISNUMBER(SEARCH("上",D591)),ISNUMBER(SEARCH("去",D591)),ISNUMBER(SEARCH("入",D591)))),"Ambiguous",IF(ISNUMBER(SEARCH("平",D591)),"平","仄")))</x:f>
        <x:v>平</x:v>
      </x:c>
      <x:c r="J597" s="7" t="str">
        <x:v>manual user correction</x:v>
      </x:c>
    </x:row>
    <x:row r="598">
      <x:c r="A598" s="5" t="str">
        <x:v>哺</x:v>
      </x:c>
      <x:c r="B598" s="6" t="str">
        <x:v>去</x:v>
      </x:c>
      <x:c r="C598" s="6" t="str">
        <x:f>IF(B598="","Needs decision","Ready")</x:f>
        <x:v>Ready</x:v>
      </x:c>
      <x:c r="D598" s="6" t="str">
        <x:v>去</x:v>
      </x:c>
      <x:c r="E598" s="6" t="str">
        <x:v>buH (C)</x:v>
      </x:c>
      <x:c r="F598" s="6" t="str">
        <x:v>1</x:v>
      </x:c>
      <x:c r="G598" s="6" t="str"/>
      <x:c r="H598" s="6" t="str">
        <x:f>IF(B598="平","平",IF(B598="","","仄"))</x:f>
        <x:v>仄</x:v>
      </x:c>
      <x:c r="I598" s="6" t="str">
        <x:f>IF(D592="","",IF(AND(ISNUMBER(SEARCH("平",D592)),OR(ISNUMBER(SEARCH("上",D592)),ISNUMBER(SEARCH("去",D592)),ISNUMBER(SEARCH("入",D592)))),"Ambiguous",IF(ISNUMBER(SEARCH("平",D592)),"平","仄")))</x:f>
        <x:v>平</x:v>
      </x:c>
      <x:c r="J598" s="7" t="str"/>
    </x:row>
    <x:row r="599">
      <x:c r="A599" s="5" t="str">
        <x:v>唅</x:v>
      </x:c>
      <x:c r="B599" s="6" t="str">
        <x:v>平</x:v>
      </x:c>
      <x:c r="C599" s="6" t="str">
        <x:f>IF(B599="","Needs decision","Ready")</x:f>
        <x:v>Ready</x:v>
      </x:c>
      <x:c r="D599" s="6" t="str">
        <x:v>平</x:v>
      </x:c>
      <x:c r="E599" s="6" t="str">
        <x:v>hom (A)</x:v>
      </x:c>
      <x:c r="F599" s="6" t="str">
        <x:v>1</x:v>
      </x:c>
      <x:c r="G599" s="6" t="str"/>
      <x:c r="H599" s="6" t="str">
        <x:f>IF(B599="平","平",IF(B599="","","仄"))</x:f>
        <x:v>平</x:v>
      </x:c>
      <x:c r="I599" s="6" t="str">
        <x:f>IF(D593="","",IF(AND(ISNUMBER(SEARCH("平",D593)),OR(ISNUMBER(SEARCH("上",D593)),ISNUMBER(SEARCH("去",D593)),ISNUMBER(SEARCH("入",D593)))),"Ambiguous",IF(ISNUMBER(SEARCH("平",D593)),"平","仄")))</x:f>
        <x:v>平</x:v>
      </x:c>
      <x:c r="J599" s="7" t="str"/>
    </x:row>
    <x:row r="600">
      <x:c r="A600" s="5" t="str">
        <x:v>唇</x:v>
      </x:c>
      <x:c r="B600" s="6" t="str">
        <x:v>平</x:v>
      </x:c>
      <x:c r="C600" s="6" t="str">
        <x:f>IF(B600="","Needs decision","Ready")</x:f>
        <x:v>Ready</x:v>
      </x:c>
      <x:c r="D600" s="6" t="str">
        <x:v>平</x:v>
      </x:c>
      <x:c r="E600" s="6" t="str">
        <x:v>tsyin [tɕin] (平)</x:v>
      </x:c>
      <x:c r="F600" s="6" t="str">
        <x:v>1</x:v>
      </x:c>
      <x:c r="G600" s="6" t="str">
        <x:v>Tang 300 gap; frequency 2; provisional from Xun Gong</x:v>
      </x:c>
      <x:c r="H600" s="6" t="str">
        <x:f>IF(B600="平","平",IF(B600="","","仄"))</x:f>
        <x:v>平</x:v>
      </x:c>
      <x:c r="I600" s="6" t="str">
        <x:f>IF(D594="","",IF(AND(ISNUMBER(SEARCH("平",D594)),OR(ISNUMBER(SEARCH("上",D594)),ISNUMBER(SEARCH("去",D594)),ISNUMBER(SEARCH("入",D594)))),"Ambiguous",IF(ISNUMBER(SEARCH("平",D594)),"平","仄")))</x:f>
        <x:v>仄</x:v>
      </x:c>
      <x:c r="J600" s="7" t="str">
        <x:v>Xun Gong, Tang 300 gap fill</x:v>
      </x:c>
    </x:row>
    <x:row r="601">
      <x:c r="A601" s="5" t="str">
        <x:v>唈</x:v>
      </x:c>
      <x:c r="B601" s="6" t="str">
        <x:v>入</x:v>
      </x:c>
      <x:c r="C601" s="6" t="str">
        <x:f>IF(B601="","Needs decision","Ready")</x:f>
        <x:v>Ready</x:v>
      </x:c>
      <x:c r="D601" s="6" t="str">
        <x:v>入</x:v>
      </x:c>
      <x:c r="E601" s="6" t="str">
        <x:v>'op (D)</x:v>
      </x:c>
      <x:c r="F601" s="6" t="str">
        <x:v>1</x:v>
      </x:c>
      <x:c r="G601" s="6" t="str"/>
      <x:c r="H601" s="6" t="str">
        <x:f>IF(B601="平","平",IF(B601="","","仄"))</x:f>
        <x:v>仄</x:v>
      </x:c>
      <x:c r="I601" s="6" t="str">
        <x:f>IF(D595="","",IF(AND(ISNUMBER(SEARCH("平",D595)),OR(ISNUMBER(SEARCH("上",D595)),ISNUMBER(SEARCH("去",D595)),ISNUMBER(SEARCH("入",D595)))),"Ambiguous",IF(ISNUMBER(SEARCH("平",D595)),"平","仄")))</x:f>
        <x:v>Ambiguous</x:v>
      </x:c>
      <x:c r="J601" s="7" t="str"/>
    </x:row>
    <x:row r="602">
      <x:c r="A602" s="5" t="str">
        <x:v>唐</x:v>
      </x:c>
      <x:c r="B602" s="6" t="str">
        <x:v>平</x:v>
      </x:c>
      <x:c r="C602" s="6" t="str">
        <x:f>IF(B602="","Needs decision","Ready")</x:f>
        <x:v>Ready</x:v>
      </x:c>
      <x:c r="D602" s="6" t="str">
        <x:v>平</x:v>
      </x:c>
      <x:c r="E602" s="6" t="str">
        <x:v>thang (A); dang (A)</x:v>
      </x:c>
      <x:c r="F602" s="6" t="str">
        <x:v>2</x:v>
      </x:c>
      <x:c r="G602" s="6" t="str"/>
      <x:c r="H602" s="6" t="str">
        <x:f>IF(B602="平","平",IF(B602="","","仄"))</x:f>
        <x:v>平</x:v>
      </x:c>
      <x:c r="I602" s="6" t="str">
        <x:f>IF(D596="","",IF(AND(ISNUMBER(SEARCH("平",D596)),OR(ISNUMBER(SEARCH("上",D596)),ISNUMBER(SEARCH("去",D596)),ISNUMBER(SEARCH("入",D596)))),"Ambiguous",IF(ISNUMBER(SEARCH("平",D596)),"平","仄")))</x:f>
        <x:v>仄</x:v>
      </x:c>
      <x:c r="J602" s="7" t="str"/>
    </x:row>
    <x:row r="603">
      <x:c r="A603" s="5" t="str">
        <x:v>唧</x:v>
      </x:c>
      <x:c r="B603" s="6" t="str">
        <x:v>入</x:v>
      </x:c>
      <x:c r="C603" s="6" t="str">
        <x:f>IF(B603="","Needs decision","Ready")</x:f>
        <x:v>Ready</x:v>
      </x:c>
      <x:c r="D603" s="6" t="str">
        <x:v>入</x:v>
      </x:c>
      <x:c r="E603" s="6" t="str">
        <x:v>tsik [tsjɨk] (入); tsit [tsit] (入)</x:v>
      </x:c>
      <x:c r="F603" s="6" t="str">
        <x:v>2</x:v>
      </x:c>
      <x:c r="G603" s="6" t="str">
        <x:v>Tang 300 gap; frequency 2; provisional from Xun Gong</x:v>
      </x:c>
      <x:c r="H603" s="6" t="str">
        <x:f>IF(B603="平","平",IF(B603="","","仄"))</x:f>
        <x:v>仄</x:v>
      </x:c>
      <x:c r="I603" s="6" t="str">
        <x:f>IF(D597="","",IF(AND(ISNUMBER(SEARCH("平",D597)),OR(ISNUMBER(SEARCH("上",D597)),ISNUMBER(SEARCH("去",D597)),ISNUMBER(SEARCH("入",D597)))),"Ambiguous",IF(ISNUMBER(SEARCH("平",D597)),"平","仄")))</x:f>
        <x:v>仄</x:v>
      </x:c>
      <x:c r="J603" s="7" t="str">
        <x:v>Xun Gong, Tang 300 gap fill</x:v>
      </x:c>
    </x:row>
    <x:row r="604">
      <x:c r="A604" s="5" t="str">
        <x:v>唯</x:v>
      </x:c>
      <x:c r="B604" s="6" t="str">
        <x:v>平</x:v>
      </x:c>
      <x:c r="C604" s="6" t="str">
        <x:f>IF(B604="","Needs decision","Ready")</x:f>
        <x:v>Ready</x:v>
      </x:c>
      <x:c r="D604" s="6" t="str">
        <x:v>平</x:v>
      </x:c>
      <x:c r="E604" s="6" t="str">
        <x:v>ywij (A)</x:v>
      </x:c>
      <x:c r="F604" s="6" t="str">
        <x:v>1</x:v>
      </x:c>
      <x:c r="G604" s="6" t="str"/>
      <x:c r="H604" s="6" t="str">
        <x:f>IF(B604="平","平",IF(B604="","","仄"))</x:f>
        <x:v>平</x:v>
      </x:c>
      <x:c r="I604" s="6" t="str">
        <x:f>IF(D598="","",IF(AND(ISNUMBER(SEARCH("平",D598)),OR(ISNUMBER(SEARCH("上",D598)),ISNUMBER(SEARCH("去",D598)),ISNUMBER(SEARCH("入",D598)))),"Ambiguous",IF(ISNUMBER(SEARCH("平",D598)),"平","仄")))</x:f>
        <x:v>仄</x:v>
      </x:c>
      <x:c r="J604" s="7" t="str"/>
    </x:row>
    <x:row r="605">
      <x:c r="A605" s="5" t="str">
        <x:v>唱</x:v>
      </x:c>
      <x:c r="B605" s="6" t="str">
        <x:v>去</x:v>
      </x:c>
      <x:c r="C605" s="6" t="str">
        <x:f>IF(B605="","Needs decision","Ready")</x:f>
        <x:v>Ready</x:v>
      </x:c>
      <x:c r="D605" s="6" t="str">
        <x:v>去</x:v>
      </x:c>
      <x:c r="E605" s="6" t="str">
        <x:v>tsyhangH (C)</x:v>
      </x:c>
      <x:c r="F605" s="6" t="str">
        <x:v>1</x:v>
      </x:c>
      <x:c r="G605" s="6" t="str"/>
      <x:c r="H605" s="6" t="str">
        <x:f>IF(B605="平","平",IF(B605="","","仄"))</x:f>
        <x:v>仄</x:v>
      </x:c>
      <x:c r="I605" s="6" t="str">
        <x:f>IF(D599="","",IF(AND(ISNUMBER(SEARCH("平",D599)),OR(ISNUMBER(SEARCH("上",D599)),ISNUMBER(SEARCH("去",D599)),ISNUMBER(SEARCH("入",D599)))),"Ambiguous",IF(ISNUMBER(SEARCH("平",D599)),"平","仄")))</x:f>
        <x:v>平</x:v>
      </x:c>
      <x:c r="J605" s="7" t="str"/>
    </x:row>
    <x:row r="606">
      <x:c r="A606" s="5" t="str">
        <x:v>唳</x:v>
      </x:c>
      <x:c r="B606" s="6" t="str"/>
      <x:c r="C606" s="6" t="str">
        <x:f>IF(B606="","Needs decision","Ready")</x:f>
        <x:v>Needs decision</x:v>
      </x:c>
      <x:c r="D606" s="6" t="str">
        <x:v>去/入</x:v>
      </x:c>
      <x:c r="E606" s="6" t="str">
        <x:v>lejH [l̙ejh] (去); let [l̙et] (入)</x:v>
      </x:c>
      <x:c r="F606" s="6" t="str">
        <x:v>2</x:v>
      </x:c>
      <x:c r="G606" s="6" t="str">
        <x:v>Tang 300 gap; frequency 1; ambiguous in Xun Gong</x:v>
      </x:c>
      <x:c r="H606" s="6" t="str">
        <x:f>IF(B606="平","平",IF(B606="","","仄"))</x:f>
      </x:c>
      <x:c r="I606" s="6" t="str">
        <x:f>IF(D600="","",IF(AND(ISNUMBER(SEARCH("平",D600)),OR(ISNUMBER(SEARCH("上",D600)),ISNUMBER(SEARCH("去",D600)),ISNUMBER(SEARCH("入",D600)))),"Ambiguous",IF(ISNUMBER(SEARCH("平",D600)),"平","仄")))</x:f>
        <x:v>平</x:v>
      </x:c>
      <x:c r="J606" s="7" t="str">
        <x:v>Xun Gong, Tang 300 gap fill</x:v>
      </x:c>
    </x:row>
    <x:row r="607">
      <x:c r="A607" s="5" t="str">
        <x:v>啁</x:v>
      </x:c>
      <x:c r="B607" s="6" t="str">
        <x:v>平</x:v>
      </x:c>
      <x:c r="C607" s="6" t="str">
        <x:f>IF(B607="","Needs decision","Ready")</x:f>
        <x:v>Ready</x:v>
      </x:c>
      <x:c r="D607" s="6" t="str">
        <x:v>平</x:v>
      </x:c>
      <x:c r="E607" s="6" t="str">
        <x:v>traew (A)</x:v>
      </x:c>
      <x:c r="F607" s="6" t="str">
        <x:v>1</x:v>
      </x:c>
      <x:c r="G607" s="6" t="str"/>
      <x:c r="H607" s="6" t="str">
        <x:f>IF(B607="平","平",IF(B607="","","仄"))</x:f>
        <x:v>平</x:v>
      </x:c>
      <x:c r="I607" s="6" t="str">
        <x:f>IF(D601="","",IF(AND(ISNUMBER(SEARCH("平",D601)),OR(ISNUMBER(SEARCH("上",D601)),ISNUMBER(SEARCH("去",D601)),ISNUMBER(SEARCH("入",D601)))),"Ambiguous",IF(ISNUMBER(SEARCH("平",D601)),"平","仄")))</x:f>
        <x:v>仄</x:v>
      </x:c>
      <x:c r="J607" s="7" t="str"/>
    </x:row>
    <x:row r="608">
      <x:c r="A608" s="5" t="str">
        <x:v>啄</x:v>
      </x:c>
      <x:c r="B608" s="6" t="str">
        <x:v>入</x:v>
      </x:c>
      <x:c r="C608" s="6" t="str">
        <x:f>IF(B608="","Needs decision","Ready")</x:f>
        <x:v>Ready</x:v>
      </x:c>
      <x:c r="D608" s="6" t="str">
        <x:v>入</x:v>
      </x:c>
      <x:c r="E608" s="6" t="str">
        <x:v>traewk (D)</x:v>
      </x:c>
      <x:c r="F608" s="6" t="str">
        <x:v>1</x:v>
      </x:c>
      <x:c r="G608" s="6" t="str"/>
      <x:c r="H608" s="6" t="str">
        <x:f>IF(B608="平","平",IF(B608="","","仄"))</x:f>
        <x:v>仄</x:v>
      </x:c>
      <x:c r="I608" s="6" t="str">
        <x:f>IF(D602="","",IF(AND(ISNUMBER(SEARCH("平",D602)),OR(ISNUMBER(SEARCH("上",D602)),ISNUMBER(SEARCH("去",D602)),ISNUMBER(SEARCH("入",D602)))),"Ambiguous",IF(ISNUMBER(SEARCH("平",D602)),"平","仄")))</x:f>
        <x:v>平</x:v>
      </x:c>
      <x:c r="J608" s="7" t="str"/>
    </x:row>
    <x:row r="609">
      <x:c r="A609" s="5" t="str">
        <x:v>商</x:v>
      </x:c>
      <x:c r="B609" s="6" t="str">
        <x:v>平</x:v>
      </x:c>
      <x:c r="C609" s="6" t="str">
        <x:f>IF(B609="","Needs decision","Ready")</x:f>
        <x:v>Ready</x:v>
      </x:c>
      <x:c r="D609" s="6" t="str">
        <x:v>平</x:v>
      </x:c>
      <x:c r="E609" s="6" t="str">
        <x:v>syang (A)</x:v>
      </x:c>
      <x:c r="F609" s="6" t="str">
        <x:v>1</x:v>
      </x:c>
      <x:c r="G609" s="6" t="str"/>
      <x:c r="H609" s="6" t="str">
        <x:f>IF(B609="平","平",IF(B609="","","仄"))</x:f>
        <x:v>平</x:v>
      </x:c>
      <x:c r="I609" s="6" t="str">
        <x:f>IF(D603="","",IF(AND(ISNUMBER(SEARCH("平",D603)),OR(ISNUMBER(SEARCH("上",D603)),ISNUMBER(SEARCH("去",D603)),ISNUMBER(SEARCH("入",D603)))),"Ambiguous",IF(ISNUMBER(SEARCH("平",D603)),"平","仄")))</x:f>
        <x:v>仄</x:v>
      </x:c>
      <x:c r="J609" s="7" t="str"/>
    </x:row>
    <x:row r="610">
      <x:c r="A610" s="5" t="str">
        <x:v>啎</x:v>
      </x:c>
      <x:c r="B610" s="6" t="str">
        <x:v>去</x:v>
      </x:c>
      <x:c r="C610" s="6" t="str">
        <x:f>IF(B610="","Needs decision","Ready")</x:f>
        <x:v>Ready</x:v>
      </x:c>
      <x:c r="D610" s="6" t="str">
        <x:v>去</x:v>
      </x:c>
      <x:c r="E610" s="6" t="str">
        <x:v>nguH (C)</x:v>
      </x:c>
      <x:c r="F610" s="6" t="str">
        <x:v>1</x:v>
      </x:c>
      <x:c r="G610" s="6" t="str"/>
      <x:c r="H610" s="6" t="str">
        <x:f>IF(B610="平","平",IF(B610="","","仄"))</x:f>
        <x:v>仄</x:v>
      </x:c>
      <x:c r="I610" s="6" t="str">
        <x:f>IF(D604="","",IF(AND(ISNUMBER(SEARCH("平",D604)),OR(ISNUMBER(SEARCH("上",D604)),ISNUMBER(SEARCH("去",D604)),ISNUMBER(SEARCH("入",D604)))),"Ambiguous",IF(ISNUMBER(SEARCH("平",D604)),"平","仄")))</x:f>
        <x:v>平</x:v>
      </x:c>
      <x:c r="J610" s="7" t="str"/>
    </x:row>
    <x:row r="611">
      <x:c r="A611" s="5" t="str">
        <x:v>問</x:v>
      </x:c>
      <x:c r="B611" s="6" t="str">
        <x:v>去</x:v>
      </x:c>
      <x:c r="C611" s="6" t="str">
        <x:f>IF(B611="","Needs decision","Ready")</x:f>
        <x:v>Ready</x:v>
      </x:c>
      <x:c r="D611" s="6" t="str">
        <x:v>去</x:v>
      </x:c>
      <x:c r="E611" s="6" t="str">
        <x:v>mjunH (C)</x:v>
      </x:c>
      <x:c r="F611" s="6" t="str">
        <x:v>1</x:v>
      </x:c>
      <x:c r="G611" s="6" t="str"/>
      <x:c r="H611" s="6" t="str">
        <x:f>IF(B611="平","平",IF(B611="","","仄"))</x:f>
        <x:v>仄</x:v>
      </x:c>
      <x:c r="I611" s="6" t="str">
        <x:f>IF(D605="","",IF(AND(ISNUMBER(SEARCH("平",D605)),OR(ISNUMBER(SEARCH("上",D605)),ISNUMBER(SEARCH("去",D605)),ISNUMBER(SEARCH("入",D605)))),"Ambiguous",IF(ISNUMBER(SEARCH("平",D605)),"平","仄")))</x:f>
        <x:v>仄</x:v>
      </x:c>
      <x:c r="J611" s="7" t="str"/>
    </x:row>
    <x:row r="612">
      <x:c r="A612" s="5" t="str">
        <x:v>啐</x:v>
      </x:c>
      <x:c r="B612" s="6" t="str">
        <x:v>去</x:v>
      </x:c>
      <x:c r="C612" s="6" t="str">
        <x:f>IF(B612="","Needs decision","Ready")</x:f>
        <x:v>Ready</x:v>
      </x:c>
      <x:c r="D612" s="6" t="str">
        <x:v>去</x:v>
      </x:c>
      <x:c r="E612" s="6" t="str">
        <x:v>tshwojH (C)</x:v>
      </x:c>
      <x:c r="F612" s="6" t="str">
        <x:v>1</x:v>
      </x:c>
      <x:c r="G612" s="6" t="str"/>
      <x:c r="H612" s="6" t="str">
        <x:f>IF(B612="平","平",IF(B612="","","仄"))</x:f>
        <x:v>仄</x:v>
      </x:c>
      <x:c r="I612" s="6" t="str">
        <x:f>IF(D606="","",IF(AND(ISNUMBER(SEARCH("平",D606)),OR(ISNUMBER(SEARCH("上",D606)),ISNUMBER(SEARCH("去",D606)),ISNUMBER(SEARCH("入",D606)))),"Ambiguous",IF(ISNUMBER(SEARCH("平",D606)),"平","仄")))</x:f>
        <x:v>仄</x:v>
      </x:c>
      <x:c r="J612" s="7" t="str"/>
    </x:row>
    <x:row r="613">
      <x:c r="A613" s="5" t="str">
        <x:v>啖</x:v>
      </x:c>
      <x:c r="B613" s="6" t="str">
        <x:v>上</x:v>
      </x:c>
      <x:c r="C613" s="6" t="str">
        <x:f>IF(B613="","Needs decision","Ready")</x:f>
        <x:v>Ready</x:v>
      </x:c>
      <x:c r="D613" s="6" t="str">
        <x:v>上</x:v>
      </x:c>
      <x:c r="E613" s="6" t="str">
        <x:v>damX (B)</x:v>
      </x:c>
      <x:c r="F613" s="6" t="str">
        <x:v>1</x:v>
      </x:c>
      <x:c r="G613" s="6" t="str"/>
      <x:c r="H613" s="6" t="str">
        <x:f>IF(B613="平","平",IF(B613="","","仄"))</x:f>
        <x:v>仄</x:v>
      </x:c>
      <x:c r="I613" s="6" t="str">
        <x:f>IF(D607="","",IF(AND(ISNUMBER(SEARCH("平",D607)),OR(ISNUMBER(SEARCH("上",D607)),ISNUMBER(SEARCH("去",D607)),ISNUMBER(SEARCH("入",D607)))),"Ambiguous",IF(ISNUMBER(SEARCH("平",D607)),"平","仄")))</x:f>
        <x:v>平</x:v>
      </x:c>
      <x:c r="J613" s="7" t="str"/>
    </x:row>
    <x:row r="614">
      <x:c r="A614" s="5" t="str">
        <x:v>啗</x:v>
      </x:c>
      <x:c r="B614" s="6" t="str"/>
      <x:c r="C614" s="6" t="str">
        <x:f>IF(B614="","Needs decision","Ready")</x:f>
        <x:v>Needs decision</x:v>
      </x:c>
      <x:c r="D614" s="6" t="str">
        <x:v>上/去</x:v>
      </x:c>
      <x:c r="E614" s="6" t="str">
        <x:v>damX (B); damH (C)</x:v>
      </x:c>
      <x:c r="F614" s="6" t="str">
        <x:v>2</x:v>
      </x:c>
      <x:c r="G614" s="6" t="str"/>
      <x:c r="H614" s="6" t="str">
        <x:f>IF(B614="平","平",IF(B614="","","仄"))</x:f>
      </x:c>
      <x:c r="I614" s="6" t="str">
        <x:f>IF(D608="","",IF(AND(ISNUMBER(SEARCH("平",D608)),OR(ISNUMBER(SEARCH("上",D608)),ISNUMBER(SEARCH("去",D608)),ISNUMBER(SEARCH("入",D608)))),"Ambiguous",IF(ISNUMBER(SEARCH("平",D608)),"平","仄")))</x:f>
        <x:v>仄</x:v>
      </x:c>
      <x:c r="J614" s="7" t="str"/>
    </x:row>
    <x:row r="615">
      <x:c r="A615" s="5" t="str">
        <x:v>啜</x:v>
      </x:c>
      <x:c r="B615" s="6" t="str">
        <x:v>入</x:v>
      </x:c>
      <x:c r="C615" s="6" t="str">
        <x:f>IF(B615="","Needs decision","Ready")</x:f>
        <x:v>Ready</x:v>
      </x:c>
      <x:c r="D615" s="6" t="str">
        <x:v>入</x:v>
      </x:c>
      <x:c r="E615" s="6" t="str">
        <x:v>tsyhwet (D)</x:v>
      </x:c>
      <x:c r="F615" s="6" t="str">
        <x:v>1</x:v>
      </x:c>
      <x:c r="G615" s="6" t="str"/>
      <x:c r="H615" s="6" t="str">
        <x:f>IF(B615="平","平",IF(B615="","","仄"))</x:f>
        <x:v>仄</x:v>
      </x:c>
      <x:c r="I615" s="6" t="str">
        <x:f>IF(D609="","",IF(AND(ISNUMBER(SEARCH("平",D609)),OR(ISNUMBER(SEARCH("上",D609)),ISNUMBER(SEARCH("去",D609)),ISNUMBER(SEARCH("入",D609)))),"Ambiguous",IF(ISNUMBER(SEARCH("平",D609)),"平","仄")))</x:f>
        <x:v>平</x:v>
      </x:c>
      <x:c r="J615" s="7" t="str"/>
    </x:row>
    <x:row r="616">
      <x:c r="A616" s="5" t="str">
        <x:v>啞</x:v>
      </x:c>
      <x:c r="B616" s="6" t="str">
        <x:v>上</x:v>
      </x:c>
      <x:c r="C616" s="6" t="str">
        <x:f>IF(B616="","Needs decision","Ready")</x:f>
        <x:v>Ready</x:v>
      </x:c>
      <x:c r="D616" s="6" t="str">
        <x:v>上</x:v>
      </x:c>
      <x:c r="E616" s="6" t="str">
        <x:v>'aeX (B)</x:v>
      </x:c>
      <x:c r="F616" s="6" t="str">
        <x:v>1</x:v>
      </x:c>
      <x:c r="G616" s="6" t="str"/>
      <x:c r="H616" s="6" t="str">
        <x:f>IF(B616="平","平",IF(B616="","","仄"))</x:f>
        <x:v>仄</x:v>
      </x:c>
      <x:c r="I616" s="6" t="str">
        <x:f>IF(D610="","",IF(AND(ISNUMBER(SEARCH("平",D610)),OR(ISNUMBER(SEARCH("上",D610)),ISNUMBER(SEARCH("去",D610)),ISNUMBER(SEARCH("入",D610)))),"Ambiguous",IF(ISNUMBER(SEARCH("平",D610)),"平","仄")))</x:f>
        <x:v>仄</x:v>
      </x:c>
      <x:c r="J616" s="7" t="str"/>
    </x:row>
    <x:row r="617">
      <x:c r="A617" s="5" t="str">
        <x:v>啟</x:v>
      </x:c>
      <x:c r="B617" s="6" t="str">
        <x:v>上</x:v>
      </x:c>
      <x:c r="C617" s="6" t="str">
        <x:f>IF(B617="","Needs decision","Ready")</x:f>
        <x:v>Ready</x:v>
      </x:c>
      <x:c r="D617" s="6" t="str">
        <x:v>上</x:v>
      </x:c>
      <x:c r="E617" s="6" t="str"/>
      <x:c r="F617" s="6" t="str"/>
      <x:c r="G617" s="6" t="str">
        <x:v>Manual user correction/addition</x:v>
      </x:c>
      <x:c r="H617" s="6" t="str">
        <x:f>IF(B617="平","平",IF(B617="","","仄"))</x:f>
        <x:v>仄</x:v>
      </x:c>
      <x:c r="I617" s="6" t="str">
        <x:f>IF(D611="","",IF(AND(ISNUMBER(SEARCH("平",D611)),OR(ISNUMBER(SEARCH("上",D611)),ISNUMBER(SEARCH("去",D611)),ISNUMBER(SEARCH("入",D611)))),"Ambiguous",IF(ISNUMBER(SEARCH("平",D611)),"平","仄")))</x:f>
        <x:v>仄</x:v>
      </x:c>
      <x:c r="J617" s="7" t="str">
        <x:v>manual user correction</x:v>
      </x:c>
    </x:row>
    <x:row r="618">
      <x:c r="A618" s="5" t="str">
        <x:v>啼</x:v>
      </x:c>
      <x:c r="B618" s="6" t="str">
        <x:v>平</x:v>
      </x:c>
      <x:c r="C618" s="6" t="str">
        <x:f>IF(B618="","Needs decision","Ready")</x:f>
        <x:v>Ready</x:v>
      </x:c>
      <x:c r="D618" s="6" t="str">
        <x:v>平</x:v>
      </x:c>
      <x:c r="E618" s="6" t="str">
        <x:v>dej (A)</x:v>
      </x:c>
      <x:c r="F618" s="6" t="str">
        <x:v>1</x:v>
      </x:c>
      <x:c r="G618" s="6" t="str"/>
      <x:c r="H618" s="6" t="str">
        <x:f>IF(B618="平","平",IF(B618="","","仄"))</x:f>
        <x:v>平</x:v>
      </x:c>
      <x:c r="I618" s="6" t="str">
        <x:f>IF(D612="","",IF(AND(ISNUMBER(SEARCH("平",D612)),OR(ISNUMBER(SEARCH("上",D612)),ISNUMBER(SEARCH("去",D612)),ISNUMBER(SEARCH("入",D612)))),"Ambiguous",IF(ISNUMBER(SEARCH("平",D612)),"平","仄")))</x:f>
        <x:v>仄</x:v>
      </x:c>
      <x:c r="J618" s="7" t="str"/>
    </x:row>
    <x:row r="619">
      <x:c r="A619" s="5" t="str">
        <x:v>啾</x:v>
      </x:c>
      <x:c r="B619" s="6" t="str">
        <x:v>平</x:v>
      </x:c>
      <x:c r="C619" s="6" t="str">
        <x:f>IF(B619="","Needs decision","Ready")</x:f>
        <x:v>Ready</x:v>
      </x:c>
      <x:c r="D619" s="6" t="str">
        <x:v>平</x:v>
      </x:c>
      <x:c r="E619" s="6" t="str">
        <x:v>tsjuw [tsju] (平)</x:v>
      </x:c>
      <x:c r="F619" s="6" t="str">
        <x:v>1</x:v>
      </x:c>
      <x:c r="G619" s="6" t="str">
        <x:v>Tang 300 gap; frequency 6; provisional from Xun Gong</x:v>
      </x:c>
      <x:c r="H619" s="6" t="str">
        <x:f>IF(B619="平","平",IF(B619="","","仄"))</x:f>
        <x:v>平</x:v>
      </x:c>
      <x:c r="I619" s="6" t="str">
        <x:f>IF(D613="","",IF(AND(ISNUMBER(SEARCH("平",D613)),OR(ISNUMBER(SEARCH("上",D613)),ISNUMBER(SEARCH("去",D613)),ISNUMBER(SEARCH("入",D613)))),"Ambiguous",IF(ISNUMBER(SEARCH("平",D613)),"平","仄")))</x:f>
        <x:v>仄</x:v>
      </x:c>
      <x:c r="J619" s="7" t="str">
        <x:v>Xun Gong, Tang 300 gap fill</x:v>
      </x:c>
    </x:row>
    <x:row r="620">
      <x:c r="A620" s="5" t="str">
        <x:v>善</x:v>
      </x:c>
      <x:c r="B620" s="6" t="str">
        <x:v>上</x:v>
      </x:c>
      <x:c r="C620" s="6" t="str">
        <x:f>IF(B620="","Needs decision","Ready")</x:f>
        <x:v>Ready</x:v>
      </x:c>
      <x:c r="D620" s="6" t="str">
        <x:v>上</x:v>
      </x:c>
      <x:c r="E620" s="6" t="str">
        <x:v>dzyenX (B)</x:v>
      </x:c>
      <x:c r="F620" s="6" t="str">
        <x:v>1</x:v>
      </x:c>
      <x:c r="G620" s="6" t="str"/>
      <x:c r="H620" s="6" t="str">
        <x:f>IF(B620="平","平",IF(B620="","","仄"))</x:f>
        <x:v>仄</x:v>
      </x:c>
      <x:c r="I620" s="6" t="str">
        <x:f>IF(D614="","",IF(AND(ISNUMBER(SEARCH("平",D614)),OR(ISNUMBER(SEARCH("上",D614)),ISNUMBER(SEARCH("去",D614)),ISNUMBER(SEARCH("入",D614)))),"Ambiguous",IF(ISNUMBER(SEARCH("平",D614)),"平","仄")))</x:f>
        <x:v>仄</x:v>
      </x:c>
      <x:c r="J620" s="7" t="str"/>
    </x:row>
    <x:row r="621">
      <x:c r="A621" s="5" t="str">
        <x:v>喈</x:v>
      </x:c>
      <x:c r="B621" s="6" t="str">
        <x:v>平</x:v>
      </x:c>
      <x:c r="C621" s="6" t="str">
        <x:f>IF(B621="","Needs decision","Ready")</x:f>
        <x:v>Ready</x:v>
      </x:c>
      <x:c r="D621" s="6" t="str">
        <x:v>平</x:v>
      </x:c>
      <x:c r="E621" s="6" t="str">
        <x:v>keaj (A)</x:v>
      </x:c>
      <x:c r="F621" s="6" t="str">
        <x:v>1</x:v>
      </x:c>
      <x:c r="G621" s="6" t="str"/>
      <x:c r="H621" s="6" t="str">
        <x:f>IF(B621="平","平",IF(B621="","","仄"))</x:f>
        <x:v>平</x:v>
      </x:c>
      <x:c r="I621" s="6" t="str">
        <x:f>IF(D615="","",IF(AND(ISNUMBER(SEARCH("平",D615)),OR(ISNUMBER(SEARCH("上",D615)),ISNUMBER(SEARCH("去",D615)),ISNUMBER(SEARCH("入",D615)))),"Ambiguous",IF(ISNUMBER(SEARCH("平",D615)),"平","仄")))</x:f>
        <x:v>仄</x:v>
      </x:c>
      <x:c r="J621" s="7" t="str"/>
    </x:row>
    <x:row r="622">
      <x:c r="A622" s="5" t="str">
        <x:v>喉</x:v>
      </x:c>
      <x:c r="B622" s="6" t="str">
        <x:v>平</x:v>
      </x:c>
      <x:c r="C622" s="6" t="str">
        <x:f>IF(B622="","Needs decision","Ready")</x:f>
        <x:v>Ready</x:v>
      </x:c>
      <x:c r="D622" s="6" t="str">
        <x:v>平</x:v>
      </x:c>
      <x:c r="E622" s="6" t="str">
        <x:v>huw (A)</x:v>
      </x:c>
      <x:c r="F622" s="6" t="str">
        <x:v>1</x:v>
      </x:c>
      <x:c r="G622" s="6" t="str"/>
      <x:c r="H622" s="6" t="str">
        <x:f>IF(B622="平","平",IF(B622="","","仄"))</x:f>
        <x:v>平</x:v>
      </x:c>
      <x:c r="I622" s="6" t="str">
        <x:f>IF(D616="","",IF(AND(ISNUMBER(SEARCH("平",D616)),OR(ISNUMBER(SEARCH("上",D616)),ISNUMBER(SEARCH("去",D616)),ISNUMBER(SEARCH("入",D616)))),"Ambiguous",IF(ISNUMBER(SEARCH("平",D616)),"平","仄")))</x:f>
        <x:v>仄</x:v>
      </x:c>
      <x:c r="J622" s="7" t="str"/>
    </x:row>
    <x:row r="623">
      <x:c r="A623" s="5" t="str">
        <x:v>喘</x:v>
      </x:c>
      <x:c r="B623" s="6" t="str">
        <x:v>上</x:v>
      </x:c>
      <x:c r="C623" s="6" t="str">
        <x:f>IF(B623="","Needs decision","Ready")</x:f>
        <x:v>Ready</x:v>
      </x:c>
      <x:c r="D623" s="6" t="str">
        <x:v>上</x:v>
      </x:c>
      <x:c r="E623" s="6" t="str">
        <x:v>tsyhwenX (B)</x:v>
      </x:c>
      <x:c r="F623" s="6" t="str">
        <x:v>1</x:v>
      </x:c>
      <x:c r="G623" s="6" t="str"/>
      <x:c r="H623" s="6" t="str">
        <x:f>IF(B623="平","平",IF(B623="","","仄"))</x:f>
        <x:v>仄</x:v>
      </x:c>
      <x:c r="I623" s="6" t="str">
        <x:f>IF(D617="","",IF(AND(ISNUMBER(SEARCH("平",D617)),OR(ISNUMBER(SEARCH("上",D617)),ISNUMBER(SEARCH("去",D617)),ISNUMBER(SEARCH("入",D617)))),"Ambiguous",IF(ISNUMBER(SEARCH("平",D617)),"平","仄")))</x:f>
        <x:v>仄</x:v>
      </x:c>
      <x:c r="J623" s="7" t="str"/>
    </x:row>
    <x:row r="624">
      <x:c r="A624" s="5" t="str">
        <x:v>喙</x:v>
      </x:c>
      <x:c r="B624" s="6" t="str">
        <x:v>去</x:v>
      </x:c>
      <x:c r="C624" s="6" t="str">
        <x:f>IF(B624="","Needs decision","Ready")</x:f>
        <x:v>Ready</x:v>
      </x:c>
      <x:c r="D624" s="6" t="str">
        <x:v>去</x:v>
      </x:c>
      <x:c r="E624" s="6" t="str">
        <x:v>tsyhwejH (C); xjwojH (C)</x:v>
      </x:c>
      <x:c r="F624" s="6" t="str">
        <x:v>2</x:v>
      </x:c>
      <x:c r="G624" s="6" t="str"/>
      <x:c r="H624" s="6" t="str">
        <x:f>IF(B624="平","平",IF(B624="","","仄"))</x:f>
        <x:v>仄</x:v>
      </x:c>
      <x:c r="I624" s="6" t="str">
        <x:f>IF(D618="","",IF(AND(ISNUMBER(SEARCH("平",D618)),OR(ISNUMBER(SEARCH("上",D618)),ISNUMBER(SEARCH("去",D618)),ISNUMBER(SEARCH("入",D618)))),"Ambiguous",IF(ISNUMBER(SEARCH("平",D618)),"平","仄")))</x:f>
        <x:v>平</x:v>
      </x:c>
      <x:c r="J624" s="7" t="str"/>
    </x:row>
    <x:row r="625">
      <x:c r="A625" s="5" t="str">
        <x:v>喚</x:v>
      </x:c>
      <x:c r="B625" s="6" t="str">
        <x:v>去</x:v>
      </x:c>
      <x:c r="C625" s="6" t="str">
        <x:f>IF(B625="","Needs decision","Ready")</x:f>
        <x:v>Ready</x:v>
      </x:c>
      <x:c r="D625" s="6" t="str">
        <x:v>去</x:v>
      </x:c>
      <x:c r="E625" s="6" t="str">
        <x:v>xwanH [χwɑnh] (去)</x:v>
      </x:c>
      <x:c r="F625" s="6" t="str">
        <x:v>1</x:v>
      </x:c>
      <x:c r="G625" s="6" t="str">
        <x:v>Tang 300 gap; frequency 3; provisional from Xun Gong</x:v>
      </x:c>
      <x:c r="H625" s="6" t="str">
        <x:f>IF(B625="平","平",IF(B625="","","仄"))</x:f>
        <x:v>仄</x:v>
      </x:c>
      <x:c r="I625" s="6" t="str">
        <x:f>IF(D619="","",IF(AND(ISNUMBER(SEARCH("平",D619)),OR(ISNUMBER(SEARCH("上",D619)),ISNUMBER(SEARCH("去",D619)),ISNUMBER(SEARCH("入",D619)))),"Ambiguous",IF(ISNUMBER(SEARCH("平",D619)),"平","仄")))</x:f>
        <x:v>平</x:v>
      </x:c>
      <x:c r="J625" s="7" t="str">
        <x:v>Xun Gong, Tang 300 gap fill</x:v>
      </x:c>
    </x:row>
    <x:row r="626">
      <x:c r="A626" s="5" t="str">
        <x:v>喜</x:v>
      </x:c>
      <x:c r="B626" s="6" t="str">
        <x:v>上</x:v>
      </x:c>
      <x:c r="C626" s="6" t="str">
        <x:f>IF(B626="","Needs decision","Ready")</x:f>
        <x:v>Ready</x:v>
      </x:c>
      <x:c r="D626" s="6" t="str">
        <x:v>上</x:v>
      </x:c>
      <x:c r="E626" s="6" t="str">
        <x:v>xiX (B)</x:v>
      </x:c>
      <x:c r="F626" s="6" t="str">
        <x:v>1</x:v>
      </x:c>
      <x:c r="G626" s="6" t="str"/>
      <x:c r="H626" s="6" t="str">
        <x:f>IF(B626="平","平",IF(B626="","","仄"))</x:f>
        <x:v>仄</x:v>
      </x:c>
      <x:c r="I626" s="6" t="str">
        <x:f>IF(D620="","",IF(AND(ISNUMBER(SEARCH("平",D620)),OR(ISNUMBER(SEARCH("上",D620)),ISNUMBER(SEARCH("去",D620)),ISNUMBER(SEARCH("入",D620)))),"Ambiguous",IF(ISNUMBER(SEARCH("平",D620)),"平","仄")))</x:f>
        <x:v>仄</x:v>
      </x:c>
      <x:c r="J626" s="7" t="str"/>
    </x:row>
    <x:row r="627">
      <x:c r="A627" s="5" t="str">
        <x:v>喟</x:v>
      </x:c>
      <x:c r="B627" s="6" t="str">
        <x:v>去</x:v>
      </x:c>
      <x:c r="C627" s="6" t="str">
        <x:f>IF(B627="","Needs decision","Ready")</x:f>
        <x:v>Ready</x:v>
      </x:c>
      <x:c r="D627" s="6" t="str">
        <x:v>去</x:v>
      </x:c>
      <x:c r="E627" s="6" t="str">
        <x:v>khweajH (C); khwijH (C)</x:v>
      </x:c>
      <x:c r="F627" s="6" t="str">
        <x:v>2</x:v>
      </x:c>
      <x:c r="G627" s="6" t="str"/>
      <x:c r="H627" s="6" t="str">
        <x:f>IF(B627="平","平",IF(B627="","","仄"))</x:f>
        <x:v>仄</x:v>
      </x:c>
      <x:c r="I627" s="6" t="str">
        <x:f>IF(D621="","",IF(AND(ISNUMBER(SEARCH("平",D621)),OR(ISNUMBER(SEARCH("上",D621)),ISNUMBER(SEARCH("去",D621)),ISNUMBER(SEARCH("入",D621)))),"Ambiguous",IF(ISNUMBER(SEARCH("平",D621)),"平","仄")))</x:f>
        <x:v>平</x:v>
      </x:c>
      <x:c r="J627" s="7" t="str"/>
    </x:row>
    <x:row r="628">
      <x:c r="A628" s="5" t="str">
        <x:v>喧</x:v>
      </x:c>
      <x:c r="B628" s="6" t="str">
        <x:v>平</x:v>
      </x:c>
      <x:c r="C628" s="6" t="str">
        <x:f>IF(B628="","Needs decision","Ready")</x:f>
        <x:v>Ready</x:v>
      </x:c>
      <x:c r="D628" s="6" t="str">
        <x:v>平</x:v>
      </x:c>
      <x:c r="E628" s="6" t="str">
        <x:v>xjwon (A)</x:v>
      </x:c>
      <x:c r="F628" s="6" t="str">
        <x:v>1</x:v>
      </x:c>
      <x:c r="G628" s="6" t="str"/>
      <x:c r="H628" s="6" t="str">
        <x:f>IF(B628="平","平",IF(B628="","","仄"))</x:f>
        <x:v>平</x:v>
      </x:c>
      <x:c r="I628" s="6" t="str">
        <x:f>IF(D622="","",IF(AND(ISNUMBER(SEARCH("平",D622)),OR(ISNUMBER(SEARCH("上",D622)),ISNUMBER(SEARCH("去",D622)),ISNUMBER(SEARCH("入",D622)))),"Ambiguous",IF(ISNUMBER(SEARCH("平",D622)),"平","仄")))</x:f>
        <x:v>平</x:v>
      </x:c>
      <x:c r="J628" s="7" t="str"/>
    </x:row>
    <x:row r="629">
      <x:c r="A629" s="5" t="str">
        <x:v>喪</x:v>
      </x:c>
      <x:c r="B629" s="6" t="str"/>
      <x:c r="C629" s="6" t="str">
        <x:f>IF(B629="","Needs decision","Ready")</x:f>
        <x:v>Needs decision</x:v>
      </x:c>
      <x:c r="D629" s="6" t="str">
        <x:v>平/去</x:v>
      </x:c>
      <x:c r="E629" s="6" t="str">
        <x:v>sang (A); sangH (C)</x:v>
      </x:c>
      <x:c r="F629" s="6" t="str">
        <x:v>2</x:v>
      </x:c>
      <x:c r="G629" s="6" t="str"/>
      <x:c r="H629" s="6" t="str">
        <x:f>IF(B629="平","平",IF(B629="","","仄"))</x:f>
      </x:c>
      <x:c r="I629" s="6" t="str">
        <x:f>IF(D623="","",IF(AND(ISNUMBER(SEARCH("平",D623)),OR(ISNUMBER(SEARCH("上",D623)),ISNUMBER(SEARCH("去",D623)),ISNUMBER(SEARCH("入",D623)))),"Ambiguous",IF(ISNUMBER(SEARCH("平",D623)),"平","仄")))</x:f>
        <x:v>仄</x:v>
      </x:c>
      <x:c r="J629" s="7" t="str"/>
    </x:row>
    <x:row r="630">
      <x:c r="A630" s="5" t="str">
        <x:v>喬</x:v>
      </x:c>
      <x:c r="B630" s="6" t="str">
        <x:v>平</x:v>
      </x:c>
      <x:c r="C630" s="6" t="str">
        <x:f>IF(B630="","Needs decision","Ready")</x:f>
        <x:v>Ready</x:v>
      </x:c>
      <x:c r="D630" s="6" t="str">
        <x:v>平</x:v>
      </x:c>
      <x:c r="E630" s="6" t="str">
        <x:v>gjew (A)</x:v>
      </x:c>
      <x:c r="F630" s="6" t="str">
        <x:v>1</x:v>
      </x:c>
      <x:c r="G630" s="6" t="str"/>
      <x:c r="H630" s="6" t="str">
        <x:f>IF(B630="平","平",IF(B630="","","仄"))</x:f>
        <x:v>平</x:v>
      </x:c>
      <x:c r="I630" s="6" t="str">
        <x:f>IF(D624="","",IF(AND(ISNUMBER(SEARCH("平",D624)),OR(ISNUMBER(SEARCH("上",D624)),ISNUMBER(SEARCH("去",D624)),ISNUMBER(SEARCH("入",D624)))),"Ambiguous",IF(ISNUMBER(SEARCH("平",D624)),"平","仄")))</x:f>
        <x:v>仄</x:v>
      </x:c>
      <x:c r="J630" s="7" t="str"/>
    </x:row>
    <x:row r="631">
      <x:c r="A631" s="5" t="str">
        <x:v>單</x:v>
      </x:c>
      <x:c r="B631" s="6" t="str">
        <x:v>平</x:v>
      </x:c>
      <x:c r="C631" s="6" t="str">
        <x:f>IF(B631="","Needs decision","Ready")</x:f>
        <x:v>Ready</x:v>
      </x:c>
      <x:c r="D631" s="6" t="str">
        <x:v>平</x:v>
      </x:c>
      <x:c r="E631" s="6" t="str">
        <x:v>dzyen (A); tan (A)</x:v>
      </x:c>
      <x:c r="F631" s="6" t="str">
        <x:v>2</x:v>
      </x:c>
      <x:c r="G631" s="6" t="str"/>
      <x:c r="H631" s="6" t="str">
        <x:f>IF(B631="平","平",IF(B631="","","仄"))</x:f>
        <x:v>平</x:v>
      </x:c>
      <x:c r="I631" s="6" t="str">
        <x:f>IF(D625="","",IF(AND(ISNUMBER(SEARCH("平",D625)),OR(ISNUMBER(SEARCH("上",D625)),ISNUMBER(SEARCH("去",D625)),ISNUMBER(SEARCH("入",D625)))),"Ambiguous",IF(ISNUMBER(SEARCH("平",D625)),"平","仄")))</x:f>
        <x:v>仄</x:v>
      </x:c>
      <x:c r="J631" s="7" t="str"/>
    </x:row>
    <x:row r="632">
      <x:c r="A632" s="5" t="str">
        <x:v>喻</x:v>
      </x:c>
      <x:c r="B632" s="6" t="str">
        <x:v>去</x:v>
      </x:c>
      <x:c r="C632" s="6" t="str">
        <x:f>IF(B632="","Needs decision","Ready")</x:f>
        <x:v>Ready</x:v>
      </x:c>
      <x:c r="D632" s="6" t="str">
        <x:v>去</x:v>
      </x:c>
      <x:c r="E632" s="6" t="str">
        <x:v>yuH (C)</x:v>
      </x:c>
      <x:c r="F632" s="6" t="str">
        <x:v>1</x:v>
      </x:c>
      <x:c r="G632" s="6" t="str"/>
      <x:c r="H632" s="6" t="str">
        <x:f>IF(B632="平","平",IF(B632="","","仄"))</x:f>
        <x:v>仄</x:v>
      </x:c>
      <x:c r="I632" s="6" t="str">
        <x:f>IF(D626="","",IF(AND(ISNUMBER(SEARCH("平",D626)),OR(ISNUMBER(SEARCH("上",D626)),ISNUMBER(SEARCH("去",D626)),ISNUMBER(SEARCH("入",D626)))),"Ambiguous",IF(ISNUMBER(SEARCH("平",D626)),"平","仄")))</x:f>
        <x:v>仄</x:v>
      </x:c>
      <x:c r="J632" s="7" t="str"/>
    </x:row>
    <x:row r="633">
      <x:c r="A633" s="5" t="str">
        <x:v>嗁</x:v>
      </x:c>
      <x:c r="B633" s="6" t="str">
        <x:v>平</x:v>
      </x:c>
      <x:c r="C633" s="6" t="str">
        <x:f>IF(B633="","Needs decision","Ready")</x:f>
        <x:v>Ready</x:v>
      </x:c>
      <x:c r="D633" s="6" t="str">
        <x:v>平</x:v>
      </x:c>
      <x:c r="E633" s="6" t="str">
        <x:v>dej (A)</x:v>
      </x:c>
      <x:c r="F633" s="6" t="str">
        <x:v>1</x:v>
      </x:c>
      <x:c r="G633" s="6" t="str"/>
      <x:c r="H633" s="6" t="str">
        <x:f>IF(B633="平","平",IF(B633="","","仄"))</x:f>
        <x:v>平</x:v>
      </x:c>
      <x:c r="I633" s="6" t="str">
        <x:f>IF(D627="","",IF(AND(ISNUMBER(SEARCH("平",D627)),OR(ISNUMBER(SEARCH("上",D627)),ISNUMBER(SEARCH("去",D627)),ISNUMBER(SEARCH("入",D627)))),"Ambiguous",IF(ISNUMBER(SEARCH("平",D627)),"平","仄")))</x:f>
        <x:v>仄</x:v>
      </x:c>
      <x:c r="J633" s="7" t="str"/>
    </x:row>
    <x:row r="634">
      <x:c r="A634" s="5" t="str">
        <x:v>嗅</x:v>
      </x:c>
      <x:c r="B634" s="6" t="str">
        <x:v>去</x:v>
      </x:c>
      <x:c r="C634" s="6" t="str">
        <x:f>IF(B634="","Needs decision","Ready")</x:f>
        <x:v>Ready</x:v>
      </x:c>
      <x:c r="D634" s="6" t="str">
        <x:v>去</x:v>
      </x:c>
      <x:c r="E634" s="6" t="str">
        <x:v>xjuwH (C)</x:v>
      </x:c>
      <x:c r="F634" s="6" t="str">
        <x:v>1</x:v>
      </x:c>
      <x:c r="G634" s="6" t="str"/>
      <x:c r="H634" s="6" t="str">
        <x:f>IF(B634="平","平",IF(B634="","","仄"))</x:f>
        <x:v>仄</x:v>
      </x:c>
      <x:c r="I634" s="6" t="str">
        <x:f>IF(D628="","",IF(AND(ISNUMBER(SEARCH("平",D628)),OR(ISNUMBER(SEARCH("上",D628)),ISNUMBER(SEARCH("去",D628)),ISNUMBER(SEARCH("入",D628)))),"Ambiguous",IF(ISNUMBER(SEARCH("平",D628)),"平","仄")))</x:f>
        <x:v>平</x:v>
      </x:c>
      <x:c r="J634" s="7" t="str"/>
    </x:row>
    <x:row r="635">
      <x:c r="A635" s="5" t="str">
        <x:v>嗇</x:v>
      </x:c>
      <x:c r="B635" s="6" t="str">
        <x:v>入</x:v>
      </x:c>
      <x:c r="C635" s="6" t="str">
        <x:f>IF(B635="","Needs decision","Ready")</x:f>
        <x:v>Ready</x:v>
      </x:c>
      <x:c r="D635" s="6" t="str">
        <x:v>入</x:v>
      </x:c>
      <x:c r="E635" s="6" t="str">
        <x:v>srik (D)</x:v>
      </x:c>
      <x:c r="F635" s="6" t="str">
        <x:v>1</x:v>
      </x:c>
      <x:c r="G635" s="6" t="str"/>
      <x:c r="H635" s="6" t="str">
        <x:f>IF(B635="平","平",IF(B635="","","仄"))</x:f>
        <x:v>仄</x:v>
      </x:c>
      <x:c r="I635" s="6" t="str">
        <x:f>IF(D629="","",IF(AND(ISNUMBER(SEARCH("平",D629)),OR(ISNUMBER(SEARCH("上",D629)),ISNUMBER(SEARCH("去",D629)),ISNUMBER(SEARCH("入",D629)))),"Ambiguous",IF(ISNUMBER(SEARCH("平",D629)),"平","仄")))</x:f>
        <x:v>Ambiguous</x:v>
      </x:c>
      <x:c r="J635" s="7" t="str"/>
    </x:row>
    <x:row r="636">
      <x:c r="A636" s="5" t="str">
        <x:v>嗌</x:v>
      </x:c>
      <x:c r="B636" s="6" t="str">
        <x:v>入</x:v>
      </x:c>
      <x:c r="C636" s="6" t="str">
        <x:f>IF(B636="","Needs decision","Ready")</x:f>
        <x:v>Ready</x:v>
      </x:c>
      <x:c r="D636" s="6" t="str">
        <x:v>入</x:v>
      </x:c>
      <x:c r="E636" s="6" t="str">
        <x:v>'jiek (D)</x:v>
      </x:c>
      <x:c r="F636" s="6" t="str">
        <x:v>1</x:v>
      </x:c>
      <x:c r="G636" s="6" t="str"/>
      <x:c r="H636" s="6" t="str">
        <x:f>IF(B636="平","平",IF(B636="","","仄"))</x:f>
        <x:v>仄</x:v>
      </x:c>
      <x:c r="I636" s="6" t="str">
        <x:f>IF(D630="","",IF(AND(ISNUMBER(SEARCH("平",D630)),OR(ISNUMBER(SEARCH("上",D630)),ISNUMBER(SEARCH("去",D630)),ISNUMBER(SEARCH("入",D630)))),"Ambiguous",IF(ISNUMBER(SEARCH("平",D630)),"平","仄")))</x:f>
        <x:v>平</x:v>
      </x:c>
      <x:c r="J636" s="7" t="str"/>
    </x:row>
    <x:row r="637">
      <x:c r="A637" s="5" t="str">
        <x:v>嗚</x:v>
      </x:c>
      <x:c r="B637" s="6" t="str">
        <x:v>平</x:v>
      </x:c>
      <x:c r="C637" s="6" t="str">
        <x:f>IF(B637="","Needs decision","Ready")</x:f>
        <x:v>Ready</x:v>
      </x:c>
      <x:c r="D637" s="6" t="str">
        <x:v>平</x:v>
      </x:c>
      <x:c r="E637" s="6" t="str">
        <x:v>'u [ʔ̙o] (平)</x:v>
      </x:c>
      <x:c r="F637" s="6" t="str">
        <x:v>1</x:v>
      </x:c>
      <x:c r="G637" s="6" t="str">
        <x:v>Tang 300 gap; frequency 2; provisional from Xun Gong</x:v>
      </x:c>
      <x:c r="H637" s="6" t="str">
        <x:f>IF(B637="平","平",IF(B637="","","仄"))</x:f>
        <x:v>平</x:v>
      </x:c>
      <x:c r="I637" s="6" t="str">
        <x:f>IF(D631="","",IF(AND(ISNUMBER(SEARCH("平",D631)),OR(ISNUMBER(SEARCH("上",D631)),ISNUMBER(SEARCH("去",D631)),ISNUMBER(SEARCH("入",D631)))),"Ambiguous",IF(ISNUMBER(SEARCH("平",D631)),"平","仄")))</x:f>
        <x:v>平</x:v>
      </x:c>
      <x:c r="J637" s="7" t="str">
        <x:v>Xun Gong, Tang 300 gap fill</x:v>
      </x:c>
    </x:row>
    <x:row r="638">
      <x:c r="A638" s="5" t="str">
        <x:v>嗜</x:v>
      </x:c>
      <x:c r="B638" s="6" t="str">
        <x:v>去</x:v>
      </x:c>
      <x:c r="C638" s="6" t="str">
        <x:f>IF(B638="","Needs decision","Ready")</x:f>
        <x:v>Ready</x:v>
      </x:c>
      <x:c r="D638" s="6" t="str">
        <x:v>去</x:v>
      </x:c>
      <x:c r="E638" s="6" t="str">
        <x:v>dzyijH (C)</x:v>
      </x:c>
      <x:c r="F638" s="6" t="str">
        <x:v>1</x:v>
      </x:c>
      <x:c r="G638" s="6" t="str"/>
      <x:c r="H638" s="6" t="str">
        <x:f>IF(B638="平","平",IF(B638="","","仄"))</x:f>
        <x:v>仄</x:v>
      </x:c>
      <x:c r="I638" s="6" t="str">
        <x:f>IF(D632="","",IF(AND(ISNUMBER(SEARCH("平",D632)),OR(ISNUMBER(SEARCH("上",D632)),ISNUMBER(SEARCH("去",D632)),ISNUMBER(SEARCH("入",D632)))),"Ambiguous",IF(ISNUMBER(SEARCH("平",D632)),"平","仄")))</x:f>
        <x:v>仄</x:v>
      </x:c>
      <x:c r="J638" s="7" t="str"/>
    </x:row>
    <x:row r="639">
      <x:c r="A639" s="5" t="str">
        <x:v>嗟</x:v>
      </x:c>
      <x:c r="B639" s="6" t="str">
        <x:v>平</x:v>
      </x:c>
      <x:c r="C639" s="6" t="str">
        <x:f>IF(B639="","Needs decision","Ready")</x:f>
        <x:v>Ready</x:v>
      </x:c>
      <x:c r="D639" s="6" t="str">
        <x:v>平</x:v>
      </x:c>
      <x:c r="E639" s="6" t="str">
        <x:v>tsjae (A)</x:v>
      </x:c>
      <x:c r="F639" s="6" t="str">
        <x:v>1</x:v>
      </x:c>
      <x:c r="G639" s="6" t="str"/>
      <x:c r="H639" s="6" t="str">
        <x:f>IF(B639="平","平",IF(B639="","","仄"))</x:f>
        <x:v>平</x:v>
      </x:c>
      <x:c r="I639" s="6" t="str">
        <x:f>IF(D633="","",IF(AND(ISNUMBER(SEARCH("平",D633)),OR(ISNUMBER(SEARCH("上",D633)),ISNUMBER(SEARCH("去",D633)),ISNUMBER(SEARCH("入",D633)))),"Ambiguous",IF(ISNUMBER(SEARCH("平",D633)),"平","仄")))</x:f>
        <x:v>平</x:v>
      </x:c>
      <x:c r="J639" s="7" t="str"/>
    </x:row>
    <x:row r="640">
      <x:c r="A640" s="5" t="str">
        <x:v>嗣</x:v>
      </x:c>
      <x:c r="B640" s="6" t="str">
        <x:v>去</x:v>
      </x:c>
      <x:c r="C640" s="6" t="str">
        <x:f>IF(B640="","Needs decision","Ready")</x:f>
        <x:v>Ready</x:v>
      </x:c>
      <x:c r="D640" s="6" t="str">
        <x:v>去</x:v>
      </x:c>
      <x:c r="E640" s="6" t="str">
        <x:v>ziH (C)</x:v>
      </x:c>
      <x:c r="F640" s="6" t="str">
        <x:v>1</x:v>
      </x:c>
      <x:c r="G640" s="6" t="str"/>
      <x:c r="H640" s="6" t="str">
        <x:f>IF(B640="平","平",IF(B640="","","仄"))</x:f>
        <x:v>仄</x:v>
      </x:c>
      <x:c r="I640" s="6" t="str">
        <x:f>IF(D634="","",IF(AND(ISNUMBER(SEARCH("平",D634)),OR(ISNUMBER(SEARCH("上",D634)),ISNUMBER(SEARCH("去",D634)),ISNUMBER(SEARCH("入",D634)))),"Ambiguous",IF(ISNUMBER(SEARCH("平",D634)),"平","仄")))</x:f>
        <x:v>仄</x:v>
      </x:c>
      <x:c r="J640" s="7" t="str"/>
    </x:row>
    <x:row r="641">
      <x:c r="A641" s="5" t="str">
        <x:v>嗸</x:v>
      </x:c>
      <x:c r="B641" s="6" t="str">
        <x:v>平</x:v>
      </x:c>
      <x:c r="C641" s="6" t="str">
        <x:f>IF(B641="","Needs decision","Ready")</x:f>
        <x:v>Ready</x:v>
      </x:c>
      <x:c r="D641" s="6" t="str">
        <x:v>平</x:v>
      </x:c>
      <x:c r="E641" s="6" t="str">
        <x:v>ngaw (A)</x:v>
      </x:c>
      <x:c r="F641" s="6" t="str">
        <x:v>1</x:v>
      </x:c>
      <x:c r="G641" s="6" t="str"/>
      <x:c r="H641" s="6" t="str">
        <x:f>IF(B641="平","平",IF(B641="","","仄"))</x:f>
        <x:v>平</x:v>
      </x:c>
      <x:c r="I641" s="6" t="str">
        <x:f>IF(D635="","",IF(AND(ISNUMBER(SEARCH("平",D635)),OR(ISNUMBER(SEARCH("上",D635)),ISNUMBER(SEARCH("去",D635)),ISNUMBER(SEARCH("入",D635)))),"Ambiguous",IF(ISNUMBER(SEARCH("平",D635)),"平","仄")))</x:f>
        <x:v>仄</x:v>
      </x:c>
      <x:c r="J641" s="7" t="str"/>
    </x:row>
    <x:row r="642">
      <x:c r="A642" s="5" t="str">
        <x:v>嗽</x:v>
      </x:c>
      <x:c r="B642" s="6" t="str">
        <x:v>去</x:v>
      </x:c>
      <x:c r="C642" s="6" t="str">
        <x:f>IF(B642="","Needs decision","Ready")</x:f>
        <x:v>Ready</x:v>
      </x:c>
      <x:c r="D642" s="6" t="str">
        <x:v>去</x:v>
      </x:c>
      <x:c r="E642" s="6" t="str">
        <x:v>suwH (C)</x:v>
      </x:c>
      <x:c r="F642" s="6" t="str">
        <x:v>1</x:v>
      </x:c>
      <x:c r="G642" s="6" t="str"/>
      <x:c r="H642" s="6" t="str">
        <x:f>IF(B642="平","平",IF(B642="","","仄"))</x:f>
        <x:v>仄</x:v>
      </x:c>
      <x:c r="I642" s="6" t="str">
        <x:f>IF(D636="","",IF(AND(ISNUMBER(SEARCH("平",D636)),OR(ISNUMBER(SEARCH("上",D636)),ISNUMBER(SEARCH("去",D636)),ISNUMBER(SEARCH("入",D636)))),"Ambiguous",IF(ISNUMBER(SEARCH("平",D636)),"平","仄")))</x:f>
        <x:v>仄</x:v>
      </x:c>
      <x:c r="J642" s="7" t="str"/>
    </x:row>
    <x:row r="643">
      <x:c r="A643" s="5" t="str">
        <x:v>嘅</x:v>
      </x:c>
      <x:c r="B643" s="6" t="str">
        <x:v>去</x:v>
      </x:c>
      <x:c r="C643" s="6" t="str">
        <x:f>IF(B643="","Needs decision","Ready")</x:f>
        <x:v>Ready</x:v>
      </x:c>
      <x:c r="D643" s="6" t="str">
        <x:v>去</x:v>
      </x:c>
      <x:c r="E643" s="6" t="str">
        <x:v>khojH (C)</x:v>
      </x:c>
      <x:c r="F643" s="6" t="str">
        <x:v>1</x:v>
      </x:c>
      <x:c r="G643" s="6" t="str"/>
      <x:c r="H643" s="6" t="str">
        <x:f>IF(B643="平","平",IF(B643="","","仄"))</x:f>
        <x:v>仄</x:v>
      </x:c>
      <x:c r="I643" s="6" t="str">
        <x:f>IF(D637="","",IF(AND(ISNUMBER(SEARCH("平",D637)),OR(ISNUMBER(SEARCH("上",D637)),ISNUMBER(SEARCH("去",D637)),ISNUMBER(SEARCH("入",D637)))),"Ambiguous",IF(ISNUMBER(SEARCH("平",D637)),"平","仄")))</x:f>
        <x:v>平</x:v>
      </x:c>
      <x:c r="J643" s="7" t="str"/>
    </x:row>
    <x:row r="644">
      <x:c r="A644" s="5" t="str">
        <x:v>嘆</x:v>
      </x:c>
      <x:c r="B644" s="6" t="str">
        <x:v>去</x:v>
      </x:c>
      <x:c r="C644" s="6" t="str">
        <x:f>IF(B644="","Needs decision","Ready")</x:f>
        <x:v>Ready</x:v>
      </x:c>
      <x:c r="D644" s="6" t="str">
        <x:v>去</x:v>
      </x:c>
      <x:c r="E644" s="6" t="str">
        <x:v>thanH (C)</x:v>
      </x:c>
      <x:c r="F644" s="6" t="str">
        <x:v>1</x:v>
      </x:c>
      <x:c r="G644" s="6" t="str"/>
      <x:c r="H644" s="6" t="str">
        <x:f>IF(B644="平","平",IF(B644="","","仄"))</x:f>
        <x:v>仄</x:v>
      </x:c>
      <x:c r="I644" s="6" t="str">
        <x:f>IF(D638="","",IF(AND(ISNUMBER(SEARCH("平",D638)),OR(ISNUMBER(SEARCH("上",D638)),ISNUMBER(SEARCH("去",D638)),ISNUMBER(SEARCH("入",D638)))),"Ambiguous",IF(ISNUMBER(SEARCH("平",D638)),"平","仄")))</x:f>
        <x:v>仄</x:v>
      </x:c>
      <x:c r="J644" s="7" t="str"/>
    </x:row>
    <x:row r="645">
      <x:c r="A645" s="5" t="str">
        <x:v>嘈</x:v>
      </x:c>
      <x:c r="B645" s="6" t="str">
        <x:v>平</x:v>
      </x:c>
      <x:c r="C645" s="6" t="str">
        <x:f>IF(B645="","Needs decision","Ready")</x:f>
        <x:v>Ready</x:v>
      </x:c>
      <x:c r="D645" s="6" t="str">
        <x:v>平</x:v>
      </x:c>
      <x:c r="E645" s="6" t="str">
        <x:v>dzaw [d̙z̙əw] (平)</x:v>
      </x:c>
      <x:c r="F645" s="6" t="str">
        <x:v>1</x:v>
      </x:c>
      <x:c r="G645" s="6" t="str">
        <x:v>Tang 300 gap; frequency 4; provisional from Xun Gong</x:v>
      </x:c>
      <x:c r="H645" s="6" t="str">
        <x:f>IF(B645="平","平",IF(B645="","","仄"))</x:f>
        <x:v>平</x:v>
      </x:c>
      <x:c r="I645" s="6" t="str">
        <x:f>IF(D639="","",IF(AND(ISNUMBER(SEARCH("平",D639)),OR(ISNUMBER(SEARCH("上",D639)),ISNUMBER(SEARCH("去",D639)),ISNUMBER(SEARCH("入",D639)))),"Ambiguous",IF(ISNUMBER(SEARCH("平",D639)),"平","仄")))</x:f>
        <x:v>平</x:v>
      </x:c>
      <x:c r="J645" s="7" t="str">
        <x:v>Xun Gong, Tang 300 gap fill</x:v>
      </x:c>
    </x:row>
    <x:row r="646">
      <x:c r="A646" s="5" t="str">
        <x:v>嘉</x:v>
      </x:c>
      <x:c r="B646" s="6" t="str">
        <x:v>平</x:v>
      </x:c>
      <x:c r="C646" s="6" t="str">
        <x:f>IF(B646="","Needs decision","Ready")</x:f>
        <x:v>Ready</x:v>
      </x:c>
      <x:c r="D646" s="6" t="str">
        <x:v>平</x:v>
      </x:c>
      <x:c r="E646" s="6" t="str">
        <x:v>kae (A)</x:v>
      </x:c>
      <x:c r="F646" s="6" t="str">
        <x:v>1</x:v>
      </x:c>
      <x:c r="G646" s="6" t="str"/>
      <x:c r="H646" s="6" t="str">
        <x:f>IF(B646="平","平",IF(B646="","","仄"))</x:f>
        <x:v>平</x:v>
      </x:c>
      <x:c r="I646" s="6" t="str">
        <x:f>IF(D640="","",IF(AND(ISNUMBER(SEARCH("平",D640)),OR(ISNUMBER(SEARCH("上",D640)),ISNUMBER(SEARCH("去",D640)),ISNUMBER(SEARCH("入",D640)))),"Ambiguous",IF(ISNUMBER(SEARCH("平",D640)),"平","仄")))</x:f>
        <x:v>仄</x:v>
      </x:c>
      <x:c r="J646" s="7" t="str"/>
    </x:row>
    <x:row r="647">
      <x:c r="A647" s="5" t="str">
        <x:v>嘒</x:v>
      </x:c>
      <x:c r="B647" s="6" t="str">
        <x:v>去</x:v>
      </x:c>
      <x:c r="C647" s="6" t="str">
        <x:f>IF(B647="","Needs decision","Ready")</x:f>
        <x:v>Ready</x:v>
      </x:c>
      <x:c r="D647" s="6" t="str">
        <x:v>去</x:v>
      </x:c>
      <x:c r="E647" s="6" t="str">
        <x:v>xwejH (C)</x:v>
      </x:c>
      <x:c r="F647" s="6" t="str">
        <x:v>1</x:v>
      </x:c>
      <x:c r="G647" s="6" t="str"/>
      <x:c r="H647" s="6" t="str">
        <x:f>IF(B647="平","平",IF(B647="","","仄"))</x:f>
        <x:v>仄</x:v>
      </x:c>
      <x:c r="I647" s="6" t="str">
        <x:f>IF(D641="","",IF(AND(ISNUMBER(SEARCH("平",D641)),OR(ISNUMBER(SEARCH("上",D641)),ISNUMBER(SEARCH("去",D641)),ISNUMBER(SEARCH("入",D641)))),"Ambiguous",IF(ISNUMBER(SEARCH("平",D641)),"平","仄")))</x:f>
        <x:v>平</x:v>
      </x:c>
      <x:c r="J647" s="7" t="str"/>
    </x:row>
    <x:row r="648">
      <x:c r="A648" s="5" t="str">
        <x:v>嘔</x:v>
      </x:c>
      <x:c r="B648" s="6" t="str">
        <x:v>上</x:v>
      </x:c>
      <x:c r="C648" s="6" t="str">
        <x:f>IF(B648="","Needs decision","Ready")</x:f>
        <x:v>Ready</x:v>
      </x:c>
      <x:c r="D648" s="6" t="str">
        <x:v>上</x:v>
      </x:c>
      <x:c r="E648" s="6" t="str">
        <x:v>'uwX (B)</x:v>
      </x:c>
      <x:c r="F648" s="6" t="str">
        <x:v>1</x:v>
      </x:c>
      <x:c r="G648" s="6" t="str"/>
      <x:c r="H648" s="6" t="str">
        <x:f>IF(B648="平","平",IF(B648="","","仄"))</x:f>
        <x:v>仄</x:v>
      </x:c>
      <x:c r="I648" s="6" t="str">
        <x:f>IF(D642="","",IF(AND(ISNUMBER(SEARCH("平",D642)),OR(ISNUMBER(SEARCH("上",D642)),ISNUMBER(SEARCH("去",D642)),ISNUMBER(SEARCH("入",D642)))),"Ambiguous",IF(ISNUMBER(SEARCH("平",D642)),"平","仄")))</x:f>
        <x:v>仄</x:v>
      </x:c>
      <x:c r="J648" s="7" t="str"/>
    </x:row>
    <x:row r="649">
      <x:c r="A649" s="5" t="str">
        <x:v>嘗</x:v>
      </x:c>
      <x:c r="B649" s="6" t="str">
        <x:v>平</x:v>
      </x:c>
      <x:c r="C649" s="6" t="str">
        <x:f>IF(B649="","Needs decision","Ready")</x:f>
        <x:v>Ready</x:v>
      </x:c>
      <x:c r="D649" s="6" t="str">
        <x:v>平</x:v>
      </x:c>
      <x:c r="E649" s="6" t="str">
        <x:v>dzyang (A)</x:v>
      </x:c>
      <x:c r="F649" s="6" t="str">
        <x:v>1</x:v>
      </x:c>
      <x:c r="G649" s="6" t="str"/>
      <x:c r="H649" s="6" t="str">
        <x:f>IF(B649="平","平",IF(B649="","","仄"))</x:f>
        <x:v>平</x:v>
      </x:c>
      <x:c r="I649" s="6" t="str">
        <x:f>IF(D643="","",IF(AND(ISNUMBER(SEARCH("平",D643)),OR(ISNUMBER(SEARCH("上",D643)),ISNUMBER(SEARCH("去",D643)),ISNUMBER(SEARCH("入",D643)))),"Ambiguous",IF(ISNUMBER(SEARCH("平",D643)),"平","仄")))</x:f>
        <x:v>仄</x:v>
      </x:c>
      <x:c r="J649" s="7" t="str"/>
    </x:row>
    <x:row r="650">
      <x:c r="A650" s="5" t="str">
        <x:v>嘬</x:v>
      </x:c>
      <x:c r="B650" s="6" t="str">
        <x:v>去</x:v>
      </x:c>
      <x:c r="C650" s="6" t="str">
        <x:f>IF(B650="","Needs decision","Ready")</x:f>
        <x:v>Ready</x:v>
      </x:c>
      <x:c r="D650" s="6" t="str">
        <x:v>去</x:v>
      </x:c>
      <x:c r="E650" s="6" t="str">
        <x:v>tsrhwaejH (C); tsrhweajH (C)</x:v>
      </x:c>
      <x:c r="F650" s="6" t="str">
        <x:v>2</x:v>
      </x:c>
      <x:c r="G650" s="6" t="str"/>
      <x:c r="H650" s="6" t="str">
        <x:f>IF(B650="平","平",IF(B650="","","仄"))</x:f>
        <x:v>仄</x:v>
      </x:c>
      <x:c r="I650" s="6" t="str">
        <x:f>IF(D644="","",IF(AND(ISNUMBER(SEARCH("平",D644)),OR(ISNUMBER(SEARCH("上",D644)),ISNUMBER(SEARCH("去",D644)),ISNUMBER(SEARCH("入",D644)))),"Ambiguous",IF(ISNUMBER(SEARCH("平",D644)),"平","仄")))</x:f>
        <x:v>仄</x:v>
      </x:c>
      <x:c r="J650" s="7" t="str"/>
    </x:row>
    <x:row r="651">
      <x:c r="A651" s="5" t="str">
        <x:v>嘯</x:v>
      </x:c>
      <x:c r="B651" s="6" t="str">
        <x:v>去</x:v>
      </x:c>
      <x:c r="C651" s="6" t="str">
        <x:f>IF(B651="","Needs decision","Ready")</x:f>
        <x:v>Ready</x:v>
      </x:c>
      <x:c r="D651" s="6" t="str">
        <x:v>去</x:v>
      </x:c>
      <x:c r="E651" s="6" t="str">
        <x:v>sewH (C)</x:v>
      </x:c>
      <x:c r="F651" s="6" t="str">
        <x:v>1</x:v>
      </x:c>
      <x:c r="G651" s="6" t="str"/>
      <x:c r="H651" s="6" t="str">
        <x:f>IF(B651="平","平",IF(B651="","","仄"))</x:f>
        <x:v>仄</x:v>
      </x:c>
      <x:c r="I651" s="6" t="str">
        <x:f>IF(D645="","",IF(AND(ISNUMBER(SEARCH("平",D645)),OR(ISNUMBER(SEARCH("上",D645)),ISNUMBER(SEARCH("去",D645)),ISNUMBER(SEARCH("入",D645)))),"Ambiguous",IF(ISNUMBER(SEARCH("平",D645)),"平","仄")))</x:f>
        <x:v>平</x:v>
      </x:c>
      <x:c r="J651" s="7" t="str"/>
    </x:row>
    <x:row r="652">
      <x:c r="A652" s="5" t="str">
        <x:v>嘲</x:v>
      </x:c>
      <x:c r="B652" s="6" t="str">
        <x:v>平</x:v>
      </x:c>
      <x:c r="C652" s="6" t="str">
        <x:f>IF(B652="","Needs decision","Ready")</x:f>
        <x:v>Ready</x:v>
      </x:c>
      <x:c r="D652" s="6" t="str">
        <x:v>平</x:v>
      </x:c>
      <x:c r="E652" s="6" t="str">
        <x:v>traew [ʈaˤw] (平)</x:v>
      </x:c>
      <x:c r="F652" s="6" t="str">
        <x:v>1</x:v>
      </x:c>
      <x:c r="G652" s="6" t="str">
        <x:v>Tang 300 gap; frequency 1; provisional from Xun Gong</x:v>
      </x:c>
      <x:c r="H652" s="6" t="str">
        <x:f>IF(B652="平","平",IF(B652="","","仄"))</x:f>
        <x:v>平</x:v>
      </x:c>
      <x:c r="I652" s="6" t="str">
        <x:f>IF(D646="","",IF(AND(ISNUMBER(SEARCH("平",D646)),OR(ISNUMBER(SEARCH("上",D646)),ISNUMBER(SEARCH("去",D646)),ISNUMBER(SEARCH("入",D646)))),"Ambiguous",IF(ISNUMBER(SEARCH("平",D646)),"平","仄")))</x:f>
        <x:v>平</x:v>
      </x:c>
      <x:c r="J652" s="7" t="str">
        <x:v>Xun Gong, Tang 300 gap fill</x:v>
      </x:c>
    </x:row>
    <x:row r="653">
      <x:c r="A653" s="5" t="str">
        <x:v>嘶</x:v>
      </x:c>
      <x:c r="B653" s="6" t="str">
        <x:v>平</x:v>
      </x:c>
      <x:c r="C653" s="6" t="str">
        <x:f>IF(B653="","Needs decision","Ready")</x:f>
        <x:v>Ready</x:v>
      </x:c>
      <x:c r="D653" s="6" t="str">
        <x:v>平</x:v>
      </x:c>
      <x:c r="E653" s="6" t="str">
        <x:v>sej (A)</x:v>
      </x:c>
      <x:c r="F653" s="6" t="str">
        <x:v>1</x:v>
      </x:c>
      <x:c r="G653" s="6" t="str"/>
      <x:c r="H653" s="6" t="str">
        <x:f>IF(B653="平","平",IF(B653="","","仄"))</x:f>
        <x:v>平</x:v>
      </x:c>
      <x:c r="I653" s="6" t="str">
        <x:f>IF(D647="","",IF(AND(ISNUMBER(SEARCH("平",D647)),OR(ISNUMBER(SEARCH("上",D647)),ISNUMBER(SEARCH("去",D647)),ISNUMBER(SEARCH("入",D647)))),"Ambiguous",IF(ISNUMBER(SEARCH("平",D647)),"平","仄")))</x:f>
        <x:v>仄</x:v>
      </x:c>
      <x:c r="J653" s="7" t="str"/>
    </x:row>
    <x:row r="654">
      <x:c r="A654" s="5" t="str">
        <x:v>嘽</x:v>
      </x:c>
      <x:c r="B654" s="6" t="str">
        <x:v>平</x:v>
      </x:c>
      <x:c r="C654" s="6" t="str">
        <x:f>IF(B654="","Needs decision","Ready")</x:f>
        <x:v>Ready</x:v>
      </x:c>
      <x:c r="D654" s="6" t="str">
        <x:v>平</x:v>
      </x:c>
      <x:c r="E654" s="6" t="str">
        <x:v>than (A)</x:v>
      </x:c>
      <x:c r="F654" s="6" t="str">
        <x:v>1</x:v>
      </x:c>
      <x:c r="G654" s="6" t="str"/>
      <x:c r="H654" s="6" t="str">
        <x:f>IF(B654="平","平",IF(B654="","","仄"))</x:f>
        <x:v>平</x:v>
      </x:c>
      <x:c r="I654" s="6" t="str">
        <x:f>IF(D648="","",IF(AND(ISNUMBER(SEARCH("平",D648)),OR(ISNUMBER(SEARCH("上",D648)),ISNUMBER(SEARCH("去",D648)),ISNUMBER(SEARCH("入",D648)))),"Ambiguous",IF(ISNUMBER(SEARCH("平",D648)),"平","仄")))</x:f>
        <x:v>仄</x:v>
      </x:c>
      <x:c r="J654" s="7" t="str"/>
    </x:row>
    <x:row r="655">
      <x:c r="A655" s="5" t="str">
        <x:v>噆</x:v>
      </x:c>
      <x:c r="B655" s="6" t="str">
        <x:v>入</x:v>
      </x:c>
      <x:c r="C655" s="6" t="str">
        <x:f>IF(B655="","Needs decision","Ready")</x:f>
        <x:v>Ready</x:v>
      </x:c>
      <x:c r="D655" s="6" t="str">
        <x:v>入</x:v>
      </x:c>
      <x:c r="E655" s="6" t="str">
        <x:v>tsop (D)</x:v>
      </x:c>
      <x:c r="F655" s="6" t="str">
        <x:v>1</x:v>
      </x:c>
      <x:c r="G655" s="6" t="str"/>
      <x:c r="H655" s="6" t="str">
        <x:f>IF(B655="平","平",IF(B655="","","仄"))</x:f>
        <x:v>仄</x:v>
      </x:c>
      <x:c r="I655" s="6" t="str">
        <x:f>IF(D649="","",IF(AND(ISNUMBER(SEARCH("平",D649)),OR(ISNUMBER(SEARCH("上",D649)),ISNUMBER(SEARCH("去",D649)),ISNUMBER(SEARCH("入",D649)))),"Ambiguous",IF(ISNUMBER(SEARCH("平",D649)),"平","仄")))</x:f>
        <x:v>平</x:v>
      </x:c>
      <x:c r="J655" s="7" t="str"/>
    </x:row>
    <x:row r="656">
      <x:c r="A656" s="5" t="str">
        <x:v>噍</x:v>
      </x:c>
      <x:c r="B656" s="6" t="str">
        <x:v>去</x:v>
      </x:c>
      <x:c r="C656" s="6" t="str">
        <x:f>IF(B656="","Needs decision","Ready")</x:f>
        <x:v>Ready</x:v>
      </x:c>
      <x:c r="D656" s="6" t="str">
        <x:v>去</x:v>
      </x:c>
      <x:c r="E656" s="6" t="str">
        <x:v>dzjewH (C)</x:v>
      </x:c>
      <x:c r="F656" s="6" t="str">
        <x:v>1</x:v>
      </x:c>
      <x:c r="G656" s="6" t="str"/>
      <x:c r="H656" s="6" t="str">
        <x:f>IF(B656="平","平",IF(B656="","","仄"))</x:f>
        <x:v>仄</x:v>
      </x:c>
      <x:c r="I656" s="6" t="str">
        <x:f>IF(D650="","",IF(AND(ISNUMBER(SEARCH("平",D650)),OR(ISNUMBER(SEARCH("上",D650)),ISNUMBER(SEARCH("去",D650)),ISNUMBER(SEARCH("入",D650)))),"Ambiguous",IF(ISNUMBER(SEARCH("平",D650)),"平","仄")))</x:f>
        <x:v>仄</x:v>
      </x:c>
      <x:c r="J656" s="7" t="str"/>
    </x:row>
    <x:row r="657">
      <x:c r="A657" s="5" t="str">
        <x:v>噎</x:v>
      </x:c>
      <x:c r="B657" s="6" t="str">
        <x:v>入</x:v>
      </x:c>
      <x:c r="C657" s="6" t="str">
        <x:f>IF(B657="","Needs decision","Ready")</x:f>
        <x:v>Ready</x:v>
      </x:c>
      <x:c r="D657" s="6" t="str">
        <x:v>入</x:v>
      </x:c>
      <x:c r="E657" s="6" t="str">
        <x:v>'et (D)</x:v>
      </x:c>
      <x:c r="F657" s="6" t="str">
        <x:v>1</x:v>
      </x:c>
      <x:c r="G657" s="6" t="str"/>
      <x:c r="H657" s="6" t="str">
        <x:f>IF(B657="平","平",IF(B657="","","仄"))</x:f>
        <x:v>仄</x:v>
      </x:c>
      <x:c r="I657" s="6" t="str">
        <x:f>IF(D651="","",IF(AND(ISNUMBER(SEARCH("平",D651)),OR(ISNUMBER(SEARCH("上",D651)),ISNUMBER(SEARCH("去",D651)),ISNUMBER(SEARCH("入",D651)))),"Ambiguous",IF(ISNUMBER(SEARCH("平",D651)),"平","仄")))</x:f>
        <x:v>仄</x:v>
      </x:c>
      <x:c r="J657" s="7" t="str"/>
    </x:row>
    <x:row r="658">
      <x:c r="A658" s="5" t="str">
        <x:v>噏</x:v>
      </x:c>
      <x:c r="B658" s="6" t="str">
        <x:v>入</x:v>
      </x:c>
      <x:c r="C658" s="6" t="str">
        <x:f>IF(B658="","Needs decision","Ready")</x:f>
        <x:v>Ready</x:v>
      </x:c>
      <x:c r="D658" s="6" t="str">
        <x:v>入</x:v>
      </x:c>
      <x:c r="E658" s="6" t="str">
        <x:v>xip (D)</x:v>
      </x:c>
      <x:c r="F658" s="6" t="str">
        <x:v>1</x:v>
      </x:c>
      <x:c r="G658" s="6" t="str"/>
      <x:c r="H658" s="6" t="str">
        <x:f>IF(B658="平","平",IF(B658="","","仄"))</x:f>
        <x:v>仄</x:v>
      </x:c>
      <x:c r="I658" s="6" t="str">
        <x:f>IF(D652="","",IF(AND(ISNUMBER(SEARCH("平",D652)),OR(ISNUMBER(SEARCH("上",D652)),ISNUMBER(SEARCH("去",D652)),ISNUMBER(SEARCH("入",D652)))),"Ambiguous",IF(ISNUMBER(SEARCH("平",D652)),"平","仄")))</x:f>
        <x:v>平</x:v>
      </x:c>
      <x:c r="J658" s="7" t="str"/>
    </x:row>
    <x:row r="659">
      <x:c r="A659" s="5" t="str">
        <x:v>噡</x:v>
      </x:c>
      <x:c r="B659" s="6" t="str">
        <x:v>平</x:v>
      </x:c>
      <x:c r="C659" s="6" t="str">
        <x:f>IF(B659="","Needs decision","Ready")</x:f>
        <x:v>Ready</x:v>
      </x:c>
      <x:c r="D659" s="6" t="str">
        <x:v>平</x:v>
      </x:c>
      <x:c r="E659" s="6" t="str">
        <x:v>tsyem (A)</x:v>
      </x:c>
      <x:c r="F659" s="6" t="str">
        <x:v>1</x:v>
      </x:c>
      <x:c r="G659" s="6" t="str"/>
      <x:c r="H659" s="6" t="str">
        <x:f>IF(B659="平","平",IF(B659="","","仄"))</x:f>
        <x:v>平</x:v>
      </x:c>
      <x:c r="I659" s="6" t="str">
        <x:f>IF(D653="","",IF(AND(ISNUMBER(SEARCH("平",D653)),OR(ISNUMBER(SEARCH("上",D653)),ISNUMBER(SEARCH("去",D653)),ISNUMBER(SEARCH("入",D653)))),"Ambiguous",IF(ISNUMBER(SEARCH("平",D653)),"平","仄")))</x:f>
        <x:v>平</x:v>
      </x:c>
      <x:c r="J659" s="7" t="str"/>
    </x:row>
    <x:row r="660">
      <x:c r="A660" s="5" t="str">
        <x:v>器</x:v>
      </x:c>
      <x:c r="B660" s="6" t="str">
        <x:v>去</x:v>
      </x:c>
      <x:c r="C660" s="6" t="str">
        <x:f>IF(B660="","Needs decision","Ready")</x:f>
        <x:v>Ready</x:v>
      </x:c>
      <x:c r="D660" s="6" t="str">
        <x:v>去</x:v>
      </x:c>
      <x:c r="E660" s="6" t="str">
        <x:v>khijH (C)</x:v>
      </x:c>
      <x:c r="F660" s="6" t="str">
        <x:v>1</x:v>
      </x:c>
      <x:c r="G660" s="6" t="str"/>
      <x:c r="H660" s="6" t="str">
        <x:f>IF(B660="平","平",IF(B660="","","仄"))</x:f>
        <x:v>仄</x:v>
      </x:c>
      <x:c r="I660" s="6" t="str">
        <x:f>IF(D654="","",IF(AND(ISNUMBER(SEARCH("平",D654)),OR(ISNUMBER(SEARCH("上",D654)),ISNUMBER(SEARCH("去",D654)),ISNUMBER(SEARCH("入",D654)))),"Ambiguous",IF(ISNUMBER(SEARCH("平",D654)),"平","仄")))</x:f>
        <x:v>平</x:v>
      </x:c>
      <x:c r="J660" s="7" t="str"/>
    </x:row>
    <x:row r="661">
      <x:c r="A661" s="5" t="str">
        <x:v>噫</x:v>
      </x:c>
      <x:c r="B661" s="6" t="str"/>
      <x:c r="C661" s="6" t="str">
        <x:f>IF(B661="","Needs decision","Ready")</x:f>
        <x:v>Needs decision</x:v>
      </x:c>
      <x:c r="D661" s="6" t="str">
        <x:v>平/去</x:v>
      </x:c>
      <x:c r="E661" s="6" t="str">
        <x:v>'eajH [ʔ̙eˤjh] (去); 'i [ʔɨ] (平)</x:v>
      </x:c>
      <x:c r="F661" s="6" t="str">
        <x:v>2</x:v>
      </x:c>
      <x:c r="G661" s="6" t="str">
        <x:v>Tang 300 gap; frequency 1; ambiguous in Xun Gong</x:v>
      </x:c>
      <x:c r="H661" s="6" t="str">
        <x:f>IF(B661="平","平",IF(B661="","","仄"))</x:f>
      </x:c>
      <x:c r="I661" s="6" t="str">
        <x:f>IF(D655="","",IF(AND(ISNUMBER(SEARCH("平",D655)),OR(ISNUMBER(SEARCH("上",D655)),ISNUMBER(SEARCH("去",D655)),ISNUMBER(SEARCH("入",D655)))),"Ambiguous",IF(ISNUMBER(SEARCH("平",D655)),"平","仄")))</x:f>
        <x:v>仄</x:v>
      </x:c>
      <x:c r="J661" s="7" t="str">
        <x:v>Xun Gong, Tang 300 gap fill</x:v>
      </x:c>
    </x:row>
    <x:row r="662">
      <x:c r="A662" s="5" t="str">
        <x:v>噬</x:v>
      </x:c>
      <x:c r="B662" s="6" t="str">
        <x:v>去</x:v>
      </x:c>
      <x:c r="C662" s="6" t="str">
        <x:f>IF(B662="","Needs decision","Ready")</x:f>
        <x:v>Ready</x:v>
      </x:c>
      <x:c r="D662" s="6" t="str">
        <x:v>去</x:v>
      </x:c>
      <x:c r="E662" s="6" t="str">
        <x:v>dzyejH (C)</x:v>
      </x:c>
      <x:c r="F662" s="6" t="str">
        <x:v>1</x:v>
      </x:c>
      <x:c r="G662" s="6" t="str"/>
      <x:c r="H662" s="6" t="str">
        <x:f>IF(B662="平","平",IF(B662="","","仄"))</x:f>
        <x:v>仄</x:v>
      </x:c>
      <x:c r="I662" s="6" t="str">
        <x:f>IF(D656="","",IF(AND(ISNUMBER(SEARCH("平",D656)),OR(ISNUMBER(SEARCH("上",D656)),ISNUMBER(SEARCH("去",D656)),ISNUMBER(SEARCH("入",D656)))),"Ambiguous",IF(ISNUMBER(SEARCH("平",D656)),"平","仄")))</x:f>
        <x:v>仄</x:v>
      </x:c>
      <x:c r="J662" s="7" t="str"/>
    </x:row>
    <x:row r="663">
      <x:c r="A663" s="5" t="str">
        <x:v>噲</x:v>
      </x:c>
      <x:c r="B663" s="6" t="str">
        <x:v>去</x:v>
      </x:c>
      <x:c r="C663" s="6" t="str">
        <x:f>IF(B663="","Needs decision","Ready")</x:f>
        <x:v>Ready</x:v>
      </x:c>
      <x:c r="D663" s="6" t="str">
        <x:v>去</x:v>
      </x:c>
      <x:c r="E663" s="6" t="str">
        <x:v>khwaejH (C)</x:v>
      </x:c>
      <x:c r="F663" s="6" t="str">
        <x:v>1</x:v>
      </x:c>
      <x:c r="G663" s="6" t="str"/>
      <x:c r="H663" s="6" t="str">
        <x:f>IF(B663="平","平",IF(B663="","","仄"))</x:f>
        <x:v>仄</x:v>
      </x:c>
      <x:c r="I663" s="6" t="str">
        <x:f>IF(D657="","",IF(AND(ISNUMBER(SEARCH("平",D657)),OR(ISNUMBER(SEARCH("上",D657)),ISNUMBER(SEARCH("去",D657)),ISNUMBER(SEARCH("入",D657)))),"Ambiguous",IF(ISNUMBER(SEARCH("平",D657)),"平","仄")))</x:f>
        <x:v>仄</x:v>
      </x:c>
      <x:c r="J663" s="7" t="str"/>
    </x:row>
    <x:row r="664">
      <x:c r="A664" s="5" t="str">
        <x:v>噴</x:v>
      </x:c>
      <x:c r="B664" s="6" t="str"/>
      <x:c r="C664" s="6" t="str">
        <x:f>IF(B664="","Needs decision","Ready")</x:f>
        <x:v>Needs decision</x:v>
      </x:c>
      <x:c r="D664" s="6" t="str">
        <x:v>平/去</x:v>
      </x:c>
      <x:c r="E664" s="6" t="str">
        <x:v>phwon [p̙ʰwən] (平); phwonH [p̙ʰwənh] (去)</x:v>
      </x:c>
      <x:c r="F664" s="6" t="str">
        <x:v>2</x:v>
      </x:c>
      <x:c r="G664" s="6" t="str">
        <x:v>Tang 300 gap; frequency 1; ambiguous in Xun Gong</x:v>
      </x:c>
      <x:c r="H664" s="6" t="str">
        <x:f>IF(B664="平","平",IF(B664="","","仄"))</x:f>
      </x:c>
      <x:c r="I664" s="6" t="str">
        <x:f>IF(D658="","",IF(AND(ISNUMBER(SEARCH("平",D658)),OR(ISNUMBER(SEARCH("上",D658)),ISNUMBER(SEARCH("去",D658)),ISNUMBER(SEARCH("入",D658)))),"Ambiguous",IF(ISNUMBER(SEARCH("平",D658)),"平","仄")))</x:f>
        <x:v>仄</x:v>
      </x:c>
      <x:c r="J664" s="7" t="str">
        <x:v>Xun Gong, Tang 300 gap fill</x:v>
      </x:c>
    </x:row>
    <x:row r="665">
      <x:c r="A665" s="5" t="str">
        <x:v>嚇</x:v>
      </x:c>
      <x:c r="B665" s="6" t="str"/>
      <x:c r="C665" s="6" t="str">
        <x:f>IF(B665="","Needs decision","Ready")</x:f>
        <x:v>Needs decision</x:v>
      </x:c>
      <x:c r="D665" s="6" t="str">
        <x:v>入/去</x:v>
      </x:c>
      <x:c r="E665" s="6" t="str">
        <x:v>xaek (D); xaeH (C)</x:v>
      </x:c>
      <x:c r="F665" s="6" t="str">
        <x:v>2</x:v>
      </x:c>
      <x:c r="G665" s="6" t="str"/>
      <x:c r="H665" s="6" t="str">
        <x:f>IF(B665="平","平",IF(B665="","","仄"))</x:f>
      </x:c>
      <x:c r="I665" s="6" t="str">
        <x:f>IF(D659="","",IF(AND(ISNUMBER(SEARCH("平",D659)),OR(ISNUMBER(SEARCH("上",D659)),ISNUMBER(SEARCH("去",D659)),ISNUMBER(SEARCH("入",D659)))),"Ambiguous",IF(ISNUMBER(SEARCH("平",D659)),"平","仄")))</x:f>
        <x:v>平</x:v>
      </x:c>
      <x:c r="J665" s="7" t="str"/>
    </x:row>
    <x:row r="666">
      <x:c r="A666" s="5" t="str">
        <x:v>嚏</x:v>
      </x:c>
      <x:c r="B666" s="6" t="str">
        <x:v>去</x:v>
      </x:c>
      <x:c r="C666" s="6" t="str">
        <x:f>IF(B666="","Needs decision","Ready")</x:f>
        <x:v>Ready</x:v>
      </x:c>
      <x:c r="D666" s="6" t="str">
        <x:v>去</x:v>
      </x:c>
      <x:c r="E666" s="6" t="str">
        <x:v>tejH (C)</x:v>
      </x:c>
      <x:c r="F666" s="6" t="str">
        <x:v>1</x:v>
      </x:c>
      <x:c r="G666" s="6" t="str"/>
      <x:c r="H666" s="6" t="str">
        <x:f>IF(B666="平","平",IF(B666="","","仄"))</x:f>
        <x:v>仄</x:v>
      </x:c>
      <x:c r="I666" s="6" t="str">
        <x:f>IF(D660="","",IF(AND(ISNUMBER(SEARCH("平",D660)),OR(ISNUMBER(SEARCH("上",D660)),ISNUMBER(SEARCH("去",D660)),ISNUMBER(SEARCH("入",D660)))),"Ambiguous",IF(ISNUMBER(SEARCH("平",D660)),"平","仄")))</x:f>
        <x:v>仄</x:v>
      </x:c>
      <x:c r="J666" s="7" t="str"/>
    </x:row>
    <x:row r="667">
      <x:c r="A667" s="5" t="str">
        <x:v>嚮</x:v>
      </x:c>
      <x:c r="B667" s="6" t="str">
        <x:v>去</x:v>
      </x:c>
      <x:c r="C667" s="6" t="str">
        <x:f>IF(B667="","Needs decision","Ready")</x:f>
        <x:v>Ready</x:v>
      </x:c>
      <x:c r="D667" s="6" t="str">
        <x:v>去</x:v>
      </x:c>
      <x:c r="E667" s="6" t="str">
        <x:v>xjangH (C)</x:v>
      </x:c>
      <x:c r="F667" s="6" t="str">
        <x:v>1</x:v>
      </x:c>
      <x:c r="G667" s="6" t="str"/>
      <x:c r="H667" s="6" t="str">
        <x:f>IF(B667="平","平",IF(B667="","","仄"))</x:f>
        <x:v>仄</x:v>
      </x:c>
      <x:c r="I667" s="6" t="str">
        <x:f>IF(D661="","",IF(AND(ISNUMBER(SEARCH("平",D661)),OR(ISNUMBER(SEARCH("上",D661)),ISNUMBER(SEARCH("去",D661)),ISNUMBER(SEARCH("入",D661)))),"Ambiguous",IF(ISNUMBER(SEARCH("平",D661)),"平","仄")))</x:f>
        <x:v>Ambiguous</x:v>
      </x:c>
      <x:c r="J667" s="7" t="str"/>
    </x:row>
    <x:row r="668">
      <x:c r="A668" s="5" t="str">
        <x:v>嚱</x:v>
      </x:c>
      <x:c r="B668" s="6" t="str">
        <x:v>去</x:v>
      </x:c>
      <x:c r="C668" s="6" t="str">
        <x:f>IF(B668="","Needs decision","Ready")</x:f>
        <x:v>Ready</x:v>
      </x:c>
      <x:c r="D668" s="6" t="str">
        <x:v>去</x:v>
      </x:c>
      <x:c r="E668" s="6" t="str">
        <x:v>xjeH [xɨ̯ieh] (去)</x:v>
      </x:c>
      <x:c r="F668" s="6" t="str">
        <x:v>1</x:v>
      </x:c>
      <x:c r="G668" s="6" t="str">
        <x:v>Tang 300 gap; frequency 1; provisional from Xun Gong</x:v>
      </x:c>
      <x:c r="H668" s="6" t="str">
        <x:f>IF(B668="平","平",IF(B668="","","仄"))</x:f>
        <x:v>仄</x:v>
      </x:c>
      <x:c r="I668" s="6" t="str">
        <x:f>IF(D662="","",IF(AND(ISNUMBER(SEARCH("平",D662)),OR(ISNUMBER(SEARCH("上",D662)),ISNUMBER(SEARCH("去",D662)),ISNUMBER(SEARCH("入",D662)))),"Ambiguous",IF(ISNUMBER(SEARCH("平",D662)),"平","仄")))</x:f>
        <x:v>仄</x:v>
      </x:c>
      <x:c r="J668" s="7" t="str">
        <x:v>Xun Gong, Tang 300 gap fill</x:v>
      </x:c>
    </x:row>
    <x:row r="669">
      <x:c r="A669" s="5" t="str">
        <x:v>嚴</x:v>
      </x:c>
      <x:c r="B669" s="6" t="str">
        <x:v>平</x:v>
      </x:c>
      <x:c r="C669" s="6" t="str">
        <x:f>IF(B669="","Needs decision","Ready")</x:f>
        <x:v>Ready</x:v>
      </x:c>
      <x:c r="D669" s="6" t="str">
        <x:v>平</x:v>
      </x:c>
      <x:c r="E669" s="6" t="str">
        <x:v>ngjaem (A)</x:v>
      </x:c>
      <x:c r="F669" s="6" t="str">
        <x:v>1</x:v>
      </x:c>
      <x:c r="G669" s="6" t="str"/>
      <x:c r="H669" s="6" t="str">
        <x:f>IF(B669="平","平",IF(B669="","","仄"))</x:f>
        <x:v>平</x:v>
      </x:c>
      <x:c r="I669" s="6" t="str">
        <x:f>IF(D663="","",IF(AND(ISNUMBER(SEARCH("平",D663)),OR(ISNUMBER(SEARCH("上",D663)),ISNUMBER(SEARCH("去",D663)),ISNUMBER(SEARCH("入",D663)))),"Ambiguous",IF(ISNUMBER(SEARCH("平",D663)),"平","仄")))</x:f>
        <x:v>仄</x:v>
      </x:c>
      <x:c r="J669" s="7" t="str"/>
    </x:row>
    <x:row r="670">
      <x:c r="A670" s="5" t="str">
        <x:v>嚼</x:v>
      </x:c>
      <x:c r="B670" s="6" t="str">
        <x:v>入</x:v>
      </x:c>
      <x:c r="C670" s="6" t="str">
        <x:f>IF(B670="","Needs decision","Ready")</x:f>
        <x:v>Ready</x:v>
      </x:c>
      <x:c r="D670" s="6" t="str">
        <x:v>入</x:v>
      </x:c>
      <x:c r="E670" s="6" t="str">
        <x:v>dzjak [從開三陽入] dzjɑk</x:v>
      </x:c>
      <x:c r="F670" s="6" t="str">
        <x:v>1</x:v>
      </x:c>
      <x:c r="G670" s="6" t="str">
        <x:v>Targeted preliminary fill from Xun Gong; review if uncertain</x:v>
      </x:c>
      <x:c r="H670" s="6" t="str">
        <x:f>IF(B670="平","平",IF(B670="","","仄"))</x:f>
        <x:v>仄</x:v>
      </x:c>
      <x:c r="I670" s="6" t="str">
        <x:f>IF(D664="","",IF(AND(ISNUMBER(SEARCH("平",D664)),OR(ISNUMBER(SEARCH("上",D664)),ISNUMBER(SEARCH("去",D664)),ISNUMBER(SEARCH("入",D664)))),"Ambiguous",IF(ISNUMBER(SEARCH("平",D664)),"平","仄")))</x:f>
        <x:v>Ambiguous</x:v>
      </x:c>
      <x:c r="J670" s="7" t="str">
        <x:v>Xun Gong character-readings.csv</x:v>
      </x:c>
    </x:row>
    <x:row r="671">
      <x:c r="A671" s="5" t="str">
        <x:v>囀</x:v>
      </x:c>
      <x:c r="B671" s="6" t="str">
        <x:v>去</x:v>
      </x:c>
      <x:c r="C671" s="6" t="str">
        <x:f>IF(B671="","Needs decision","Ready")</x:f>
        <x:v>Ready</x:v>
      </x:c>
      <x:c r="D671" s="6" t="str">
        <x:v>去</x:v>
      </x:c>
      <x:c r="E671" s="6" t="str">
        <x:v>trjwenH [ʈjwenh] (去)</x:v>
      </x:c>
      <x:c r="F671" s="6" t="str">
        <x:v>1</x:v>
      </x:c>
      <x:c r="G671" s="6" t="str">
        <x:v>Tang 300 gap; frequency 2; provisional from Xun Gong</x:v>
      </x:c>
      <x:c r="H671" s="6" t="str">
        <x:f>IF(B671="平","平",IF(B671="","","仄"))</x:f>
        <x:v>仄</x:v>
      </x:c>
      <x:c r="I671" s="6" t="str">
        <x:f>IF(D665="","",IF(AND(ISNUMBER(SEARCH("平",D665)),OR(ISNUMBER(SEARCH("上",D665)),ISNUMBER(SEARCH("去",D665)),ISNUMBER(SEARCH("入",D665)))),"Ambiguous",IF(ISNUMBER(SEARCH("平",D665)),"平","仄")))</x:f>
        <x:v>仄</x:v>
      </x:c>
      <x:c r="J671" s="7" t="str">
        <x:v>Xun Gong, Tang 300 gap fill</x:v>
      </x:c>
    </x:row>
    <x:row r="672">
      <x:c r="A672" s="5" t="str">
        <x:v>囂</x:v>
      </x:c>
      <x:c r="B672" s="6" t="str">
        <x:v>平</x:v>
      </x:c>
      <x:c r="C672" s="6" t="str">
        <x:f>IF(B672="","Needs decision","Ready")</x:f>
        <x:v>Ready</x:v>
      </x:c>
      <x:c r="D672" s="6" t="str">
        <x:v>平</x:v>
      </x:c>
      <x:c r="E672" s="6" t="str">
        <x:v>ngaw (A)</x:v>
      </x:c>
      <x:c r="F672" s="6" t="str">
        <x:v>1</x:v>
      </x:c>
      <x:c r="G672" s="6" t="str"/>
      <x:c r="H672" s="6" t="str">
        <x:f>IF(B672="平","平",IF(B672="","","仄"))</x:f>
        <x:v>平</x:v>
      </x:c>
      <x:c r="I672" s="6" t="str">
        <x:f>IF(D666="","",IF(AND(ISNUMBER(SEARCH("平",D666)),OR(ISNUMBER(SEARCH("上",D666)),ISNUMBER(SEARCH("去",D666)),ISNUMBER(SEARCH("入",D666)))),"Ambiguous",IF(ISNUMBER(SEARCH("平",D666)),"平","仄")))</x:f>
        <x:v>仄</x:v>
      </x:c>
      <x:c r="J672" s="7" t="str"/>
    </x:row>
    <x:row r="673">
      <x:c r="A673" s="5" t="str">
        <x:v>囊</x:v>
      </x:c>
      <x:c r="B673" s="6" t="str">
        <x:v>平</x:v>
      </x:c>
      <x:c r="C673" s="6" t="str">
        <x:f>IF(B673="","Needs decision","Ready")</x:f>
        <x:v>Ready</x:v>
      </x:c>
      <x:c r="D673" s="6" t="str">
        <x:v>平</x:v>
      </x:c>
      <x:c r="E673" s="6" t="str">
        <x:v>nang (A)</x:v>
      </x:c>
      <x:c r="F673" s="6" t="str">
        <x:v>1</x:v>
      </x:c>
      <x:c r="G673" s="6" t="str"/>
      <x:c r="H673" s="6" t="str">
        <x:f>IF(B673="平","平",IF(B673="","","仄"))</x:f>
        <x:v>平</x:v>
      </x:c>
      <x:c r="I673" s="6" t="str">
        <x:f>IF(D667="","",IF(AND(ISNUMBER(SEARCH("平",D667)),OR(ISNUMBER(SEARCH("上",D667)),ISNUMBER(SEARCH("去",D667)),ISNUMBER(SEARCH("入",D667)))),"Ambiguous",IF(ISNUMBER(SEARCH("平",D667)),"平","仄")))</x:f>
        <x:v>仄</x:v>
      </x:c>
      <x:c r="J673" s="7" t="str"/>
    </x:row>
    <x:row r="674">
      <x:c r="A674" s="5" t="str">
        <x:v>囏</x:v>
      </x:c>
      <x:c r="B674" s="6" t="str">
        <x:v>平</x:v>
      </x:c>
      <x:c r="C674" s="6" t="str">
        <x:f>IF(B674="","Needs decision","Ready")</x:f>
        <x:v>Ready</x:v>
      </x:c>
      <x:c r="D674" s="6" t="str">
        <x:v>平</x:v>
      </x:c>
      <x:c r="E674" s="6" t="str">
        <x:v>kean (A)</x:v>
      </x:c>
      <x:c r="F674" s="6" t="str">
        <x:v>1</x:v>
      </x:c>
      <x:c r="G674" s="6" t="str"/>
      <x:c r="H674" s="6" t="str">
        <x:f>IF(B674="平","平",IF(B674="","","仄"))</x:f>
        <x:v>平</x:v>
      </x:c>
      <x:c r="I674" s="6" t="str">
        <x:f>IF(D668="","",IF(AND(ISNUMBER(SEARCH("平",D668)),OR(ISNUMBER(SEARCH("上",D668)),ISNUMBER(SEARCH("去",D668)),ISNUMBER(SEARCH("入",D668)))),"Ambiguous",IF(ISNUMBER(SEARCH("平",D668)),"平","仄")))</x:f>
        <x:v>仄</x:v>
      </x:c>
      <x:c r="J674" s="7" t="str"/>
    </x:row>
    <x:row r="675">
      <x:c r="A675" s="5" t="str">
        <x:v>囚</x:v>
      </x:c>
      <x:c r="B675" s="6" t="str">
        <x:v>平</x:v>
      </x:c>
      <x:c r="C675" s="6" t="str">
        <x:f>IF(B675="","Needs decision","Ready")</x:f>
        <x:v>Ready</x:v>
      </x:c>
      <x:c r="D675" s="6" t="str">
        <x:v>平</x:v>
      </x:c>
      <x:c r="E675" s="6" t="str">
        <x:v>zjuw (A)</x:v>
      </x:c>
      <x:c r="F675" s="6" t="str">
        <x:v>1</x:v>
      </x:c>
      <x:c r="G675" s="6" t="str"/>
      <x:c r="H675" s="6" t="str">
        <x:f>IF(B675="平","平",IF(B675="","","仄"))</x:f>
        <x:v>平</x:v>
      </x:c>
      <x:c r="I675" s="6" t="str">
        <x:f>IF(D669="","",IF(AND(ISNUMBER(SEARCH("平",D669)),OR(ISNUMBER(SEARCH("上",D669)),ISNUMBER(SEARCH("去",D669)),ISNUMBER(SEARCH("入",D669)))),"Ambiguous",IF(ISNUMBER(SEARCH("平",D669)),"平","仄")))</x:f>
        <x:v>平</x:v>
      </x:c>
      <x:c r="J675" s="7" t="str"/>
    </x:row>
    <x:row r="676">
      <x:c r="A676" s="5" t="str">
        <x:v>四</x:v>
      </x:c>
      <x:c r="B676" s="6" t="str">
        <x:v>去</x:v>
      </x:c>
      <x:c r="C676" s="6" t="str">
        <x:f>IF(B676="","Needs decision","Ready")</x:f>
        <x:v>Ready</x:v>
      </x:c>
      <x:c r="D676" s="6" t="str">
        <x:v>去</x:v>
      </x:c>
      <x:c r="E676" s="6" t="str">
        <x:v>sijH (C)</x:v>
      </x:c>
      <x:c r="F676" s="6" t="str">
        <x:v>1</x:v>
      </x:c>
      <x:c r="G676" s="6" t="str"/>
      <x:c r="H676" s="6" t="str">
        <x:f>IF(B676="平","平",IF(B676="","","仄"))</x:f>
        <x:v>仄</x:v>
      </x:c>
      <x:c r="I676" s="6" t="str">
        <x:f>IF(D670="","",IF(AND(ISNUMBER(SEARCH("平",D670)),OR(ISNUMBER(SEARCH("上",D670)),ISNUMBER(SEARCH("去",D670)),ISNUMBER(SEARCH("入",D670)))),"Ambiguous",IF(ISNUMBER(SEARCH("平",D670)),"平","仄")))</x:f>
        <x:v>仄</x:v>
      </x:c>
      <x:c r="J676" s="7" t="str"/>
    </x:row>
    <x:row r="677">
      <x:c r="A677" s="5" t="str">
        <x:v>回</x:v>
      </x:c>
      <x:c r="B677" s="6" t="str">
        <x:v>平</x:v>
      </x:c>
      <x:c r="C677" s="6" t="str">
        <x:f>IF(B677="","Needs decision","Ready")</x:f>
        <x:v>Ready</x:v>
      </x:c>
      <x:c r="D677" s="6" t="str">
        <x:v>平</x:v>
      </x:c>
      <x:c r="E677" s="6" t="str">
        <x:v>hwoj (A)</x:v>
      </x:c>
      <x:c r="F677" s="6" t="str">
        <x:v>1</x:v>
      </x:c>
      <x:c r="G677" s="6" t="str"/>
      <x:c r="H677" s="6" t="str">
        <x:f>IF(B677="平","平",IF(B677="","","仄"))</x:f>
        <x:v>平</x:v>
      </x:c>
      <x:c r="I677" s="6" t="str">
        <x:f>IF(D671="","",IF(AND(ISNUMBER(SEARCH("平",D671)),OR(ISNUMBER(SEARCH("上",D671)),ISNUMBER(SEARCH("去",D671)),ISNUMBER(SEARCH("入",D671)))),"Ambiguous",IF(ISNUMBER(SEARCH("平",D671)),"平","仄")))</x:f>
        <x:v>仄</x:v>
      </x:c>
      <x:c r="J677" s="7" t="str"/>
    </x:row>
    <x:row r="678">
      <x:c r="A678" s="5" t="str">
        <x:v>囟</x:v>
      </x:c>
      <x:c r="B678" s="6" t="str">
        <x:v>去</x:v>
      </x:c>
      <x:c r="C678" s="6" t="str">
        <x:f>IF(B678="","Needs decision","Ready")</x:f>
        <x:v>Ready</x:v>
      </x:c>
      <x:c r="D678" s="6" t="str">
        <x:v>去</x:v>
      </x:c>
      <x:c r="E678" s="6" t="str">
        <x:v>sinH (C)</x:v>
      </x:c>
      <x:c r="F678" s="6" t="str">
        <x:v>1</x:v>
      </x:c>
      <x:c r="G678" s="6" t="str"/>
      <x:c r="H678" s="6" t="str">
        <x:f>IF(B678="平","平",IF(B678="","","仄"))</x:f>
        <x:v>仄</x:v>
      </x:c>
      <x:c r="I678" s="6" t="str">
        <x:f>IF(D672="","",IF(AND(ISNUMBER(SEARCH("平",D672)),OR(ISNUMBER(SEARCH("上",D672)),ISNUMBER(SEARCH("去",D672)),ISNUMBER(SEARCH("入",D672)))),"Ambiguous",IF(ISNUMBER(SEARCH("平",D672)),"平","仄")))</x:f>
        <x:v>平</x:v>
      </x:c>
      <x:c r="J678" s="7" t="str"/>
    </x:row>
    <x:row r="679">
      <x:c r="A679" s="5" t="str">
        <x:v>因</x:v>
      </x:c>
      <x:c r="B679" s="6" t="str">
        <x:v>平</x:v>
      </x:c>
      <x:c r="C679" s="6" t="str">
        <x:f>IF(B679="","Needs decision","Ready")</x:f>
        <x:v>Ready</x:v>
      </x:c>
      <x:c r="D679" s="6" t="str">
        <x:v>平</x:v>
      </x:c>
      <x:c r="E679" s="6" t="str">
        <x:v>'jin (A)</x:v>
      </x:c>
      <x:c r="F679" s="6" t="str">
        <x:v>1</x:v>
      </x:c>
      <x:c r="G679" s="6" t="str"/>
      <x:c r="H679" s="6" t="str">
        <x:f>IF(B679="平","平",IF(B679="","","仄"))</x:f>
        <x:v>平</x:v>
      </x:c>
      <x:c r="I679" s="6" t="str">
        <x:f>IF(D673="","",IF(AND(ISNUMBER(SEARCH("平",D673)),OR(ISNUMBER(SEARCH("上",D673)),ISNUMBER(SEARCH("去",D673)),ISNUMBER(SEARCH("入",D673)))),"Ambiguous",IF(ISNUMBER(SEARCH("平",D673)),"平","仄")))</x:f>
        <x:v>平</x:v>
      </x:c>
      <x:c r="J679" s="7" t="str"/>
    </x:row>
    <x:row r="680">
      <x:c r="A680" s="5" t="str">
        <x:v>囧</x:v>
      </x:c>
      <x:c r="B680" s="6" t="str">
        <x:v>上</x:v>
      </x:c>
      <x:c r="C680" s="6" t="str">
        <x:f>IF(B680="","Needs decision","Ready")</x:f>
        <x:v>Ready</x:v>
      </x:c>
      <x:c r="D680" s="6" t="str">
        <x:v>上</x:v>
      </x:c>
      <x:c r="E680" s="6" t="str">
        <x:v>kjwaengX (B)</x:v>
      </x:c>
      <x:c r="F680" s="6" t="str">
        <x:v>1</x:v>
      </x:c>
      <x:c r="G680" s="6" t="str"/>
      <x:c r="H680" s="6" t="str">
        <x:f>IF(B680="平","平",IF(B680="","","仄"))</x:f>
        <x:v>仄</x:v>
      </x:c>
      <x:c r="I680" s="6" t="str">
        <x:f>IF(D674="","",IF(AND(ISNUMBER(SEARCH("平",D674)),OR(ISNUMBER(SEARCH("上",D674)),ISNUMBER(SEARCH("去",D674)),ISNUMBER(SEARCH("入",D674)))),"Ambiguous",IF(ISNUMBER(SEARCH("平",D674)),"平","仄")))</x:f>
        <x:v>平</x:v>
      </x:c>
      <x:c r="J680" s="7" t="str"/>
    </x:row>
    <x:row r="681">
      <x:c r="A681" s="5" t="str">
        <x:v>困</x:v>
      </x:c>
      <x:c r="B681" s="6" t="str">
        <x:v>去</x:v>
      </x:c>
      <x:c r="C681" s="6" t="str">
        <x:f>IF(B681="","Needs decision","Ready")</x:f>
        <x:v>Ready</x:v>
      </x:c>
      <x:c r="D681" s="6" t="str">
        <x:v>去</x:v>
      </x:c>
      <x:c r="E681" s="6" t="str">
        <x:v>khwonH (C)</x:v>
      </x:c>
      <x:c r="F681" s="6" t="str">
        <x:v>1</x:v>
      </x:c>
      <x:c r="G681" s="6" t="str"/>
      <x:c r="H681" s="6" t="str">
        <x:f>IF(B681="平","平",IF(B681="","","仄"))</x:f>
        <x:v>仄</x:v>
      </x:c>
      <x:c r="I681" s="6" t="str">
        <x:f>IF(D675="","",IF(AND(ISNUMBER(SEARCH("平",D675)),OR(ISNUMBER(SEARCH("上",D675)),ISNUMBER(SEARCH("去",D675)),ISNUMBER(SEARCH("入",D675)))),"Ambiguous",IF(ISNUMBER(SEARCH("平",D675)),"平","仄")))</x:f>
        <x:v>平</x:v>
      </x:c>
      <x:c r="J681" s="7" t="str"/>
    </x:row>
    <x:row r="682">
      <x:c r="A682" s="5" t="str">
        <x:v>囷</x:v>
      </x:c>
      <x:c r="B682" s="6" t="str">
        <x:v>平</x:v>
      </x:c>
      <x:c r="C682" s="6" t="str">
        <x:f>IF(B682="","Needs decision","Ready")</x:f>
        <x:v>Ready</x:v>
      </x:c>
      <x:c r="D682" s="6" t="str">
        <x:v>平</x:v>
      </x:c>
      <x:c r="E682" s="6" t="str">
        <x:v>khwin (A)</x:v>
      </x:c>
      <x:c r="F682" s="6" t="str">
        <x:v>1</x:v>
      </x:c>
      <x:c r="G682" s="6" t="str"/>
      <x:c r="H682" s="6" t="str">
        <x:f>IF(B682="平","平",IF(B682="","","仄"))</x:f>
        <x:v>平</x:v>
      </x:c>
      <x:c r="I682" s="6" t="str">
        <x:f>IF(D676="","",IF(AND(ISNUMBER(SEARCH("平",D676)),OR(ISNUMBER(SEARCH("上",D676)),ISNUMBER(SEARCH("去",D676)),ISNUMBER(SEARCH("入",D676)))),"Ambiguous",IF(ISNUMBER(SEARCH("平",D676)),"平","仄")))</x:f>
        <x:v>仄</x:v>
      </x:c>
      <x:c r="J682" s="7" t="str"/>
    </x:row>
    <x:row r="683">
      <x:c r="A683" s="5" t="str">
        <x:v>固</x:v>
      </x:c>
      <x:c r="B683" s="6" t="str">
        <x:v>去</x:v>
      </x:c>
      <x:c r="C683" s="6" t="str">
        <x:f>IF(B683="","Needs decision","Ready")</x:f>
        <x:v>Ready</x:v>
      </x:c>
      <x:c r="D683" s="6" t="str">
        <x:v>去</x:v>
      </x:c>
      <x:c r="E683" s="6" t="str">
        <x:v>kuH (C)</x:v>
      </x:c>
      <x:c r="F683" s="6" t="str">
        <x:v>1</x:v>
      </x:c>
      <x:c r="G683" s="6" t="str"/>
      <x:c r="H683" s="6" t="str">
        <x:f>IF(B683="平","平",IF(B683="","","仄"))</x:f>
        <x:v>仄</x:v>
      </x:c>
      <x:c r="I683" s="6" t="str">
        <x:f>IF(D677="","",IF(AND(ISNUMBER(SEARCH("平",D677)),OR(ISNUMBER(SEARCH("上",D677)),ISNUMBER(SEARCH("去",D677)),ISNUMBER(SEARCH("入",D677)))),"Ambiguous",IF(ISNUMBER(SEARCH("平",D677)),"平","仄")))</x:f>
        <x:v>平</x:v>
      </x:c>
      <x:c r="J683" s="7" t="str"/>
    </x:row>
    <x:row r="684">
      <x:c r="A684" s="5" t="str">
        <x:v>囿</x:v>
      </x:c>
      <x:c r="B684" s="6" t="str"/>
      <x:c r="C684" s="6" t="str">
        <x:f>IF(B684="","Needs decision","Ready")</x:f>
        <x:v>Needs decision</x:v>
      </x:c>
      <x:c r="D684" s="6" t="str">
        <x:v>去/入</x:v>
      </x:c>
      <x:c r="E684" s="6" t="str">
        <x:v>hjuwH (C); hjuwk (D)</x:v>
      </x:c>
      <x:c r="F684" s="6" t="str">
        <x:v>2</x:v>
      </x:c>
      <x:c r="G684" s="6" t="str"/>
      <x:c r="H684" s="6" t="str">
        <x:f>IF(B684="平","平",IF(B684="","","仄"))</x:f>
      </x:c>
      <x:c r="I684" s="6" t="str">
        <x:f>IF(D678="","",IF(AND(ISNUMBER(SEARCH("平",D678)),OR(ISNUMBER(SEARCH("上",D678)),ISNUMBER(SEARCH("去",D678)),ISNUMBER(SEARCH("入",D678)))),"Ambiguous",IF(ISNUMBER(SEARCH("平",D678)),"平","仄")))</x:f>
        <x:v>仄</x:v>
      </x:c>
      <x:c r="J684" s="7" t="str"/>
    </x:row>
    <x:row r="685">
      <x:c r="A685" s="5" t="str">
        <x:v>圃</x:v>
      </x:c>
      <x:c r="B685" s="6" t="str"/>
      <x:c r="C685" s="6" t="str">
        <x:f>IF(B685="","Needs decision","Ready")</x:f>
        <x:v>Needs decision</x:v>
      </x:c>
      <x:c r="D685" s="6" t="str">
        <x:v>上/去</x:v>
      </x:c>
      <x:c r="E685" s="6" t="str">
        <x:v>puX [幫一模上] p̙oʔ; puH [幫一模去] p̙oh</x:v>
      </x:c>
      <x:c r="F685" s="6" t="str">
        <x:v>2</x:v>
      </x:c>
      <x:c r="G685" s="6" t="str">
        <x:v>Targeted preliminary fill from Xun Gong; review if uncertain</x:v>
      </x:c>
      <x:c r="H685" s="6" t="str">
        <x:f>IF(B685="平","平",IF(B685="","","仄"))</x:f>
      </x:c>
      <x:c r="I685" s="6" t="str">
        <x:f>IF(D679="","",IF(AND(ISNUMBER(SEARCH("平",D679)),OR(ISNUMBER(SEARCH("上",D679)),ISNUMBER(SEARCH("去",D679)),ISNUMBER(SEARCH("入",D679)))),"Ambiguous",IF(ISNUMBER(SEARCH("平",D679)),"平","仄")))</x:f>
        <x:v>平</x:v>
      </x:c>
      <x:c r="J685" s="7" t="str">
        <x:v>Xun Gong character-readings.csv</x:v>
      </x:c>
    </x:row>
    <x:row r="686">
      <x:c r="A686" s="5" t="str">
        <x:v>圄</x:v>
      </x:c>
      <x:c r="B686" s="6" t="str">
        <x:v>上</x:v>
      </x:c>
      <x:c r="C686" s="6" t="str">
        <x:f>IF(B686="","Needs decision","Ready")</x:f>
        <x:v>Ready</x:v>
      </x:c>
      <x:c r="D686" s="6" t="str">
        <x:v>上</x:v>
      </x:c>
      <x:c r="E686" s="6" t="str">
        <x:v>ngjoX (B)</x:v>
      </x:c>
      <x:c r="F686" s="6" t="str">
        <x:v>1</x:v>
      </x:c>
      <x:c r="G686" s="6" t="str"/>
      <x:c r="H686" s="6" t="str">
        <x:f>IF(B686="平","平",IF(B686="","","仄"))</x:f>
        <x:v>仄</x:v>
      </x:c>
      <x:c r="I686" s="6" t="str">
        <x:f>IF(D680="","",IF(AND(ISNUMBER(SEARCH("平",D680)),OR(ISNUMBER(SEARCH("上",D680)),ISNUMBER(SEARCH("去",D680)),ISNUMBER(SEARCH("入",D680)))),"Ambiguous",IF(ISNUMBER(SEARCH("平",D680)),"平","仄")))</x:f>
        <x:v>仄</x:v>
      </x:c>
      <x:c r="J686" s="7" t="str"/>
    </x:row>
    <x:row r="687">
      <x:c r="A687" s="5" t="str">
        <x:v>圅</x:v>
      </x:c>
      <x:c r="B687" s="6" t="str">
        <x:v>平</x:v>
      </x:c>
      <x:c r="C687" s="6" t="str">
        <x:f>IF(B687="","Needs decision","Ready")</x:f>
        <x:v>Ready</x:v>
      </x:c>
      <x:c r="D687" s="6" t="str">
        <x:v>平</x:v>
      </x:c>
      <x:c r="E687" s="6" t="str">
        <x:v>hom (A)</x:v>
      </x:c>
      <x:c r="F687" s="6" t="str">
        <x:v>1</x:v>
      </x:c>
      <x:c r="G687" s="6" t="str"/>
      <x:c r="H687" s="6" t="str">
        <x:f>IF(B687="平","平",IF(B687="","","仄"))</x:f>
        <x:v>平</x:v>
      </x:c>
      <x:c r="I687" s="6" t="str">
        <x:f>IF(D681="","",IF(AND(ISNUMBER(SEARCH("平",D681)),OR(ISNUMBER(SEARCH("上",D681)),ISNUMBER(SEARCH("去",D681)),ISNUMBER(SEARCH("入",D681)))),"Ambiguous",IF(ISNUMBER(SEARCH("平",D681)),"平","仄")))</x:f>
        <x:v>仄</x:v>
      </x:c>
      <x:c r="J687" s="7" t="str"/>
    </x:row>
    <x:row r="688">
      <x:c r="A688" s="5" t="str">
        <x:v>圈</x:v>
      </x:c>
      <x:c r="B688" s="6" t="str">
        <x:v>上</x:v>
      </x:c>
      <x:c r="C688" s="6" t="str">
        <x:f>IF(B688="","Needs decision","Ready")</x:f>
        <x:v>Ready</x:v>
      </x:c>
      <x:c r="D688" s="6" t="str">
        <x:v>上</x:v>
      </x:c>
      <x:c r="E688" s="6" t="str">
        <x:v>gjwenX (B)</x:v>
      </x:c>
      <x:c r="F688" s="6" t="str">
        <x:v>1</x:v>
      </x:c>
      <x:c r="G688" s="6" t="str"/>
      <x:c r="H688" s="6" t="str">
        <x:f>IF(B688="平","平",IF(B688="","","仄"))</x:f>
        <x:v>仄</x:v>
      </x:c>
      <x:c r="I688" s="6" t="str">
        <x:f>IF(D682="","",IF(AND(ISNUMBER(SEARCH("平",D682)),OR(ISNUMBER(SEARCH("上",D682)),ISNUMBER(SEARCH("去",D682)),ISNUMBER(SEARCH("入",D682)))),"Ambiguous",IF(ISNUMBER(SEARCH("平",D682)),"平","仄")))</x:f>
        <x:v>平</x:v>
      </x:c>
      <x:c r="J688" s="7" t="str"/>
    </x:row>
    <x:row r="689">
      <x:c r="A689" s="5" t="str">
        <x:v>圉</x:v>
      </x:c>
      <x:c r="B689" s="6" t="str">
        <x:v>上</x:v>
      </x:c>
      <x:c r="C689" s="6" t="str">
        <x:f>IF(B689="","Needs decision","Ready")</x:f>
        <x:v>Ready</x:v>
      </x:c>
      <x:c r="D689" s="6" t="str">
        <x:v>上</x:v>
      </x:c>
      <x:c r="E689" s="6" t="str">
        <x:v>ngjoX (B)</x:v>
      </x:c>
      <x:c r="F689" s="6" t="str">
        <x:v>1</x:v>
      </x:c>
      <x:c r="G689" s="6" t="str"/>
      <x:c r="H689" s="6" t="str">
        <x:f>IF(B689="平","平",IF(B689="","","仄"))</x:f>
        <x:v>仄</x:v>
      </x:c>
      <x:c r="I689" s="6" t="str">
        <x:f>IF(D683="","",IF(AND(ISNUMBER(SEARCH("平",D683)),OR(ISNUMBER(SEARCH("上",D683)),ISNUMBER(SEARCH("去",D683)),ISNUMBER(SEARCH("入",D683)))),"Ambiguous",IF(ISNUMBER(SEARCH("平",D683)),"平","仄")))</x:f>
        <x:v>仄</x:v>
      </x:c>
      <x:c r="J689" s="7" t="str"/>
    </x:row>
    <x:row r="690">
      <x:c r="A690" s="5" t="str">
        <x:v>國</x:v>
      </x:c>
      <x:c r="B690" s="6" t="str">
        <x:v>入</x:v>
      </x:c>
      <x:c r="C690" s="6" t="str">
        <x:f>IF(B690="","Needs decision","Ready")</x:f>
        <x:v>Ready</x:v>
      </x:c>
      <x:c r="D690" s="6" t="str">
        <x:v>入</x:v>
      </x:c>
      <x:c r="E690" s="6" t="str">
        <x:v>kwok (D)</x:v>
      </x:c>
      <x:c r="F690" s="6" t="str">
        <x:v>1</x:v>
      </x:c>
      <x:c r="G690" s="6" t="str"/>
      <x:c r="H690" s="6" t="str">
        <x:f>IF(B690="平","平",IF(B690="","","仄"))</x:f>
        <x:v>仄</x:v>
      </x:c>
      <x:c r="I690" s="6" t="str">
        <x:f>IF(D684="","",IF(AND(ISNUMBER(SEARCH("平",D684)),OR(ISNUMBER(SEARCH("上",D684)),ISNUMBER(SEARCH("去",D684)),ISNUMBER(SEARCH("入",D684)))),"Ambiguous",IF(ISNUMBER(SEARCH("平",D684)),"平","仄")))</x:f>
        <x:v>仄</x:v>
      </x:c>
      <x:c r="J690" s="7" t="str"/>
    </x:row>
    <x:row r="691">
      <x:c r="A691" s="5" t="str">
        <x:v>圍</x:v>
      </x:c>
      <x:c r="B691" s="6" t="str">
        <x:v>平</x:v>
      </x:c>
      <x:c r="C691" s="6" t="str">
        <x:f>IF(B691="","Needs decision","Ready")</x:f>
        <x:v>Ready</x:v>
      </x:c>
      <x:c r="D691" s="6" t="str">
        <x:v>平</x:v>
      </x:c>
      <x:c r="E691" s="6" t="str">
        <x:v>hjw+j (A)</x:v>
      </x:c>
      <x:c r="F691" s="6" t="str">
        <x:v>1</x:v>
      </x:c>
      <x:c r="G691" s="6" t="str"/>
      <x:c r="H691" s="6" t="str">
        <x:f>IF(B691="平","平",IF(B691="","","仄"))</x:f>
        <x:v>平</x:v>
      </x:c>
      <x:c r="I691" s="6" t="str">
        <x:f>IF(D685="","",IF(AND(ISNUMBER(SEARCH("平",D685)),OR(ISNUMBER(SEARCH("上",D685)),ISNUMBER(SEARCH("去",D685)),ISNUMBER(SEARCH("入",D685)))),"Ambiguous",IF(ISNUMBER(SEARCH("平",D685)),"平","仄")))</x:f>
        <x:v>仄</x:v>
      </x:c>
      <x:c r="J691" s="7" t="str"/>
    </x:row>
    <x:row r="692">
      <x:c r="A692" s="5" t="str">
        <x:v>園</x:v>
      </x:c>
      <x:c r="B692" s="6" t="str">
        <x:v>平</x:v>
      </x:c>
      <x:c r="C692" s="6" t="str">
        <x:f>IF(B692="","Needs decision","Ready")</x:f>
        <x:v>Ready</x:v>
      </x:c>
      <x:c r="D692" s="6" t="str">
        <x:v>平</x:v>
      </x:c>
      <x:c r="E692" s="6" t="str">
        <x:v>hjwon (A)</x:v>
      </x:c>
      <x:c r="F692" s="6" t="str">
        <x:v>1</x:v>
      </x:c>
      <x:c r="G692" s="6" t="str"/>
      <x:c r="H692" s="6" t="str">
        <x:f>IF(B692="平","平",IF(B692="","","仄"))</x:f>
        <x:v>平</x:v>
      </x:c>
      <x:c r="I692" s="6" t="str">
        <x:f>IF(D686="","",IF(AND(ISNUMBER(SEARCH("平",D686)),OR(ISNUMBER(SEARCH("上",D686)),ISNUMBER(SEARCH("去",D686)),ISNUMBER(SEARCH("入",D686)))),"Ambiguous",IF(ISNUMBER(SEARCH("平",D686)),"平","仄")))</x:f>
        <x:v>仄</x:v>
      </x:c>
      <x:c r="J692" s="7" t="str"/>
    </x:row>
    <x:row r="693">
      <x:c r="A693" s="5" t="str">
        <x:v>圓</x:v>
      </x:c>
      <x:c r="B693" s="6" t="str">
        <x:v>平</x:v>
      </x:c>
      <x:c r="C693" s="6" t="str">
        <x:f>IF(B693="","Needs decision","Ready")</x:f>
        <x:v>Ready</x:v>
      </x:c>
      <x:c r="D693" s="6" t="str">
        <x:v>平</x:v>
      </x:c>
      <x:c r="E693" s="6" t="str">
        <x:v>hjwen (A)</x:v>
      </x:c>
      <x:c r="F693" s="6" t="str">
        <x:v>1</x:v>
      </x:c>
      <x:c r="G693" s="6" t="str"/>
      <x:c r="H693" s="6" t="str">
        <x:f>IF(B693="平","平",IF(B693="","","仄"))</x:f>
        <x:v>平</x:v>
      </x:c>
      <x:c r="I693" s="6" t="str">
        <x:f>IF(D687="","",IF(AND(ISNUMBER(SEARCH("平",D687)),OR(ISNUMBER(SEARCH("上",D687)),ISNUMBER(SEARCH("去",D687)),ISNUMBER(SEARCH("入",D687)))),"Ambiguous",IF(ISNUMBER(SEARCH("平",D687)),"平","仄")))</x:f>
        <x:v>平</x:v>
      </x:c>
      <x:c r="J693" s="7" t="str"/>
    </x:row>
    <x:row r="694">
      <x:c r="A694" s="5" t="str">
        <x:v>圖</x:v>
      </x:c>
      <x:c r="B694" s="6" t="str">
        <x:v>平</x:v>
      </x:c>
      <x:c r="C694" s="6" t="str">
        <x:f>IF(B694="","Needs decision","Ready")</x:f>
        <x:v>Ready</x:v>
      </x:c>
      <x:c r="D694" s="6" t="str">
        <x:v>平</x:v>
      </x:c>
      <x:c r="E694" s="6" t="str">
        <x:v>du (A)</x:v>
      </x:c>
      <x:c r="F694" s="6" t="str">
        <x:v>1</x:v>
      </x:c>
      <x:c r="G694" s="6" t="str"/>
      <x:c r="H694" s="6" t="str">
        <x:f>IF(B694="平","平",IF(B694="","","仄"))</x:f>
        <x:v>平</x:v>
      </x:c>
      <x:c r="I694" s="6" t="str">
        <x:f>IF(D688="","",IF(AND(ISNUMBER(SEARCH("平",D688)),OR(ISNUMBER(SEARCH("上",D688)),ISNUMBER(SEARCH("去",D688)),ISNUMBER(SEARCH("入",D688)))),"Ambiguous",IF(ISNUMBER(SEARCH("平",D688)),"平","仄")))</x:f>
        <x:v>仄</x:v>
      </x:c>
      <x:c r="J694" s="7" t="str"/>
    </x:row>
    <x:row r="695">
      <x:c r="A695" s="5" t="str">
        <x:v>團</x:v>
      </x:c>
      <x:c r="B695" s="6" t="str">
        <x:v>平</x:v>
      </x:c>
      <x:c r="C695" s="6" t="str">
        <x:f>IF(B695="","Needs decision","Ready")</x:f>
        <x:v>Ready</x:v>
      </x:c>
      <x:c r="D695" s="6" t="str">
        <x:v>平</x:v>
      </x:c>
      <x:c r="E695" s="6" t="str">
        <x:v>dwan (A)</x:v>
      </x:c>
      <x:c r="F695" s="6" t="str">
        <x:v>1</x:v>
      </x:c>
      <x:c r="G695" s="6" t="str"/>
      <x:c r="H695" s="6" t="str">
        <x:f>IF(B695="平","平",IF(B695="","","仄"))</x:f>
        <x:v>平</x:v>
      </x:c>
      <x:c r="I695" s="6" t="str">
        <x:f>IF(D689="","",IF(AND(ISNUMBER(SEARCH("平",D689)),OR(ISNUMBER(SEARCH("上",D689)),ISNUMBER(SEARCH("去",D689)),ISNUMBER(SEARCH("入",D689)))),"Ambiguous",IF(ISNUMBER(SEARCH("平",D689)),"平","仄")))</x:f>
        <x:v>仄</x:v>
      </x:c>
      <x:c r="J695" s="7" t="str"/>
    </x:row>
    <x:row r="696">
      <x:c r="A696" s="5" t="str">
        <x:v>圜</x:v>
      </x:c>
      <x:c r="B696" s="6" t="str">
        <x:v>平</x:v>
      </x:c>
      <x:c r="C696" s="6" t="str">
        <x:f>IF(B696="","Needs decision","Ready")</x:f>
        <x:v>Ready</x:v>
      </x:c>
      <x:c r="D696" s="6" t="str">
        <x:v>平</x:v>
      </x:c>
      <x:c r="E696" s="6" t="str">
        <x:v>hjwen (A)</x:v>
      </x:c>
      <x:c r="F696" s="6" t="str">
        <x:v>1</x:v>
      </x:c>
      <x:c r="G696" s="6" t="str"/>
      <x:c r="H696" s="6" t="str">
        <x:f>IF(B696="平","平",IF(B696="","","仄"))</x:f>
        <x:v>平</x:v>
      </x:c>
      <x:c r="I696" s="6" t="str">
        <x:f>IF(D690="","",IF(AND(ISNUMBER(SEARCH("平",D690)),OR(ISNUMBER(SEARCH("上",D690)),ISNUMBER(SEARCH("去",D690)),ISNUMBER(SEARCH("入",D690)))),"Ambiguous",IF(ISNUMBER(SEARCH("平",D690)),"平","仄")))</x:f>
        <x:v>仄</x:v>
      </x:c>
      <x:c r="J696" s="7" t="str"/>
    </x:row>
    <x:row r="697">
      <x:c r="A697" s="5" t="str">
        <x:v>土</x:v>
      </x:c>
      <x:c r="B697" s="6" t="str">
        <x:v>上</x:v>
      </x:c>
      <x:c r="C697" s="6" t="str">
        <x:f>IF(B697="","Needs decision","Ready")</x:f>
        <x:v>Ready</x:v>
      </x:c>
      <x:c r="D697" s="6" t="str">
        <x:v>上</x:v>
      </x:c>
      <x:c r="E697" s="6" t="str">
        <x:v>thuX (B)</x:v>
      </x:c>
      <x:c r="F697" s="6" t="str">
        <x:v>1</x:v>
      </x:c>
      <x:c r="G697" s="6" t="str"/>
      <x:c r="H697" s="6" t="str">
        <x:f>IF(B697="平","平",IF(B697="","","仄"))</x:f>
        <x:v>仄</x:v>
      </x:c>
      <x:c r="I697" s="6" t="str">
        <x:f>IF(D691="","",IF(AND(ISNUMBER(SEARCH("平",D691)),OR(ISNUMBER(SEARCH("上",D691)),ISNUMBER(SEARCH("去",D691)),ISNUMBER(SEARCH("入",D691)))),"Ambiguous",IF(ISNUMBER(SEARCH("平",D691)),"平","仄")))</x:f>
        <x:v>平</x:v>
      </x:c>
      <x:c r="J697" s="7" t="str"/>
    </x:row>
    <x:row r="698">
      <x:c r="A698" s="5" t="str">
        <x:v>在</x:v>
      </x:c>
      <x:c r="B698" s="6" t="str">
        <x:v>上</x:v>
      </x:c>
      <x:c r="C698" s="6" t="str">
        <x:f>IF(B698="","Needs decision","Ready")</x:f>
        <x:v>Ready</x:v>
      </x:c>
      <x:c r="D698" s="6" t="str">
        <x:v>上</x:v>
      </x:c>
      <x:c r="E698" s="6" t="str">
        <x:v>dzojX (B)</x:v>
      </x:c>
      <x:c r="F698" s="6" t="str">
        <x:v>1</x:v>
      </x:c>
      <x:c r="G698" s="6" t="str"/>
      <x:c r="H698" s="6" t="str">
        <x:f>IF(B698="平","平",IF(B698="","","仄"))</x:f>
        <x:v>仄</x:v>
      </x:c>
      <x:c r="I698" s="6" t="str">
        <x:f>IF(D692="","",IF(AND(ISNUMBER(SEARCH("平",D692)),OR(ISNUMBER(SEARCH("上",D692)),ISNUMBER(SEARCH("去",D692)),ISNUMBER(SEARCH("入",D692)))),"Ambiguous",IF(ISNUMBER(SEARCH("平",D692)),"平","仄")))</x:f>
        <x:v>平</x:v>
      </x:c>
      <x:c r="J698" s="7" t="str"/>
    </x:row>
    <x:row r="699">
      <x:c r="A699" s="5" t="str">
        <x:v>圩</x:v>
      </x:c>
      <x:c r="B699" s="6" t="str">
        <x:v>平</x:v>
      </x:c>
      <x:c r="C699" s="6" t="str">
        <x:f>IF(B699="","Needs decision","Ready")</x:f>
        <x:v>Ready</x:v>
      </x:c>
      <x:c r="D699" s="6" t="str">
        <x:v>平</x:v>
      </x:c>
      <x:c r="E699" s="6" t="str">
        <x:v>'u (A)</x:v>
      </x:c>
      <x:c r="F699" s="6" t="str">
        <x:v>1</x:v>
      </x:c>
      <x:c r="G699" s="6" t="str"/>
      <x:c r="H699" s="6" t="str">
        <x:f>IF(B699="平","平",IF(B699="","","仄"))</x:f>
        <x:v>平</x:v>
      </x:c>
      <x:c r="I699" s="6" t="str">
        <x:f>IF(D693="","",IF(AND(ISNUMBER(SEARCH("平",D693)),OR(ISNUMBER(SEARCH("上",D693)),ISNUMBER(SEARCH("去",D693)),ISNUMBER(SEARCH("入",D693)))),"Ambiguous",IF(ISNUMBER(SEARCH("平",D693)),"平","仄")))</x:f>
        <x:v>平</x:v>
      </x:c>
      <x:c r="J699" s="7" t="str"/>
    </x:row>
    <x:row r="700">
      <x:c r="A700" s="5" t="str">
        <x:v>圭</x:v>
      </x:c>
      <x:c r="B700" s="6" t="str">
        <x:v>平</x:v>
      </x:c>
      <x:c r="C700" s="6" t="str">
        <x:f>IF(B700="","Needs decision","Ready")</x:f>
        <x:v>Ready</x:v>
      </x:c>
      <x:c r="D700" s="6" t="str">
        <x:v>平</x:v>
      </x:c>
      <x:c r="E700" s="6" t="str">
        <x:v>kwej (A)</x:v>
      </x:c>
      <x:c r="F700" s="6" t="str">
        <x:v>1</x:v>
      </x:c>
      <x:c r="G700" s="6" t="str"/>
      <x:c r="H700" s="6" t="str">
        <x:f>IF(B700="平","平",IF(B700="","","仄"))</x:f>
        <x:v>平</x:v>
      </x:c>
      <x:c r="I700" s="6" t="str">
        <x:f>IF(D694="","",IF(AND(ISNUMBER(SEARCH("平",D694)),OR(ISNUMBER(SEARCH("上",D694)),ISNUMBER(SEARCH("去",D694)),ISNUMBER(SEARCH("入",D694)))),"Ambiguous",IF(ISNUMBER(SEARCH("平",D694)),"平","仄")))</x:f>
        <x:v>平</x:v>
      </x:c>
      <x:c r="J700" s="7" t="str"/>
    </x:row>
    <x:row r="701">
      <x:c r="A701" s="5" t="str">
        <x:v>地</x:v>
      </x:c>
      <x:c r="B701" s="6" t="str">
        <x:v>去</x:v>
      </x:c>
      <x:c r="C701" s="6" t="str">
        <x:f>IF(B701="","Needs decision","Ready")</x:f>
        <x:v>Ready</x:v>
      </x:c>
      <x:c r="D701" s="6" t="str">
        <x:v>去</x:v>
      </x:c>
      <x:c r="E701" s="6" t="str">
        <x:v>dijH (C)</x:v>
      </x:c>
      <x:c r="F701" s="6" t="str">
        <x:v>1</x:v>
      </x:c>
      <x:c r="G701" s="6" t="str"/>
      <x:c r="H701" s="6" t="str">
        <x:f>IF(B701="平","平",IF(B701="","","仄"))</x:f>
        <x:v>仄</x:v>
      </x:c>
      <x:c r="I701" s="6" t="str">
        <x:f>IF(D695="","",IF(AND(ISNUMBER(SEARCH("平",D695)),OR(ISNUMBER(SEARCH("上",D695)),ISNUMBER(SEARCH("去",D695)),ISNUMBER(SEARCH("入",D695)))),"Ambiguous",IF(ISNUMBER(SEARCH("平",D695)),"平","仄")))</x:f>
        <x:v>平</x:v>
      </x:c>
      <x:c r="J701" s="7" t="str"/>
    </x:row>
    <x:row r="702">
      <x:c r="A702" s="5" t="str">
        <x:v>圻</x:v>
      </x:c>
      <x:c r="B702" s="6" t="str">
        <x:v>平</x:v>
      </x:c>
      <x:c r="C702" s="6" t="str">
        <x:f>IF(B702="","Needs decision","Ready")</x:f>
        <x:v>Ready</x:v>
      </x:c>
      <x:c r="D702" s="6" t="str">
        <x:v>平</x:v>
      </x:c>
      <x:c r="E702" s="6" t="str">
        <x:v>ngj+n (A)</x:v>
      </x:c>
      <x:c r="F702" s="6" t="str">
        <x:v>1</x:v>
      </x:c>
      <x:c r="G702" s="6" t="str"/>
      <x:c r="H702" s="6" t="str">
        <x:f>IF(B702="平","平",IF(B702="","","仄"))</x:f>
        <x:v>平</x:v>
      </x:c>
      <x:c r="I702" s="6" t="str">
        <x:f>IF(D696="","",IF(AND(ISNUMBER(SEARCH("平",D696)),OR(ISNUMBER(SEARCH("上",D696)),ISNUMBER(SEARCH("去",D696)),ISNUMBER(SEARCH("入",D696)))),"Ambiguous",IF(ISNUMBER(SEARCH("平",D696)),"平","仄")))</x:f>
        <x:v>平</x:v>
      </x:c>
      <x:c r="J702" s="7" t="str"/>
    </x:row>
    <x:row r="703">
      <x:c r="A703" s="5" t="str">
        <x:v>址</x:v>
      </x:c>
      <x:c r="B703" s="6" t="str">
        <x:v>上</x:v>
      </x:c>
      <x:c r="C703" s="6" t="str">
        <x:f>IF(B703="","Needs decision","Ready")</x:f>
        <x:v>Ready</x:v>
      </x:c>
      <x:c r="D703" s="6" t="str">
        <x:v>上</x:v>
      </x:c>
      <x:c r="E703" s="6" t="str"/>
      <x:c r="F703" s="6" t="str"/>
      <x:c r="G703" s="6" t="str">
        <x:v>Manual user correction/addition</x:v>
      </x:c>
      <x:c r="H703" s="6" t="str">
        <x:f>IF(B703="平","平",IF(B703="","","仄"))</x:f>
        <x:v>仄</x:v>
      </x:c>
      <x:c r="I703" s="6" t="str">
        <x:f>IF(D697="","",IF(AND(ISNUMBER(SEARCH("平",D697)),OR(ISNUMBER(SEARCH("上",D697)),ISNUMBER(SEARCH("去",D697)),ISNUMBER(SEARCH("入",D697)))),"Ambiguous",IF(ISNUMBER(SEARCH("平",D697)),"平","仄")))</x:f>
        <x:v>仄</x:v>
      </x:c>
      <x:c r="J703" s="7" t="str">
        <x:v>manual user correction</x:v>
      </x:c>
    </x:row>
    <x:row r="704">
      <x:c r="A704" s="5" t="str">
        <x:v>均</x:v>
      </x:c>
      <x:c r="B704" s="6" t="str"/>
      <x:c r="C704" s="6" t="str">
        <x:f>IF(B704="","Needs decision","Ready")</x:f>
        <x:v>Needs decision</x:v>
      </x:c>
      <x:c r="D704" s="6" t="str">
        <x:v>平/去</x:v>
      </x:c>
      <x:c r="E704" s="6" t="str">
        <x:v>kjwin (A); hwinH (C)</x:v>
      </x:c>
      <x:c r="F704" s="6" t="str">
        <x:v>2</x:v>
      </x:c>
      <x:c r="G704" s="6" t="str"/>
      <x:c r="H704" s="6" t="str">
        <x:f>IF(B704="平","平",IF(B704="","","仄"))</x:f>
      </x:c>
      <x:c r="I704" s="6" t="str">
        <x:f>IF(D698="","",IF(AND(ISNUMBER(SEARCH("平",D698)),OR(ISNUMBER(SEARCH("上",D698)),ISNUMBER(SEARCH("去",D698)),ISNUMBER(SEARCH("入",D698)))),"Ambiguous",IF(ISNUMBER(SEARCH("平",D698)),"平","仄")))</x:f>
        <x:v>仄</x:v>
      </x:c>
      <x:c r="J704" s="7" t="str"/>
    </x:row>
    <x:row r="705">
      <x:c r="A705" s="5" t="str">
        <x:v>坊</x:v>
      </x:c>
      <x:c r="B705" s="6" t="str">
        <x:v>平</x:v>
      </x:c>
      <x:c r="C705" s="6" t="str">
        <x:f>IF(B705="","Needs decision","Ready")</x:f>
        <x:v>Ready</x:v>
      </x:c>
      <x:c r="D705" s="6" t="str">
        <x:v>平</x:v>
      </x:c>
      <x:c r="E705" s="6" t="str">
        <x:v>bjang (A)</x:v>
      </x:c>
      <x:c r="F705" s="6" t="str">
        <x:v>1</x:v>
      </x:c>
      <x:c r="G705" s="6" t="str"/>
      <x:c r="H705" s="6" t="str">
        <x:f>IF(B705="平","平",IF(B705="","","仄"))</x:f>
        <x:v>平</x:v>
      </x:c>
      <x:c r="I705" s="6" t="str">
        <x:f>IF(D699="","",IF(AND(ISNUMBER(SEARCH("平",D699)),OR(ISNUMBER(SEARCH("上",D699)),ISNUMBER(SEARCH("去",D699)),ISNUMBER(SEARCH("入",D699)))),"Ambiguous",IF(ISNUMBER(SEARCH("平",D699)),"平","仄")))</x:f>
        <x:v>平</x:v>
      </x:c>
      <x:c r="J705" s="7" t="str"/>
    </x:row>
    <x:row r="706">
      <x:c r="A706" s="5" t="str">
        <x:v>坎</x:v>
      </x:c>
      <x:c r="B706" s="6" t="str">
        <x:v>上</x:v>
      </x:c>
      <x:c r="C706" s="6" t="str">
        <x:f>IF(B706="","Needs decision","Ready")</x:f>
        <x:v>Ready</x:v>
      </x:c>
      <x:c r="D706" s="6" t="str">
        <x:v>上</x:v>
      </x:c>
      <x:c r="E706" s="6" t="str">
        <x:v>khomX (B)</x:v>
      </x:c>
      <x:c r="F706" s="6" t="str">
        <x:v>1</x:v>
      </x:c>
      <x:c r="G706" s="6" t="str"/>
      <x:c r="H706" s="6" t="str">
        <x:f>IF(B706="平","平",IF(B706="","","仄"))</x:f>
        <x:v>仄</x:v>
      </x:c>
      <x:c r="I706" s="6" t="str">
        <x:f>IF(D700="","",IF(AND(ISNUMBER(SEARCH("平",D700)),OR(ISNUMBER(SEARCH("上",D700)),ISNUMBER(SEARCH("去",D700)),ISNUMBER(SEARCH("入",D700)))),"Ambiguous",IF(ISNUMBER(SEARCH("平",D700)),"平","仄")))</x:f>
        <x:v>平</x:v>
      </x:c>
      <x:c r="J706" s="7" t="str"/>
    </x:row>
    <x:row r="707">
      <x:c r="A707" s="5" t="str">
        <x:v>坐</x:v>
      </x:c>
      <x:c r="B707" s="6" t="str"/>
      <x:c r="C707" s="6" t="str">
        <x:f>IF(B707="","Needs decision","Ready")</x:f>
        <x:v>Needs decision</x:v>
      </x:c>
      <x:c r="D707" s="6" t="str">
        <x:v>上/去</x:v>
      </x:c>
      <x:c r="E707" s="6" t="str">
        <x:v>dzwaX (B); dzwaH (C)</x:v>
      </x:c>
      <x:c r="F707" s="6" t="str">
        <x:v>2</x:v>
      </x:c>
      <x:c r="G707" s="6" t="str"/>
      <x:c r="H707" s="6" t="str">
        <x:f>IF(B707="平","平",IF(B707="","","仄"))</x:f>
      </x:c>
      <x:c r="I707" s="6" t="str">
        <x:f>IF(D701="","",IF(AND(ISNUMBER(SEARCH("平",D701)),OR(ISNUMBER(SEARCH("上",D701)),ISNUMBER(SEARCH("去",D701)),ISNUMBER(SEARCH("入",D701)))),"Ambiguous",IF(ISNUMBER(SEARCH("平",D701)),"平","仄")))</x:f>
        <x:v>仄</x:v>
      </x:c>
      <x:c r="J707" s="7" t="str"/>
    </x:row>
    <x:row r="708">
      <x:c r="A708" s="5" t="str">
        <x:v>坡</x:v>
      </x:c>
      <x:c r="B708" s="6" t="str">
        <x:v>平</x:v>
      </x:c>
      <x:c r="C708" s="6" t="str">
        <x:f>IF(B708="","Needs decision","Ready")</x:f>
        <x:v>Ready</x:v>
      </x:c>
      <x:c r="D708" s="6" t="str">
        <x:v>平</x:v>
      </x:c>
      <x:c r="E708" s="6" t="str">
        <x:v>pha [p̙ʰɑ] (平)</x:v>
      </x:c>
      <x:c r="F708" s="6" t="str">
        <x:v>1</x:v>
      </x:c>
      <x:c r="G708" s="6" t="str">
        <x:v>Tang 300 gap; frequency 1; provisional from Xun Gong</x:v>
      </x:c>
      <x:c r="H708" s="6" t="str">
        <x:f>IF(B708="平","平",IF(B708="","","仄"))</x:f>
        <x:v>平</x:v>
      </x:c>
      <x:c r="I708" s="6" t="str">
        <x:f>IF(D702="","",IF(AND(ISNUMBER(SEARCH("平",D702)),OR(ISNUMBER(SEARCH("上",D702)),ISNUMBER(SEARCH("去",D702)),ISNUMBER(SEARCH("入",D702)))),"Ambiguous",IF(ISNUMBER(SEARCH("平",D702)),"平","仄")))</x:f>
        <x:v>平</x:v>
      </x:c>
      <x:c r="J708" s="7" t="str">
        <x:v>Xun Gong, Tang 300 gap fill</x:v>
      </x:c>
    </x:row>
    <x:row r="709">
      <x:c r="A709" s="5" t="str">
        <x:v>坤</x:v>
      </x:c>
      <x:c r="B709" s="6" t="str">
        <x:v>平</x:v>
      </x:c>
      <x:c r="C709" s="6" t="str">
        <x:f>IF(B709="","Needs decision","Ready")</x:f>
        <x:v>Ready</x:v>
      </x:c>
      <x:c r="D709" s="6" t="str">
        <x:v>平</x:v>
      </x:c>
      <x:c r="E709" s="6" t="str">
        <x:v>khwon (A)</x:v>
      </x:c>
      <x:c r="F709" s="6" t="str">
        <x:v>1</x:v>
      </x:c>
      <x:c r="G709" s="6" t="str"/>
      <x:c r="H709" s="6" t="str">
        <x:f>IF(B709="平","平",IF(B709="","","仄"))</x:f>
        <x:v>平</x:v>
      </x:c>
      <x:c r="I709" s="6" t="str">
        <x:f>IF(D703="","",IF(AND(ISNUMBER(SEARCH("平",D703)),OR(ISNUMBER(SEARCH("上",D703)),ISNUMBER(SEARCH("去",D703)),ISNUMBER(SEARCH("入",D703)))),"Ambiguous",IF(ISNUMBER(SEARCH("平",D703)),"平","仄")))</x:f>
        <x:v>仄</x:v>
      </x:c>
      <x:c r="J709" s="7" t="str"/>
    </x:row>
    <x:row r="710">
      <x:c r="A710" s="5" t="str">
        <x:v>坦</x:v>
      </x:c>
      <x:c r="B710" s="6" t="str">
        <x:v>上</x:v>
      </x:c>
      <x:c r="C710" s="6" t="str">
        <x:f>IF(B710="","Needs decision","Ready")</x:f>
        <x:v>Ready</x:v>
      </x:c>
      <x:c r="D710" s="6" t="str">
        <x:v>上</x:v>
      </x:c>
      <x:c r="E710" s="6" t="str">
        <x:v>thanX (B)</x:v>
      </x:c>
      <x:c r="F710" s="6" t="str">
        <x:v>1</x:v>
      </x:c>
      <x:c r="G710" s="6" t="str"/>
      <x:c r="H710" s="6" t="str">
        <x:f>IF(B710="平","平",IF(B710="","","仄"))</x:f>
        <x:v>仄</x:v>
      </x:c>
      <x:c r="I710" s="6" t="str">
        <x:f>IF(D704="","",IF(AND(ISNUMBER(SEARCH("平",D704)),OR(ISNUMBER(SEARCH("上",D704)),ISNUMBER(SEARCH("去",D704)),ISNUMBER(SEARCH("入",D704)))),"Ambiguous",IF(ISNUMBER(SEARCH("平",D704)),"平","仄")))</x:f>
        <x:v>Ambiguous</x:v>
      </x:c>
      <x:c r="J710" s="7" t="str"/>
    </x:row>
    <x:row r="711">
      <x:c r="A711" s="5" t="str">
        <x:v>坰</x:v>
      </x:c>
      <x:c r="B711" s="6" t="str">
        <x:v>平</x:v>
      </x:c>
      <x:c r="C711" s="6" t="str">
        <x:f>IF(B711="","Needs decision","Ready")</x:f>
        <x:v>Ready</x:v>
      </x:c>
      <x:c r="D711" s="6" t="str">
        <x:v>平</x:v>
      </x:c>
      <x:c r="E711" s="6" t="str">
        <x:v>kweng (A)</x:v>
      </x:c>
      <x:c r="F711" s="6" t="str">
        <x:v>1</x:v>
      </x:c>
      <x:c r="G711" s="6" t="str"/>
      <x:c r="H711" s="6" t="str">
        <x:f>IF(B711="平","平",IF(B711="","","仄"))</x:f>
        <x:v>平</x:v>
      </x:c>
      <x:c r="I711" s="6" t="str">
        <x:f>IF(D705="","",IF(AND(ISNUMBER(SEARCH("平",D705)),OR(ISNUMBER(SEARCH("上",D705)),ISNUMBER(SEARCH("去",D705)),ISNUMBER(SEARCH("入",D705)))),"Ambiguous",IF(ISNUMBER(SEARCH("平",D705)),"平","仄")))</x:f>
        <x:v>平</x:v>
      </x:c>
      <x:c r="J711" s="7" t="str"/>
    </x:row>
    <x:row r="712">
      <x:c r="A712" s="5" t="str">
        <x:v>坻</x:v>
      </x:c>
      <x:c r="B712" s="6" t="str">
        <x:v>平</x:v>
      </x:c>
      <x:c r="C712" s="6" t="str">
        <x:f>IF(B712="","Needs decision","Ready")</x:f>
        <x:v>Ready</x:v>
      </x:c>
      <x:c r="D712" s="6" t="str">
        <x:v>平</x:v>
      </x:c>
      <x:c r="E712" s="6" t="str">
        <x:v>drij (A)</x:v>
      </x:c>
      <x:c r="F712" s="6" t="str">
        <x:v>1</x:v>
      </x:c>
      <x:c r="G712" s="6" t="str"/>
      <x:c r="H712" s="6" t="str">
        <x:f>IF(B712="平","平",IF(B712="","","仄"))</x:f>
        <x:v>平</x:v>
      </x:c>
      <x:c r="I712" s="6" t="str">
        <x:f>IF(D706="","",IF(AND(ISNUMBER(SEARCH("平",D706)),OR(ISNUMBER(SEARCH("上",D706)),ISNUMBER(SEARCH("去",D706)),ISNUMBER(SEARCH("入",D706)))),"Ambiguous",IF(ISNUMBER(SEARCH("平",D706)),"平","仄")))</x:f>
        <x:v>仄</x:v>
      </x:c>
      <x:c r="J712" s="7" t="str"/>
    </x:row>
    <x:row r="713">
      <x:c r="A713" s="5" t="str">
        <x:v>坼</x:v>
      </x:c>
      <x:c r="B713" s="6" t="str">
        <x:v>入</x:v>
      </x:c>
      <x:c r="C713" s="6" t="str">
        <x:f>IF(B713="","Needs decision","Ready")</x:f>
        <x:v>Ready</x:v>
      </x:c>
      <x:c r="D713" s="6" t="str">
        <x:v>入</x:v>
      </x:c>
      <x:c r="E713" s="6" t="str">
        <x:v>trhaek (D)</x:v>
      </x:c>
      <x:c r="F713" s="6" t="str">
        <x:v>1</x:v>
      </x:c>
      <x:c r="G713" s="6" t="str"/>
      <x:c r="H713" s="6" t="str">
        <x:f>IF(B713="平","平",IF(B713="","","仄"))</x:f>
        <x:v>仄</x:v>
      </x:c>
      <x:c r="I713" s="6" t="str">
        <x:f>IF(D707="","",IF(AND(ISNUMBER(SEARCH("平",D707)),OR(ISNUMBER(SEARCH("上",D707)),ISNUMBER(SEARCH("去",D707)),ISNUMBER(SEARCH("入",D707)))),"Ambiguous",IF(ISNUMBER(SEARCH("平",D707)),"平","仄")))</x:f>
        <x:v>仄</x:v>
      </x:c>
      <x:c r="J713" s="7" t="str"/>
    </x:row>
    <x:row r="714">
      <x:c r="A714" s="5" t="str">
        <x:v>垂</x:v>
      </x:c>
      <x:c r="B714" s="6" t="str">
        <x:v>平</x:v>
      </x:c>
      <x:c r="C714" s="6" t="str">
        <x:f>IF(B714="","Needs decision","Ready")</x:f>
        <x:v>Ready</x:v>
      </x:c>
      <x:c r="D714" s="6" t="str">
        <x:v>平</x:v>
      </x:c>
      <x:c r="E714" s="6" t="str">
        <x:v>dzywe (A)</x:v>
      </x:c>
      <x:c r="F714" s="6" t="str">
        <x:v>1</x:v>
      </x:c>
      <x:c r="G714" s="6" t="str"/>
      <x:c r="H714" s="6" t="str">
        <x:f>IF(B714="平","平",IF(B714="","","仄"))</x:f>
        <x:v>平</x:v>
      </x:c>
      <x:c r="I714" s="6" t="str">
        <x:f>IF(D708="","",IF(AND(ISNUMBER(SEARCH("平",D708)),OR(ISNUMBER(SEARCH("上",D708)),ISNUMBER(SEARCH("去",D708)),ISNUMBER(SEARCH("入",D708)))),"Ambiguous",IF(ISNUMBER(SEARCH("平",D708)),"平","仄")))</x:f>
        <x:v>平</x:v>
      </x:c>
      <x:c r="J714" s="7" t="str"/>
    </x:row>
    <x:row r="715">
      <x:c r="A715" s="5" t="str">
        <x:v>垓</x:v>
      </x:c>
      <x:c r="B715" s="6" t="str">
        <x:v>平</x:v>
      </x:c>
      <x:c r="C715" s="6" t="str">
        <x:f>IF(B715="","Needs decision","Ready")</x:f>
        <x:v>Ready</x:v>
      </x:c>
      <x:c r="D715" s="6" t="str">
        <x:v>平</x:v>
      </x:c>
      <x:c r="E715" s="6" t="str">
        <x:v>koj [qəj] (平)</x:v>
      </x:c>
      <x:c r="F715" s="6" t="str">
        <x:v>1</x:v>
      </x:c>
      <x:c r="G715" s="6" t="str">
        <x:v>Tang 300 gap; frequency 1; provisional from Xun Gong</x:v>
      </x:c>
      <x:c r="H715" s="6" t="str">
        <x:f>IF(B715="平","平",IF(B715="","","仄"))</x:f>
        <x:v>平</x:v>
      </x:c>
      <x:c r="I715" s="6" t="str">
        <x:f>IF(D709="","",IF(AND(ISNUMBER(SEARCH("平",D709)),OR(ISNUMBER(SEARCH("上",D709)),ISNUMBER(SEARCH("去",D709)),ISNUMBER(SEARCH("入",D709)))),"Ambiguous",IF(ISNUMBER(SEARCH("平",D709)),"平","仄")))</x:f>
        <x:v>平</x:v>
      </x:c>
      <x:c r="J715" s="7" t="str">
        <x:v>Xun Gong, Tang 300 gap fill</x:v>
      </x:c>
    </x:row>
    <x:row r="716">
      <x:c r="A716" s="5" t="str">
        <x:v>垔</x:v>
      </x:c>
      <x:c r="B716" s="6" t="str">
        <x:v>平</x:v>
      </x:c>
      <x:c r="C716" s="6" t="str">
        <x:f>IF(B716="","Needs decision","Ready")</x:f>
        <x:v>Ready</x:v>
      </x:c>
      <x:c r="D716" s="6" t="str">
        <x:v>平</x:v>
      </x:c>
      <x:c r="E716" s="6" t="str">
        <x:v>'jin (A)</x:v>
      </x:c>
      <x:c r="F716" s="6" t="str">
        <x:v>1</x:v>
      </x:c>
      <x:c r="G716" s="6" t="str"/>
      <x:c r="H716" s="6" t="str">
        <x:f>IF(B716="平","平",IF(B716="","","仄"))</x:f>
        <x:v>平</x:v>
      </x:c>
      <x:c r="I716" s="6" t="str">
        <x:f>IF(D710="","",IF(AND(ISNUMBER(SEARCH("平",D710)),OR(ISNUMBER(SEARCH("上",D710)),ISNUMBER(SEARCH("去",D710)),ISNUMBER(SEARCH("入",D710)))),"Ambiguous",IF(ISNUMBER(SEARCH("平",D710)),"平","仄")))</x:f>
        <x:v>仄</x:v>
      </x:c>
      <x:c r="J716" s="7" t="str"/>
    </x:row>
    <x:row r="717">
      <x:c r="A717" s="5" t="str">
        <x:v>垠</x:v>
      </x:c>
      <x:c r="B717" s="6" t="str">
        <x:v>平</x:v>
      </x:c>
      <x:c r="C717" s="6" t="str">
        <x:f>IF(B717="","Needs decision","Ready")</x:f>
        <x:v>Ready</x:v>
      </x:c>
      <x:c r="D717" s="6" t="str">
        <x:v>平</x:v>
      </x:c>
      <x:c r="E717" s="6" t="str">
        <x:v>ngj+n (A)</x:v>
      </x:c>
      <x:c r="F717" s="6" t="str">
        <x:v>1</x:v>
      </x:c>
      <x:c r="G717" s="6" t="str"/>
      <x:c r="H717" s="6" t="str">
        <x:f>IF(B717="平","平",IF(B717="","","仄"))</x:f>
        <x:v>平</x:v>
      </x:c>
      <x:c r="I717" s="6" t="str">
        <x:f>IF(D711="","",IF(AND(ISNUMBER(SEARCH("平",D711)),OR(ISNUMBER(SEARCH("上",D711)),ISNUMBER(SEARCH("去",D711)),ISNUMBER(SEARCH("入",D711)))),"Ambiguous",IF(ISNUMBER(SEARCH("平",D711)),"平","仄")))</x:f>
        <x:v>平</x:v>
      </x:c>
      <x:c r="J717" s="7" t="str"/>
    </x:row>
    <x:row r="718">
      <x:c r="A718" s="5" t="str">
        <x:v>垢</x:v>
      </x:c>
      <x:c r="B718" s="6" t="str">
        <x:v>上</x:v>
      </x:c>
      <x:c r="C718" s="6" t="str">
        <x:f>IF(B718="","Needs decision","Ready")</x:f>
        <x:v>Ready</x:v>
      </x:c>
      <x:c r="D718" s="6" t="str">
        <x:v>上</x:v>
      </x:c>
      <x:c r="E718" s="6" t="str">
        <x:v>kuwX [quʔ] (上)</x:v>
      </x:c>
      <x:c r="F718" s="6" t="str">
        <x:v>1</x:v>
      </x:c>
      <x:c r="G718" s="6" t="str">
        <x:v>Tang 300 gap; frequency 1; provisional from Xun Gong</x:v>
      </x:c>
      <x:c r="H718" s="6" t="str">
        <x:f>IF(B718="平","平",IF(B718="","","仄"))</x:f>
        <x:v>仄</x:v>
      </x:c>
      <x:c r="I718" s="6" t="str">
        <x:f>IF(D712="","",IF(AND(ISNUMBER(SEARCH("平",D712)),OR(ISNUMBER(SEARCH("上",D712)),ISNUMBER(SEARCH("去",D712)),ISNUMBER(SEARCH("入",D712)))),"Ambiguous",IF(ISNUMBER(SEARCH("平",D712)),"平","仄")))</x:f>
        <x:v>平</x:v>
      </x:c>
      <x:c r="J718" s="7" t="str">
        <x:v>Xun Gong, Tang 300 gap fill</x:v>
      </x:c>
    </x:row>
    <x:row r="719">
      <x:c r="A719" s="5" t="str">
        <x:v>垣</x:v>
      </x:c>
      <x:c r="B719" s="6" t="str">
        <x:v>平</x:v>
      </x:c>
      <x:c r="C719" s="6" t="str">
        <x:f>IF(B719="","Needs decision","Ready")</x:f>
        <x:v>Ready</x:v>
      </x:c>
      <x:c r="D719" s="6" t="str">
        <x:v>平</x:v>
      </x:c>
      <x:c r="E719" s="6" t="str">
        <x:v>hjwon (A)</x:v>
      </x:c>
      <x:c r="F719" s="6" t="str">
        <x:v>1</x:v>
      </x:c>
      <x:c r="G719" s="6" t="str"/>
      <x:c r="H719" s="6" t="str">
        <x:f>IF(B719="平","平",IF(B719="","","仄"))</x:f>
        <x:v>平</x:v>
      </x:c>
      <x:c r="I719" s="6" t="str">
        <x:f>IF(D713="","",IF(AND(ISNUMBER(SEARCH("平",D713)),OR(ISNUMBER(SEARCH("上",D713)),ISNUMBER(SEARCH("去",D713)),ISNUMBER(SEARCH("入",D713)))),"Ambiguous",IF(ISNUMBER(SEARCH("平",D713)),"平","仄")))</x:f>
        <x:v>仄</x:v>
      </x:c>
      <x:c r="J719" s="7" t="str"/>
    </x:row>
    <x:row r="720">
      <x:c r="A720" s="5" t="str">
        <x:v>垤</x:v>
      </x:c>
      <x:c r="B720" s="6" t="str">
        <x:v>入</x:v>
      </x:c>
      <x:c r="C720" s="6" t="str">
        <x:f>IF(B720="","Needs decision","Ready")</x:f>
        <x:v>Ready</x:v>
      </x:c>
      <x:c r="D720" s="6" t="str">
        <x:v>入</x:v>
      </x:c>
      <x:c r="E720" s="6" t="str">
        <x:v>det (D)</x:v>
      </x:c>
      <x:c r="F720" s="6" t="str">
        <x:v>1</x:v>
      </x:c>
      <x:c r="G720" s="6" t="str"/>
      <x:c r="H720" s="6" t="str">
        <x:f>IF(B720="平","平",IF(B720="","","仄"))</x:f>
        <x:v>仄</x:v>
      </x:c>
      <x:c r="I720" s="6" t="str">
        <x:f>IF(D714="","",IF(AND(ISNUMBER(SEARCH("平",D714)),OR(ISNUMBER(SEARCH("上",D714)),ISNUMBER(SEARCH("去",D714)),ISNUMBER(SEARCH("入",D714)))),"Ambiguous",IF(ISNUMBER(SEARCH("平",D714)),"平","仄")))</x:f>
        <x:v>平</x:v>
      </x:c>
      <x:c r="J720" s="7" t="str"/>
    </x:row>
    <x:row r="721">
      <x:c r="A721" s="5" t="str">
        <x:v>埃</x:v>
      </x:c>
      <x:c r="B721" s="6" t="str">
        <x:v>平</x:v>
      </x:c>
      <x:c r="C721" s="6" t="str">
        <x:f>IF(B721="","Needs decision","Ready")</x:f>
        <x:v>Ready</x:v>
      </x:c>
      <x:c r="D721" s="6" t="str">
        <x:v>平</x:v>
      </x:c>
      <x:c r="E721" s="6" t="str">
        <x:v>'oj (A)</x:v>
      </x:c>
      <x:c r="F721" s="6" t="str">
        <x:v>1</x:v>
      </x:c>
      <x:c r="G721" s="6" t="str"/>
      <x:c r="H721" s="6" t="str">
        <x:f>IF(B721="平","平",IF(B721="","","仄"))</x:f>
        <x:v>平</x:v>
      </x:c>
      <x:c r="I721" s="6" t="str">
        <x:f>IF(D715="","",IF(AND(ISNUMBER(SEARCH("平",D715)),OR(ISNUMBER(SEARCH("上",D715)),ISNUMBER(SEARCH("去",D715)),ISNUMBER(SEARCH("入",D715)))),"Ambiguous",IF(ISNUMBER(SEARCH("平",D715)),"平","仄")))</x:f>
        <x:v>平</x:v>
      </x:c>
      <x:c r="J721" s="7" t="str"/>
    </x:row>
    <x:row r="722">
      <x:c r="A722" s="5" t="str">
        <x:v>埋</x:v>
      </x:c>
      <x:c r="B722" s="6" t="str">
        <x:v>平</x:v>
      </x:c>
      <x:c r="C722" s="6" t="str">
        <x:f>IF(B722="","Needs decision","Ready")</x:f>
        <x:v>Ready</x:v>
      </x:c>
      <x:c r="D722" s="6" t="str">
        <x:v>平</x:v>
      </x:c>
      <x:c r="E722" s="6" t="str">
        <x:v>meaj (A)</x:v>
      </x:c>
      <x:c r="F722" s="6" t="str">
        <x:v>1</x:v>
      </x:c>
      <x:c r="G722" s="6" t="str"/>
      <x:c r="H722" s="6" t="str">
        <x:f>IF(B722="平","平",IF(B722="","","仄"))</x:f>
        <x:v>平</x:v>
      </x:c>
      <x:c r="I722" s="6" t="str">
        <x:f>IF(D716="","",IF(AND(ISNUMBER(SEARCH("平",D716)),OR(ISNUMBER(SEARCH("上",D716)),ISNUMBER(SEARCH("去",D716)),ISNUMBER(SEARCH("入",D716)))),"Ambiguous",IF(ISNUMBER(SEARCH("平",D716)),"平","仄")))</x:f>
        <x:v>平</x:v>
      </x:c>
      <x:c r="J722" s="7" t="str"/>
    </x:row>
    <x:row r="723">
      <x:c r="A723" s="5" t="str">
        <x:v>城</x:v>
      </x:c>
      <x:c r="B723" s="6" t="str">
        <x:v>平</x:v>
      </x:c>
      <x:c r="C723" s="6" t="str">
        <x:f>IF(B723="","Needs decision","Ready")</x:f>
        <x:v>Ready</x:v>
      </x:c>
      <x:c r="D723" s="6" t="str">
        <x:v>平</x:v>
      </x:c>
      <x:c r="E723" s="6" t="str">
        <x:v>dzyeng (A)</x:v>
      </x:c>
      <x:c r="F723" s="6" t="str">
        <x:v>1</x:v>
      </x:c>
      <x:c r="G723" s="6" t="str"/>
      <x:c r="H723" s="6" t="str">
        <x:f>IF(B723="平","平",IF(B723="","","仄"))</x:f>
        <x:v>平</x:v>
      </x:c>
      <x:c r="I723" s="6" t="str">
        <x:f>IF(D717="","",IF(AND(ISNUMBER(SEARCH("平",D717)),OR(ISNUMBER(SEARCH("上",D717)),ISNUMBER(SEARCH("去",D717)),ISNUMBER(SEARCH("入",D717)))),"Ambiguous",IF(ISNUMBER(SEARCH("平",D717)),"平","仄")))</x:f>
        <x:v>平</x:v>
      </x:c>
      <x:c r="J723" s="7" t="str"/>
    </x:row>
    <x:row r="724">
      <x:c r="A724" s="5" t="str">
        <x:v>埜</x:v>
      </x:c>
      <x:c r="B724" s="6" t="str">
        <x:v>上</x:v>
      </x:c>
      <x:c r="C724" s="6" t="str">
        <x:f>IF(B724="","Needs decision","Ready")</x:f>
        <x:v>Ready</x:v>
      </x:c>
      <x:c r="D724" s="6" t="str">
        <x:v>上</x:v>
      </x:c>
      <x:c r="E724" s="6" t="str">
        <x:v>yaeX (B)</x:v>
      </x:c>
      <x:c r="F724" s="6" t="str">
        <x:v>1</x:v>
      </x:c>
      <x:c r="G724" s="6" t="str"/>
      <x:c r="H724" s="6" t="str">
        <x:f>IF(B724="平","平",IF(B724="","","仄"))</x:f>
        <x:v>仄</x:v>
      </x:c>
      <x:c r="I724" s="6" t="str">
        <x:f>IF(D718="","",IF(AND(ISNUMBER(SEARCH("平",D718)),OR(ISNUMBER(SEARCH("上",D718)),ISNUMBER(SEARCH("去",D718)),ISNUMBER(SEARCH("入",D718)))),"Ambiguous",IF(ISNUMBER(SEARCH("平",D718)),"平","仄")))</x:f>
        <x:v>仄</x:v>
      </x:c>
      <x:c r="J724" s="7" t="str"/>
    </x:row>
    <x:row r="725">
      <x:c r="A725" s="5" t="str">
        <x:v>域</x:v>
      </x:c>
      <x:c r="B725" s="6" t="str">
        <x:v>入</x:v>
      </x:c>
      <x:c r="C725" s="6" t="str">
        <x:f>IF(B725="","Needs decision","Ready")</x:f>
        <x:v>Ready</x:v>
      </x:c>
      <x:c r="D725" s="6" t="str">
        <x:v>入</x:v>
      </x:c>
      <x:c r="E725" s="6" t="str">
        <x:v>hwik (D)</x:v>
      </x:c>
      <x:c r="F725" s="6" t="str">
        <x:v>1</x:v>
      </x:c>
      <x:c r="G725" s="6" t="str"/>
      <x:c r="H725" s="6" t="str">
        <x:f>IF(B725="平","平",IF(B725="","","仄"))</x:f>
        <x:v>仄</x:v>
      </x:c>
      <x:c r="I725" s="6" t="str">
        <x:f>IF(D719="","",IF(AND(ISNUMBER(SEARCH("平",D719)),OR(ISNUMBER(SEARCH("上",D719)),ISNUMBER(SEARCH("去",D719)),ISNUMBER(SEARCH("入",D719)))),"Ambiguous",IF(ISNUMBER(SEARCH("平",D719)),"平","仄")))</x:f>
        <x:v>平</x:v>
      </x:c>
      <x:c r="J725" s="7" t="str"/>
    </x:row>
    <x:row r="726">
      <x:c r="A726" s="5" t="str">
        <x:v>埳</x:v>
      </x:c>
      <x:c r="B726" s="6" t="str">
        <x:v>上</x:v>
      </x:c>
      <x:c r="C726" s="6" t="str">
        <x:f>IF(B726="","Needs decision","Ready")</x:f>
        <x:v>Ready</x:v>
      </x:c>
      <x:c r="D726" s="6" t="str">
        <x:v>上</x:v>
      </x:c>
      <x:c r="E726" s="6" t="str">
        <x:v>khomX (B)</x:v>
      </x:c>
      <x:c r="F726" s="6" t="str">
        <x:v>1</x:v>
      </x:c>
      <x:c r="G726" s="6" t="str"/>
      <x:c r="H726" s="6" t="str">
        <x:f>IF(B726="平","平",IF(B726="","","仄"))</x:f>
        <x:v>仄</x:v>
      </x:c>
      <x:c r="I726" s="6" t="str">
        <x:f>IF(D720="","",IF(AND(ISNUMBER(SEARCH("平",D720)),OR(ISNUMBER(SEARCH("上",D720)),ISNUMBER(SEARCH("去",D720)),ISNUMBER(SEARCH("入",D720)))),"Ambiguous",IF(ISNUMBER(SEARCH("平",D720)),"平","仄")))</x:f>
        <x:v>仄</x:v>
      </x:c>
      <x:c r="J726" s="7" t="str"/>
    </x:row>
    <x:row r="727">
      <x:c r="A727" s="5" t="str">
        <x:v>埴</x:v>
      </x:c>
      <x:c r="B727" s="6" t="str">
        <x:v>入</x:v>
      </x:c>
      <x:c r="C727" s="6" t="str">
        <x:f>IF(B727="","Needs decision","Ready")</x:f>
        <x:v>Ready</x:v>
      </x:c>
      <x:c r="D727" s="6" t="str">
        <x:v>入</x:v>
      </x:c>
      <x:c r="E727" s="6" t="str">
        <x:v>dzyik (D)</x:v>
      </x:c>
      <x:c r="F727" s="6" t="str">
        <x:v>1</x:v>
      </x:c>
      <x:c r="G727" s="6" t="str"/>
      <x:c r="H727" s="6" t="str">
        <x:f>IF(B727="平","平",IF(B727="","","仄"))</x:f>
        <x:v>仄</x:v>
      </x:c>
      <x:c r="I727" s="6" t="str">
        <x:f>IF(D721="","",IF(AND(ISNUMBER(SEARCH("平",D721)),OR(ISNUMBER(SEARCH("上",D721)),ISNUMBER(SEARCH("去",D721)),ISNUMBER(SEARCH("入",D721)))),"Ambiguous",IF(ISNUMBER(SEARCH("平",D721)),"平","仄")))</x:f>
        <x:v>平</x:v>
      </x:c>
      <x:c r="J727" s="7" t="str"/>
    </x:row>
    <x:row r="728">
      <x:c r="A728" s="5" t="str">
        <x:v>埶</x:v>
      </x:c>
      <x:c r="B728" s="6" t="str">
        <x:v>去</x:v>
      </x:c>
      <x:c r="C728" s="6" t="str">
        <x:f>IF(B728="","Needs decision","Ready")</x:f>
        <x:v>Ready</x:v>
      </x:c>
      <x:c r="D728" s="6" t="str">
        <x:v>去</x:v>
      </x:c>
      <x:c r="E728" s="6" t="str">
        <x:v>syejH (C); ngjiejH (C)</x:v>
      </x:c>
      <x:c r="F728" s="6" t="str">
        <x:v>2</x:v>
      </x:c>
      <x:c r="G728" s="6" t="str"/>
      <x:c r="H728" s="6" t="str">
        <x:f>IF(B728="平","平",IF(B728="","","仄"))</x:f>
        <x:v>仄</x:v>
      </x:c>
      <x:c r="I728" s="6" t="str">
        <x:f>IF(D722="","",IF(AND(ISNUMBER(SEARCH("平",D722)),OR(ISNUMBER(SEARCH("上",D722)),ISNUMBER(SEARCH("去",D722)),ISNUMBER(SEARCH("入",D722)))),"Ambiguous",IF(ISNUMBER(SEARCH("平",D722)),"平","仄")))</x:f>
        <x:v>平</x:v>
      </x:c>
      <x:c r="J728" s="7" t="str"/>
    </x:row>
    <x:row r="729">
      <x:c r="A729" s="5" t="str">
        <x:v>執</x:v>
      </x:c>
      <x:c r="B729" s="6" t="str">
        <x:v>入</x:v>
      </x:c>
      <x:c r="C729" s="6" t="str">
        <x:f>IF(B729="","Needs decision","Ready")</x:f>
        <x:v>Ready</x:v>
      </x:c>
      <x:c r="D729" s="6" t="str">
        <x:v>入</x:v>
      </x:c>
      <x:c r="E729" s="6" t="str">
        <x:v>tsyip (D)</x:v>
      </x:c>
      <x:c r="F729" s="6" t="str">
        <x:v>1</x:v>
      </x:c>
      <x:c r="G729" s="6" t="str"/>
      <x:c r="H729" s="6" t="str">
        <x:f>IF(B729="平","平",IF(B729="","","仄"))</x:f>
        <x:v>仄</x:v>
      </x:c>
      <x:c r="I729" s="6" t="str">
        <x:f>IF(D723="","",IF(AND(ISNUMBER(SEARCH("平",D723)),OR(ISNUMBER(SEARCH("上",D723)),ISNUMBER(SEARCH("去",D723)),ISNUMBER(SEARCH("入",D723)))),"Ambiguous",IF(ISNUMBER(SEARCH("平",D723)),"平","仄")))</x:f>
        <x:v>平</x:v>
      </x:c>
      <x:c r="J729" s="7" t="str"/>
    </x:row>
    <x:row r="730">
      <x:c r="A730" s="5" t="str">
        <x:v>基</x:v>
      </x:c>
      <x:c r="B730" s="6" t="str">
        <x:v>平</x:v>
      </x:c>
      <x:c r="C730" s="6" t="str">
        <x:f>IF(B730="","Needs decision","Ready")</x:f>
        <x:v>Ready</x:v>
      </x:c>
      <x:c r="D730" s="6" t="str">
        <x:v>平</x:v>
      </x:c>
      <x:c r="E730" s="6" t="str">
        <x:v>ki (A)</x:v>
      </x:c>
      <x:c r="F730" s="6" t="str">
        <x:v>1</x:v>
      </x:c>
      <x:c r="G730" s="6" t="str"/>
      <x:c r="H730" s="6" t="str">
        <x:f>IF(B730="平","平",IF(B730="","","仄"))</x:f>
        <x:v>平</x:v>
      </x:c>
      <x:c r="I730" s="6" t="str">
        <x:f>IF(D724="","",IF(AND(ISNUMBER(SEARCH("平",D724)),OR(ISNUMBER(SEARCH("上",D724)),ISNUMBER(SEARCH("去",D724)),ISNUMBER(SEARCH("入",D724)))),"Ambiguous",IF(ISNUMBER(SEARCH("平",D724)),"平","仄")))</x:f>
        <x:v>仄</x:v>
      </x:c>
      <x:c r="J730" s="7" t="str"/>
    </x:row>
    <x:row r="731">
      <x:c r="A731" s="5" t="str">
        <x:v>堀</x:v>
      </x:c>
      <x:c r="B731" s="6" t="str">
        <x:v>入</x:v>
      </x:c>
      <x:c r="C731" s="6" t="str">
        <x:f>IF(B731="","Needs decision","Ready")</x:f>
        <x:v>Ready</x:v>
      </x:c>
      <x:c r="D731" s="6" t="str">
        <x:v>入</x:v>
      </x:c>
      <x:c r="E731" s="6" t="str">
        <x:v>khwot (D)</x:v>
      </x:c>
      <x:c r="F731" s="6" t="str">
        <x:v>1</x:v>
      </x:c>
      <x:c r="G731" s="6" t="str"/>
      <x:c r="H731" s="6" t="str">
        <x:f>IF(B731="平","平",IF(B731="","","仄"))</x:f>
        <x:v>仄</x:v>
      </x:c>
      <x:c r="I731" s="6" t="str">
        <x:f>IF(D725="","",IF(AND(ISNUMBER(SEARCH("平",D725)),OR(ISNUMBER(SEARCH("上",D725)),ISNUMBER(SEARCH("去",D725)),ISNUMBER(SEARCH("入",D725)))),"Ambiguous",IF(ISNUMBER(SEARCH("平",D725)),"平","仄")))</x:f>
        <x:v>仄</x:v>
      </x:c>
      <x:c r="J731" s="7" t="str"/>
    </x:row>
    <x:row r="732">
      <x:c r="A732" s="5" t="str">
        <x:v>堂</x:v>
      </x:c>
      <x:c r="B732" s="6" t="str">
        <x:v>平</x:v>
      </x:c>
      <x:c r="C732" s="6" t="str">
        <x:f>IF(B732="","Needs decision","Ready")</x:f>
        <x:v>Ready</x:v>
      </x:c>
      <x:c r="D732" s="6" t="str">
        <x:v>平</x:v>
      </x:c>
      <x:c r="E732" s="6" t="str">
        <x:v>dang (A)</x:v>
      </x:c>
      <x:c r="F732" s="6" t="str">
        <x:v>1</x:v>
      </x:c>
      <x:c r="G732" s="6" t="str"/>
      <x:c r="H732" s="6" t="str">
        <x:f>IF(B732="平","平",IF(B732="","","仄"))</x:f>
        <x:v>平</x:v>
      </x:c>
      <x:c r="I732" s="6" t="str">
        <x:f>IF(D726="","",IF(AND(ISNUMBER(SEARCH("平",D726)),OR(ISNUMBER(SEARCH("上",D726)),ISNUMBER(SEARCH("去",D726)),ISNUMBER(SEARCH("入",D726)))),"Ambiguous",IF(ISNUMBER(SEARCH("平",D726)),"平","仄")))</x:f>
        <x:v>仄</x:v>
      </x:c>
      <x:c r="J732" s="7" t="str"/>
    </x:row>
    <x:row r="733">
      <x:c r="A733" s="5" t="str">
        <x:v>堅</x:v>
      </x:c>
      <x:c r="B733" s="6" t="str">
        <x:v>平</x:v>
      </x:c>
      <x:c r="C733" s="6" t="str">
        <x:f>IF(B733="","Needs decision","Ready")</x:f>
        <x:v>Ready</x:v>
      </x:c>
      <x:c r="D733" s="6" t="str">
        <x:v>平</x:v>
      </x:c>
      <x:c r="E733" s="6" t="str">
        <x:v>ken (A)</x:v>
      </x:c>
      <x:c r="F733" s="6" t="str">
        <x:v>1</x:v>
      </x:c>
      <x:c r="G733" s="6" t="str"/>
      <x:c r="H733" s="6" t="str">
        <x:f>IF(B733="平","平",IF(B733="","","仄"))</x:f>
        <x:v>平</x:v>
      </x:c>
      <x:c r="I733" s="6" t="str">
        <x:f>IF(D727="","",IF(AND(ISNUMBER(SEARCH("平",D727)),OR(ISNUMBER(SEARCH("上",D727)),ISNUMBER(SEARCH("去",D727)),ISNUMBER(SEARCH("入",D727)))),"Ambiguous",IF(ISNUMBER(SEARCH("平",D727)),"平","仄")))</x:f>
        <x:v>仄</x:v>
      </x:c>
      <x:c r="J733" s="7" t="str"/>
    </x:row>
    <x:row r="734">
      <x:c r="A734" s="5" t="str">
        <x:v>堆</x:v>
      </x:c>
      <x:c r="B734" s="6" t="str">
        <x:v>平</x:v>
      </x:c>
      <x:c r="C734" s="6" t="str">
        <x:f>IF(B734="","Needs decision","Ready")</x:f>
        <x:v>Ready</x:v>
      </x:c>
      <x:c r="D734" s="6" t="str">
        <x:v>平</x:v>
      </x:c>
      <x:c r="E734" s="6" t="str">
        <x:v>twoj (A)</x:v>
      </x:c>
      <x:c r="F734" s="6" t="str">
        <x:v>1</x:v>
      </x:c>
      <x:c r="G734" s="6" t="str"/>
      <x:c r="H734" s="6" t="str">
        <x:f>IF(B734="平","平",IF(B734="","","仄"))</x:f>
        <x:v>平</x:v>
      </x:c>
      <x:c r="I734" s="6" t="str">
        <x:f>IF(D728="","",IF(AND(ISNUMBER(SEARCH("平",D728)),OR(ISNUMBER(SEARCH("上",D728)),ISNUMBER(SEARCH("去",D728)),ISNUMBER(SEARCH("入",D728)))),"Ambiguous",IF(ISNUMBER(SEARCH("平",D728)),"平","仄")))</x:f>
        <x:v>仄</x:v>
      </x:c>
      <x:c r="J734" s="7" t="str"/>
    </x:row>
    <x:row r="735">
      <x:c r="A735" s="5" t="str">
        <x:v>堇</x:v>
      </x:c>
      <x:c r="B735" s="6" t="str"/>
      <x:c r="C735" s="6" t="str">
        <x:f>IF(B735="","Needs decision","Ready")</x:f>
        <x:v>Needs decision</x:v>
      </x:c>
      <x:c r="D735" s="6" t="str">
        <x:v>平/上</x:v>
      </x:c>
      <x:c r="E735" s="6" t="str">
        <x:v>gin (A); kj+nX (B)</x:v>
      </x:c>
      <x:c r="F735" s="6" t="str">
        <x:v>2</x:v>
      </x:c>
      <x:c r="G735" s="6" t="str"/>
      <x:c r="H735" s="6" t="str">
        <x:f>IF(B735="平","平",IF(B735="","","仄"))</x:f>
      </x:c>
      <x:c r="I735" s="6" t="str">
        <x:f>IF(D729="","",IF(AND(ISNUMBER(SEARCH("平",D729)),OR(ISNUMBER(SEARCH("上",D729)),ISNUMBER(SEARCH("去",D729)),ISNUMBER(SEARCH("入",D729)))),"Ambiguous",IF(ISNUMBER(SEARCH("平",D729)),"平","仄")))</x:f>
        <x:v>仄</x:v>
      </x:c>
      <x:c r="J735" s="7" t="str"/>
    </x:row>
    <x:row r="736">
      <x:c r="A736" s="5" t="str">
        <x:v>堊</x:v>
      </x:c>
      <x:c r="B736" s="6" t="str">
        <x:v>入</x:v>
      </x:c>
      <x:c r="C736" s="6" t="str">
        <x:f>IF(B736="","Needs decision","Ready")</x:f>
        <x:v>Ready</x:v>
      </x:c>
      <x:c r="D736" s="6" t="str">
        <x:v>入</x:v>
      </x:c>
      <x:c r="E736" s="6" t="str">
        <x:v>'ak (D)</x:v>
      </x:c>
      <x:c r="F736" s="6" t="str">
        <x:v>1</x:v>
      </x:c>
      <x:c r="G736" s="6" t="str"/>
      <x:c r="H736" s="6" t="str">
        <x:f>IF(B736="平","平",IF(B736="","","仄"))</x:f>
        <x:v>仄</x:v>
      </x:c>
      <x:c r="I736" s="6" t="str">
        <x:f>IF(D730="","",IF(AND(ISNUMBER(SEARCH("平",D730)),OR(ISNUMBER(SEARCH("上",D730)),ISNUMBER(SEARCH("去",D730)),ISNUMBER(SEARCH("入",D730)))),"Ambiguous",IF(ISNUMBER(SEARCH("平",D730)),"平","仄")))</x:f>
        <x:v>平</x:v>
      </x:c>
      <x:c r="J736" s="7" t="str"/>
    </x:row>
    <x:row r="737">
      <x:c r="A737" s="5" t="str">
        <x:v>堋</x:v>
      </x:c>
      <x:c r="B737" s="6" t="str">
        <x:v>去</x:v>
      </x:c>
      <x:c r="C737" s="6" t="str">
        <x:f>IF(B737="","Needs decision","Ready")</x:f>
        <x:v>Ready</x:v>
      </x:c>
      <x:c r="D737" s="6" t="str">
        <x:v>去</x:v>
      </x:c>
      <x:c r="E737" s="6" t="str">
        <x:v>pongH (C)</x:v>
      </x:c>
      <x:c r="F737" s="6" t="str">
        <x:v>1</x:v>
      </x:c>
      <x:c r="G737" s="6" t="str"/>
      <x:c r="H737" s="6" t="str">
        <x:f>IF(B737="平","平",IF(B737="","","仄"))</x:f>
        <x:v>仄</x:v>
      </x:c>
      <x:c r="I737" s="6" t="str">
        <x:f>IF(D731="","",IF(AND(ISNUMBER(SEARCH("平",D731)),OR(ISNUMBER(SEARCH("上",D731)),ISNUMBER(SEARCH("去",D731)),ISNUMBER(SEARCH("入",D731)))),"Ambiguous",IF(ISNUMBER(SEARCH("平",D731)),"平","仄")))</x:f>
        <x:v>仄</x:v>
      </x:c>
      <x:c r="J737" s="7" t="str"/>
    </x:row>
    <x:row r="738">
      <x:c r="A738" s="5" t="str">
        <x:v>堪</x:v>
      </x:c>
      <x:c r="B738" s="6" t="str">
        <x:v>平</x:v>
      </x:c>
      <x:c r="C738" s="6" t="str">
        <x:f>IF(B738="","Needs decision","Ready")</x:f>
        <x:v>Ready</x:v>
      </x:c>
      <x:c r="D738" s="6" t="str">
        <x:v>平</x:v>
      </x:c>
      <x:c r="E738" s="6" t="str">
        <x:v>khom (A)</x:v>
      </x:c>
      <x:c r="F738" s="6" t="str">
        <x:v>1</x:v>
      </x:c>
      <x:c r="G738" s="6" t="str"/>
      <x:c r="H738" s="6" t="str">
        <x:f>IF(B738="平","平",IF(B738="","","仄"))</x:f>
        <x:v>平</x:v>
      </x:c>
      <x:c r="I738" s="6" t="str">
        <x:f>IF(D732="","",IF(AND(ISNUMBER(SEARCH("平",D732)),OR(ISNUMBER(SEARCH("上",D732)),ISNUMBER(SEARCH("去",D732)),ISNUMBER(SEARCH("入",D732)))),"Ambiguous",IF(ISNUMBER(SEARCH("平",D732)),"平","仄")))</x:f>
        <x:v>平</x:v>
      </x:c>
      <x:c r="J738" s="7" t="str"/>
    </x:row>
    <x:row r="739">
      <x:c r="A739" s="5" t="str">
        <x:v>堯</x:v>
      </x:c>
      <x:c r="B739" s="6" t="str">
        <x:v>平</x:v>
      </x:c>
      <x:c r="C739" s="6" t="str">
        <x:f>IF(B739="","Needs decision","Ready")</x:f>
        <x:v>Ready</x:v>
      </x:c>
      <x:c r="D739" s="6" t="str">
        <x:v>平</x:v>
      </x:c>
      <x:c r="E739" s="6" t="str">
        <x:v>ngew (A)</x:v>
      </x:c>
      <x:c r="F739" s="6" t="str">
        <x:v>1</x:v>
      </x:c>
      <x:c r="G739" s="6" t="str"/>
      <x:c r="H739" s="6" t="str">
        <x:f>IF(B739="平","平",IF(B739="","","仄"))</x:f>
        <x:v>平</x:v>
      </x:c>
      <x:c r="I739" s="6" t="str">
        <x:f>IF(D733="","",IF(AND(ISNUMBER(SEARCH("平",D733)),OR(ISNUMBER(SEARCH("上",D733)),ISNUMBER(SEARCH("去",D733)),ISNUMBER(SEARCH("入",D733)))),"Ambiguous",IF(ISNUMBER(SEARCH("平",D733)),"平","仄")))</x:f>
        <x:v>平</x:v>
      </x:c>
      <x:c r="J739" s="7" t="str"/>
    </x:row>
    <x:row r="740">
      <x:c r="A740" s="5" t="str">
        <x:v>報</x:v>
      </x:c>
      <x:c r="B740" s="6" t="str">
        <x:v>去</x:v>
      </x:c>
      <x:c r="C740" s="6" t="str">
        <x:f>IF(B740="","Needs decision","Ready")</x:f>
        <x:v>Ready</x:v>
      </x:c>
      <x:c r="D740" s="6" t="str">
        <x:v>去</x:v>
      </x:c>
      <x:c r="E740" s="6" t="str">
        <x:v>pawH (C)</x:v>
      </x:c>
      <x:c r="F740" s="6" t="str">
        <x:v>1</x:v>
      </x:c>
      <x:c r="G740" s="6" t="str"/>
      <x:c r="H740" s="6" t="str">
        <x:f>IF(B740="平","平",IF(B740="","","仄"))</x:f>
        <x:v>仄</x:v>
      </x:c>
      <x:c r="I740" s="6" t="str">
        <x:f>IF(D734="","",IF(AND(ISNUMBER(SEARCH("平",D734)),OR(ISNUMBER(SEARCH("上",D734)),ISNUMBER(SEARCH("去",D734)),ISNUMBER(SEARCH("入",D734)))),"Ambiguous",IF(ISNUMBER(SEARCH("平",D734)),"平","仄")))</x:f>
        <x:v>平</x:v>
      </x:c>
      <x:c r="J740" s="7" t="str"/>
    </x:row>
    <x:row r="741">
      <x:c r="A741" s="5" t="str">
        <x:v>堲</x:v>
      </x:c>
      <x:c r="B741" s="6" t="str">
        <x:v>入</x:v>
      </x:c>
      <x:c r="C741" s="6" t="str">
        <x:f>IF(B741="","Needs decision","Ready")</x:f>
        <x:v>Ready</x:v>
      </x:c>
      <x:c r="D741" s="6" t="str">
        <x:v>入</x:v>
      </x:c>
      <x:c r="E741" s="6" t="str">
        <x:v>tsit (D)</x:v>
      </x:c>
      <x:c r="F741" s="6" t="str">
        <x:v>1</x:v>
      </x:c>
      <x:c r="G741" s="6" t="str"/>
      <x:c r="H741" s="6" t="str">
        <x:f>IF(B741="平","平",IF(B741="","","仄"))</x:f>
        <x:v>仄</x:v>
      </x:c>
      <x:c r="I741" s="6" t="str">
        <x:f>IF(D735="","",IF(AND(ISNUMBER(SEARCH("平",D735)),OR(ISNUMBER(SEARCH("上",D735)),ISNUMBER(SEARCH("去",D735)),ISNUMBER(SEARCH("入",D735)))),"Ambiguous",IF(ISNUMBER(SEARCH("平",D735)),"平","仄")))</x:f>
        <x:v>Ambiguous</x:v>
      </x:c>
      <x:c r="J741" s="7" t="str"/>
    </x:row>
    <x:row r="742">
      <x:c r="A742" s="5" t="str">
        <x:v>場</x:v>
      </x:c>
      <x:c r="B742" s="6" t="str">
        <x:v>平</x:v>
      </x:c>
      <x:c r="C742" s="6" t="str">
        <x:f>IF(B742="","Needs decision","Ready")</x:f>
        <x:v>Ready</x:v>
      </x:c>
      <x:c r="D742" s="6" t="str">
        <x:v>平</x:v>
      </x:c>
      <x:c r="E742" s="6" t="str">
        <x:v>drjang (A)</x:v>
      </x:c>
      <x:c r="F742" s="6" t="str">
        <x:v>1</x:v>
      </x:c>
      <x:c r="G742" s="6" t="str"/>
      <x:c r="H742" s="6" t="str">
        <x:f>IF(B742="平","平",IF(B742="","","仄"))</x:f>
        <x:v>平</x:v>
      </x:c>
      <x:c r="I742" s="6" t="str">
        <x:f>IF(D736="","",IF(AND(ISNUMBER(SEARCH("平",D736)),OR(ISNUMBER(SEARCH("上",D736)),ISNUMBER(SEARCH("去",D736)),ISNUMBER(SEARCH("入",D736)))),"Ambiguous",IF(ISNUMBER(SEARCH("平",D736)),"平","仄")))</x:f>
        <x:v>仄</x:v>
      </x:c>
      <x:c r="J742" s="7" t="str"/>
    </x:row>
    <x:row r="743">
      <x:c r="A743" s="5" t="str">
        <x:v>堵</x:v>
      </x:c>
      <x:c r="B743" s="6" t="str">
        <x:v>上</x:v>
      </x:c>
      <x:c r="C743" s="6" t="str">
        <x:f>IF(B743="","Needs decision","Ready")</x:f>
        <x:v>Ready</x:v>
      </x:c>
      <x:c r="D743" s="6" t="str">
        <x:v>上</x:v>
      </x:c>
      <x:c r="E743" s="6" t="str">
        <x:v>tuX (B)</x:v>
      </x:c>
      <x:c r="F743" s="6" t="str">
        <x:v>1</x:v>
      </x:c>
      <x:c r="G743" s="6" t="str"/>
      <x:c r="H743" s="6" t="str">
        <x:f>IF(B743="平","平",IF(B743="","","仄"))</x:f>
        <x:v>仄</x:v>
      </x:c>
      <x:c r="I743" s="6" t="str">
        <x:f>IF(D737="","",IF(AND(ISNUMBER(SEARCH("平",D737)),OR(ISNUMBER(SEARCH("上",D737)),ISNUMBER(SEARCH("去",D737)),ISNUMBER(SEARCH("入",D737)))),"Ambiguous",IF(ISNUMBER(SEARCH("平",D737)),"平","仄")))</x:f>
        <x:v>仄</x:v>
      </x:c>
      <x:c r="J743" s="7" t="str"/>
    </x:row>
    <x:row r="744">
      <x:c r="A744" s="5" t="str">
        <x:v>塈</x:v>
      </x:c>
      <x:c r="B744" s="6" t="str">
        <x:v>去</x:v>
      </x:c>
      <x:c r="C744" s="6" t="str">
        <x:f>IF(B744="","Needs decision","Ready")</x:f>
        <x:v>Ready</x:v>
      </x:c>
      <x:c r="D744" s="6" t="str">
        <x:v>去</x:v>
      </x:c>
      <x:c r="E744" s="6" t="str">
        <x:v>xijH (C); xj+jH (C)</x:v>
      </x:c>
      <x:c r="F744" s="6" t="str">
        <x:v>2</x:v>
      </x:c>
      <x:c r="G744" s="6" t="str"/>
      <x:c r="H744" s="6" t="str">
        <x:f>IF(B744="平","平",IF(B744="","","仄"))</x:f>
        <x:v>仄</x:v>
      </x:c>
      <x:c r="I744" s="6" t="str">
        <x:f>IF(D738="","",IF(AND(ISNUMBER(SEARCH("平",D738)),OR(ISNUMBER(SEARCH("上",D738)),ISNUMBER(SEARCH("去",D738)),ISNUMBER(SEARCH("入",D738)))),"Ambiguous",IF(ISNUMBER(SEARCH("平",D738)),"平","仄")))</x:f>
        <x:v>平</x:v>
      </x:c>
      <x:c r="J744" s="7" t="str"/>
    </x:row>
    <x:row r="745">
      <x:c r="A745" s="5" t="str">
        <x:v>塊</x:v>
      </x:c>
      <x:c r="B745" s="6" t="str">
        <x:v>去</x:v>
      </x:c>
      <x:c r="C745" s="6" t="str">
        <x:f>IF(B745="","Needs decision","Ready")</x:f>
        <x:v>Ready</x:v>
      </x:c>
      <x:c r="D745" s="6" t="str">
        <x:v>去</x:v>
      </x:c>
      <x:c r="E745" s="6" t="str">
        <x:v>khweajH (C); khwojH (C)</x:v>
      </x:c>
      <x:c r="F745" s="6" t="str">
        <x:v>2</x:v>
      </x:c>
      <x:c r="G745" s="6" t="str"/>
      <x:c r="H745" s="6" t="str">
        <x:f>IF(B745="平","平",IF(B745="","","仄"))</x:f>
        <x:v>仄</x:v>
      </x:c>
      <x:c r="I745" s="6" t="str">
        <x:f>IF(D739="","",IF(AND(ISNUMBER(SEARCH("平",D739)),OR(ISNUMBER(SEARCH("上",D739)),ISNUMBER(SEARCH("去",D739)),ISNUMBER(SEARCH("入",D739)))),"Ambiguous",IF(ISNUMBER(SEARCH("平",D739)),"平","仄")))</x:f>
        <x:v>平</x:v>
      </x:c>
      <x:c r="J745" s="7" t="str"/>
    </x:row>
    <x:row r="746">
      <x:c r="A746" s="5" t="str">
        <x:v>塍</x:v>
      </x:c>
      <x:c r="B746" s="6" t="str">
        <x:v>平</x:v>
      </x:c>
      <x:c r="C746" s="6" t="str">
        <x:f>IF(B746="","Needs decision","Ready")</x:f>
        <x:v>Ready</x:v>
      </x:c>
      <x:c r="D746" s="6" t="str">
        <x:v>平</x:v>
      </x:c>
      <x:c r="E746" s="6" t="str">
        <x:v>zying (A)</x:v>
      </x:c>
      <x:c r="F746" s="6" t="str">
        <x:v>1</x:v>
      </x:c>
      <x:c r="G746" s="6" t="str"/>
      <x:c r="H746" s="6" t="str">
        <x:f>IF(B746="平","平",IF(B746="","","仄"))</x:f>
        <x:v>平</x:v>
      </x:c>
      <x:c r="I746" s="6" t="str">
        <x:f>IF(D740="","",IF(AND(ISNUMBER(SEARCH("平",D740)),OR(ISNUMBER(SEARCH("上",D740)),ISNUMBER(SEARCH("去",D740)),ISNUMBER(SEARCH("入",D740)))),"Ambiguous",IF(ISNUMBER(SEARCH("平",D740)),"平","仄")))</x:f>
        <x:v>仄</x:v>
      </x:c>
      <x:c r="J746" s="7" t="str"/>
    </x:row>
    <x:row r="747">
      <x:c r="A747" s="5" t="str">
        <x:v>塏</x:v>
      </x:c>
      <x:c r="B747" s="6" t="str">
        <x:v>上</x:v>
      </x:c>
      <x:c r="C747" s="6" t="str">
        <x:f>IF(B747="","Needs decision","Ready")</x:f>
        <x:v>Ready</x:v>
      </x:c>
      <x:c r="D747" s="6" t="str">
        <x:v>上</x:v>
      </x:c>
      <x:c r="E747" s="6" t="str">
        <x:v>khojX (B)</x:v>
      </x:c>
      <x:c r="F747" s="6" t="str">
        <x:v>1</x:v>
      </x:c>
      <x:c r="G747" s="6" t="str"/>
      <x:c r="H747" s="6" t="str">
        <x:f>IF(B747="平","平",IF(B747="","","仄"))</x:f>
        <x:v>仄</x:v>
      </x:c>
      <x:c r="I747" s="6" t="str">
        <x:f>IF(D741="","",IF(AND(ISNUMBER(SEARCH("平",D741)),OR(ISNUMBER(SEARCH("上",D741)),ISNUMBER(SEARCH("去",D741)),ISNUMBER(SEARCH("入",D741)))),"Ambiguous",IF(ISNUMBER(SEARCH("平",D741)),"平","仄")))</x:f>
        <x:v>仄</x:v>
      </x:c>
      <x:c r="J747" s="7" t="str"/>
    </x:row>
    <x:row r="748">
      <x:c r="A748" s="5" t="str">
        <x:v>塔</x:v>
      </x:c>
      <x:c r="B748" s="6" t="str">
        <x:v>入</x:v>
      </x:c>
      <x:c r="C748" s="6" t="str">
        <x:f>IF(B748="","Needs decision","Ready")</x:f>
        <x:v>Ready</x:v>
      </x:c>
      <x:c r="D748" s="6" t="str">
        <x:v>入</x:v>
      </x:c>
      <x:c r="E748" s="6" t="str">
        <x:v>thap [t̙ʰɑp] (入)</x:v>
      </x:c>
      <x:c r="F748" s="6" t="str">
        <x:v>1</x:v>
      </x:c>
      <x:c r="G748" s="6" t="str">
        <x:v>Tang 300 gap; frequency 1; provisional from Xun Gong</x:v>
      </x:c>
      <x:c r="H748" s="6" t="str">
        <x:f>IF(B748="平","平",IF(B748="","","仄"))</x:f>
        <x:v>仄</x:v>
      </x:c>
      <x:c r="I748" s="6" t="str">
        <x:f>IF(D742="","",IF(AND(ISNUMBER(SEARCH("平",D742)),OR(ISNUMBER(SEARCH("上",D742)),ISNUMBER(SEARCH("去",D742)),ISNUMBER(SEARCH("入",D742)))),"Ambiguous",IF(ISNUMBER(SEARCH("平",D742)),"平","仄")))</x:f>
        <x:v>平</x:v>
      </x:c>
      <x:c r="J748" s="7" t="str">
        <x:v>Xun Gong, Tang 300 gap fill</x:v>
      </x:c>
    </x:row>
    <x:row r="749">
      <x:c r="A749" s="5" t="str">
        <x:v>塗</x:v>
      </x:c>
      <x:c r="B749" s="6" t="str">
        <x:v>平</x:v>
      </x:c>
      <x:c r="C749" s="6" t="str">
        <x:f>IF(B749="","Needs decision","Ready")</x:f>
        <x:v>Ready</x:v>
      </x:c>
      <x:c r="D749" s="6" t="str">
        <x:v>平</x:v>
      </x:c>
      <x:c r="E749" s="6" t="str">
        <x:v>du (A)</x:v>
      </x:c>
      <x:c r="F749" s="6" t="str">
        <x:v>1</x:v>
      </x:c>
      <x:c r="G749" s="6" t="str"/>
      <x:c r="H749" s="6" t="str">
        <x:f>IF(B749="平","平",IF(B749="","","仄"))</x:f>
        <x:v>平</x:v>
      </x:c>
      <x:c r="I749" s="6" t="str">
        <x:f>IF(D743="","",IF(AND(ISNUMBER(SEARCH("平",D743)),OR(ISNUMBER(SEARCH("上",D743)),ISNUMBER(SEARCH("去",D743)),ISNUMBER(SEARCH("入",D743)))),"Ambiguous",IF(ISNUMBER(SEARCH("平",D743)),"平","仄")))</x:f>
        <x:v>仄</x:v>
      </x:c>
      <x:c r="J749" s="7" t="str"/>
    </x:row>
    <x:row r="750">
      <x:c r="A750" s="5" t="str">
        <x:v>塘</x:v>
      </x:c>
      <x:c r="B750" s="6" t="str">
        <x:v>平</x:v>
      </x:c>
      <x:c r="C750" s="6" t="str">
        <x:f>IF(B750="","Needs decision","Ready")</x:f>
        <x:v>Ready</x:v>
      </x:c>
      <x:c r="D750" s="6" t="str">
        <x:v>平</x:v>
      </x:c>
      <x:c r="E750" s="6" t="str">
        <x:v>dang (A)</x:v>
      </x:c>
      <x:c r="F750" s="6" t="str">
        <x:v>1</x:v>
      </x:c>
      <x:c r="G750" s="6" t="str"/>
      <x:c r="H750" s="6" t="str">
        <x:f>IF(B750="平","平",IF(B750="","","仄"))</x:f>
        <x:v>平</x:v>
      </x:c>
      <x:c r="I750" s="6" t="str">
        <x:f>IF(D744="","",IF(AND(ISNUMBER(SEARCH("平",D744)),OR(ISNUMBER(SEARCH("上",D744)),ISNUMBER(SEARCH("去",D744)),ISNUMBER(SEARCH("入",D744)))),"Ambiguous",IF(ISNUMBER(SEARCH("平",D744)),"平","仄")))</x:f>
        <x:v>仄</x:v>
      </x:c>
      <x:c r="J750" s="7" t="str"/>
    </x:row>
    <x:row r="751">
      <x:c r="A751" s="5" t="str">
        <x:v>塚</x:v>
      </x:c>
      <x:c r="B751" s="6" t="str">
        <x:v>上</x:v>
      </x:c>
      <x:c r="C751" s="6" t="str">
        <x:f>IF(B751="","Needs decision","Ready")</x:f>
        <x:v>Ready</x:v>
      </x:c>
      <x:c r="D751" s="6" t="str">
        <x:v>上</x:v>
      </x:c>
      <x:c r="E751" s="6" t="str"/>
      <x:c r="F751" s="6" t="str"/>
      <x:c r="G751" s="6" t="str">
        <x:v>Manual user correction/addition</x:v>
      </x:c>
      <x:c r="H751" s="6" t="str">
        <x:f>IF(B751="平","平",IF(B751="","","仄"))</x:f>
        <x:v>仄</x:v>
      </x:c>
      <x:c r="I751" s="6" t="str">
        <x:f>IF(D745="","",IF(AND(ISNUMBER(SEARCH("平",D745)),OR(ISNUMBER(SEARCH("上",D745)),ISNUMBER(SEARCH("去",D745)),ISNUMBER(SEARCH("入",D745)))),"Ambiguous",IF(ISNUMBER(SEARCH("平",D745)),"平","仄")))</x:f>
        <x:v>仄</x:v>
      </x:c>
      <x:c r="J751" s="7" t="str">
        <x:v>manual user correction</x:v>
      </x:c>
    </x:row>
    <x:row r="752">
      <x:c r="A752" s="5" t="str">
        <x:v>塞</x:v>
      </x:c>
      <x:c r="B752" s="6" t="str"/>
      <x:c r="C752" s="6" t="str">
        <x:f>IF(B752="","Needs decision","Ready")</x:f>
        <x:v>Needs decision</x:v>
      </x:c>
      <x:c r="D752" s="6" t="str">
        <x:v>去/入</x:v>
      </x:c>
      <x:c r="E752" s="6" t="str">
        <x:v>sojH (C); sok (D)</x:v>
      </x:c>
      <x:c r="F752" s="6" t="str">
        <x:v>2</x:v>
      </x:c>
      <x:c r="G752" s="6" t="str"/>
      <x:c r="H752" s="6" t="str">
        <x:f>IF(B752="平","平",IF(B752="","","仄"))</x:f>
      </x:c>
      <x:c r="I752" s="6" t="str">
        <x:f>IF(D746="","",IF(AND(ISNUMBER(SEARCH("平",D746)),OR(ISNUMBER(SEARCH("上",D746)),ISNUMBER(SEARCH("去",D746)),ISNUMBER(SEARCH("入",D746)))),"Ambiguous",IF(ISNUMBER(SEARCH("平",D746)),"平","仄")))</x:f>
        <x:v>平</x:v>
      </x:c>
      <x:c r="J752" s="7" t="str"/>
    </x:row>
    <x:row r="753">
      <x:c r="A753" s="5" t="str">
        <x:v>塤</x:v>
      </x:c>
      <x:c r="B753" s="6" t="str">
        <x:v>平</x:v>
      </x:c>
      <x:c r="C753" s="6" t="str">
        <x:f>IF(B753="","Needs decision","Ready")</x:f>
        <x:v>Ready</x:v>
      </x:c>
      <x:c r="D753" s="6" t="str">
        <x:v>平</x:v>
      </x:c>
      <x:c r="E753" s="6" t="str">
        <x:v>xjwon (A)</x:v>
      </x:c>
      <x:c r="F753" s="6" t="str">
        <x:v>1</x:v>
      </x:c>
      <x:c r="G753" s="6" t="str"/>
      <x:c r="H753" s="6" t="str">
        <x:f>IF(B753="平","平",IF(B753="","","仄"))</x:f>
        <x:v>平</x:v>
      </x:c>
      <x:c r="I753" s="6" t="str">
        <x:f>IF(D747="","",IF(AND(ISNUMBER(SEARCH("平",D747)),OR(ISNUMBER(SEARCH("上",D747)),ISNUMBER(SEARCH("去",D747)),ISNUMBER(SEARCH("入",D747)))),"Ambiguous",IF(ISNUMBER(SEARCH("平",D747)),"平","仄")))</x:f>
        <x:v>仄</x:v>
      </x:c>
      <x:c r="J753" s="7" t="str"/>
    </x:row>
    <x:row r="754">
      <x:c r="A754" s="5" t="str">
        <x:v>填</x:v>
      </x:c>
      <x:c r="B754" s="6" t="str">
        <x:v>平</x:v>
      </x:c>
      <x:c r="C754" s="6" t="str">
        <x:f>IF(B754="","Needs decision","Ready")</x:f>
        <x:v>Ready</x:v>
      </x:c>
      <x:c r="D754" s="6" t="str">
        <x:v>平</x:v>
      </x:c>
      <x:c r="E754" s="6" t="str">
        <x:v>den (A)</x:v>
      </x:c>
      <x:c r="F754" s="6" t="str">
        <x:v>1</x:v>
      </x:c>
      <x:c r="G754" s="6" t="str"/>
      <x:c r="H754" s="6" t="str">
        <x:f>IF(B754="平","平",IF(B754="","","仄"))</x:f>
        <x:v>平</x:v>
      </x:c>
      <x:c r="I754" s="6" t="str">
        <x:f>IF(D748="","",IF(AND(ISNUMBER(SEARCH("平",D748)),OR(ISNUMBER(SEARCH("上",D748)),ISNUMBER(SEARCH("去",D748)),ISNUMBER(SEARCH("入",D748)))),"Ambiguous",IF(ISNUMBER(SEARCH("平",D748)),"平","仄")))</x:f>
        <x:v>仄</x:v>
      </x:c>
      <x:c r="J754" s="7" t="str"/>
    </x:row>
    <x:row r="755">
      <x:c r="A755" s="5" t="str">
        <x:v>塵</x:v>
      </x:c>
      <x:c r="B755" s="6" t="str">
        <x:v>平</x:v>
      </x:c>
      <x:c r="C755" s="6" t="str">
        <x:f>IF(B755="","Needs decision","Ready")</x:f>
        <x:v>Ready</x:v>
      </x:c>
      <x:c r="D755" s="6" t="str">
        <x:v>平</x:v>
      </x:c>
      <x:c r="E755" s="6" t="str">
        <x:v>drin (A)</x:v>
      </x:c>
      <x:c r="F755" s="6" t="str">
        <x:v>1</x:v>
      </x:c>
      <x:c r="G755" s="6" t="str"/>
      <x:c r="H755" s="6" t="str">
        <x:f>IF(B755="平","平",IF(B755="","","仄"))</x:f>
        <x:v>平</x:v>
      </x:c>
      <x:c r="I755" s="6" t="str">
        <x:f>IF(D749="","",IF(AND(ISNUMBER(SEARCH("平",D749)),OR(ISNUMBER(SEARCH("上",D749)),ISNUMBER(SEARCH("去",D749)),ISNUMBER(SEARCH("入",D749)))),"Ambiguous",IF(ISNUMBER(SEARCH("平",D749)),"平","仄")))</x:f>
        <x:v>平</x:v>
      </x:c>
      <x:c r="J755" s="7" t="str"/>
    </x:row>
    <x:row r="756">
      <x:c r="A756" s="5" t="str">
        <x:v>塹</x:v>
      </x:c>
      <x:c r="B756" s="6" t="str">
        <x:v>去</x:v>
      </x:c>
      <x:c r="C756" s="6" t="str">
        <x:f>IF(B756="","Needs decision","Ready")</x:f>
        <x:v>Ready</x:v>
      </x:c>
      <x:c r="D756" s="6" t="str">
        <x:v>去</x:v>
      </x:c>
      <x:c r="E756" s="6" t="str">
        <x:v>tshjemH (C)</x:v>
      </x:c>
      <x:c r="F756" s="6" t="str">
        <x:v>1</x:v>
      </x:c>
      <x:c r="G756" s="6" t="str"/>
      <x:c r="H756" s="6" t="str">
        <x:f>IF(B756="平","平",IF(B756="","","仄"))</x:f>
        <x:v>仄</x:v>
      </x:c>
      <x:c r="I756" s="6" t="str">
        <x:f>IF(D750="","",IF(AND(ISNUMBER(SEARCH("平",D750)),OR(ISNUMBER(SEARCH("上",D750)),ISNUMBER(SEARCH("去",D750)),ISNUMBER(SEARCH("入",D750)))),"Ambiguous",IF(ISNUMBER(SEARCH("平",D750)),"平","仄")))</x:f>
        <x:v>平</x:v>
      </x:c>
      <x:c r="J756" s="7" t="str"/>
    </x:row>
    <x:row r="757">
      <x:c r="A757" s="5" t="str">
        <x:v>塺</x:v>
      </x:c>
      <x:c r="B757" s="6" t="str">
        <x:v>去</x:v>
      </x:c>
      <x:c r="C757" s="6" t="str">
        <x:f>IF(B757="","Needs decision","Ready")</x:f>
        <x:v>Ready</x:v>
      </x:c>
      <x:c r="D757" s="6" t="str">
        <x:v>去</x:v>
      </x:c>
      <x:c r="E757" s="6" t="str">
        <x:v>maH (C)</x:v>
      </x:c>
      <x:c r="F757" s="6" t="str">
        <x:v>1</x:v>
      </x:c>
      <x:c r="G757" s="6" t="str"/>
      <x:c r="H757" s="6" t="str">
        <x:f>IF(B757="平","平",IF(B757="","","仄"))</x:f>
        <x:v>仄</x:v>
      </x:c>
      <x:c r="I757" s="6" t="str">
        <x:f>IF(D751="","",IF(AND(ISNUMBER(SEARCH("平",D751)),OR(ISNUMBER(SEARCH("上",D751)),ISNUMBER(SEARCH("去",D751)),ISNUMBER(SEARCH("入",D751)))),"Ambiguous",IF(ISNUMBER(SEARCH("平",D751)),"平","仄")))</x:f>
        <x:v>仄</x:v>
      </x:c>
      <x:c r="J757" s="7" t="str"/>
    </x:row>
    <x:row r="758">
      <x:c r="A758" s="5" t="str">
        <x:v>墀</x:v>
      </x:c>
      <x:c r="B758" s="6" t="str">
        <x:v>平</x:v>
      </x:c>
      <x:c r="C758" s="6" t="str">
        <x:f>IF(B758="","Needs decision","Ready")</x:f>
        <x:v>Ready</x:v>
      </x:c>
      <x:c r="D758" s="6" t="str">
        <x:v>平</x:v>
      </x:c>
      <x:c r="E758" s="6" t="str">
        <x:v>drij [ɖi] (平)</x:v>
      </x:c>
      <x:c r="F758" s="6" t="str">
        <x:v>1</x:v>
      </x:c>
      <x:c r="G758" s="6" t="str">
        <x:v>Tang 300 gap; frequency 2; provisional from Xun Gong</x:v>
      </x:c>
      <x:c r="H758" s="6" t="str">
        <x:f>IF(B758="平","平",IF(B758="","","仄"))</x:f>
        <x:v>平</x:v>
      </x:c>
      <x:c r="I758" s="6" t="str">
        <x:f>IF(D752="","",IF(AND(ISNUMBER(SEARCH("平",D752)),OR(ISNUMBER(SEARCH("上",D752)),ISNUMBER(SEARCH("去",D752)),ISNUMBER(SEARCH("入",D752)))),"Ambiguous",IF(ISNUMBER(SEARCH("平",D752)),"平","仄")))</x:f>
        <x:v>仄</x:v>
      </x:c>
      <x:c r="J758" s="7" t="str">
        <x:v>Xun Gong, Tang 300 gap fill</x:v>
      </x:c>
    </x:row>
    <x:row r="759">
      <x:c r="A759" s="5" t="str">
        <x:v>境</x:v>
      </x:c>
      <x:c r="B759" s="6" t="str">
        <x:v>上</x:v>
      </x:c>
      <x:c r="C759" s="6" t="str">
        <x:f>IF(B759="","Needs decision","Ready")</x:f>
        <x:v>Ready</x:v>
      </x:c>
      <x:c r="D759" s="6" t="str">
        <x:v>上</x:v>
      </x:c>
      <x:c r="E759" s="6" t="str">
        <x:v>kjaengX (B)</x:v>
      </x:c>
      <x:c r="F759" s="6" t="str">
        <x:v>1</x:v>
      </x:c>
      <x:c r="G759" s="6" t="str"/>
      <x:c r="H759" s="6" t="str">
        <x:f>IF(B759="平","平",IF(B759="","","仄"))</x:f>
        <x:v>仄</x:v>
      </x:c>
      <x:c r="I759" s="6" t="str">
        <x:f>IF(D753="","",IF(AND(ISNUMBER(SEARCH("平",D753)),OR(ISNUMBER(SEARCH("上",D753)),ISNUMBER(SEARCH("去",D753)),ISNUMBER(SEARCH("入",D753)))),"Ambiguous",IF(ISNUMBER(SEARCH("平",D753)),"平","仄")))</x:f>
        <x:v>平</x:v>
      </x:c>
      <x:c r="J759" s="7" t="str"/>
    </x:row>
    <x:row r="760">
      <x:c r="A760" s="5" t="str">
        <x:v>墆</x:v>
      </x:c>
      <x:c r="B760" s="6" t="str">
        <x:v>入</x:v>
      </x:c>
      <x:c r="C760" s="6" t="str">
        <x:f>IF(B760="","Needs decision","Ready")</x:f>
        <x:v>Ready</x:v>
      </x:c>
      <x:c r="D760" s="6" t="str">
        <x:v>入</x:v>
      </x:c>
      <x:c r="E760" s="6" t="str">
        <x:v>det (D)</x:v>
      </x:c>
      <x:c r="F760" s="6" t="str">
        <x:v>1</x:v>
      </x:c>
      <x:c r="G760" s="6" t="str"/>
      <x:c r="H760" s="6" t="str">
        <x:f>IF(B760="平","平",IF(B760="","","仄"))</x:f>
        <x:v>仄</x:v>
      </x:c>
      <x:c r="I760" s="6" t="str">
        <x:f>IF(D754="","",IF(AND(ISNUMBER(SEARCH("平",D754)),OR(ISNUMBER(SEARCH("上",D754)),ISNUMBER(SEARCH("去",D754)),ISNUMBER(SEARCH("入",D754)))),"Ambiguous",IF(ISNUMBER(SEARCH("平",D754)),"平","仄")))</x:f>
        <x:v>平</x:v>
      </x:c>
      <x:c r="J760" s="7" t="str"/>
    </x:row>
    <x:row r="761">
      <x:c r="A761" s="5" t="str">
        <x:v>墉</x:v>
      </x:c>
      <x:c r="B761" s="6" t="str">
        <x:v>平</x:v>
      </x:c>
      <x:c r="C761" s="6" t="str">
        <x:f>IF(B761="","Needs decision","Ready")</x:f>
        <x:v>Ready</x:v>
      </x:c>
      <x:c r="D761" s="6" t="str">
        <x:v>平</x:v>
      </x:c>
      <x:c r="E761" s="6" t="str"/>
      <x:c r="F761" s="6" t="str"/>
      <x:c r="G761" s="6" t="str">
        <x:v>Manual user correction/addition</x:v>
      </x:c>
      <x:c r="H761" s="6" t="str">
        <x:f>IF(B761="平","平",IF(B761="","","仄"))</x:f>
        <x:v>平</x:v>
      </x:c>
      <x:c r="I761" s="6" t="str">
        <x:v>平</x:v>
      </x:c>
      <x:c r="J761" s="7" t="str">
        <x:v>manual user correction</x:v>
      </x:c>
    </x:row>
    <x:row r="762">
      <x:c r="A762" s="5" t="str">
        <x:v>墊</x:v>
      </x:c>
      <x:c r="B762" s="6" t="str"/>
      <x:c r="C762" s="6" t="str">
        <x:f>IF(B762="","Needs decision","Ready")</x:f>
        <x:v>Needs decision</x:v>
      </x:c>
      <x:c r="D762" s="6" t="str">
        <x:v>去/入</x:v>
      </x:c>
      <x:c r="E762" s="6" t="str">
        <x:v>temH (C); tep (D)</x:v>
      </x:c>
      <x:c r="F762" s="6" t="str">
        <x:v>2</x:v>
      </x:c>
      <x:c r="G762" s="6" t="str"/>
      <x:c r="H762" s="6" t="str">
        <x:f>IF(B762="平","平",IF(B762="","","仄"))</x:f>
      </x:c>
      <x:c r="I762" s="6" t="str">
        <x:f>IF(D755="","",IF(AND(ISNUMBER(SEARCH("平",D755)),OR(ISNUMBER(SEARCH("上",D755)),ISNUMBER(SEARCH("去",D755)),ISNUMBER(SEARCH("入",D755)))),"Ambiguous",IF(ISNUMBER(SEARCH("平",D755)),"平","仄")))</x:f>
        <x:v>平</x:v>
      </x:c>
      <x:c r="J762" s="7" t="str"/>
    </x:row>
    <x:row r="763">
      <x:c r="A763" s="5" t="str">
        <x:v>墐</x:v>
      </x:c>
      <x:c r="B763" s="6" t="str">
        <x:v>去</x:v>
      </x:c>
      <x:c r="C763" s="6" t="str">
        <x:f>IF(B763="","Needs decision","Ready")</x:f>
        <x:v>Ready</x:v>
      </x:c>
      <x:c r="D763" s="6" t="str">
        <x:v>去</x:v>
      </x:c>
      <x:c r="E763" s="6" t="str">
        <x:v>ginH (C)</x:v>
      </x:c>
      <x:c r="F763" s="6" t="str">
        <x:v>1</x:v>
      </x:c>
      <x:c r="G763" s="6" t="str"/>
      <x:c r="H763" s="6" t="str">
        <x:f>IF(B763="平","平",IF(B763="","","仄"))</x:f>
        <x:v>仄</x:v>
      </x:c>
      <x:c r="I763" s="6" t="str">
        <x:f>IF(D756="","",IF(AND(ISNUMBER(SEARCH("平",D756)),OR(ISNUMBER(SEARCH("上",D756)),ISNUMBER(SEARCH("去",D756)),ISNUMBER(SEARCH("入",D756)))),"Ambiguous",IF(ISNUMBER(SEARCH("平",D756)),"平","仄")))</x:f>
        <x:v>仄</x:v>
      </x:c>
      <x:c r="J763" s="7" t="str"/>
    </x:row>
    <x:row r="764">
      <x:c r="A764" s="5" t="str">
        <x:v>墓</x:v>
      </x:c>
      <x:c r="B764" s="6" t="str">
        <x:v>去</x:v>
      </x:c>
      <x:c r="C764" s="6" t="str">
        <x:f>IF(B764="","Needs decision","Ready")</x:f>
        <x:v>Ready</x:v>
      </x:c>
      <x:c r="D764" s="6" t="str">
        <x:v>去</x:v>
      </x:c>
      <x:c r="E764" s="6" t="str">
        <x:v>muH (C)</x:v>
      </x:c>
      <x:c r="F764" s="6" t="str">
        <x:v>1</x:v>
      </x:c>
      <x:c r="G764" s="6" t="str"/>
      <x:c r="H764" s="6" t="str">
        <x:f>IF(B764="平","平",IF(B764="","","仄"))</x:f>
        <x:v>仄</x:v>
      </x:c>
      <x:c r="I764" s="6" t="str">
        <x:f>IF(D757="","",IF(AND(ISNUMBER(SEARCH("平",D757)),OR(ISNUMBER(SEARCH("上",D757)),ISNUMBER(SEARCH("去",D757)),ISNUMBER(SEARCH("入",D757)))),"Ambiguous",IF(ISNUMBER(SEARCH("平",D757)),"平","仄")))</x:f>
        <x:v>仄</x:v>
      </x:c>
      <x:c r="J764" s="7" t="str"/>
    </x:row>
    <x:row r="765">
      <x:c r="A765" s="5" t="str">
        <x:v>墜</x:v>
      </x:c>
      <x:c r="B765" s="6" t="str">
        <x:v>去</x:v>
      </x:c>
      <x:c r="C765" s="6" t="str">
        <x:f>IF(B765="","Needs decision","Ready")</x:f>
        <x:v>Ready</x:v>
      </x:c>
      <x:c r="D765" s="6" t="str">
        <x:v>去</x:v>
      </x:c>
      <x:c r="E765" s="6" t="str">
        <x:v>drwijH (C)</x:v>
      </x:c>
      <x:c r="F765" s="6" t="str">
        <x:v>1</x:v>
      </x:c>
      <x:c r="G765" s="6" t="str"/>
      <x:c r="H765" s="6" t="str">
        <x:f>IF(B765="平","平",IF(B765="","","仄"))</x:f>
        <x:v>仄</x:v>
      </x:c>
      <x:c r="I765" s="6" t="str">
        <x:f>IF(D758="","",IF(AND(ISNUMBER(SEARCH("平",D758)),OR(ISNUMBER(SEARCH("上",D758)),ISNUMBER(SEARCH("去",D758)),ISNUMBER(SEARCH("入",D758)))),"Ambiguous",IF(ISNUMBER(SEARCH("平",D758)),"平","仄")))</x:f>
        <x:v>平</x:v>
      </x:c>
      <x:c r="J765" s="7" t="str"/>
    </x:row>
    <x:row r="766">
      <x:c r="A766" s="5" t="str">
        <x:v>增</x:v>
      </x:c>
      <x:c r="B766" s="6" t="str">
        <x:v>平</x:v>
      </x:c>
      <x:c r="C766" s="6" t="str">
        <x:f>IF(B766="","Needs decision","Ready")</x:f>
        <x:v>Ready</x:v>
      </x:c>
      <x:c r="D766" s="6" t="str">
        <x:v>平</x:v>
      </x:c>
      <x:c r="E766" s="6" t="str">
        <x:v>tsong (A)</x:v>
      </x:c>
      <x:c r="F766" s="6" t="str">
        <x:v>1</x:v>
      </x:c>
      <x:c r="G766" s="6" t="str"/>
      <x:c r="H766" s="6" t="str">
        <x:f>IF(B766="平","平",IF(B766="","","仄"))</x:f>
        <x:v>平</x:v>
      </x:c>
      <x:c r="I766" s="6" t="str">
        <x:f>IF(D759="","",IF(AND(ISNUMBER(SEARCH("平",D759)),OR(ISNUMBER(SEARCH("上",D759)),ISNUMBER(SEARCH("去",D759)),ISNUMBER(SEARCH("入",D759)))),"Ambiguous",IF(ISNUMBER(SEARCH("平",D759)),"平","仄")))</x:f>
        <x:v>仄</x:v>
      </x:c>
      <x:c r="J766" s="7" t="str"/>
    </x:row>
    <x:row r="767">
      <x:c r="A767" s="5" t="str">
        <x:v>墟</x:v>
      </x:c>
      <x:c r="B767" s="6" t="str">
        <x:v>平</x:v>
      </x:c>
      <x:c r="C767" s="6" t="str">
        <x:f>IF(B767="","Needs decision","Ready")</x:f>
        <x:v>Ready</x:v>
      </x:c>
      <x:c r="D767" s="6" t="str">
        <x:v>平</x:v>
      </x:c>
      <x:c r="E767" s="6" t="str">
        <x:v>khjo (A)</x:v>
      </x:c>
      <x:c r="F767" s="6" t="str">
        <x:v>1</x:v>
      </x:c>
      <x:c r="G767" s="6" t="str"/>
      <x:c r="H767" s="6" t="str">
        <x:f>IF(B767="平","平",IF(B767="","","仄"))</x:f>
        <x:v>平</x:v>
      </x:c>
      <x:c r="I767" s="6" t="str">
        <x:f>IF(D760="","",IF(AND(ISNUMBER(SEARCH("平",D760)),OR(ISNUMBER(SEARCH("上",D760)),ISNUMBER(SEARCH("去",D760)),ISNUMBER(SEARCH("入",D760)))),"Ambiguous",IF(ISNUMBER(SEARCH("平",D760)),"平","仄")))</x:f>
        <x:v>仄</x:v>
      </x:c>
      <x:c r="J767" s="7" t="str"/>
    </x:row>
    <x:row r="768">
      <x:c r="A768" s="5" t="str">
        <x:v>墠</x:v>
      </x:c>
      <x:c r="B768" s="6" t="str">
        <x:v>上</x:v>
      </x:c>
      <x:c r="C768" s="6" t="str">
        <x:f>IF(B768="","Needs decision","Ready")</x:f>
        <x:v>Ready</x:v>
      </x:c>
      <x:c r="D768" s="6" t="str">
        <x:v>上</x:v>
      </x:c>
      <x:c r="E768" s="6" t="str">
        <x:v>dzyenX (B)</x:v>
      </x:c>
      <x:c r="F768" s="6" t="str">
        <x:v>1</x:v>
      </x:c>
      <x:c r="G768" s="6" t="str"/>
      <x:c r="H768" s="6" t="str">
        <x:f>IF(B768="平","平",IF(B768="","","仄"))</x:f>
        <x:v>仄</x:v>
      </x:c>
      <x:c r="I768" s="6" t="str">
        <x:f>IF(D761="","",IF(AND(ISNUMBER(SEARCH("平",D761)),OR(ISNUMBER(SEARCH("上",D761)),ISNUMBER(SEARCH("去",D761)),ISNUMBER(SEARCH("入",D761)))),"Ambiguous",IF(ISNUMBER(SEARCH("平",D761)),"平","仄")))</x:f>
        <x:v>平</x:v>
      </x:c>
      <x:c r="J768" s="7" t="str"/>
    </x:row>
    <x:row r="769">
      <x:c r="A769" s="5" t="str">
        <x:v>墨</x:v>
      </x:c>
      <x:c r="B769" s="6" t="str">
        <x:v>入</x:v>
      </x:c>
      <x:c r="C769" s="6" t="str">
        <x:f>IF(B769="","Needs decision","Ready")</x:f>
        <x:v>Ready</x:v>
      </x:c>
      <x:c r="D769" s="6" t="str">
        <x:v>入</x:v>
      </x:c>
      <x:c r="E769" s="6" t="str">
        <x:v>mok (D)</x:v>
      </x:c>
      <x:c r="F769" s="6" t="str">
        <x:v>1</x:v>
      </x:c>
      <x:c r="G769" s="6" t="str"/>
      <x:c r="H769" s="6" t="str">
        <x:f>IF(B769="平","平",IF(B769="","","仄"))</x:f>
        <x:v>仄</x:v>
      </x:c>
      <x:c r="I769" s="6" t="str">
        <x:f>IF(D762="","",IF(AND(ISNUMBER(SEARCH("平",D762)),OR(ISNUMBER(SEARCH("上",D762)),ISNUMBER(SEARCH("去",D762)),ISNUMBER(SEARCH("入",D762)))),"Ambiguous",IF(ISNUMBER(SEARCH("平",D762)),"平","仄")))</x:f>
        <x:v>仄</x:v>
      </x:c>
      <x:c r="J769" s="7" t="str"/>
    </x:row>
    <x:row r="770">
      <x:c r="A770" s="5" t="str">
        <x:v>墮</x:v>
      </x:c>
      <x:c r="B770" s="6" t="str"/>
      <x:c r="C770" s="6" t="str">
        <x:f>IF(B770="","Needs decision","Ready")</x:f>
        <x:v>Needs decision</x:v>
      </x:c>
      <x:c r="D770" s="6" t="str">
        <x:v>上/平</x:v>
      </x:c>
      <x:c r="E770" s="6" t="str">
        <x:v>dwaX (B); xjwie (A)</x:v>
      </x:c>
      <x:c r="F770" s="6" t="str">
        <x:v>2</x:v>
      </x:c>
      <x:c r="G770" s="6" t="str"/>
      <x:c r="H770" s="6" t="str">
        <x:f>IF(B770="平","平",IF(B770="","","仄"))</x:f>
      </x:c>
      <x:c r="I770" s="6" t="str">
        <x:f>IF(D763="","",IF(AND(ISNUMBER(SEARCH("平",D763)),OR(ISNUMBER(SEARCH("上",D763)),ISNUMBER(SEARCH("去",D763)),ISNUMBER(SEARCH("入",D763)))),"Ambiguous",IF(ISNUMBER(SEARCH("平",D763)),"平","仄")))</x:f>
        <x:v>仄</x:v>
      </x:c>
      <x:c r="J770" s="7" t="str"/>
    </x:row>
    <x:row r="771">
      <x:c r="A771" s="5" t="str">
        <x:v>墳</x:v>
      </x:c>
      <x:c r="B771" s="6" t="str"/>
      <x:c r="C771" s="6" t="str">
        <x:f>IF(B771="","Needs decision","Ready")</x:f>
        <x:v>Needs decision</x:v>
      </x:c>
      <x:c r="D771" s="6" t="str">
        <x:v>平/上</x:v>
      </x:c>
      <x:c r="E771" s="6" t="str">
        <x:v>bjun [bɨ̯un] (平); bjunX [bɨ̯unʔ] (上)</x:v>
      </x:c>
      <x:c r="F771" s="6" t="str">
        <x:v>2</x:v>
      </x:c>
      <x:c r="G771" s="6" t="str">
        <x:v>Tang 300 gap; frequency 1; ambiguous in Xun Gong</x:v>
      </x:c>
      <x:c r="H771" s="6" t="str">
        <x:f>IF(B771="平","平",IF(B771="","","仄"))</x:f>
      </x:c>
      <x:c r="I771" s="6" t="str">
        <x:f>IF(D764="","",IF(AND(ISNUMBER(SEARCH("平",D764)),OR(ISNUMBER(SEARCH("上",D764)),ISNUMBER(SEARCH("去",D764)),ISNUMBER(SEARCH("入",D764)))),"Ambiguous",IF(ISNUMBER(SEARCH("平",D764)),"平","仄")))</x:f>
        <x:v>仄</x:v>
      </x:c>
      <x:c r="J771" s="7" t="str">
        <x:v>Xun Gong, Tang 300 gap fill</x:v>
      </x:c>
    </x:row>
    <x:row r="772">
      <x:c r="A772" s="5" t="str">
        <x:v>壁</x:v>
      </x:c>
      <x:c r="B772" s="6" t="str">
        <x:v>入</x:v>
      </x:c>
      <x:c r="C772" s="6" t="str">
        <x:f>IF(B772="","Needs decision","Ready")</x:f>
        <x:v>Ready</x:v>
      </x:c>
      <x:c r="D772" s="6" t="str">
        <x:v>入</x:v>
      </x:c>
      <x:c r="E772" s="6" t="str">
        <x:v>pek (D)</x:v>
      </x:c>
      <x:c r="F772" s="6" t="str">
        <x:v>1</x:v>
      </x:c>
      <x:c r="G772" s="6" t="str"/>
      <x:c r="H772" s="6" t="str">
        <x:f>IF(B772="平","平",IF(B772="","","仄"))</x:f>
        <x:v>仄</x:v>
      </x:c>
      <x:c r="I772" s="6" t="str">
        <x:f>IF(D765="","",IF(AND(ISNUMBER(SEARCH("平",D765)),OR(ISNUMBER(SEARCH("上",D765)),ISNUMBER(SEARCH("去",D765)),ISNUMBER(SEARCH("入",D765)))),"Ambiguous",IF(ISNUMBER(SEARCH("平",D765)),"平","仄")))</x:f>
        <x:v>仄</x:v>
      </x:c>
      <x:c r="J772" s="7" t="str"/>
    </x:row>
    <x:row r="773">
      <x:c r="A773" s="5" t="str">
        <x:v>壇</x:v>
      </x:c>
      <x:c r="B773" s="6" t="str"/>
      <x:c r="C773" s="6" t="str">
        <x:f>IF(B773="","Needs decision","Ready")</x:f>
        <x:v>Needs decision</x:v>
      </x:c>
      <x:c r="D773" s="6" t="str">
        <x:v>上/平</x:v>
      </x:c>
      <x:c r="E773" s="6" t="str">
        <x:v>dzyenX (B); dan (A)</x:v>
      </x:c>
      <x:c r="F773" s="6" t="str">
        <x:v>2</x:v>
      </x:c>
      <x:c r="G773" s="6" t="str"/>
      <x:c r="H773" s="6" t="str">
        <x:f>IF(B773="平","平",IF(B773="","","仄"))</x:f>
      </x:c>
      <x:c r="I773" s="6" t="str">
        <x:f>IF(D766="","",IF(AND(ISNUMBER(SEARCH("平",D766)),OR(ISNUMBER(SEARCH("上",D766)),ISNUMBER(SEARCH("去",D766)),ISNUMBER(SEARCH("入",D766)))),"Ambiguous",IF(ISNUMBER(SEARCH("平",D766)),"平","仄")))</x:f>
        <x:v>平</x:v>
      </x:c>
      <x:c r="J773" s="7" t="str"/>
    </x:row>
    <x:row r="774">
      <x:c r="A774" s="5" t="str">
        <x:v>壈</x:v>
      </x:c>
      <x:c r="B774" s="6" t="str">
        <x:v>上</x:v>
      </x:c>
      <x:c r="C774" s="6" t="str">
        <x:f>IF(B774="","Needs decision","Ready")</x:f>
        <x:v>Ready</x:v>
      </x:c>
      <x:c r="D774" s="6" t="str">
        <x:v>上</x:v>
      </x:c>
      <x:c r="E774" s="6" t="str">
        <x:v>lomX [l̙əmʔ] (上)</x:v>
      </x:c>
      <x:c r="F774" s="6" t="str">
        <x:v>1</x:v>
      </x:c>
      <x:c r="G774" s="6" t="str">
        <x:v>Tang 300 gap; frequency 1; provisional from Xun Gong</x:v>
      </x:c>
      <x:c r="H774" s="6" t="str">
        <x:f>IF(B774="平","平",IF(B774="","","仄"))</x:f>
        <x:v>仄</x:v>
      </x:c>
      <x:c r="I774" s="6" t="str">
        <x:f>IF(D767="","",IF(AND(ISNUMBER(SEARCH("平",D767)),OR(ISNUMBER(SEARCH("上",D767)),ISNUMBER(SEARCH("去",D767)),ISNUMBER(SEARCH("入",D767)))),"Ambiguous",IF(ISNUMBER(SEARCH("平",D767)),"平","仄")))</x:f>
        <x:v>平</x:v>
      </x:c>
      <x:c r="J774" s="7" t="str">
        <x:v>Xun Gong, Tang 300 gap fill</x:v>
      </x:c>
    </x:row>
    <x:row r="775">
      <x:c r="A775" s="5" t="str">
        <x:v>壎</x:v>
      </x:c>
      <x:c r="B775" s="6" t="str">
        <x:v>平</x:v>
      </x:c>
      <x:c r="C775" s="6" t="str">
        <x:f>IF(B775="","Needs decision","Ready")</x:f>
        <x:v>Ready</x:v>
      </x:c>
      <x:c r="D775" s="6" t="str">
        <x:v>平</x:v>
      </x:c>
      <x:c r="E775" s="6" t="str">
        <x:v>xjwon (A)</x:v>
      </x:c>
      <x:c r="F775" s="6" t="str">
        <x:v>1</x:v>
      </x:c>
      <x:c r="G775" s="6" t="str"/>
      <x:c r="H775" s="6" t="str">
        <x:f>IF(B775="平","平",IF(B775="","","仄"))</x:f>
        <x:v>平</x:v>
      </x:c>
      <x:c r="I775" s="6" t="str">
        <x:f>IF(D768="","",IF(AND(ISNUMBER(SEARCH("平",D768)),OR(ISNUMBER(SEARCH("上",D768)),ISNUMBER(SEARCH("去",D768)),ISNUMBER(SEARCH("入",D768)))),"Ambiguous",IF(ISNUMBER(SEARCH("平",D768)),"平","仄")))</x:f>
        <x:v>仄</x:v>
      </x:c>
      <x:c r="J775" s="7" t="str"/>
    </x:row>
    <x:row r="776">
      <x:c r="A776" s="5" t="str">
        <x:v>壑</x:v>
      </x:c>
      <x:c r="B776" s="6" t="str">
        <x:v>入</x:v>
      </x:c>
      <x:c r="C776" s="6" t="str">
        <x:f>IF(B776="","Needs decision","Ready")</x:f>
        <x:v>Ready</x:v>
      </x:c>
      <x:c r="D776" s="6" t="str">
        <x:v>入</x:v>
      </x:c>
      <x:c r="E776" s="6" t="str">
        <x:v>xak (D)</x:v>
      </x:c>
      <x:c r="F776" s="6" t="str">
        <x:v>1</x:v>
      </x:c>
      <x:c r="G776" s="6" t="str"/>
      <x:c r="H776" s="6" t="str">
        <x:f>IF(B776="平","平",IF(B776="","","仄"))</x:f>
        <x:v>仄</x:v>
      </x:c>
      <x:c r="I776" s="6" t="str">
        <x:f>IF(D769="","",IF(AND(ISNUMBER(SEARCH("平",D769)),OR(ISNUMBER(SEARCH("上",D769)),ISNUMBER(SEARCH("去",D769)),ISNUMBER(SEARCH("入",D769)))),"Ambiguous",IF(ISNUMBER(SEARCH("平",D769)),"平","仄")))</x:f>
        <x:v>仄</x:v>
      </x:c>
      <x:c r="J776" s="7" t="str"/>
    </x:row>
    <x:row r="777">
      <x:c r="A777" s="5" t="str">
        <x:v>壓</x:v>
      </x:c>
      <x:c r="B777" s="6" t="str">
        <x:v>入</x:v>
      </x:c>
      <x:c r="C777" s="6" t="str">
        <x:f>IF(B777="","Needs decision","Ready")</x:f>
        <x:v>Ready</x:v>
      </x:c>
      <x:c r="D777" s="6" t="str">
        <x:v>入</x:v>
      </x:c>
      <x:c r="E777" s="6" t="str">
        <x:v>'aep (D)</x:v>
      </x:c>
      <x:c r="F777" s="6" t="str">
        <x:v>1</x:v>
      </x:c>
      <x:c r="G777" s="6" t="str"/>
      <x:c r="H777" s="6" t="str">
        <x:f>IF(B777="平","平",IF(B777="","","仄"))</x:f>
        <x:v>仄</x:v>
      </x:c>
      <x:c r="I777" s="6" t="str">
        <x:f>IF(D770="","",IF(AND(ISNUMBER(SEARCH("平",D770)),OR(ISNUMBER(SEARCH("上",D770)),ISNUMBER(SEARCH("去",D770)),ISNUMBER(SEARCH("入",D770)))),"Ambiguous",IF(ISNUMBER(SEARCH("平",D770)),"平","仄")))</x:f>
        <x:v>Ambiguous</x:v>
      </x:c>
      <x:c r="J777" s="7" t="str"/>
    </x:row>
    <x:row r="778">
      <x:c r="A778" s="5" t="str">
        <x:v>壘</x:v>
      </x:c>
      <x:c r="B778" s="6" t="str">
        <x:v>上</x:v>
      </x:c>
      <x:c r="C778" s="6" t="str">
        <x:f>IF(B778="","Needs decision","Ready")</x:f>
        <x:v>Ready</x:v>
      </x:c>
      <x:c r="D778" s="6" t="str">
        <x:v>上</x:v>
      </x:c>
      <x:c r="E778" s="6" t="str">
        <x:v>lwijX (B)</x:v>
      </x:c>
      <x:c r="F778" s="6" t="str">
        <x:v>1</x:v>
      </x:c>
      <x:c r="G778" s="6" t="str"/>
      <x:c r="H778" s="6" t="str">
        <x:f>IF(B778="平","平",IF(B778="","","仄"))</x:f>
        <x:v>仄</x:v>
      </x:c>
      <x:c r="I778" s="6" t="str">
        <x:f>IF(D771="","",IF(AND(ISNUMBER(SEARCH("平",D771)),OR(ISNUMBER(SEARCH("上",D771)),ISNUMBER(SEARCH("去",D771)),ISNUMBER(SEARCH("入",D771)))),"Ambiguous",IF(ISNUMBER(SEARCH("平",D771)),"平","仄")))</x:f>
        <x:v>Ambiguous</x:v>
      </x:c>
      <x:c r="J778" s="7" t="str"/>
    </x:row>
    <x:row r="779">
      <x:c r="A779" s="5" t="str">
        <x:v>壙</x:v>
      </x:c>
      <x:c r="B779" s="6" t="str">
        <x:v>去</x:v>
      </x:c>
      <x:c r="C779" s="6" t="str">
        <x:f>IF(B779="","Needs decision","Ready")</x:f>
        <x:v>Ready</x:v>
      </x:c>
      <x:c r="D779" s="6" t="str">
        <x:v>去</x:v>
      </x:c>
      <x:c r="E779" s="6" t="str">
        <x:v>khwangH (C)</x:v>
      </x:c>
      <x:c r="F779" s="6" t="str">
        <x:v>1</x:v>
      </x:c>
      <x:c r="G779" s="6" t="str"/>
      <x:c r="H779" s="6" t="str">
        <x:f>IF(B779="平","平",IF(B779="","","仄"))</x:f>
        <x:v>仄</x:v>
      </x:c>
      <x:c r="I779" s="6" t="str">
        <x:f>IF(D772="","",IF(AND(ISNUMBER(SEARCH("平",D772)),OR(ISNUMBER(SEARCH("上",D772)),ISNUMBER(SEARCH("去",D772)),ISNUMBER(SEARCH("入",D772)))),"Ambiguous",IF(ISNUMBER(SEARCH("平",D772)),"平","仄")))</x:f>
        <x:v>仄</x:v>
      </x:c>
      <x:c r="J779" s="7" t="str"/>
    </x:row>
    <x:row r="780">
      <x:c r="A780" s="5" t="str">
        <x:v>壛</x:v>
      </x:c>
      <x:c r="B780" s="6" t="str">
        <x:v>平</x:v>
      </x:c>
      <x:c r="C780" s="6" t="str">
        <x:f>IF(B780="","Needs decision","Ready")</x:f>
        <x:v>Ready</x:v>
      </x:c>
      <x:c r="D780" s="6" t="str">
        <x:v>平</x:v>
      </x:c>
      <x:c r="E780" s="6" t="str">
        <x:v>yem (A)</x:v>
      </x:c>
      <x:c r="F780" s="6" t="str">
        <x:v>1</x:v>
      </x:c>
      <x:c r="G780" s="6" t="str"/>
      <x:c r="H780" s="6" t="str">
        <x:f>IF(B780="平","平",IF(B780="","","仄"))</x:f>
        <x:v>平</x:v>
      </x:c>
      <x:c r="I780" s="6" t="str">
        <x:f>IF(D773="","",IF(AND(ISNUMBER(SEARCH("平",D773)),OR(ISNUMBER(SEARCH("上",D773)),ISNUMBER(SEARCH("去",D773)),ISNUMBER(SEARCH("入",D773)))),"Ambiguous",IF(ISNUMBER(SEARCH("平",D773)),"平","仄")))</x:f>
        <x:v>Ambiguous</x:v>
      </x:c>
      <x:c r="J780" s="7" t="str"/>
    </x:row>
    <x:row r="781">
      <x:c r="A781" s="5" t="str">
        <x:v>壝</x:v>
      </x:c>
      <x:c r="B781" s="6" t="str">
        <x:v>平</x:v>
      </x:c>
      <x:c r="C781" s="6" t="str">
        <x:f>IF(B781="","Needs decision","Ready")</x:f>
        <x:v>Ready</x:v>
      </x:c>
      <x:c r="D781" s="6" t="str">
        <x:v>平</x:v>
      </x:c>
      <x:c r="E781" s="6" t="str">
        <x:v>ywij (A)</x:v>
      </x:c>
      <x:c r="F781" s="6" t="str">
        <x:v>1</x:v>
      </x:c>
      <x:c r="G781" s="6" t="str"/>
      <x:c r="H781" s="6" t="str">
        <x:f>IF(B781="平","平",IF(B781="","","仄"))</x:f>
        <x:v>平</x:v>
      </x:c>
      <x:c r="I781" s="6" t="str">
        <x:f>IF(D774="","",IF(AND(ISNUMBER(SEARCH("平",D774)),OR(ISNUMBER(SEARCH("上",D774)),ISNUMBER(SEARCH("去",D774)),ISNUMBER(SEARCH("入",D774)))),"Ambiguous",IF(ISNUMBER(SEARCH("平",D774)),"平","仄")))</x:f>
        <x:v>仄</x:v>
      </x:c>
      <x:c r="J781" s="7" t="str"/>
    </x:row>
    <x:row r="782">
      <x:c r="A782" s="5" t="str">
        <x:v>壞</x:v>
      </x:c>
      <x:c r="B782" s="6" t="str"/>
      <x:c r="C782" s="6" t="str">
        <x:f>IF(B782="","Needs decision","Ready")</x:f>
        <x:v>Needs decision</x:v>
      </x:c>
      <x:c r="D782" s="6" t="str">
        <x:v>去/上</x:v>
      </x:c>
      <x:c r="E782" s="6" t="str">
        <x:v>hweajH (C); hwojX (B); kweajH (C)</x:v>
      </x:c>
      <x:c r="F782" s="6" t="str">
        <x:v>3</x:v>
      </x:c>
      <x:c r="G782" s="6" t="str"/>
      <x:c r="H782" s="6" t="str">
        <x:f>IF(B782="平","平",IF(B782="","","仄"))</x:f>
      </x:c>
      <x:c r="I782" s="6" t="str">
        <x:f>IF(D775="","",IF(AND(ISNUMBER(SEARCH("平",D775)),OR(ISNUMBER(SEARCH("上",D775)),ISNUMBER(SEARCH("去",D775)),ISNUMBER(SEARCH("入",D775)))),"Ambiguous",IF(ISNUMBER(SEARCH("平",D775)),"平","仄")))</x:f>
        <x:v>平</x:v>
      </x:c>
      <x:c r="J782" s="7" t="str"/>
    </x:row>
    <x:row r="783">
      <x:c r="A783" s="5" t="str">
        <x:v>壤</x:v>
      </x:c>
      <x:c r="B783" s="6" t="str">
        <x:v>上</x:v>
      </x:c>
      <x:c r="C783" s="6" t="str">
        <x:f>IF(B783="","Needs decision","Ready")</x:f>
        <x:v>Ready</x:v>
      </x:c>
      <x:c r="D783" s="6" t="str">
        <x:v>上</x:v>
      </x:c>
      <x:c r="E783" s="6" t="str">
        <x:v>nyangX (B)</x:v>
      </x:c>
      <x:c r="F783" s="6" t="str">
        <x:v>1</x:v>
      </x:c>
      <x:c r="G783" s="6" t="str"/>
      <x:c r="H783" s="6" t="str">
        <x:f>IF(B783="平","平",IF(B783="","","仄"))</x:f>
        <x:v>仄</x:v>
      </x:c>
      <x:c r="I783" s="6" t="str">
        <x:f>IF(D776="","",IF(AND(ISNUMBER(SEARCH("平",D776)),OR(ISNUMBER(SEARCH("上",D776)),ISNUMBER(SEARCH("去",D776)),ISNUMBER(SEARCH("入",D776)))),"Ambiguous",IF(ISNUMBER(SEARCH("平",D776)),"平","仄")))</x:f>
        <x:v>仄</x:v>
      </x:c>
      <x:c r="J783" s="7" t="str"/>
    </x:row>
    <x:row r="784">
      <x:c r="A784" s="5" t="str">
        <x:v>士</x:v>
      </x:c>
      <x:c r="B784" s="6" t="str">
        <x:v>上</x:v>
      </x:c>
      <x:c r="C784" s="6" t="str">
        <x:f>IF(B784="","Needs decision","Ready")</x:f>
        <x:v>Ready</x:v>
      </x:c>
      <x:c r="D784" s="6" t="str">
        <x:v>上</x:v>
      </x:c>
      <x:c r="E784" s="6" t="str">
        <x:v>dzriX (B)</x:v>
      </x:c>
      <x:c r="F784" s="6" t="str">
        <x:v>1</x:v>
      </x:c>
      <x:c r="G784" s="6" t="str"/>
      <x:c r="H784" s="6" t="str">
        <x:f>IF(B784="平","平",IF(B784="","","仄"))</x:f>
        <x:v>仄</x:v>
      </x:c>
      <x:c r="I784" s="6" t="str">
        <x:f>IF(D777="","",IF(AND(ISNUMBER(SEARCH("平",D777)),OR(ISNUMBER(SEARCH("上",D777)),ISNUMBER(SEARCH("去",D777)),ISNUMBER(SEARCH("入",D777)))),"Ambiguous",IF(ISNUMBER(SEARCH("平",D777)),"平","仄")))</x:f>
        <x:v>仄</x:v>
      </x:c>
      <x:c r="J784" s="7" t="str"/>
    </x:row>
    <x:row r="785">
      <x:c r="A785" s="5" t="str">
        <x:v>壬</x:v>
      </x:c>
      <x:c r="B785" s="6" t="str">
        <x:v>平</x:v>
      </x:c>
      <x:c r="C785" s="6" t="str">
        <x:f>IF(B785="","Needs decision","Ready")</x:f>
        <x:v>Ready</x:v>
      </x:c>
      <x:c r="D785" s="6" t="str">
        <x:v>平</x:v>
      </x:c>
      <x:c r="E785" s="6" t="str">
        <x:v>nyim (A)</x:v>
      </x:c>
      <x:c r="F785" s="6" t="str">
        <x:v>1</x:v>
      </x:c>
      <x:c r="G785" s="6" t="str"/>
      <x:c r="H785" s="6" t="str">
        <x:f>IF(B785="平","平",IF(B785="","","仄"))</x:f>
        <x:v>平</x:v>
      </x:c>
      <x:c r="I785" s="6" t="str">
        <x:f>IF(D778="","",IF(AND(ISNUMBER(SEARCH("平",D778)),OR(ISNUMBER(SEARCH("上",D778)),ISNUMBER(SEARCH("去",D778)),ISNUMBER(SEARCH("入",D778)))),"Ambiguous",IF(ISNUMBER(SEARCH("平",D778)),"平","仄")))</x:f>
        <x:v>仄</x:v>
      </x:c>
      <x:c r="J785" s="7" t="str"/>
    </x:row>
    <x:row r="786">
      <x:c r="A786" s="5" t="str">
        <x:v>壯</x:v>
      </x:c>
      <x:c r="B786" s="6" t="str">
        <x:v>去</x:v>
      </x:c>
      <x:c r="C786" s="6" t="str">
        <x:f>IF(B786="","Needs decision","Ready")</x:f>
        <x:v>Ready</x:v>
      </x:c>
      <x:c r="D786" s="6" t="str">
        <x:v>去</x:v>
      </x:c>
      <x:c r="E786" s="6" t="str">
        <x:v>tsrjangH (C)</x:v>
      </x:c>
      <x:c r="F786" s="6" t="str">
        <x:v>1</x:v>
      </x:c>
      <x:c r="G786" s="6" t="str"/>
      <x:c r="H786" s="6" t="str">
        <x:f>IF(B786="平","平",IF(B786="","","仄"))</x:f>
        <x:v>仄</x:v>
      </x:c>
      <x:c r="I786" s="6" t="str">
        <x:f>IF(D779="","",IF(AND(ISNUMBER(SEARCH("平",D779)),OR(ISNUMBER(SEARCH("上",D779)),ISNUMBER(SEARCH("去",D779)),ISNUMBER(SEARCH("入",D779)))),"Ambiguous",IF(ISNUMBER(SEARCH("平",D779)),"平","仄")))</x:f>
        <x:v>仄</x:v>
      </x:c>
      <x:c r="J786" s="7" t="str"/>
    </x:row>
    <x:row r="787">
      <x:c r="A787" s="5" t="str">
        <x:v>壴</x:v>
      </x:c>
      <x:c r="B787" s="6" t="str">
        <x:v>去</x:v>
      </x:c>
      <x:c r="C787" s="6" t="str">
        <x:f>IF(B787="","Needs decision","Ready")</x:f>
        <x:v>Ready</x:v>
      </x:c>
      <x:c r="D787" s="6" t="str">
        <x:v>去</x:v>
      </x:c>
      <x:c r="E787" s="6" t="str">
        <x:v>trjuH (C)</x:v>
      </x:c>
      <x:c r="F787" s="6" t="str">
        <x:v>1</x:v>
      </x:c>
      <x:c r="G787" s="6" t="str"/>
      <x:c r="H787" s="6" t="str">
        <x:f>IF(B787="平","平",IF(B787="","","仄"))</x:f>
        <x:v>仄</x:v>
      </x:c>
      <x:c r="I787" s="6" t="str">
        <x:f>IF(D780="","",IF(AND(ISNUMBER(SEARCH("平",D780)),OR(ISNUMBER(SEARCH("上",D780)),ISNUMBER(SEARCH("去",D780)),ISNUMBER(SEARCH("入",D780)))),"Ambiguous",IF(ISNUMBER(SEARCH("平",D780)),"平","仄")))</x:f>
        <x:v>平</x:v>
      </x:c>
      <x:c r="J787" s="7" t="str"/>
    </x:row>
    <x:row r="788">
      <x:c r="A788" s="5" t="str">
        <x:v>壹</x:v>
      </x:c>
      <x:c r="B788" s="6" t="str">
        <x:v>入</x:v>
      </x:c>
      <x:c r="C788" s="6" t="str">
        <x:f>IF(B788="","Needs decision","Ready")</x:f>
        <x:v>Ready</x:v>
      </x:c>
      <x:c r="D788" s="6" t="str">
        <x:v>入</x:v>
      </x:c>
      <x:c r="E788" s="6" t="str">
        <x:v>'jit (D)</x:v>
      </x:c>
      <x:c r="F788" s="6" t="str">
        <x:v>1</x:v>
      </x:c>
      <x:c r="G788" s="6" t="str"/>
      <x:c r="H788" s="6" t="str">
        <x:f>IF(B788="平","平",IF(B788="","","仄"))</x:f>
        <x:v>仄</x:v>
      </x:c>
      <x:c r="I788" s="6" t="str">
        <x:f>IF(D781="","",IF(AND(ISNUMBER(SEARCH("平",D781)),OR(ISNUMBER(SEARCH("上",D781)),ISNUMBER(SEARCH("去",D781)),ISNUMBER(SEARCH("入",D781)))),"Ambiguous",IF(ISNUMBER(SEARCH("平",D781)),"平","仄")))</x:f>
        <x:v>平</x:v>
      </x:c>
      <x:c r="J788" s="7" t="str"/>
    </x:row>
    <x:row r="789">
      <x:c r="A789" s="5" t="str">
        <x:v>壺</x:v>
      </x:c>
      <x:c r="B789" s="6" t="str">
        <x:v>平</x:v>
      </x:c>
      <x:c r="C789" s="6" t="str">
        <x:f>IF(B789="","Needs decision","Ready")</x:f>
        <x:v>Ready</x:v>
      </x:c>
      <x:c r="D789" s="6" t="str">
        <x:v>平</x:v>
      </x:c>
      <x:c r="E789" s="6" t="str">
        <x:v>hu (A)</x:v>
      </x:c>
      <x:c r="F789" s="6" t="str">
        <x:v>1</x:v>
      </x:c>
      <x:c r="G789" s="6" t="str"/>
      <x:c r="H789" s="6" t="str">
        <x:f>IF(B789="平","平",IF(B789="","","仄"))</x:f>
        <x:v>平</x:v>
      </x:c>
      <x:c r="I789" s="6" t="str">
        <x:f>IF(D782="","",IF(AND(ISNUMBER(SEARCH("平",D782)),OR(ISNUMBER(SEARCH("上",D782)),ISNUMBER(SEARCH("去",D782)),ISNUMBER(SEARCH("入",D782)))),"Ambiguous",IF(ISNUMBER(SEARCH("平",D782)),"平","仄")))</x:f>
        <x:v>仄</x:v>
      </x:c>
      <x:c r="J789" s="7" t="str"/>
    </x:row>
    <x:row r="790">
      <x:c r="A790" s="5" t="str">
        <x:v>壻</x:v>
      </x:c>
      <x:c r="B790" s="6" t="str">
        <x:v>去</x:v>
      </x:c>
      <x:c r="C790" s="6" t="str">
        <x:f>IF(B790="","Needs decision","Ready")</x:f>
        <x:v>Ready</x:v>
      </x:c>
      <x:c r="D790" s="6" t="str">
        <x:v>去</x:v>
      </x:c>
      <x:c r="E790" s="6" t="str">
        <x:v>sejH (C)</x:v>
      </x:c>
      <x:c r="F790" s="6" t="str">
        <x:v>1</x:v>
      </x:c>
      <x:c r="G790" s="6" t="str"/>
      <x:c r="H790" s="6" t="str">
        <x:f>IF(B790="平","平",IF(B790="","","仄"))</x:f>
        <x:v>仄</x:v>
      </x:c>
      <x:c r="I790" s="6" t="str">
        <x:f>IF(D783="","",IF(AND(ISNUMBER(SEARCH("平",D783)),OR(ISNUMBER(SEARCH("上",D783)),ISNUMBER(SEARCH("去",D783)),ISNUMBER(SEARCH("入",D783)))),"Ambiguous",IF(ISNUMBER(SEARCH("平",D783)),"平","仄")))</x:f>
        <x:v>仄</x:v>
      </x:c>
      <x:c r="J790" s="7" t="str"/>
    </x:row>
    <x:row r="791">
      <x:c r="A791" s="5" t="str">
        <x:v>壽</x:v>
      </x:c>
      <x:c r="B791" s="6" t="str"/>
      <x:c r="C791" s="6" t="str">
        <x:f>IF(B791="","Needs decision","Ready")</x:f>
        <x:v>Needs decision</x:v>
      </x:c>
      <x:c r="D791" s="6" t="str">
        <x:v>上/去</x:v>
      </x:c>
      <x:c r="E791" s="6" t="str">
        <x:v>dzyuwX (B); dzyuwH (C)</x:v>
      </x:c>
      <x:c r="F791" s="6" t="str">
        <x:v>2</x:v>
      </x:c>
      <x:c r="G791" s="6" t="str"/>
      <x:c r="H791" s="6" t="str">
        <x:f>IF(B791="平","平",IF(B791="","","仄"))</x:f>
      </x:c>
      <x:c r="I791" s="6" t="str">
        <x:f>IF(D784="","",IF(AND(ISNUMBER(SEARCH("平",D784)),OR(ISNUMBER(SEARCH("上",D784)),ISNUMBER(SEARCH("去",D784)),ISNUMBER(SEARCH("入",D784)))),"Ambiguous",IF(ISNUMBER(SEARCH("平",D784)),"平","仄")))</x:f>
        <x:v>仄</x:v>
      </x:c>
      <x:c r="J791" s="7" t="str"/>
    </x:row>
    <x:row r="792">
      <x:c r="A792" s="5" t="str">
        <x:v>夅</x:v>
      </x:c>
      <x:c r="B792" s="6" t="str">
        <x:v>平</x:v>
      </x:c>
      <x:c r="C792" s="6" t="str">
        <x:f>IF(B792="","Needs decision","Ready")</x:f>
        <x:v>Ready</x:v>
      </x:c>
      <x:c r="D792" s="6" t="str">
        <x:v>平</x:v>
      </x:c>
      <x:c r="E792" s="6" t="str">
        <x:v>haewng (A)</x:v>
      </x:c>
      <x:c r="F792" s="6" t="str">
        <x:v>1</x:v>
      </x:c>
      <x:c r="G792" s="6" t="str"/>
      <x:c r="H792" s="6" t="str">
        <x:f>IF(B792="平","平",IF(B792="","","仄"))</x:f>
        <x:v>平</x:v>
      </x:c>
      <x:c r="I792" s="6" t="str">
        <x:f>IF(D785="","",IF(AND(ISNUMBER(SEARCH("平",D785)),OR(ISNUMBER(SEARCH("上",D785)),ISNUMBER(SEARCH("去",D785)),ISNUMBER(SEARCH("入",D785)))),"Ambiguous",IF(ISNUMBER(SEARCH("平",D785)),"平","仄")))</x:f>
        <x:v>平</x:v>
      </x:c>
      <x:c r="J792" s="7" t="str"/>
    </x:row>
    <x:row r="793">
      <x:c r="A793" s="5" t="str">
        <x:v>夋</x:v>
      </x:c>
      <x:c r="B793" s="6" t="str">
        <x:v>平</x:v>
      </x:c>
      <x:c r="C793" s="6" t="str">
        <x:f>IF(B793="","Needs decision","Ready")</x:f>
        <x:v>Ready</x:v>
      </x:c>
      <x:c r="D793" s="6" t="str">
        <x:v>平</x:v>
      </x:c>
      <x:c r="E793" s="6" t="str">
        <x:v>tshwin (A)</x:v>
      </x:c>
      <x:c r="F793" s="6" t="str">
        <x:v>1</x:v>
      </x:c>
      <x:c r="G793" s="6" t="str"/>
      <x:c r="H793" s="6" t="str">
        <x:f>IF(B793="平","平",IF(B793="","","仄"))</x:f>
        <x:v>平</x:v>
      </x:c>
      <x:c r="I793" s="6" t="str">
        <x:f>IF(D786="","",IF(AND(ISNUMBER(SEARCH("平",D786)),OR(ISNUMBER(SEARCH("上",D786)),ISNUMBER(SEARCH("去",D786)),ISNUMBER(SEARCH("入",D786)))),"Ambiguous",IF(ISNUMBER(SEARCH("平",D786)),"平","仄")))</x:f>
        <x:v>仄</x:v>
      </x:c>
      <x:c r="J793" s="7" t="str"/>
    </x:row>
    <x:row r="794">
      <x:c r="A794" s="5" t="str">
        <x:v>夌</x:v>
      </x:c>
      <x:c r="B794" s="6" t="str">
        <x:v>平</x:v>
      </x:c>
      <x:c r="C794" s="6" t="str">
        <x:f>IF(B794="","Needs decision","Ready")</x:f>
        <x:v>Ready</x:v>
      </x:c>
      <x:c r="D794" s="6" t="str">
        <x:v>平</x:v>
      </x:c>
      <x:c r="E794" s="6" t="str">
        <x:v>ling (A)</x:v>
      </x:c>
      <x:c r="F794" s="6" t="str">
        <x:v>1</x:v>
      </x:c>
      <x:c r="G794" s="6" t="str"/>
      <x:c r="H794" s="6" t="str">
        <x:f>IF(B794="平","平",IF(B794="","","仄"))</x:f>
        <x:v>平</x:v>
      </x:c>
      <x:c r="I794" s="6" t="str">
        <x:f>IF(D787="","",IF(AND(ISNUMBER(SEARCH("平",D787)),OR(ISNUMBER(SEARCH("上",D787)),ISNUMBER(SEARCH("去",D787)),ISNUMBER(SEARCH("入",D787)))),"Ambiguous",IF(ISNUMBER(SEARCH("平",D787)),"平","仄")))</x:f>
        <x:v>仄</x:v>
      </x:c>
      <x:c r="J794" s="7" t="str"/>
    </x:row>
    <x:row r="795">
      <x:c r="A795" s="5" t="str">
        <x:v>复</x:v>
      </x:c>
      <x:c r="B795" s="6" t="str">
        <x:v>入</x:v>
      </x:c>
      <x:c r="C795" s="6" t="str">
        <x:f>IF(B795="","Needs decision","Ready")</x:f>
        <x:v>Ready</x:v>
      </x:c>
      <x:c r="D795" s="6" t="str">
        <x:v>入</x:v>
      </x:c>
      <x:c r="E795" s="6" t="str">
        <x:v>bjuwk (D)</x:v>
      </x:c>
      <x:c r="F795" s="6" t="str">
        <x:v>1</x:v>
      </x:c>
      <x:c r="G795" s="6" t="str"/>
      <x:c r="H795" s="6" t="str">
        <x:f>IF(B795="平","平",IF(B795="","","仄"))</x:f>
        <x:v>仄</x:v>
      </x:c>
      <x:c r="I795" s="6" t="str">
        <x:f>IF(D788="","",IF(AND(ISNUMBER(SEARCH("平",D788)),OR(ISNUMBER(SEARCH("上",D788)),ISNUMBER(SEARCH("去",D788)),ISNUMBER(SEARCH("入",D788)))),"Ambiguous",IF(ISNUMBER(SEARCH("平",D788)),"平","仄")))</x:f>
        <x:v>仄</x:v>
      </x:c>
      <x:c r="J795" s="7" t="str"/>
    </x:row>
    <x:row r="796">
      <x:c r="A796" s="5" t="str">
        <x:v>夏</x:v>
      </x:c>
      <x:c r="B796" s="6" t="str"/>
      <x:c r="C796" s="6" t="str">
        <x:f>IF(B796="","Needs decision","Ready")</x:f>
        <x:v>Needs decision</x:v>
      </x:c>
      <x:c r="D796" s="6" t="str">
        <x:v>上/去</x:v>
      </x:c>
      <x:c r="E796" s="6" t="str">
        <x:v>haeX (B); haeH (C)</x:v>
      </x:c>
      <x:c r="F796" s="6" t="str">
        <x:v>2</x:v>
      </x:c>
      <x:c r="G796" s="6" t="str"/>
      <x:c r="H796" s="6" t="str">
        <x:f>IF(B796="平","平",IF(B796="","","仄"))</x:f>
      </x:c>
      <x:c r="I796" s="6" t="str">
        <x:f>IF(D789="","",IF(AND(ISNUMBER(SEARCH("平",D789)),OR(ISNUMBER(SEARCH("上",D789)),ISNUMBER(SEARCH("去",D789)),ISNUMBER(SEARCH("入",D789)))),"Ambiguous",IF(ISNUMBER(SEARCH("平",D789)),"平","仄")))</x:f>
        <x:v>平</x:v>
      </x:c>
      <x:c r="J796" s="7" t="str"/>
    </x:row>
    <x:row r="797">
      <x:c r="A797" s="5" t="str">
        <x:v>夒</x:v>
      </x:c>
      <x:c r="B797" s="6" t="str">
        <x:v>平</x:v>
      </x:c>
      <x:c r="C797" s="6" t="str">
        <x:f>IF(B797="","Needs decision","Ready")</x:f>
        <x:v>Ready</x:v>
      </x:c>
      <x:c r="D797" s="6" t="str">
        <x:v>平</x:v>
      </x:c>
      <x:c r="E797" s="6" t="str">
        <x:v>naw (A)</x:v>
      </x:c>
      <x:c r="F797" s="6" t="str">
        <x:v>1</x:v>
      </x:c>
      <x:c r="G797" s="6" t="str"/>
      <x:c r="H797" s="6" t="str">
        <x:f>IF(B797="平","平",IF(B797="","","仄"))</x:f>
        <x:v>平</x:v>
      </x:c>
      <x:c r="I797" s="6" t="str">
        <x:f>IF(D790="","",IF(AND(ISNUMBER(SEARCH("平",D790)),OR(ISNUMBER(SEARCH("上",D790)),ISNUMBER(SEARCH("去",D790)),ISNUMBER(SEARCH("入",D790)))),"Ambiguous",IF(ISNUMBER(SEARCH("平",D790)),"平","仄")))</x:f>
        <x:v>仄</x:v>
      </x:c>
      <x:c r="J797" s="7" t="str"/>
    </x:row>
    <x:row r="798">
      <x:c r="A798" s="5" t="str">
        <x:v>夔</x:v>
      </x:c>
      <x:c r="B798" s="6" t="str">
        <x:v>平</x:v>
      </x:c>
      <x:c r="C798" s="6" t="str">
        <x:f>IF(B798="","Needs decision","Ready")</x:f>
        <x:v>Ready</x:v>
      </x:c>
      <x:c r="D798" s="6" t="str">
        <x:v>平</x:v>
      </x:c>
      <x:c r="E798" s="6" t="str">
        <x:v>gwij [ɡwɨ̯i] (平)</x:v>
      </x:c>
      <x:c r="F798" s="6" t="str">
        <x:v>1</x:v>
      </x:c>
      <x:c r="G798" s="6" t="str">
        <x:v>Tang 300 gap; frequency 1; provisional from Xun Gong</x:v>
      </x:c>
      <x:c r="H798" s="6" t="str">
        <x:f>IF(B798="平","平",IF(B798="","","仄"))</x:f>
        <x:v>平</x:v>
      </x:c>
      <x:c r="I798" s="6" t="str">
        <x:f>IF(D791="","",IF(AND(ISNUMBER(SEARCH("平",D791)),OR(ISNUMBER(SEARCH("上",D791)),ISNUMBER(SEARCH("去",D791)),ISNUMBER(SEARCH("入",D791)))),"Ambiguous",IF(ISNUMBER(SEARCH("平",D791)),"平","仄")))</x:f>
        <x:v>仄</x:v>
      </x:c>
      <x:c r="J798" s="7" t="str">
        <x:v>Xun Gong, Tang 300 gap fill</x:v>
      </x:c>
    </x:row>
    <x:row r="799">
      <x:c r="A799" s="5" t="str">
        <x:v>夕</x:v>
      </x:c>
      <x:c r="B799" s="6" t="str">
        <x:v>入</x:v>
      </x:c>
      <x:c r="C799" s="6" t="str">
        <x:f>IF(B799="","Needs decision","Ready")</x:f>
        <x:v>Ready</x:v>
      </x:c>
      <x:c r="D799" s="6" t="str">
        <x:v>入</x:v>
      </x:c>
      <x:c r="E799" s="6" t="str">
        <x:v>zjek (D)</x:v>
      </x:c>
      <x:c r="F799" s="6" t="str">
        <x:v>1</x:v>
      </x:c>
      <x:c r="G799" s="6" t="str"/>
      <x:c r="H799" s="6" t="str">
        <x:f>IF(B799="平","平",IF(B799="","","仄"))</x:f>
        <x:v>仄</x:v>
      </x:c>
      <x:c r="I799" s="6" t="str">
        <x:f>IF(D792="","",IF(AND(ISNUMBER(SEARCH("平",D792)),OR(ISNUMBER(SEARCH("上",D792)),ISNUMBER(SEARCH("去",D792)),ISNUMBER(SEARCH("入",D792)))),"Ambiguous",IF(ISNUMBER(SEARCH("平",D792)),"平","仄")))</x:f>
        <x:v>平</x:v>
      </x:c>
      <x:c r="J799" s="7" t="str"/>
    </x:row>
    <x:row r="800">
      <x:c r="A800" s="5" t="str">
        <x:v>外</x:v>
      </x:c>
      <x:c r="B800" s="6" t="str">
        <x:v>去</x:v>
      </x:c>
      <x:c r="C800" s="6" t="str">
        <x:f>IF(B800="","Needs decision","Ready")</x:f>
        <x:v>Ready</x:v>
      </x:c>
      <x:c r="D800" s="6" t="str">
        <x:v>去</x:v>
      </x:c>
      <x:c r="E800" s="6" t="str">
        <x:v>ngwajH (C)</x:v>
      </x:c>
      <x:c r="F800" s="6" t="str">
        <x:v>1</x:v>
      </x:c>
      <x:c r="G800" s="6" t="str"/>
      <x:c r="H800" s="6" t="str">
        <x:f>IF(B800="平","平",IF(B800="","","仄"))</x:f>
        <x:v>仄</x:v>
      </x:c>
      <x:c r="I800" s="6" t="str">
        <x:f>IF(D793="","",IF(AND(ISNUMBER(SEARCH("平",D793)),OR(ISNUMBER(SEARCH("上",D793)),ISNUMBER(SEARCH("去",D793)),ISNUMBER(SEARCH("入",D793)))),"Ambiguous",IF(ISNUMBER(SEARCH("平",D793)),"平","仄")))</x:f>
        <x:v>平</x:v>
      </x:c>
      <x:c r="J800" s="7" t="str"/>
    </x:row>
    <x:row r="801">
      <x:c r="A801" s="5" t="str">
        <x:v>夗</x:v>
      </x:c>
      <x:c r="B801" s="6" t="str">
        <x:v>上</x:v>
      </x:c>
      <x:c r="C801" s="6" t="str">
        <x:f>IF(B801="","Needs decision","Ready")</x:f>
        <x:v>Ready</x:v>
      </x:c>
      <x:c r="D801" s="6" t="str">
        <x:v>上</x:v>
      </x:c>
      <x:c r="E801" s="6" t="str">
        <x:v>'jwonX (B)</x:v>
      </x:c>
      <x:c r="F801" s="6" t="str">
        <x:v>1</x:v>
      </x:c>
      <x:c r="G801" s="6" t="str"/>
      <x:c r="H801" s="6" t="str">
        <x:f>IF(B801="平","平",IF(B801="","","仄"))</x:f>
        <x:v>仄</x:v>
      </x:c>
      <x:c r="I801" s="6" t="str">
        <x:f>IF(D794="","",IF(AND(ISNUMBER(SEARCH("平",D794)),OR(ISNUMBER(SEARCH("上",D794)),ISNUMBER(SEARCH("去",D794)),ISNUMBER(SEARCH("入",D794)))),"Ambiguous",IF(ISNUMBER(SEARCH("平",D794)),"平","仄")))</x:f>
        <x:v>平</x:v>
      </x:c>
      <x:c r="J801" s="7" t="str"/>
    </x:row>
    <x:row r="802">
      <x:c r="A802" s="5" t="str">
        <x:v>夙</x:v>
      </x:c>
      <x:c r="B802" s="6" t="str">
        <x:v>入</x:v>
      </x:c>
      <x:c r="C802" s="6" t="str">
        <x:f>IF(B802="","Needs decision","Ready")</x:f>
        <x:v>Ready</x:v>
      </x:c>
      <x:c r="D802" s="6" t="str">
        <x:v>入</x:v>
      </x:c>
      <x:c r="E802" s="6" t="str">
        <x:v>sjuwk (D)</x:v>
      </x:c>
      <x:c r="F802" s="6" t="str">
        <x:v>1</x:v>
      </x:c>
      <x:c r="G802" s="6" t="str"/>
      <x:c r="H802" s="6" t="str">
        <x:f>IF(B802="平","平",IF(B802="","","仄"))</x:f>
        <x:v>仄</x:v>
      </x:c>
      <x:c r="I802" s="6" t="str">
        <x:f>IF(D795="","",IF(AND(ISNUMBER(SEARCH("平",D795)),OR(ISNUMBER(SEARCH("上",D795)),ISNUMBER(SEARCH("去",D795)),ISNUMBER(SEARCH("入",D795)))),"Ambiguous",IF(ISNUMBER(SEARCH("平",D795)),"平","仄")))</x:f>
        <x:v>仄</x:v>
      </x:c>
      <x:c r="J802" s="7" t="str"/>
    </x:row>
    <x:row r="803">
      <x:c r="A803" s="5" t="str">
        <x:v>多</x:v>
      </x:c>
      <x:c r="B803" s="6" t="str">
        <x:v>平</x:v>
      </x:c>
      <x:c r="C803" s="6" t="str">
        <x:f>IF(B803="","Needs decision","Ready")</x:f>
        <x:v>Ready</x:v>
      </x:c>
      <x:c r="D803" s="6" t="str">
        <x:v>平</x:v>
      </x:c>
      <x:c r="E803" s="6" t="str">
        <x:v>ta (A)</x:v>
      </x:c>
      <x:c r="F803" s="6" t="str">
        <x:v>1</x:v>
      </x:c>
      <x:c r="G803" s="6" t="str"/>
      <x:c r="H803" s="6" t="str">
        <x:f>IF(B803="平","平",IF(B803="","","仄"))</x:f>
        <x:v>平</x:v>
      </x:c>
      <x:c r="I803" s="6" t="str">
        <x:f>IF(D796="","",IF(AND(ISNUMBER(SEARCH("平",D796)),OR(ISNUMBER(SEARCH("上",D796)),ISNUMBER(SEARCH("去",D796)),ISNUMBER(SEARCH("入",D796)))),"Ambiguous",IF(ISNUMBER(SEARCH("平",D796)),"平","仄")))</x:f>
        <x:v>仄</x:v>
      </x:c>
      <x:c r="J803" s="7" t="str"/>
    </x:row>
    <x:row r="804">
      <x:c r="A804" s="5" t="str">
        <x:v>夜</x:v>
      </x:c>
      <x:c r="B804" s="6" t="str">
        <x:v>去</x:v>
      </x:c>
      <x:c r="C804" s="6" t="str">
        <x:f>IF(B804="","Needs decision","Ready")</x:f>
        <x:v>Ready</x:v>
      </x:c>
      <x:c r="D804" s="6" t="str">
        <x:v>去</x:v>
      </x:c>
      <x:c r="E804" s="6" t="str">
        <x:v>yaeH (C)</x:v>
      </x:c>
      <x:c r="F804" s="6" t="str">
        <x:v>1</x:v>
      </x:c>
      <x:c r="G804" s="6" t="str"/>
      <x:c r="H804" s="6" t="str">
        <x:f>IF(B804="平","平",IF(B804="","","仄"))</x:f>
        <x:v>仄</x:v>
      </x:c>
      <x:c r="I804" s="6" t="str">
        <x:f>IF(D797="","",IF(AND(ISNUMBER(SEARCH("平",D797)),OR(ISNUMBER(SEARCH("上",D797)),ISNUMBER(SEARCH("去",D797)),ISNUMBER(SEARCH("入",D797)))),"Ambiguous",IF(ISNUMBER(SEARCH("平",D797)),"平","仄")))</x:f>
        <x:v>平</x:v>
      </x:c>
      <x:c r="J804" s="7" t="str"/>
    </x:row>
    <x:row r="805">
      <x:c r="A805" s="5" t="str">
        <x:v>夢</x:v>
      </x:c>
      <x:c r="B805" s="6" t="str">
        <x:v>去</x:v>
      </x:c>
      <x:c r="C805" s="6" t="str">
        <x:f>IF(B805="","Needs decision","Ready")</x:f>
        <x:v>Ready</x:v>
      </x:c>
      <x:c r="D805" s="6" t="str">
        <x:v>去</x:v>
      </x:c>
      <x:c r="E805" s="6" t="str">
        <x:v>mjuwngH (C)</x:v>
      </x:c>
      <x:c r="F805" s="6" t="str">
        <x:v>1</x:v>
      </x:c>
      <x:c r="G805" s="6" t="str"/>
      <x:c r="H805" s="6" t="str">
        <x:f>IF(B805="平","平",IF(B805="","","仄"))</x:f>
        <x:v>仄</x:v>
      </x:c>
      <x:c r="I805" s="6" t="str">
        <x:f>IF(D798="","",IF(AND(ISNUMBER(SEARCH("平",D798)),OR(ISNUMBER(SEARCH("上",D798)),ISNUMBER(SEARCH("去",D798)),ISNUMBER(SEARCH("入",D798)))),"Ambiguous",IF(ISNUMBER(SEARCH("平",D798)),"平","仄")))</x:f>
        <x:v>平</x:v>
      </x:c>
      <x:c r="J805" s="7" t="str"/>
    </x:row>
    <x:row r="806">
      <x:c r="A806" s="5" t="str">
        <x:v>夤</x:v>
      </x:c>
      <x:c r="B806" s="6" t="str">
        <x:v>平</x:v>
      </x:c>
      <x:c r="C806" s="6" t="str">
        <x:f>IF(B806="","Needs decision","Ready")</x:f>
        <x:v>Ready</x:v>
      </x:c>
      <x:c r="D806" s="6" t="str">
        <x:v>平</x:v>
      </x:c>
      <x:c r="E806" s="6" t="str">
        <x:v>yin (A)</x:v>
      </x:c>
      <x:c r="F806" s="6" t="str">
        <x:v>1</x:v>
      </x:c>
      <x:c r="G806" s="6" t="str"/>
      <x:c r="H806" s="6" t="str">
        <x:f>IF(B806="平","平",IF(B806="","","仄"))</x:f>
        <x:v>平</x:v>
      </x:c>
      <x:c r="I806" s="6" t="str">
        <x:f>IF(D799="","",IF(AND(ISNUMBER(SEARCH("平",D799)),OR(ISNUMBER(SEARCH("上",D799)),ISNUMBER(SEARCH("去",D799)),ISNUMBER(SEARCH("入",D799)))),"Ambiguous",IF(ISNUMBER(SEARCH("平",D799)),"平","仄")))</x:f>
        <x:v>仄</x:v>
      </x:c>
      <x:c r="J806" s="7" t="str"/>
    </x:row>
    <x:row r="807">
      <x:c r="A807" s="5" t="str">
        <x:v>夥</x:v>
      </x:c>
      <x:c r="B807" s="6" t="str">
        <x:v>上</x:v>
      </x:c>
      <x:c r="C807" s="6" t="str">
        <x:f>IF(B807="","Needs decision","Ready")</x:f>
        <x:v>Ready</x:v>
      </x:c>
      <x:c r="D807" s="6" t="str">
        <x:v>上</x:v>
      </x:c>
      <x:c r="E807" s="6" t="str">
        <x:v>hwaX (B)</x:v>
      </x:c>
      <x:c r="F807" s="6" t="str">
        <x:v>1</x:v>
      </x:c>
      <x:c r="G807" s="6" t="str"/>
      <x:c r="H807" s="6" t="str">
        <x:f>IF(B807="平","平",IF(B807="","","仄"))</x:f>
        <x:v>仄</x:v>
      </x:c>
      <x:c r="I807" s="6" t="str">
        <x:f>IF(D800="","",IF(AND(ISNUMBER(SEARCH("平",D800)),OR(ISNUMBER(SEARCH("上",D800)),ISNUMBER(SEARCH("去",D800)),ISNUMBER(SEARCH("入",D800)))),"Ambiguous",IF(ISNUMBER(SEARCH("平",D800)),"平","仄")))</x:f>
        <x:v>仄</x:v>
      </x:c>
      <x:c r="J807" s="7" t="str"/>
    </x:row>
    <x:row r="808">
      <x:c r="A808" s="5" t="str">
        <x:v>大</x:v>
      </x:c>
      <x:c r="B808" s="6" t="str">
        <x:v>去</x:v>
      </x:c>
      <x:c r="C808" s="6" t="str">
        <x:f>IF(B808="","Needs decision","Ready")</x:f>
        <x:v>Ready</x:v>
      </x:c>
      <x:c r="D808" s="6" t="str">
        <x:v>去</x:v>
      </x:c>
      <x:c r="E808" s="6" t="str">
        <x:v>daH (C); dajH (C)</x:v>
      </x:c>
      <x:c r="F808" s="6" t="str">
        <x:v>2</x:v>
      </x:c>
      <x:c r="G808" s="6" t="str"/>
      <x:c r="H808" s="6" t="str">
        <x:f>IF(B808="平","平",IF(B808="","","仄"))</x:f>
        <x:v>仄</x:v>
      </x:c>
      <x:c r="I808" s="6" t="str">
        <x:f>IF(D801="","",IF(AND(ISNUMBER(SEARCH("平",D801)),OR(ISNUMBER(SEARCH("上",D801)),ISNUMBER(SEARCH("去",D801)),ISNUMBER(SEARCH("入",D801)))),"Ambiguous",IF(ISNUMBER(SEARCH("平",D801)),"平","仄")))</x:f>
        <x:v>仄</x:v>
      </x:c>
      <x:c r="J808" s="7" t="str"/>
    </x:row>
    <x:row r="809">
      <x:c r="A809" s="5" t="str">
        <x:v>夨</x:v>
      </x:c>
      <x:c r="B809" s="6" t="str">
        <x:v>入</x:v>
      </x:c>
      <x:c r="C809" s="6" t="str">
        <x:f>IF(B809="","Needs decision","Ready")</x:f>
        <x:v>Ready</x:v>
      </x:c>
      <x:c r="D809" s="6" t="str">
        <x:v>入</x:v>
      </x:c>
      <x:c r="E809" s="6" t="str">
        <x:v>tsrik (D)</x:v>
      </x:c>
      <x:c r="F809" s="6" t="str">
        <x:v>1</x:v>
      </x:c>
      <x:c r="G809" s="6" t="str"/>
      <x:c r="H809" s="6" t="str">
        <x:f>IF(B809="平","平",IF(B809="","","仄"))</x:f>
        <x:v>仄</x:v>
      </x:c>
      <x:c r="I809" s="6" t="str">
        <x:f>IF(D802="","",IF(AND(ISNUMBER(SEARCH("平",D802)),OR(ISNUMBER(SEARCH("上",D802)),ISNUMBER(SEARCH("去",D802)),ISNUMBER(SEARCH("入",D802)))),"Ambiguous",IF(ISNUMBER(SEARCH("平",D802)),"平","仄")))</x:f>
        <x:v>仄</x:v>
      </x:c>
      <x:c r="J809" s="7" t="str"/>
    </x:row>
    <x:row r="810">
      <x:c r="A810" s="5" t="str">
        <x:v>天</x:v>
      </x:c>
      <x:c r="B810" s="6" t="str">
        <x:v>平</x:v>
      </x:c>
      <x:c r="C810" s="6" t="str">
        <x:f>IF(B810="","Needs decision","Ready")</x:f>
        <x:v>Ready</x:v>
      </x:c>
      <x:c r="D810" s="6" t="str">
        <x:v>平</x:v>
      </x:c>
      <x:c r="E810" s="6" t="str">
        <x:v>then (A); xen (A)</x:v>
      </x:c>
      <x:c r="F810" s="6" t="str">
        <x:v>2</x:v>
      </x:c>
      <x:c r="G810" s="6" t="str"/>
      <x:c r="H810" s="6" t="str">
        <x:f>IF(B810="平","平",IF(B810="","","仄"))</x:f>
        <x:v>平</x:v>
      </x:c>
      <x:c r="I810" s="6" t="str">
        <x:f>IF(D803="","",IF(AND(ISNUMBER(SEARCH("平",D803)),OR(ISNUMBER(SEARCH("上",D803)),ISNUMBER(SEARCH("去",D803)),ISNUMBER(SEARCH("入",D803)))),"Ambiguous",IF(ISNUMBER(SEARCH("平",D803)),"平","仄")))</x:f>
        <x:v>平</x:v>
      </x:c>
      <x:c r="J810" s="7" t="str"/>
    </x:row>
    <x:row r="811">
      <x:c r="A811" s="5" t="str">
        <x:v>太</x:v>
      </x:c>
      <x:c r="B811" s="6" t="str">
        <x:v>去</x:v>
      </x:c>
      <x:c r="C811" s="6" t="str">
        <x:f>IF(B811="","Needs decision","Ready")</x:f>
        <x:v>Ready</x:v>
      </x:c>
      <x:c r="D811" s="6" t="str">
        <x:v>去</x:v>
      </x:c>
      <x:c r="E811" s="6" t="str">
        <x:v>thajH (C)</x:v>
      </x:c>
      <x:c r="F811" s="6" t="str">
        <x:v>1</x:v>
      </x:c>
      <x:c r="G811" s="6" t="str"/>
      <x:c r="H811" s="6" t="str">
        <x:f>IF(B811="平","平",IF(B811="","","仄"))</x:f>
        <x:v>仄</x:v>
      </x:c>
      <x:c r="I811" s="6" t="str">
        <x:f>IF(D804="","",IF(AND(ISNUMBER(SEARCH("平",D804)),OR(ISNUMBER(SEARCH("上",D804)),ISNUMBER(SEARCH("去",D804)),ISNUMBER(SEARCH("入",D804)))),"Ambiguous",IF(ISNUMBER(SEARCH("平",D804)),"平","仄")))</x:f>
        <x:v>仄</x:v>
      </x:c>
      <x:c r="J811" s="7" t="str"/>
    </x:row>
    <x:row r="812">
      <x:c r="A812" s="5" t="str">
        <x:v>夫</x:v>
      </x:c>
      <x:c r="B812" s="6" t="str">
        <x:v>平</x:v>
      </x:c>
      <x:c r="C812" s="6" t="str">
        <x:f>IF(B812="","Needs decision","Ready")</x:f>
        <x:v>Ready</x:v>
      </x:c>
      <x:c r="D812" s="6" t="str">
        <x:v>平</x:v>
      </x:c>
      <x:c r="E812" s="6" t="str">
        <x:v>pju (A); bju (A)</x:v>
      </x:c>
      <x:c r="F812" s="6" t="str">
        <x:v>2</x:v>
      </x:c>
      <x:c r="G812" s="6" t="str"/>
      <x:c r="H812" s="6" t="str">
        <x:f>IF(B812="平","平",IF(B812="","","仄"))</x:f>
        <x:v>平</x:v>
      </x:c>
      <x:c r="I812" s="6" t="str">
        <x:f>IF(D805="","",IF(AND(ISNUMBER(SEARCH("平",D805)),OR(ISNUMBER(SEARCH("上",D805)),ISNUMBER(SEARCH("去",D805)),ISNUMBER(SEARCH("入",D805)))),"Ambiguous",IF(ISNUMBER(SEARCH("平",D805)),"平","仄")))</x:f>
        <x:v>仄</x:v>
      </x:c>
      <x:c r="J812" s="7" t="str"/>
    </x:row>
    <x:row r="813">
      <x:c r="A813" s="5" t="str">
        <x:v>夬</x:v>
      </x:c>
      <x:c r="B813" s="6" t="str">
        <x:v>去</x:v>
      </x:c>
      <x:c r="C813" s="6" t="str">
        <x:f>IF(B813="","Needs decision","Ready")</x:f>
        <x:v>Ready</x:v>
      </x:c>
      <x:c r="D813" s="6" t="str">
        <x:v>去</x:v>
      </x:c>
      <x:c r="E813" s="6" t="str">
        <x:v>kwaejH (C)</x:v>
      </x:c>
      <x:c r="F813" s="6" t="str">
        <x:v>1</x:v>
      </x:c>
      <x:c r="G813" s="6" t="str"/>
      <x:c r="H813" s="6" t="str">
        <x:f>IF(B813="平","平",IF(B813="","","仄"))</x:f>
        <x:v>仄</x:v>
      </x:c>
      <x:c r="I813" s="6" t="str">
        <x:f>IF(D806="","",IF(AND(ISNUMBER(SEARCH("平",D806)),OR(ISNUMBER(SEARCH("上",D806)),ISNUMBER(SEARCH("去",D806)),ISNUMBER(SEARCH("入",D806)))),"Ambiguous",IF(ISNUMBER(SEARCH("平",D806)),"平","仄")))</x:f>
        <x:v>平</x:v>
      </x:c>
      <x:c r="J813" s="7" t="str"/>
    </x:row>
    <x:row r="814">
      <x:c r="A814" s="5" t="str">
        <x:v>夭</x:v>
      </x:c>
      <x:c r="B814" s="6" t="str">
        <x:v>平</x:v>
      </x:c>
      <x:c r="C814" s="6" t="str">
        <x:f>IF(B814="","Needs decision","Ready")</x:f>
        <x:v>Ready</x:v>
      </x:c>
      <x:c r="D814" s="6" t="str">
        <x:v>平</x:v>
      </x:c>
      <x:c r="E814" s="6" t="str">
        <x:v>'jew (A)</x:v>
      </x:c>
      <x:c r="F814" s="6" t="str">
        <x:v>1</x:v>
      </x:c>
      <x:c r="G814" s="6" t="str"/>
      <x:c r="H814" s="6" t="str">
        <x:f>IF(B814="平","平",IF(B814="","","仄"))</x:f>
        <x:v>平</x:v>
      </x:c>
      <x:c r="I814" s="6" t="str">
        <x:f>IF(D807="","",IF(AND(ISNUMBER(SEARCH("平",D807)),OR(ISNUMBER(SEARCH("上",D807)),ISNUMBER(SEARCH("去",D807)),ISNUMBER(SEARCH("入",D807)))),"Ambiguous",IF(ISNUMBER(SEARCH("平",D807)),"平","仄")))</x:f>
        <x:v>仄</x:v>
      </x:c>
      <x:c r="J814" s="7" t="str"/>
    </x:row>
    <x:row r="815">
      <x:c r="A815" s="5" t="str">
        <x:v>央</x:v>
      </x:c>
      <x:c r="B815" s="6" t="str">
        <x:v>平</x:v>
      </x:c>
      <x:c r="C815" s="6" t="str">
        <x:f>IF(B815="","Needs decision","Ready")</x:f>
        <x:v>Ready</x:v>
      </x:c>
      <x:c r="D815" s="6" t="str">
        <x:v>平</x:v>
      </x:c>
      <x:c r="E815" s="6" t="str">
        <x:v>'jang (A)</x:v>
      </x:c>
      <x:c r="F815" s="6" t="str">
        <x:v>1</x:v>
      </x:c>
      <x:c r="G815" s="6" t="str"/>
      <x:c r="H815" s="6" t="str">
        <x:f>IF(B815="平","平",IF(B815="","","仄"))</x:f>
        <x:v>平</x:v>
      </x:c>
      <x:c r="I815" s="6" t="str">
        <x:f>IF(D808="","",IF(AND(ISNUMBER(SEARCH("平",D808)),OR(ISNUMBER(SEARCH("上",D808)),ISNUMBER(SEARCH("去",D808)),ISNUMBER(SEARCH("入",D808)))),"Ambiguous",IF(ISNUMBER(SEARCH("平",D808)),"平","仄")))</x:f>
        <x:v>仄</x:v>
      </x:c>
      <x:c r="J815" s="7" t="str"/>
    </x:row>
    <x:row r="816">
      <x:c r="A816" s="5" t="str">
        <x:v>失</x:v>
      </x:c>
      <x:c r="B816" s="6" t="str">
        <x:v>入</x:v>
      </x:c>
      <x:c r="C816" s="6" t="str">
        <x:f>IF(B816="","Needs decision","Ready")</x:f>
        <x:v>Ready</x:v>
      </x:c>
      <x:c r="D816" s="6" t="str">
        <x:v>入</x:v>
      </x:c>
      <x:c r="E816" s="6" t="str">
        <x:v>syit (D)</x:v>
      </x:c>
      <x:c r="F816" s="6" t="str">
        <x:v>1</x:v>
      </x:c>
      <x:c r="G816" s="6" t="str"/>
      <x:c r="H816" s="6" t="str">
        <x:f>IF(B816="平","平",IF(B816="","","仄"))</x:f>
        <x:v>仄</x:v>
      </x:c>
      <x:c r="I816" s="6" t="str">
        <x:f>IF(D809="","",IF(AND(ISNUMBER(SEARCH("平",D809)),OR(ISNUMBER(SEARCH("上",D809)),ISNUMBER(SEARCH("去",D809)),ISNUMBER(SEARCH("入",D809)))),"Ambiguous",IF(ISNUMBER(SEARCH("平",D809)),"平","仄")))</x:f>
        <x:v>仄</x:v>
      </x:c>
      <x:c r="J816" s="7" t="str"/>
    </x:row>
    <x:row r="817">
      <x:c r="A817" s="5" t="str">
        <x:v>夷</x:v>
      </x:c>
      <x:c r="B817" s="6" t="str">
        <x:v>平</x:v>
      </x:c>
      <x:c r="C817" s="6" t="str">
        <x:f>IF(B817="","Needs decision","Ready")</x:f>
        <x:v>Ready</x:v>
      </x:c>
      <x:c r="D817" s="6" t="str">
        <x:v>平</x:v>
      </x:c>
      <x:c r="E817" s="6" t="str">
        <x:v>yij (A)</x:v>
      </x:c>
      <x:c r="F817" s="6" t="str">
        <x:v>1</x:v>
      </x:c>
      <x:c r="G817" s="6" t="str"/>
      <x:c r="H817" s="6" t="str">
        <x:f>IF(B817="平","平",IF(B817="","","仄"))</x:f>
        <x:v>平</x:v>
      </x:c>
      <x:c r="I817" s="6" t="str">
        <x:f>IF(D810="","",IF(AND(ISNUMBER(SEARCH("平",D810)),OR(ISNUMBER(SEARCH("上",D810)),ISNUMBER(SEARCH("去",D810)),ISNUMBER(SEARCH("入",D810)))),"Ambiguous",IF(ISNUMBER(SEARCH("平",D810)),"平","仄")))</x:f>
        <x:v>平</x:v>
      </x:c>
      <x:c r="J817" s="7" t="str"/>
    </x:row>
    <x:row r="818">
      <x:c r="A818" s="5" t="str">
        <x:v>夸</x:v>
      </x:c>
      <x:c r="B818" s="6" t="str">
        <x:v>平</x:v>
      </x:c>
      <x:c r="C818" s="6" t="str">
        <x:f>IF(B818="","Needs decision","Ready")</x:f>
        <x:v>Ready</x:v>
      </x:c>
      <x:c r="D818" s="6" t="str">
        <x:v>平</x:v>
      </x:c>
      <x:c r="E818" s="6" t="str">
        <x:v>khwae (A)</x:v>
      </x:c>
      <x:c r="F818" s="6" t="str">
        <x:v>1</x:v>
      </x:c>
      <x:c r="G818" s="6" t="str"/>
      <x:c r="H818" s="6" t="str">
        <x:f>IF(B818="平","平",IF(B818="","","仄"))</x:f>
        <x:v>平</x:v>
      </x:c>
      <x:c r="I818" s="6" t="str">
        <x:f>IF(D811="","",IF(AND(ISNUMBER(SEARCH("平",D811)),OR(ISNUMBER(SEARCH("上",D811)),ISNUMBER(SEARCH("去",D811)),ISNUMBER(SEARCH("入",D811)))),"Ambiguous",IF(ISNUMBER(SEARCH("平",D811)),"平","仄")))</x:f>
        <x:v>仄</x:v>
      </x:c>
      <x:c r="J818" s="7" t="str"/>
    </x:row>
    <x:row r="819">
      <x:c r="A819" s="5" t="str">
        <x:v>夾</x:v>
      </x:c>
      <x:c r="B819" s="6" t="str">
        <x:v>入</x:v>
      </x:c>
      <x:c r="C819" s="6" t="str">
        <x:f>IF(B819="","Needs decision","Ready")</x:f>
        <x:v>Ready</x:v>
      </x:c>
      <x:c r="D819" s="6" t="str">
        <x:v>入</x:v>
      </x:c>
      <x:c r="E819" s="6" t="str">
        <x:v>keap (D)</x:v>
      </x:c>
      <x:c r="F819" s="6" t="str">
        <x:v>1</x:v>
      </x:c>
      <x:c r="G819" s="6" t="str"/>
      <x:c r="H819" s="6" t="str">
        <x:f>IF(B819="平","平",IF(B819="","","仄"))</x:f>
        <x:v>仄</x:v>
      </x:c>
      <x:c r="I819" s="6" t="str">
        <x:f>IF(D812="","",IF(AND(ISNUMBER(SEARCH("平",D812)),OR(ISNUMBER(SEARCH("上",D812)),ISNUMBER(SEARCH("去",D812)),ISNUMBER(SEARCH("入",D812)))),"Ambiguous",IF(ISNUMBER(SEARCH("平",D812)),"平","仄")))</x:f>
        <x:v>平</x:v>
      </x:c>
      <x:c r="J819" s="7" t="str"/>
    </x:row>
    <x:row r="820">
      <x:c r="A820" s="5" t="str">
        <x:v>奄</x:v>
      </x:c>
      <x:c r="B820" s="6" t="str">
        <x:v>上</x:v>
      </x:c>
      <x:c r="C820" s="6" t="str">
        <x:f>IF(B820="","Needs decision","Ready")</x:f>
        <x:v>Ready</x:v>
      </x:c>
      <x:c r="D820" s="6" t="str">
        <x:v>上</x:v>
      </x:c>
      <x:c r="E820" s="6" t="str">
        <x:v>'jemX (B)</x:v>
      </x:c>
      <x:c r="F820" s="6" t="str">
        <x:v>1</x:v>
      </x:c>
      <x:c r="G820" s="6" t="str"/>
      <x:c r="H820" s="6" t="str">
        <x:f>IF(B820="平","平",IF(B820="","","仄"))</x:f>
        <x:v>仄</x:v>
      </x:c>
      <x:c r="I820" s="6" t="str">
        <x:f>IF(D813="","",IF(AND(ISNUMBER(SEARCH("平",D813)),OR(ISNUMBER(SEARCH("上",D813)),ISNUMBER(SEARCH("去",D813)),ISNUMBER(SEARCH("入",D813)))),"Ambiguous",IF(ISNUMBER(SEARCH("平",D813)),"平","仄")))</x:f>
        <x:v>仄</x:v>
      </x:c>
      <x:c r="J820" s="7" t="str"/>
    </x:row>
    <x:row r="821">
      <x:c r="A821" s="5" t="str">
        <x:v>奇</x:v>
      </x:c>
      <x:c r="B821" s="6" t="str">
        <x:v>平</x:v>
      </x:c>
      <x:c r="C821" s="6" t="str">
        <x:f>IF(B821="","Needs decision","Ready")</x:f>
        <x:v>Ready</x:v>
      </x:c>
      <x:c r="D821" s="6" t="str">
        <x:v>平</x:v>
      </x:c>
      <x:c r="E821" s="6" t="str">
        <x:v>kje (A); gje (A)</x:v>
      </x:c>
      <x:c r="F821" s="6" t="str">
        <x:v>2</x:v>
      </x:c>
      <x:c r="G821" s="6" t="str"/>
      <x:c r="H821" s="6" t="str">
        <x:f>IF(B821="平","平",IF(B821="","","仄"))</x:f>
        <x:v>平</x:v>
      </x:c>
      <x:c r="I821" s="6" t="str">
        <x:f>IF(D814="","",IF(AND(ISNUMBER(SEARCH("平",D814)),OR(ISNUMBER(SEARCH("上",D814)),ISNUMBER(SEARCH("去",D814)),ISNUMBER(SEARCH("入",D814)))),"Ambiguous",IF(ISNUMBER(SEARCH("平",D814)),"平","仄")))</x:f>
        <x:v>平</x:v>
      </x:c>
      <x:c r="J821" s="7" t="str"/>
    </x:row>
    <x:row r="822">
      <x:c r="A822" s="5" t="str">
        <x:v>奈</x:v>
      </x:c>
      <x:c r="B822" s="6" t="str">
        <x:v>去</x:v>
      </x:c>
      <x:c r="C822" s="6" t="str">
        <x:f>IF(B822="","Needs decision","Ready")</x:f>
        <x:v>Ready</x:v>
      </x:c>
      <x:c r="D822" s="6" t="str">
        <x:v>去</x:v>
      </x:c>
      <x:c r="E822" s="6" t="str">
        <x:v>najH (C)</x:v>
      </x:c>
      <x:c r="F822" s="6" t="str">
        <x:v>1</x:v>
      </x:c>
      <x:c r="G822" s="6" t="str"/>
      <x:c r="H822" s="6" t="str">
        <x:f>IF(B822="平","平",IF(B822="","","仄"))</x:f>
        <x:v>仄</x:v>
      </x:c>
      <x:c r="I822" s="6" t="str">
        <x:f>IF(D815="","",IF(AND(ISNUMBER(SEARCH("平",D815)),OR(ISNUMBER(SEARCH("上",D815)),ISNUMBER(SEARCH("去",D815)),ISNUMBER(SEARCH("入",D815)))),"Ambiguous",IF(ISNUMBER(SEARCH("平",D815)),"平","仄")))</x:f>
        <x:v>平</x:v>
      </x:c>
      <x:c r="J822" s="7" t="str"/>
    </x:row>
    <x:row r="823">
      <x:c r="A823" s="5" t="str">
        <x:v>奉</x:v>
      </x:c>
      <x:c r="B823" s="6" t="str">
        <x:v>上</x:v>
      </x:c>
      <x:c r="C823" s="6" t="str">
        <x:f>IF(B823="","Needs decision","Ready")</x:f>
        <x:v>Ready</x:v>
      </x:c>
      <x:c r="D823" s="6" t="str">
        <x:v>上</x:v>
      </x:c>
      <x:c r="E823" s="6" t="str">
        <x:v>bjowngX (B); phjowngX (B)</x:v>
      </x:c>
      <x:c r="F823" s="6" t="str">
        <x:v>2</x:v>
      </x:c>
      <x:c r="G823" s="6" t="str"/>
      <x:c r="H823" s="6" t="str">
        <x:f>IF(B823="平","平",IF(B823="","","仄"))</x:f>
        <x:v>仄</x:v>
      </x:c>
      <x:c r="I823" s="6" t="str">
        <x:f>IF(D816="","",IF(AND(ISNUMBER(SEARCH("平",D816)),OR(ISNUMBER(SEARCH("上",D816)),ISNUMBER(SEARCH("去",D816)),ISNUMBER(SEARCH("入",D816)))),"Ambiguous",IF(ISNUMBER(SEARCH("平",D816)),"平","仄")))</x:f>
        <x:v>仄</x:v>
      </x:c>
      <x:c r="J823" s="7" t="str"/>
    </x:row>
    <x:row r="824">
      <x:c r="A824" s="5" t="str">
        <x:v>奏</x:v>
      </x:c>
      <x:c r="B824" s="6" t="str">
        <x:v>去</x:v>
      </x:c>
      <x:c r="C824" s="6" t="str">
        <x:f>IF(B824="","Needs decision","Ready")</x:f>
        <x:v>Ready</x:v>
      </x:c>
      <x:c r="D824" s="6" t="str">
        <x:v>去</x:v>
      </x:c>
      <x:c r="E824" s="6" t="str">
        <x:v>tsuwH (C)</x:v>
      </x:c>
      <x:c r="F824" s="6" t="str">
        <x:v>1</x:v>
      </x:c>
      <x:c r="G824" s="6" t="str"/>
      <x:c r="H824" s="6" t="str">
        <x:f>IF(B824="平","平",IF(B824="","","仄"))</x:f>
        <x:v>仄</x:v>
      </x:c>
      <x:c r="I824" s="6" t="str">
        <x:f>IF(D817="","",IF(AND(ISNUMBER(SEARCH("平",D817)),OR(ISNUMBER(SEARCH("上",D817)),ISNUMBER(SEARCH("去",D817)),ISNUMBER(SEARCH("入",D817)))),"Ambiguous",IF(ISNUMBER(SEARCH("平",D817)),"平","仄")))</x:f>
        <x:v>平</x:v>
      </x:c>
      <x:c r="J824" s="7" t="str"/>
    </x:row>
    <x:row r="825">
      <x:c r="A825" s="5" t="str">
        <x:v>契</x:v>
      </x:c>
      <x:c r="B825" s="6" t="str"/>
      <x:c r="C825" s="6" t="str">
        <x:f>IF(B825="","Needs decision","Ready")</x:f>
        <x:v>Needs decision</x:v>
      </x:c>
      <x:c r="D825" s="6" t="str">
        <x:v>去/入</x:v>
      </x:c>
      <x:c r="E825" s="6" t="str">
        <x:v>khejH (C); khet (D)</x:v>
      </x:c>
      <x:c r="F825" s="6" t="str">
        <x:v>2</x:v>
      </x:c>
      <x:c r="G825" s="6" t="str"/>
      <x:c r="H825" s="6" t="str">
        <x:f>IF(B825="平","平",IF(B825="","","仄"))</x:f>
      </x:c>
      <x:c r="I825" s="6" t="str">
        <x:f>IF(D818="","",IF(AND(ISNUMBER(SEARCH("平",D818)),OR(ISNUMBER(SEARCH("上",D818)),ISNUMBER(SEARCH("去",D818)),ISNUMBER(SEARCH("入",D818)))),"Ambiguous",IF(ISNUMBER(SEARCH("平",D818)),"平","仄")))</x:f>
        <x:v>平</x:v>
      </x:c>
      <x:c r="J825" s="7" t="str"/>
    </x:row>
    <x:row r="826">
      <x:c r="A826" s="5" t="str">
        <x:v>奔</x:v>
      </x:c>
      <x:c r="B826" s="6" t="str">
        <x:v>平</x:v>
      </x:c>
      <x:c r="C826" s="6" t="str">
        <x:f>IF(B826="","Needs decision","Ready")</x:f>
        <x:v>Ready</x:v>
      </x:c>
      <x:c r="D826" s="6" t="str">
        <x:v>平</x:v>
      </x:c>
      <x:c r="E826" s="6" t="str">
        <x:v>pwon (A)</x:v>
      </x:c>
      <x:c r="F826" s="6" t="str">
        <x:v>1</x:v>
      </x:c>
      <x:c r="G826" s="6" t="str"/>
      <x:c r="H826" s="6" t="str">
        <x:f>IF(B826="平","平",IF(B826="","","仄"))</x:f>
        <x:v>平</x:v>
      </x:c>
      <x:c r="I826" s="6" t="str">
        <x:f>IF(D819="","",IF(AND(ISNUMBER(SEARCH("平",D819)),OR(ISNUMBER(SEARCH("上",D819)),ISNUMBER(SEARCH("去",D819)),ISNUMBER(SEARCH("入",D819)))),"Ambiguous",IF(ISNUMBER(SEARCH("平",D819)),"平","仄")))</x:f>
        <x:v>仄</x:v>
      </x:c>
      <x:c r="J826" s="7" t="str"/>
    </x:row>
    <x:row r="827">
      <x:c r="A827" s="5" t="str">
        <x:v>奕</x:v>
      </x:c>
      <x:c r="B827" s="6" t="str">
        <x:v>入</x:v>
      </x:c>
      <x:c r="C827" s="6" t="str">
        <x:f>IF(B827="","Needs decision","Ready")</x:f>
        <x:v>Ready</x:v>
      </x:c>
      <x:c r="D827" s="6" t="str">
        <x:v>入</x:v>
      </x:c>
      <x:c r="E827" s="6" t="str">
        <x:v>yek (D)</x:v>
      </x:c>
      <x:c r="F827" s="6" t="str">
        <x:v>1</x:v>
      </x:c>
      <x:c r="G827" s="6" t="str"/>
      <x:c r="H827" s="6" t="str">
        <x:f>IF(B827="平","平",IF(B827="","","仄"))</x:f>
        <x:v>仄</x:v>
      </x:c>
      <x:c r="I827" s="6" t="str">
        <x:f>IF(D820="","",IF(AND(ISNUMBER(SEARCH("平",D820)),OR(ISNUMBER(SEARCH("上",D820)),ISNUMBER(SEARCH("去",D820)),ISNUMBER(SEARCH("入",D820)))),"Ambiguous",IF(ISNUMBER(SEARCH("平",D820)),"平","仄")))</x:f>
        <x:v>仄</x:v>
      </x:c>
      <x:c r="J827" s="7" t="str"/>
    </x:row>
    <x:row r="828">
      <x:c r="A828" s="5" t="str">
        <x:v>奚</x:v>
      </x:c>
      <x:c r="B828" s="6" t="str">
        <x:v>平</x:v>
      </x:c>
      <x:c r="C828" s="6" t="str">
        <x:f>IF(B828="","Needs decision","Ready")</x:f>
        <x:v>Ready</x:v>
      </x:c>
      <x:c r="D828" s="6" t="str">
        <x:v>平</x:v>
      </x:c>
      <x:c r="E828" s="6" t="str">
        <x:v>hej (A)</x:v>
      </x:c>
      <x:c r="F828" s="6" t="str">
        <x:v>1</x:v>
      </x:c>
      <x:c r="G828" s="6" t="str"/>
      <x:c r="H828" s="6" t="str">
        <x:f>IF(B828="平","平",IF(B828="","","仄"))</x:f>
        <x:v>平</x:v>
      </x:c>
      <x:c r="I828" s="6" t="str">
        <x:f>IF(D821="","",IF(AND(ISNUMBER(SEARCH("平",D821)),OR(ISNUMBER(SEARCH("上",D821)),ISNUMBER(SEARCH("去",D821)),ISNUMBER(SEARCH("入",D821)))),"Ambiguous",IF(ISNUMBER(SEARCH("平",D821)),"平","仄")))</x:f>
        <x:v>平</x:v>
      </x:c>
      <x:c r="J828" s="7" t="str"/>
    </x:row>
    <x:row r="829">
      <x:c r="A829" s="5" t="str">
        <x:v>奠</x:v>
      </x:c>
      <x:c r="B829" s="6" t="str">
        <x:v>去</x:v>
      </x:c>
      <x:c r="C829" s="6" t="str">
        <x:f>IF(B829="","Needs decision","Ready")</x:f>
        <x:v>Ready</x:v>
      </x:c>
      <x:c r="D829" s="6" t="str">
        <x:v>去</x:v>
      </x:c>
      <x:c r="E829" s="6" t="str">
        <x:v>denH (C)</x:v>
      </x:c>
      <x:c r="F829" s="6" t="str">
        <x:v>1</x:v>
      </x:c>
      <x:c r="G829" s="6" t="str"/>
      <x:c r="H829" s="6" t="str">
        <x:f>IF(B829="平","平",IF(B829="","","仄"))</x:f>
        <x:v>仄</x:v>
      </x:c>
      <x:c r="I829" s="6" t="str">
        <x:f>IF(D822="","",IF(AND(ISNUMBER(SEARCH("平",D822)),OR(ISNUMBER(SEARCH("上",D822)),ISNUMBER(SEARCH("去",D822)),ISNUMBER(SEARCH("入",D822)))),"Ambiguous",IF(ISNUMBER(SEARCH("平",D822)),"平","仄")))</x:f>
        <x:v>仄</x:v>
      </x:c>
      <x:c r="J829" s="7" t="str"/>
    </x:row>
    <x:row r="830">
      <x:c r="A830" s="5" t="str">
        <x:v>奢</x:v>
      </x:c>
      <x:c r="B830" s="6" t="str">
        <x:v>平</x:v>
      </x:c>
      <x:c r="C830" s="6" t="str">
        <x:f>IF(B830="","Needs decision","Ready")</x:f>
        <x:v>Ready</x:v>
      </x:c>
      <x:c r="D830" s="6" t="str">
        <x:v>平</x:v>
      </x:c>
      <x:c r="E830" s="6" t="str">
        <x:v>syae (A)</x:v>
      </x:c>
      <x:c r="F830" s="6" t="str">
        <x:v>1</x:v>
      </x:c>
      <x:c r="G830" s="6" t="str"/>
      <x:c r="H830" s="6" t="str">
        <x:f>IF(B830="平","平",IF(B830="","","仄"))</x:f>
        <x:v>平</x:v>
      </x:c>
      <x:c r="I830" s="6" t="str">
        <x:f>IF(D823="","",IF(AND(ISNUMBER(SEARCH("平",D823)),OR(ISNUMBER(SEARCH("上",D823)),ISNUMBER(SEARCH("去",D823)),ISNUMBER(SEARCH("入",D823)))),"Ambiguous",IF(ISNUMBER(SEARCH("平",D823)),"平","仄")))</x:f>
        <x:v>仄</x:v>
      </x:c>
      <x:c r="J830" s="7" t="str"/>
    </x:row>
    <x:row r="831">
      <x:c r="A831" s="5" t="str">
        <x:v>奧</x:v>
      </x:c>
      <x:c r="B831" s="6" t="str"/>
      <x:c r="C831" s="6" t="str">
        <x:f>IF(B831="","Needs decision","Ready")</x:f>
        <x:v>Needs decision</x:v>
      </x:c>
      <x:c r="D831" s="6" t="str">
        <x:v>去/入</x:v>
      </x:c>
      <x:c r="E831" s="6" t="str">
        <x:v>'awH (C); 'juwk (D)</x:v>
      </x:c>
      <x:c r="F831" s="6" t="str">
        <x:v>2</x:v>
      </x:c>
      <x:c r="G831" s="6" t="str"/>
      <x:c r="H831" s="6" t="str">
        <x:f>IF(B831="平","平",IF(B831="","","仄"))</x:f>
      </x:c>
      <x:c r="I831" s="6" t="str">
        <x:f>IF(D824="","",IF(AND(ISNUMBER(SEARCH("平",D824)),OR(ISNUMBER(SEARCH("上",D824)),ISNUMBER(SEARCH("去",D824)),ISNUMBER(SEARCH("入",D824)))),"Ambiguous",IF(ISNUMBER(SEARCH("平",D824)),"平","仄")))</x:f>
        <x:v>仄</x:v>
      </x:c>
      <x:c r="J831" s="7" t="str"/>
    </x:row>
    <x:row r="832">
      <x:c r="A832" s="5" t="str">
        <x:v>奪</x:v>
      </x:c>
      <x:c r="B832" s="6" t="str">
        <x:v>入</x:v>
      </x:c>
      <x:c r="C832" s="6" t="str">
        <x:f>IF(B832="","Needs decision","Ready")</x:f>
        <x:v>Ready</x:v>
      </x:c>
      <x:c r="D832" s="6" t="str">
        <x:v>入</x:v>
      </x:c>
      <x:c r="E832" s="6" t="str">
        <x:v>dwat (D)</x:v>
      </x:c>
      <x:c r="F832" s="6" t="str">
        <x:v>1</x:v>
      </x:c>
      <x:c r="G832" s="6" t="str"/>
      <x:c r="H832" s="6" t="str">
        <x:f>IF(B832="平","平",IF(B832="","","仄"))</x:f>
        <x:v>仄</x:v>
      </x:c>
      <x:c r="I832" s="6" t="str">
        <x:f>IF(D825="","",IF(AND(ISNUMBER(SEARCH("平",D825)),OR(ISNUMBER(SEARCH("上",D825)),ISNUMBER(SEARCH("去",D825)),ISNUMBER(SEARCH("入",D825)))),"Ambiguous",IF(ISNUMBER(SEARCH("平",D825)),"平","仄")))</x:f>
        <x:v>仄</x:v>
      </x:c>
      <x:c r="J832" s="7" t="str"/>
    </x:row>
    <x:row r="833">
      <x:c r="A833" s="5" t="str">
        <x:v>奬</x:v>
      </x:c>
      <x:c r="B833" s="6" t="str">
        <x:v>上</x:v>
      </x:c>
      <x:c r="C833" s="6" t="str">
        <x:f>IF(B833="","Needs decision","Ready")</x:f>
        <x:v>Ready</x:v>
      </x:c>
      <x:c r="D833" s="6" t="str">
        <x:v>上</x:v>
      </x:c>
      <x:c r="E833" s="6" t="str">
        <x:v>tsjangX (B)</x:v>
      </x:c>
      <x:c r="F833" s="6" t="str">
        <x:v>1</x:v>
      </x:c>
      <x:c r="G833" s="6" t="str"/>
      <x:c r="H833" s="6" t="str">
        <x:f>IF(B833="平","平",IF(B833="","","仄"))</x:f>
        <x:v>仄</x:v>
      </x:c>
      <x:c r="I833" s="6" t="str">
        <x:f>IF(D826="","",IF(AND(ISNUMBER(SEARCH("平",D826)),OR(ISNUMBER(SEARCH("上",D826)),ISNUMBER(SEARCH("去",D826)),ISNUMBER(SEARCH("入",D826)))),"Ambiguous",IF(ISNUMBER(SEARCH("平",D826)),"平","仄")))</x:f>
        <x:v>平</x:v>
      </x:c>
      <x:c r="J833" s="7" t="str"/>
    </x:row>
    <x:row r="834">
      <x:c r="A834" s="5" t="str">
        <x:v>奭</x:v>
      </x:c>
      <x:c r="B834" s="6" t="str">
        <x:v>入</x:v>
      </x:c>
      <x:c r="C834" s="6" t="str">
        <x:f>IF(B834="","Needs decision","Ready")</x:f>
        <x:v>Ready</x:v>
      </x:c>
      <x:c r="D834" s="6" t="str">
        <x:v>入</x:v>
      </x:c>
      <x:c r="E834" s="6" t="str">
        <x:v>syek (D); xik (D)</x:v>
      </x:c>
      <x:c r="F834" s="6" t="str">
        <x:v>2</x:v>
      </x:c>
      <x:c r="G834" s="6" t="str"/>
      <x:c r="H834" s="6" t="str">
        <x:f>IF(B834="平","平",IF(B834="","","仄"))</x:f>
        <x:v>仄</x:v>
      </x:c>
      <x:c r="I834" s="6" t="str">
        <x:f>IF(D827="","",IF(AND(ISNUMBER(SEARCH("平",D827)),OR(ISNUMBER(SEARCH("上",D827)),ISNUMBER(SEARCH("去",D827)),ISNUMBER(SEARCH("入",D827)))),"Ambiguous",IF(ISNUMBER(SEARCH("平",D827)),"平","仄")))</x:f>
        <x:v>仄</x:v>
      </x:c>
      <x:c r="J834" s="7" t="str"/>
    </x:row>
    <x:row r="835">
      <x:c r="A835" s="5" t="str">
        <x:v>奮</x:v>
      </x:c>
      <x:c r="B835" s="6" t="str">
        <x:v>去</x:v>
      </x:c>
      <x:c r="C835" s="6" t="str">
        <x:f>IF(B835="","Needs decision","Ready")</x:f>
        <x:v>Ready</x:v>
      </x:c>
      <x:c r="D835" s="6" t="str">
        <x:v>去</x:v>
      </x:c>
      <x:c r="E835" s="6" t="str">
        <x:v>pjunH (C)</x:v>
      </x:c>
      <x:c r="F835" s="6" t="str">
        <x:v>1</x:v>
      </x:c>
      <x:c r="G835" s="6" t="str"/>
      <x:c r="H835" s="6" t="str">
        <x:f>IF(B835="平","平",IF(B835="","","仄"))</x:f>
        <x:v>仄</x:v>
      </x:c>
      <x:c r="I835" s="6" t="str">
        <x:f>IF(D828="","",IF(AND(ISNUMBER(SEARCH("平",D828)),OR(ISNUMBER(SEARCH("上",D828)),ISNUMBER(SEARCH("去",D828)),ISNUMBER(SEARCH("入",D828)))),"Ambiguous",IF(ISNUMBER(SEARCH("平",D828)),"平","仄")))</x:f>
        <x:v>平</x:v>
      </x:c>
      <x:c r="J835" s="7" t="str"/>
    </x:row>
    <x:row r="836">
      <x:c r="A836" s="5" t="str">
        <x:v>女</x:v>
      </x:c>
      <x:c r="B836" s="6" t="str">
        <x:v>上</x:v>
      </x:c>
      <x:c r="C836" s="6" t="str">
        <x:f>IF(B836="","Needs decision","Ready")</x:f>
        <x:v>Ready</x:v>
      </x:c>
      <x:c r="D836" s="6" t="str">
        <x:v>上/去</x:v>
      </x:c>
      <x:c r="E836" s="6" t="str">
        <x:v>nrjoX (B); nrjoH (C)</x:v>
      </x:c>
      <x:c r="F836" s="6" t="str">
        <x:v>2</x:v>
      </x:c>
      <x:c r="G836" s="6" t="str"/>
      <x:c r="H836" s="6" t="str">
        <x:f>IF(B836="平","平",IF(B836="","","仄"))</x:f>
        <x:v>仄</x:v>
      </x:c>
      <x:c r="I836" s="6" t="str">
        <x:f>IF(D829="","",IF(AND(ISNUMBER(SEARCH("平",D829)),OR(ISNUMBER(SEARCH("上",D829)),ISNUMBER(SEARCH("去",D829)),ISNUMBER(SEARCH("入",D829)))),"Ambiguous",IF(ISNUMBER(SEARCH("平",D829)),"平","仄")))</x:f>
        <x:v>仄</x:v>
      </x:c>
      <x:c r="J836" s="7" t="str"/>
    </x:row>
    <x:row r="837">
      <x:c r="A837" s="5" t="str">
        <x:v>奴</x:v>
      </x:c>
      <x:c r="B837" s="6" t="str">
        <x:v>平</x:v>
      </x:c>
      <x:c r="C837" s="6" t="str">
        <x:f>IF(B837="","Needs decision","Ready")</x:f>
        <x:v>Ready</x:v>
      </x:c>
      <x:c r="D837" s="6" t="str">
        <x:v>平</x:v>
      </x:c>
      <x:c r="E837" s="6" t="str">
        <x:v>nu (A)</x:v>
      </x:c>
      <x:c r="F837" s="6" t="str">
        <x:v>1</x:v>
      </x:c>
      <x:c r="G837" s="6" t="str"/>
      <x:c r="H837" s="6" t="str">
        <x:f>IF(B837="平","平",IF(B837="","","仄"))</x:f>
        <x:v>平</x:v>
      </x:c>
      <x:c r="I837" s="6" t="str">
        <x:f>IF(D830="","",IF(AND(ISNUMBER(SEARCH("平",D830)),OR(ISNUMBER(SEARCH("上",D830)),ISNUMBER(SEARCH("去",D830)),ISNUMBER(SEARCH("入",D830)))),"Ambiguous",IF(ISNUMBER(SEARCH("平",D830)),"平","仄")))</x:f>
        <x:v>平</x:v>
      </x:c>
      <x:c r="J837" s="7" t="str"/>
    </x:row>
    <x:row r="838">
      <x:c r="A838" s="5" t="str">
        <x:v>奸</x:v>
      </x:c>
      <x:c r="B838" s="6" t="str">
        <x:v>平</x:v>
      </x:c>
      <x:c r="C838" s="6" t="str">
        <x:f>IF(B838="","Needs decision","Ready")</x:f>
        <x:v>Ready</x:v>
      </x:c>
      <x:c r="D838" s="6" t="str">
        <x:v>平</x:v>
      </x:c>
      <x:c r="E838" s="6" t="str">
        <x:v>kan (A)</x:v>
      </x:c>
      <x:c r="F838" s="6" t="str">
        <x:v>1</x:v>
      </x:c>
      <x:c r="G838" s="6" t="str"/>
      <x:c r="H838" s="6" t="str">
        <x:f>IF(B838="平","平",IF(B838="","","仄"))</x:f>
        <x:v>平</x:v>
      </x:c>
      <x:c r="I838" s="6" t="str">
        <x:f>IF(D831="","",IF(AND(ISNUMBER(SEARCH("平",D831)),OR(ISNUMBER(SEARCH("上",D831)),ISNUMBER(SEARCH("去",D831)),ISNUMBER(SEARCH("入",D831)))),"Ambiguous",IF(ISNUMBER(SEARCH("平",D831)),"平","仄")))</x:f>
        <x:v>仄</x:v>
      </x:c>
      <x:c r="J838" s="7" t="str"/>
    </x:row>
    <x:row r="839">
      <x:c r="A839" s="5" t="str">
        <x:v>好</x:v>
      </x:c>
      <x:c r="B839" s="6" t="str"/>
      <x:c r="C839" s="6" t="str">
        <x:f>IF(B839="","Needs decision","Ready")</x:f>
        <x:v>Needs decision</x:v>
      </x:c>
      <x:c r="D839" s="6" t="str">
        <x:v>上/去</x:v>
      </x:c>
      <x:c r="E839" s="6" t="str">
        <x:v>xawX (B); xawH (C)</x:v>
      </x:c>
      <x:c r="F839" s="6" t="str">
        <x:v>2</x:v>
      </x:c>
      <x:c r="G839" s="6" t="str"/>
      <x:c r="H839" s="6" t="str">
        <x:f>IF(B839="平","平",IF(B839="","","仄"))</x:f>
      </x:c>
      <x:c r="I839" s="6" t="str">
        <x:f>IF(D832="","",IF(AND(ISNUMBER(SEARCH("平",D832)),OR(ISNUMBER(SEARCH("上",D832)),ISNUMBER(SEARCH("去",D832)),ISNUMBER(SEARCH("入",D832)))),"Ambiguous",IF(ISNUMBER(SEARCH("平",D832)),"平","仄")))</x:f>
        <x:v>仄</x:v>
      </x:c>
      <x:c r="J839" s="7" t="str"/>
    </x:row>
    <x:row r="840">
      <x:c r="A840" s="5" t="str">
        <x:v>如</x:v>
      </x:c>
      <x:c r="B840" s="6" t="str">
        <x:v>平</x:v>
      </x:c>
      <x:c r="C840" s="6" t="str">
        <x:f>IF(B840="","Needs decision","Ready")</x:f>
        <x:v>Ready</x:v>
      </x:c>
      <x:c r="D840" s="6" t="str">
        <x:v>平</x:v>
      </x:c>
      <x:c r="E840" s="6" t="str">
        <x:v>nyo (A)</x:v>
      </x:c>
      <x:c r="F840" s="6" t="str">
        <x:v>1</x:v>
      </x:c>
      <x:c r="G840" s="6" t="str"/>
      <x:c r="H840" s="6" t="str">
        <x:f>IF(B840="平","平",IF(B840="","","仄"))</x:f>
        <x:v>平</x:v>
      </x:c>
      <x:c r="I840" s="6" t="str">
        <x:f>IF(D833="","",IF(AND(ISNUMBER(SEARCH("平",D833)),OR(ISNUMBER(SEARCH("上",D833)),ISNUMBER(SEARCH("去",D833)),ISNUMBER(SEARCH("入",D833)))),"Ambiguous",IF(ISNUMBER(SEARCH("平",D833)),"平","仄")))</x:f>
        <x:v>仄</x:v>
      </x:c>
      <x:c r="J840" s="7" t="str"/>
    </x:row>
    <x:row r="841">
      <x:c r="A841" s="5" t="str">
        <x:v>妃</x:v>
      </x:c>
      <x:c r="B841" s="6" t="str">
        <x:v>平</x:v>
      </x:c>
      <x:c r="C841" s="6" t="str">
        <x:f>IF(B841="","Needs decision","Ready")</x:f>
        <x:v>Ready</x:v>
      </x:c>
      <x:c r="D841" s="6" t="str">
        <x:v>平</x:v>
      </x:c>
      <x:c r="E841" s="6" t="str">
        <x:v>phj+j (A)</x:v>
      </x:c>
      <x:c r="F841" s="6" t="str">
        <x:v>1</x:v>
      </x:c>
      <x:c r="G841" s="6" t="str"/>
      <x:c r="H841" s="6" t="str">
        <x:f>IF(B841="平","平",IF(B841="","","仄"))</x:f>
        <x:v>平</x:v>
      </x:c>
      <x:c r="I841" s="6" t="str">
        <x:f>IF(D834="","",IF(AND(ISNUMBER(SEARCH("平",D834)),OR(ISNUMBER(SEARCH("上",D834)),ISNUMBER(SEARCH("去",D834)),ISNUMBER(SEARCH("入",D834)))),"Ambiguous",IF(ISNUMBER(SEARCH("平",D834)),"平","仄")))</x:f>
        <x:v>仄</x:v>
      </x:c>
      <x:c r="J841" s="7" t="str"/>
    </x:row>
    <x:row r="842">
      <x:c r="A842" s="5" t="str">
        <x:v>妄</x:v>
      </x:c>
      <x:c r="B842" s="6" t="str">
        <x:v>去</x:v>
      </x:c>
      <x:c r="C842" s="6" t="str">
        <x:f>IF(B842="","Needs decision","Ready")</x:f>
        <x:v>Ready</x:v>
      </x:c>
      <x:c r="D842" s="6" t="str">
        <x:v>去</x:v>
      </x:c>
      <x:c r="E842" s="6" t="str">
        <x:v>mjangH (C)</x:v>
      </x:c>
      <x:c r="F842" s="6" t="str">
        <x:v>1</x:v>
      </x:c>
      <x:c r="G842" s="6" t="str"/>
      <x:c r="H842" s="6" t="str">
        <x:f>IF(B842="平","平",IF(B842="","","仄"))</x:f>
        <x:v>仄</x:v>
      </x:c>
      <x:c r="I842" s="6" t="str">
        <x:f>IF(D835="","",IF(AND(ISNUMBER(SEARCH("平",D835)),OR(ISNUMBER(SEARCH("上",D835)),ISNUMBER(SEARCH("去",D835)),ISNUMBER(SEARCH("入",D835)))),"Ambiguous",IF(ISNUMBER(SEARCH("平",D835)),"平","仄")))</x:f>
        <x:v>仄</x:v>
      </x:c>
      <x:c r="J842" s="7" t="str"/>
    </x:row>
    <x:row r="843">
      <x:c r="A843" s="5" t="str">
        <x:v>妍</x:v>
      </x:c>
      <x:c r="B843" s="6" t="str">
        <x:v>平</x:v>
      </x:c>
      <x:c r="C843" s="6" t="str">
        <x:f>IF(B843="","Needs decision","Ready")</x:f>
        <x:v>Ready</x:v>
      </x:c>
      <x:c r="D843" s="6" t="str">
        <x:v>平</x:v>
      </x:c>
      <x:c r="E843" s="6" t="str">
        <x:v>ngen (A)</x:v>
      </x:c>
      <x:c r="F843" s="6" t="str">
        <x:v>1</x:v>
      </x:c>
      <x:c r="G843" s="6" t="str"/>
      <x:c r="H843" s="6" t="str">
        <x:f>IF(B843="平","平",IF(B843="","","仄"))</x:f>
        <x:v>平</x:v>
      </x:c>
      <x:c r="I843" s="6" t="str">
        <x:f>IF(D836="","",IF(AND(ISNUMBER(SEARCH("平",D836)),OR(ISNUMBER(SEARCH("上",D836)),ISNUMBER(SEARCH("去",D836)),ISNUMBER(SEARCH("入",D836)))),"Ambiguous",IF(ISNUMBER(SEARCH("平",D836)),"平","仄")))</x:f>
        <x:v>仄</x:v>
      </x:c>
      <x:c r="J843" s="7" t="str"/>
    </x:row>
    <x:row r="844">
      <x:c r="A844" s="5" t="str">
        <x:v>妐</x:v>
      </x:c>
      <x:c r="B844" s="6" t="str">
        <x:v>平</x:v>
      </x:c>
      <x:c r="C844" s="6" t="str">
        <x:f>IF(B844="","Needs decision","Ready")</x:f>
        <x:v>Ready</x:v>
      </x:c>
      <x:c r="D844" s="6" t="str">
        <x:v>平</x:v>
      </x:c>
      <x:c r="E844" s="6" t="str">
        <x:v>tsyowng (A)</x:v>
      </x:c>
      <x:c r="F844" s="6" t="str">
        <x:v>1</x:v>
      </x:c>
      <x:c r="G844" s="6" t="str"/>
      <x:c r="H844" s="6" t="str">
        <x:f>IF(B844="平","平",IF(B844="","","仄"))</x:f>
        <x:v>平</x:v>
      </x:c>
      <x:c r="I844" s="6" t="str">
        <x:f>IF(D837="","",IF(AND(ISNUMBER(SEARCH("平",D837)),OR(ISNUMBER(SEARCH("上",D837)),ISNUMBER(SEARCH("去",D837)),ISNUMBER(SEARCH("入",D837)))),"Ambiguous",IF(ISNUMBER(SEARCH("平",D837)),"平","仄")))</x:f>
        <x:v>平</x:v>
      </x:c>
      <x:c r="J844" s="7" t="str"/>
    </x:row>
    <x:row r="845">
      <x:c r="A845" s="5" t="str">
        <x:v>妒</x:v>
      </x:c>
      <x:c r="B845" s="6" t="str">
        <x:v>去</x:v>
      </x:c>
      <x:c r="C845" s="6" t="str">
        <x:f>IF(B845="","Needs decision","Ready")</x:f>
        <x:v>Ready</x:v>
      </x:c>
      <x:c r="D845" s="6" t="str">
        <x:v>去</x:v>
      </x:c>
      <x:c r="E845" s="6" t="str">
        <x:v>tuH (C)</x:v>
      </x:c>
      <x:c r="F845" s="6" t="str">
        <x:v>1</x:v>
      </x:c>
      <x:c r="G845" s="6" t="str"/>
      <x:c r="H845" s="6" t="str">
        <x:f>IF(B845="平","平",IF(B845="","","仄"))</x:f>
        <x:v>仄</x:v>
      </x:c>
      <x:c r="I845" s="6" t="str">
        <x:f>IF(D838="","",IF(AND(ISNUMBER(SEARCH("平",D838)),OR(ISNUMBER(SEARCH("上",D838)),ISNUMBER(SEARCH("去",D838)),ISNUMBER(SEARCH("入",D838)))),"Ambiguous",IF(ISNUMBER(SEARCH("平",D838)),"平","仄")))</x:f>
        <x:v>平</x:v>
      </x:c>
      <x:c r="J845" s="7" t="str"/>
    </x:row>
    <x:row r="846">
      <x:c r="A846" s="5" t="str">
        <x:v>妓</x:v>
      </x:c>
      <x:c r="B846" s="6" t="str"/>
      <x:c r="C846" s="6" t="str">
        <x:f>IF(B846="","Needs decision","Ready")</x:f>
        <x:v>Needs decision</x:v>
      </x:c>
      <x:c r="D846" s="6" t="str">
        <x:v>平/上</x:v>
      </x:c>
      <x:c r="E846" s="6" t="str">
        <x:v>gjeX [ɡɨ̯ieʔ] (上); kje [kɨ̯ie] (平)</x:v>
      </x:c>
      <x:c r="F846" s="6" t="str">
        <x:v>2</x:v>
      </x:c>
      <x:c r="G846" s="6" t="str">
        <x:v>Tang 300 gap; frequency 1; ambiguous in Xun Gong</x:v>
      </x:c>
      <x:c r="H846" s="6" t="str">
        <x:f>IF(B846="平","平",IF(B846="","","仄"))</x:f>
      </x:c>
      <x:c r="I846" s="6" t="str">
        <x:f>IF(D839="","",IF(AND(ISNUMBER(SEARCH("平",D839)),OR(ISNUMBER(SEARCH("上",D839)),ISNUMBER(SEARCH("去",D839)),ISNUMBER(SEARCH("入",D839)))),"Ambiguous",IF(ISNUMBER(SEARCH("平",D839)),"平","仄")))</x:f>
        <x:v>仄</x:v>
      </x:c>
      <x:c r="J846" s="7" t="str">
        <x:v>Xun Gong, Tang 300 gap fill</x:v>
      </x:c>
    </x:row>
    <x:row r="847">
      <x:c r="A847" s="5" t="str">
        <x:v>妖</x:v>
      </x:c>
      <x:c r="B847" s="6" t="str">
        <x:v>平</x:v>
      </x:c>
      <x:c r="C847" s="6" t="str">
        <x:f>IF(B847="","Needs decision","Ready")</x:f>
        <x:v>Ready</x:v>
      </x:c>
      <x:c r="D847" s="6" t="str">
        <x:v>平</x:v>
      </x:c>
      <x:c r="E847" s="6" t="str">
        <x:v>'jew [影開三B宵平] ʔɨ̯ew</x:v>
      </x:c>
      <x:c r="F847" s="6" t="str">
        <x:v>1</x:v>
      </x:c>
      <x:c r="G847" s="6" t="str">
        <x:v>Targeted preliminary fill from Xun Gong; review if uncertain</x:v>
      </x:c>
      <x:c r="H847" s="6" t="str">
        <x:f>IF(B847="平","平",IF(B847="","","仄"))</x:f>
        <x:v>平</x:v>
      </x:c>
      <x:c r="I847" s="6" t="str">
        <x:f>IF(D840="","",IF(AND(ISNUMBER(SEARCH("平",D840)),OR(ISNUMBER(SEARCH("上",D840)),ISNUMBER(SEARCH("去",D840)),ISNUMBER(SEARCH("入",D840)))),"Ambiguous",IF(ISNUMBER(SEARCH("平",D840)),"平","仄")))</x:f>
        <x:v>平</x:v>
      </x:c>
      <x:c r="J847" s="7" t="str">
        <x:v>Xun Gong character-readings.csv</x:v>
      </x:c>
    </x:row>
    <x:row r="848">
      <x:c r="A848" s="5" t="str">
        <x:v>妙</x:v>
      </x:c>
      <x:c r="B848" s="6" t="str">
        <x:v>去</x:v>
      </x:c>
      <x:c r="C848" s="6" t="str">
        <x:f>IF(B848="","Needs decision","Ready")</x:f>
        <x:v>Ready</x:v>
      </x:c>
      <x:c r="D848" s="6" t="str">
        <x:v>去</x:v>
      </x:c>
      <x:c r="E848" s="6" t="str">
        <x:v>mjiewH (C)</x:v>
      </x:c>
      <x:c r="F848" s="6" t="str">
        <x:v>1</x:v>
      </x:c>
      <x:c r="G848" s="6" t="str"/>
      <x:c r="H848" s="6" t="str">
        <x:f>IF(B848="平","平",IF(B848="","","仄"))</x:f>
        <x:v>仄</x:v>
      </x:c>
      <x:c r="I848" s="6" t="str">
        <x:f>IF(D841="","",IF(AND(ISNUMBER(SEARCH("平",D841)),OR(ISNUMBER(SEARCH("上",D841)),ISNUMBER(SEARCH("去",D841)),ISNUMBER(SEARCH("入",D841)))),"Ambiguous",IF(ISNUMBER(SEARCH("平",D841)),"平","仄")))</x:f>
        <x:v>平</x:v>
      </x:c>
      <x:c r="J848" s="7" t="str"/>
    </x:row>
    <x:row r="849">
      <x:c r="A849" s="5" t="str">
        <x:v>妝</x:v>
      </x:c>
      <x:c r="B849" s="6" t="str">
        <x:v>平</x:v>
      </x:c>
      <x:c r="C849" s="6" t="str">
        <x:f>IF(B849="","Needs decision","Ready")</x:f>
        <x:v>Ready</x:v>
      </x:c>
      <x:c r="D849" s="6" t="str">
        <x:v>平</x:v>
      </x:c>
      <x:c r="E849" s="6" t="str">
        <x:v>tsrjang (A)</x:v>
      </x:c>
      <x:c r="F849" s="6" t="str">
        <x:v>1</x:v>
      </x:c>
      <x:c r="G849" s="6" t="str"/>
      <x:c r="H849" s="6" t="str">
        <x:f>IF(B849="平","平",IF(B849="","","仄"))</x:f>
        <x:v>平</x:v>
      </x:c>
      <x:c r="I849" s="6" t="str">
        <x:f>IF(D842="","",IF(AND(ISNUMBER(SEARCH("平",D842)),OR(ISNUMBER(SEARCH("上",D842)),ISNUMBER(SEARCH("去",D842)),ISNUMBER(SEARCH("入",D842)))),"Ambiguous",IF(ISNUMBER(SEARCH("平",D842)),"平","仄")))</x:f>
        <x:v>仄</x:v>
      </x:c>
      <x:c r="J849" s="7" t="str"/>
    </x:row>
    <x:row r="850">
      <x:c r="A850" s="5" t="str">
        <x:v>妣</x:v>
      </x:c>
      <x:c r="B850" s="6" t="str"/>
      <x:c r="C850" s="6" t="str">
        <x:f>IF(B850="","Needs decision","Ready")</x:f>
        <x:v>Needs decision</x:v>
      </x:c>
      <x:c r="D850" s="6" t="str">
        <x:v>上/去</x:v>
      </x:c>
      <x:c r="E850" s="6" t="str">
        <x:v>pjijX (B); pjijH (C)</x:v>
      </x:c>
      <x:c r="F850" s="6" t="str">
        <x:v>2</x:v>
      </x:c>
      <x:c r="G850" s="6" t="str"/>
      <x:c r="H850" s="6" t="str">
        <x:f>IF(B850="平","平",IF(B850="","","仄"))</x:f>
      </x:c>
      <x:c r="I850" s="6" t="str">
        <x:f>IF(D843="","",IF(AND(ISNUMBER(SEARCH("平",D843)),OR(ISNUMBER(SEARCH("上",D843)),ISNUMBER(SEARCH("去",D843)),ISNUMBER(SEARCH("入",D843)))),"Ambiguous",IF(ISNUMBER(SEARCH("平",D843)),"平","仄")))</x:f>
        <x:v>平</x:v>
      </x:c>
      <x:c r="J850" s="7" t="str"/>
    </x:row>
    <x:row r="851">
      <x:c r="A851" s="5" t="str">
        <x:v>妤</x:v>
      </x:c>
      <x:c r="B851" s="6" t="str">
        <x:v>平</x:v>
      </x:c>
      <x:c r="C851" s="6" t="str">
        <x:f>IF(B851="","Needs decision","Ready")</x:f>
        <x:v>Ready</x:v>
      </x:c>
      <x:c r="D851" s="6" t="str">
        <x:v>平</x:v>
      </x:c>
      <x:c r="E851" s="6" t="str">
        <x:v>yo [jə] (平)</x:v>
      </x:c>
      <x:c r="F851" s="6" t="str">
        <x:v>1</x:v>
      </x:c>
      <x:c r="G851" s="6" t="str">
        <x:v>Tang 300 gap; frequency 1; provisional from Xun Gong</x:v>
      </x:c>
      <x:c r="H851" s="6" t="str">
        <x:f>IF(B851="平","平",IF(B851="","","仄"))</x:f>
        <x:v>平</x:v>
      </x:c>
      <x:c r="I851" s="6" t="str">
        <x:f>IF(D844="","",IF(AND(ISNUMBER(SEARCH("平",D844)),OR(ISNUMBER(SEARCH("上",D844)),ISNUMBER(SEARCH("去",D844)),ISNUMBER(SEARCH("入",D844)))),"Ambiguous",IF(ISNUMBER(SEARCH("平",D844)),"平","仄")))</x:f>
        <x:v>平</x:v>
      </x:c>
      <x:c r="J851" s="7" t="str">
        <x:v>Xun Gong, Tang 300 gap fill</x:v>
      </x:c>
    </x:row>
    <x:row r="852">
      <x:c r="A852" s="5" t="str">
        <x:v>妥</x:v>
      </x:c>
      <x:c r="B852" s="6" t="str">
        <x:v>上</x:v>
      </x:c>
      <x:c r="C852" s="6" t="str">
        <x:f>IF(B852="","Needs decision","Ready")</x:f>
        <x:v>Ready</x:v>
      </x:c>
      <x:c r="D852" s="6" t="str">
        <x:v>上</x:v>
      </x:c>
      <x:c r="E852" s="6" t="str">
        <x:v>thwaX (B)</x:v>
      </x:c>
      <x:c r="F852" s="6" t="str">
        <x:v>1</x:v>
      </x:c>
      <x:c r="G852" s="6" t="str"/>
      <x:c r="H852" s="6" t="str">
        <x:f>IF(B852="平","平",IF(B852="","","仄"))</x:f>
        <x:v>仄</x:v>
      </x:c>
      <x:c r="I852" s="6" t="str">
        <x:f>IF(D845="","",IF(AND(ISNUMBER(SEARCH("平",D845)),OR(ISNUMBER(SEARCH("上",D845)),ISNUMBER(SEARCH("去",D845)),ISNUMBER(SEARCH("入",D845)))),"Ambiguous",IF(ISNUMBER(SEARCH("平",D845)),"平","仄")))</x:f>
        <x:v>仄</x:v>
      </x:c>
      <x:c r="J852" s="7" t="str"/>
    </x:row>
    <x:row r="853">
      <x:c r="A853" s="5" t="str">
        <x:v>妨</x:v>
      </x:c>
      <x:c r="B853" s="6" t="str">
        <x:v>平</x:v>
      </x:c>
      <x:c r="C853" s="6" t="str">
        <x:f>IF(B853="","Needs decision","Ready")</x:f>
        <x:v>Ready</x:v>
      </x:c>
      <x:c r="D853" s="6" t="str">
        <x:v>平</x:v>
      </x:c>
      <x:c r="E853" s="6" t="str">
        <x:v>phjang (A)</x:v>
      </x:c>
      <x:c r="F853" s="6" t="str">
        <x:v>1</x:v>
      </x:c>
      <x:c r="G853" s="6" t="str"/>
      <x:c r="H853" s="6" t="str">
        <x:f>IF(B853="平","平",IF(B853="","","仄"))</x:f>
        <x:v>平</x:v>
      </x:c>
      <x:c r="I853" s="6" t="str">
        <x:f>IF(D846="","",IF(AND(ISNUMBER(SEARCH("平",D846)),OR(ISNUMBER(SEARCH("上",D846)),ISNUMBER(SEARCH("去",D846)),ISNUMBER(SEARCH("入",D846)))),"Ambiguous",IF(ISNUMBER(SEARCH("平",D846)),"平","仄")))</x:f>
        <x:v>Ambiguous</x:v>
      </x:c>
      <x:c r="J853" s="7" t="str"/>
    </x:row>
    <x:row r="854">
      <x:c r="A854" s="5" t="str">
        <x:v>妬</x:v>
      </x:c>
      <x:c r="B854" s="6" t="str">
        <x:v>去</x:v>
      </x:c>
      <x:c r="C854" s="6" t="str">
        <x:f>IF(B854="","Needs decision","Ready")</x:f>
        <x:v>Ready</x:v>
      </x:c>
      <x:c r="D854" s="6" t="str">
        <x:v>去</x:v>
      </x:c>
      <x:c r="E854" s="6" t="str">
        <x:v>tuH (C)</x:v>
      </x:c>
      <x:c r="F854" s="6" t="str">
        <x:v>1</x:v>
      </x:c>
      <x:c r="G854" s="6" t="str"/>
      <x:c r="H854" s="6" t="str">
        <x:f>IF(B854="平","平",IF(B854="","","仄"))</x:f>
        <x:v>仄</x:v>
      </x:c>
      <x:c r="I854" s="6" t="str">
        <x:f>IF(D847="","",IF(AND(ISNUMBER(SEARCH("平",D847)),OR(ISNUMBER(SEARCH("上",D847)),ISNUMBER(SEARCH("去",D847)),ISNUMBER(SEARCH("入",D847)))),"Ambiguous",IF(ISNUMBER(SEARCH("平",D847)),"平","仄")))</x:f>
        <x:v>平</x:v>
      </x:c>
      <x:c r="J854" s="7" t="str"/>
    </x:row>
    <x:row r="855">
      <x:c r="A855" s="5" t="str">
        <x:v>妹</x:v>
      </x:c>
      <x:c r="B855" s="6" t="str">
        <x:v>去</x:v>
      </x:c>
      <x:c r="C855" s="6" t="str">
        <x:f>IF(B855="","Needs decision","Ready")</x:f>
        <x:v>Ready</x:v>
      </x:c>
      <x:c r="D855" s="6" t="str">
        <x:v>去</x:v>
      </x:c>
      <x:c r="E855" s="6" t="str">
        <x:v>mwojH (C)</x:v>
      </x:c>
      <x:c r="F855" s="6" t="str">
        <x:v>1</x:v>
      </x:c>
      <x:c r="G855" s="6" t="str"/>
      <x:c r="H855" s="6" t="str">
        <x:f>IF(B855="平","平",IF(B855="","","仄"))</x:f>
        <x:v>仄</x:v>
      </x:c>
      <x:c r="I855" s="6" t="str">
        <x:f>IF(D848="","",IF(AND(ISNUMBER(SEARCH("平",D848)),OR(ISNUMBER(SEARCH("上",D848)),ISNUMBER(SEARCH("去",D848)),ISNUMBER(SEARCH("入",D848)))),"Ambiguous",IF(ISNUMBER(SEARCH("平",D848)),"平","仄")))</x:f>
        <x:v>仄</x:v>
      </x:c>
      <x:c r="J855" s="7" t="str"/>
    </x:row>
    <x:row r="856">
      <x:c r="A856" s="5" t="str">
        <x:v>妻</x:v>
      </x:c>
      <x:c r="B856" s="6" t="str">
        <x:v>平</x:v>
      </x:c>
      <x:c r="C856" s="6" t="str">
        <x:f>IF(B856="","Needs decision","Ready")</x:f>
        <x:v>Ready</x:v>
      </x:c>
      <x:c r="D856" s="6" t="str">
        <x:v>平/去</x:v>
      </x:c>
      <x:c r="E856" s="6" t="str">
        <x:v>tshej (A); tshejH (C)</x:v>
      </x:c>
      <x:c r="F856" s="6" t="str">
        <x:v>2</x:v>
      </x:c>
      <x:c r="G856" s="6" t="str">
        <x:v>User workbook edit 2026-09-03</x:v>
      </x:c>
      <x:c r="H856" s="6" t="str">
        <x:f>IF(B856="平","平",IF(B856="","","仄"))</x:f>
        <x:v>平</x:v>
      </x:c>
      <x:c r="I856" s="6" t="str">
        <x:f>IF(D849="","",IF(AND(ISNUMBER(SEARCH("平",D849)),OR(ISNUMBER(SEARCH("上",D849)),ISNUMBER(SEARCH("去",D849)),ISNUMBER(SEARCH("入",D849)))),"Ambiguous",IF(ISNUMBER(SEARCH("平",D849)),"平","仄")))</x:f>
        <x:v>平</x:v>
      </x:c>
      <x:c r="J856" s="7" t="str">
        <x:v>manual user correction</x:v>
      </x:c>
    </x:row>
    <x:row r="857">
      <x:c r="A857" s="5" t="str">
        <x:v>妾</x:v>
      </x:c>
      <x:c r="B857" s="6" t="str">
        <x:v>入</x:v>
      </x:c>
      <x:c r="C857" s="6" t="str">
        <x:f>IF(B857="","Needs decision","Ready")</x:f>
        <x:v>Ready</x:v>
      </x:c>
      <x:c r="D857" s="6" t="str">
        <x:v>入</x:v>
      </x:c>
      <x:c r="E857" s="6" t="str">
        <x:v>tshjep (D)</x:v>
      </x:c>
      <x:c r="F857" s="6" t="str">
        <x:v>1</x:v>
      </x:c>
      <x:c r="G857" s="6" t="str"/>
      <x:c r="H857" s="6" t="str">
        <x:f>IF(B857="平","平",IF(B857="","","仄"))</x:f>
        <x:v>仄</x:v>
      </x:c>
      <x:c r="I857" s="6" t="str">
        <x:f>IF(D850="","",IF(AND(ISNUMBER(SEARCH("平",D850)),OR(ISNUMBER(SEARCH("上",D850)),ISNUMBER(SEARCH("去",D850)),ISNUMBER(SEARCH("入",D850)))),"Ambiguous",IF(ISNUMBER(SEARCH("平",D850)),"平","仄")))</x:f>
        <x:v>仄</x:v>
      </x:c>
      <x:c r="J857" s="7" t="str"/>
    </x:row>
    <x:row r="858">
      <x:c r="A858" s="5" t="str">
        <x:v>姆</x:v>
      </x:c>
      <x:c r="B858" s="6" t="str">
        <x:v>上</x:v>
      </x:c>
      <x:c r="C858" s="6" t="str">
        <x:f>IF(B858="","Needs decision","Ready")</x:f>
        <x:v>Ready</x:v>
      </x:c>
      <x:c r="D858" s="6" t="str">
        <x:v>上</x:v>
      </x:c>
      <x:c r="E858" s="6" t="str">
        <x:v>muwX (B)</x:v>
      </x:c>
      <x:c r="F858" s="6" t="str">
        <x:v>1</x:v>
      </x:c>
      <x:c r="G858" s="6" t="str"/>
      <x:c r="H858" s="6" t="str">
        <x:f>IF(B858="平","平",IF(B858="","","仄"))</x:f>
        <x:v>仄</x:v>
      </x:c>
      <x:c r="I858" s="6" t="str">
        <x:f>IF(D851="","",IF(AND(ISNUMBER(SEARCH("平",D851)),OR(ISNUMBER(SEARCH("上",D851)),ISNUMBER(SEARCH("去",D851)),ISNUMBER(SEARCH("入",D851)))),"Ambiguous",IF(ISNUMBER(SEARCH("平",D851)),"平","仄")))</x:f>
        <x:v>平</x:v>
      </x:c>
      <x:c r="J858" s="7" t="str"/>
    </x:row>
    <x:row r="859">
      <x:c r="A859" s="5" t="str">
        <x:v>姊</x:v>
      </x:c>
      <x:c r="B859" s="6" t="str">
        <x:v>上</x:v>
      </x:c>
      <x:c r="C859" s="6" t="str">
        <x:f>IF(B859="","Needs decision","Ready")</x:f>
        <x:v>Ready</x:v>
      </x:c>
      <x:c r="D859" s="6" t="str">
        <x:v>上</x:v>
      </x:c>
      <x:c r="E859" s="6" t="str">
        <x:v>tsijX (B)</x:v>
      </x:c>
      <x:c r="F859" s="6" t="str">
        <x:v>1</x:v>
      </x:c>
      <x:c r="G859" s="6" t="str"/>
      <x:c r="H859" s="6" t="str">
        <x:f>IF(B859="平","平",IF(B859="","","仄"))</x:f>
        <x:v>仄</x:v>
      </x:c>
      <x:c r="I859" s="6" t="str">
        <x:f>IF(D852="","",IF(AND(ISNUMBER(SEARCH("平",D852)),OR(ISNUMBER(SEARCH("上",D852)),ISNUMBER(SEARCH("去",D852)),ISNUMBER(SEARCH("入",D852)))),"Ambiguous",IF(ISNUMBER(SEARCH("平",D852)),"平","仄")))</x:f>
        <x:v>仄</x:v>
      </x:c>
      <x:c r="J859" s="7" t="str"/>
    </x:row>
    <x:row r="860">
      <x:c r="A860" s="5" t="str">
        <x:v>始</x:v>
      </x:c>
      <x:c r="B860" s="6" t="str">
        <x:v>上</x:v>
      </x:c>
      <x:c r="C860" s="6" t="str">
        <x:f>IF(B860="","Needs decision","Ready")</x:f>
        <x:v>Ready</x:v>
      </x:c>
      <x:c r="D860" s="6" t="str">
        <x:v>上</x:v>
      </x:c>
      <x:c r="E860" s="6" t="str">
        <x:v>syiX (B)</x:v>
      </x:c>
      <x:c r="F860" s="6" t="str">
        <x:v>1</x:v>
      </x:c>
      <x:c r="G860" s="6" t="str"/>
      <x:c r="H860" s="6" t="str">
        <x:f>IF(B860="平","平",IF(B860="","","仄"))</x:f>
        <x:v>仄</x:v>
      </x:c>
      <x:c r="I860" s="6" t="str">
        <x:f>IF(D853="","",IF(AND(ISNUMBER(SEARCH("平",D853)),OR(ISNUMBER(SEARCH("上",D853)),ISNUMBER(SEARCH("去",D853)),ISNUMBER(SEARCH("入",D853)))),"Ambiguous",IF(ISNUMBER(SEARCH("平",D853)),"平","仄")))</x:f>
        <x:v>平</x:v>
      </x:c>
      <x:c r="J860" s="7" t="str"/>
    </x:row>
    <x:row r="861">
      <x:c r="A861" s="5" t="str">
        <x:v>姑</x:v>
      </x:c>
      <x:c r="B861" s="6" t="str">
        <x:v>平</x:v>
      </x:c>
      <x:c r="C861" s="6" t="str">
        <x:f>IF(B861="","Needs decision","Ready")</x:f>
        <x:v>Ready</x:v>
      </x:c>
      <x:c r="D861" s="6" t="str">
        <x:v>平</x:v>
      </x:c>
      <x:c r="E861" s="6" t="str">
        <x:v>ku (A)</x:v>
      </x:c>
      <x:c r="F861" s="6" t="str">
        <x:v>1</x:v>
      </x:c>
      <x:c r="G861" s="6" t="str"/>
      <x:c r="H861" s="6" t="str">
        <x:f>IF(B861="平","平",IF(B861="","","仄"))</x:f>
        <x:v>平</x:v>
      </x:c>
      <x:c r="I861" s="6" t="str">
        <x:f>IF(D854="","",IF(AND(ISNUMBER(SEARCH("平",D854)),OR(ISNUMBER(SEARCH("上",D854)),ISNUMBER(SEARCH("去",D854)),ISNUMBER(SEARCH("入",D854)))),"Ambiguous",IF(ISNUMBER(SEARCH("平",D854)),"平","仄")))</x:f>
        <x:v>仄</x:v>
      </x:c>
      <x:c r="J861" s="7" t="str"/>
    </x:row>
    <x:row r="862">
      <x:c r="A862" s="5" t="str">
        <x:v>姓</x:v>
      </x:c>
      <x:c r="B862" s="6" t="str">
        <x:v>去</x:v>
      </x:c>
      <x:c r="C862" s="6" t="str">
        <x:f>IF(B862="","Needs decision","Ready")</x:f>
        <x:v>Ready</x:v>
      </x:c>
      <x:c r="D862" s="6" t="str">
        <x:v>去</x:v>
      </x:c>
      <x:c r="E862" s="6" t="str">
        <x:v>sjengH (C)</x:v>
      </x:c>
      <x:c r="F862" s="6" t="str">
        <x:v>1</x:v>
      </x:c>
      <x:c r="G862" s="6" t="str"/>
      <x:c r="H862" s="6" t="str">
        <x:f>IF(B862="平","平",IF(B862="","","仄"))</x:f>
        <x:v>仄</x:v>
      </x:c>
      <x:c r="I862" s="6" t="str">
        <x:f>IF(D855="","",IF(AND(ISNUMBER(SEARCH("平",D855)),OR(ISNUMBER(SEARCH("上",D855)),ISNUMBER(SEARCH("去",D855)),ISNUMBER(SEARCH("入",D855)))),"Ambiguous",IF(ISNUMBER(SEARCH("平",D855)),"平","仄")))</x:f>
        <x:v>仄</x:v>
      </x:c>
      <x:c r="J862" s="7" t="str"/>
    </x:row>
    <x:row r="863">
      <x:c r="A863" s="5" t="str">
        <x:v>委</x:v>
      </x:c>
      <x:c r="B863" s="6" t="str">
        <x:v>上</x:v>
      </x:c>
      <x:c r="C863" s="6" t="str">
        <x:f>IF(B863="","Needs decision","Ready")</x:f>
        <x:v>Ready</x:v>
      </x:c>
      <x:c r="D863" s="6" t="str">
        <x:v>平/上</x:v>
      </x:c>
      <x:c r="E863" s="6" t="str">
        <x:v>'jwe (A); 'jweX (B)</x:v>
      </x:c>
      <x:c r="F863" s="6" t="str">
        <x:v>2</x:v>
      </x:c>
      <x:c r="G863" s="6" t="str">
        <x:v>User workbook edit 2026-09-03</x:v>
      </x:c>
      <x:c r="H863" s="6" t="str">
        <x:f>IF(B863="平","平",IF(B863="","","仄"))</x:f>
        <x:v>仄</x:v>
      </x:c>
      <x:c r="I863" s="6" t="str">
        <x:f>IF(D856="","",IF(AND(ISNUMBER(SEARCH("平",D856)),OR(ISNUMBER(SEARCH("上",D856)),ISNUMBER(SEARCH("去",D856)),ISNUMBER(SEARCH("入",D856)))),"Ambiguous",IF(ISNUMBER(SEARCH("平",D856)),"平","仄")))</x:f>
        <x:v>Ambiguous</x:v>
      </x:c>
      <x:c r="J863" s="7" t="str">
        <x:v>manual user correction</x:v>
      </x:c>
    </x:row>
    <x:row r="864">
      <x:c r="A864" s="5" t="str">
        <x:v>姚</x:v>
      </x:c>
      <x:c r="B864" s="6" t="str">
        <x:v>平</x:v>
      </x:c>
      <x:c r="C864" s="6" t="str">
        <x:f>IF(B864="","Needs decision","Ready")</x:f>
        <x:v>Ready</x:v>
      </x:c>
      <x:c r="D864" s="6" t="str">
        <x:v>平</x:v>
      </x:c>
      <x:c r="E864" s="6" t="str"/>
      <x:c r="F864" s="6" t="str"/>
      <x:c r="G864" s="6" t="str">
        <x:v>Manual user correction/addition</x:v>
      </x:c>
      <x:c r="H864" s="6" t="str">
        <x:f>IF(B864="平","平",IF(B864="","","仄"))</x:f>
        <x:v>平</x:v>
      </x:c>
      <x:c r="I864" s="6" t="str">
        <x:f>IF(D857="","",IF(AND(ISNUMBER(SEARCH("平",D857)),OR(ISNUMBER(SEARCH("上",D857)),ISNUMBER(SEARCH("去",D857)),ISNUMBER(SEARCH("入",D857)))),"Ambiguous",IF(ISNUMBER(SEARCH("平",D857)),"平","仄")))</x:f>
        <x:v>仄</x:v>
      </x:c>
      <x:c r="J864" s="7" t="str">
        <x:v>manual user correction</x:v>
      </x:c>
    </x:row>
    <x:row r="865">
      <x:c r="A865" s="5" t="str">
        <x:v>姜</x:v>
      </x:c>
      <x:c r="B865" s="6" t="str">
        <x:v>平</x:v>
      </x:c>
      <x:c r="C865" s="6" t="str">
        <x:f>IF(B865="","Needs decision","Ready")</x:f>
        <x:v>Ready</x:v>
      </x:c>
      <x:c r="D865" s="6" t="str">
        <x:v>平</x:v>
      </x:c>
      <x:c r="E865" s="6" t="str">
        <x:v>kjang (A)</x:v>
      </x:c>
      <x:c r="F865" s="6" t="str">
        <x:v>1</x:v>
      </x:c>
      <x:c r="G865" s="6" t="str"/>
      <x:c r="H865" s="6" t="str">
        <x:f>IF(B865="平","平",IF(B865="","","仄"))</x:f>
        <x:v>平</x:v>
      </x:c>
      <x:c r="I865" s="6" t="str">
        <x:f>IF(D858="","",IF(AND(ISNUMBER(SEARCH("平",D858)),OR(ISNUMBER(SEARCH("上",D858)),ISNUMBER(SEARCH("去",D858)),ISNUMBER(SEARCH("入",D858)))),"Ambiguous",IF(ISNUMBER(SEARCH("平",D858)),"平","仄")))</x:f>
        <x:v>仄</x:v>
      </x:c>
      <x:c r="J865" s="7" t="str"/>
    </x:row>
    <x:row r="866">
      <x:c r="A866" s="5" t="str">
        <x:v>姣</x:v>
      </x:c>
      <x:c r="B866" s="6" t="str">
        <x:v>上</x:v>
      </x:c>
      <x:c r="C866" s="6" t="str">
        <x:f>IF(B866="","Needs decision","Ready")</x:f>
        <x:v>Ready</x:v>
      </x:c>
      <x:c r="D866" s="6" t="str">
        <x:v>上</x:v>
      </x:c>
      <x:c r="E866" s="6" t="str"/>
      <x:c r="F866" s="6" t="str"/>
      <x:c r="G866" s="6" t="str">
        <x:v>Manual user correction/addition</x:v>
      </x:c>
      <x:c r="H866" s="6" t="str">
        <x:f>IF(B866="平","平",IF(B866="","","仄"))</x:f>
        <x:v>仄</x:v>
      </x:c>
      <x:c r="I866" s="6" t="str">
        <x:f>IF(D859="","",IF(AND(ISNUMBER(SEARCH("平",D859)),OR(ISNUMBER(SEARCH("上",D859)),ISNUMBER(SEARCH("去",D859)),ISNUMBER(SEARCH("入",D859)))),"Ambiguous",IF(ISNUMBER(SEARCH("平",D859)),"平","仄")))</x:f>
        <x:v>仄</x:v>
      </x:c>
      <x:c r="J866" s="7" t="str">
        <x:v>manual user correction</x:v>
      </x:c>
    </x:row>
    <x:row r="867">
      <x:c r="A867" s="5" t="str">
        <x:v>姥</x:v>
      </x:c>
      <x:c r="B867" s="6" t="str">
        <x:v>上</x:v>
      </x:c>
      <x:c r="C867" s="6" t="str">
        <x:f>IF(B867="","Needs decision","Ready")</x:f>
        <x:v>Ready</x:v>
      </x:c>
      <x:c r="D867" s="6" t="str">
        <x:v>上</x:v>
      </x:c>
      <x:c r="E867" s="6" t="str">
        <x:v>muX [m̙oʔ] (上)</x:v>
      </x:c>
      <x:c r="F867" s="6" t="str">
        <x:v>1</x:v>
      </x:c>
      <x:c r="G867" s="6" t="str">
        <x:v>Tang 300 gap; frequency 2; provisional from Xun Gong</x:v>
      </x:c>
      <x:c r="H867" s="6" t="str">
        <x:f>IF(B867="平","平",IF(B867="","","仄"))</x:f>
        <x:v>仄</x:v>
      </x:c>
      <x:c r="I867" s="6" t="str">
        <x:f>IF(D860="","",IF(AND(ISNUMBER(SEARCH("平",D860)),OR(ISNUMBER(SEARCH("上",D860)),ISNUMBER(SEARCH("去",D860)),ISNUMBER(SEARCH("入",D860)))),"Ambiguous",IF(ISNUMBER(SEARCH("平",D860)),"平","仄")))</x:f>
        <x:v>仄</x:v>
      </x:c>
      <x:c r="J867" s="7" t="str">
        <x:v>Xun Gong, Tang 300 gap fill</x:v>
      </x:c>
    </x:row>
    <x:row r="868">
      <x:c r="A868" s="5" t="str">
        <x:v>姦</x:v>
      </x:c>
      <x:c r="B868" s="6" t="str">
        <x:v>平</x:v>
      </x:c>
      <x:c r="C868" s="6" t="str">
        <x:f>IF(B868="","Needs decision","Ready")</x:f>
        <x:v>Ready</x:v>
      </x:c>
      <x:c r="D868" s="6" t="str">
        <x:v>平</x:v>
      </x:c>
      <x:c r="E868" s="6" t="str">
        <x:v>kaen (A)</x:v>
      </x:c>
      <x:c r="F868" s="6" t="str">
        <x:v>1</x:v>
      </x:c>
      <x:c r="G868" s="6" t="str"/>
      <x:c r="H868" s="6" t="str">
        <x:f>IF(B868="平","平",IF(B868="","","仄"))</x:f>
        <x:v>平</x:v>
      </x:c>
      <x:c r="I868" s="6" t="str">
        <x:f>IF(D861="","",IF(AND(ISNUMBER(SEARCH("平",D861)),OR(ISNUMBER(SEARCH("上",D861)),ISNUMBER(SEARCH("去",D861)),ISNUMBER(SEARCH("入",D861)))),"Ambiguous",IF(ISNUMBER(SEARCH("平",D861)),"平","仄")))</x:f>
        <x:v>平</x:v>
      </x:c>
      <x:c r="J868" s="7" t="str"/>
    </x:row>
    <x:row r="869">
      <x:c r="A869" s="5" t="str">
        <x:v>姨</x:v>
      </x:c>
      <x:c r="B869" s="6" t="str">
        <x:v>平</x:v>
      </x:c>
      <x:c r="C869" s="6" t="str">
        <x:f>IF(B869="","Needs decision","Ready")</x:f>
        <x:v>Ready</x:v>
      </x:c>
      <x:c r="D869" s="6" t="str">
        <x:v>平</x:v>
      </x:c>
      <x:c r="E869" s="6" t="str">
        <x:v>yij [ji] (平)</x:v>
      </x:c>
      <x:c r="F869" s="6" t="str">
        <x:v>1</x:v>
      </x:c>
      <x:c r="G869" s="6" t="str">
        <x:v>Tang 300 gap; frequency 1; provisional from Xun Gong</x:v>
      </x:c>
      <x:c r="H869" s="6" t="str">
        <x:f>IF(B869="平","平",IF(B869="","","仄"))</x:f>
        <x:v>平</x:v>
      </x:c>
      <x:c r="I869" s="6" t="str">
        <x:f>IF(D862="","",IF(AND(ISNUMBER(SEARCH("平",D862)),OR(ISNUMBER(SEARCH("上",D862)),ISNUMBER(SEARCH("去",D862)),ISNUMBER(SEARCH("入",D862)))),"Ambiguous",IF(ISNUMBER(SEARCH("平",D862)),"平","仄")))</x:f>
        <x:v>仄</x:v>
      </x:c>
      <x:c r="J869" s="7" t="str">
        <x:v>Xun Gong, Tang 300 gap fill</x:v>
      </x:c>
    </x:row>
    <x:row r="870">
      <x:c r="A870" s="5" t="str">
        <x:v>姬</x:v>
      </x:c>
      <x:c r="B870" s="6" t="str">
        <x:v>平</x:v>
      </x:c>
      <x:c r="C870" s="6" t="str">
        <x:f>IF(B870="","Needs decision","Ready")</x:f>
        <x:v>Ready</x:v>
      </x:c>
      <x:c r="D870" s="6" t="str">
        <x:v>平</x:v>
      </x:c>
      <x:c r="E870" s="6" t="str">
        <x:v>ki (A)</x:v>
      </x:c>
      <x:c r="F870" s="6" t="str">
        <x:v>1</x:v>
      </x:c>
      <x:c r="G870" s="6" t="str"/>
      <x:c r="H870" s="6" t="str">
        <x:f>IF(B870="平","平",IF(B870="","","仄"))</x:f>
        <x:v>平</x:v>
      </x:c>
      <x:c r="I870" s="6" t="str">
        <x:f>IF(D863="","",IF(AND(ISNUMBER(SEARCH("平",D863)),OR(ISNUMBER(SEARCH("上",D863)),ISNUMBER(SEARCH("去",D863)),ISNUMBER(SEARCH("入",D863)))),"Ambiguous",IF(ISNUMBER(SEARCH("平",D863)),"平","仄")))</x:f>
        <x:v>Ambiguous</x:v>
      </x:c>
      <x:c r="J870" s="7" t="str"/>
    </x:row>
    <x:row r="871">
      <x:c r="A871" s="5" t="str">
        <x:v>姺</x:v>
      </x:c>
      <x:c r="B871" s="6" t="str">
        <x:v>上</x:v>
      </x:c>
      <x:c r="C871" s="6" t="str">
        <x:f>IF(B871="","Needs decision","Ready")</x:f>
        <x:v>Ready</x:v>
      </x:c>
      <x:c r="D871" s="6" t="str">
        <x:v>上</x:v>
      </x:c>
      <x:c r="E871" s="6" t="str">
        <x:v>sejX (B)</x:v>
      </x:c>
      <x:c r="F871" s="6" t="str">
        <x:v>1</x:v>
      </x:c>
      <x:c r="G871" s="6" t="str"/>
      <x:c r="H871" s="6" t="str">
        <x:f>IF(B871="平","平",IF(B871="","","仄"))</x:f>
        <x:v>仄</x:v>
      </x:c>
      <x:c r="I871" s="6" t="str">
        <x:f>IF(D864="","",IF(AND(ISNUMBER(SEARCH("平",D864)),OR(ISNUMBER(SEARCH("上",D864)),ISNUMBER(SEARCH("去",D864)),ISNUMBER(SEARCH("入",D864)))),"Ambiguous",IF(ISNUMBER(SEARCH("平",D864)),"平","仄")))</x:f>
        <x:v>平</x:v>
      </x:c>
      <x:c r="J871" s="7" t="str"/>
    </x:row>
    <x:row r="872">
      <x:c r="A872" s="5" t="str">
        <x:v>姿</x:v>
      </x:c>
      <x:c r="B872" s="6" t="str">
        <x:v>平</x:v>
      </x:c>
      <x:c r="C872" s="6" t="str">
        <x:f>IF(B872="","Needs decision","Ready")</x:f>
        <x:v>Ready</x:v>
      </x:c>
      <x:c r="D872" s="6" t="str">
        <x:v>平</x:v>
      </x:c>
      <x:c r="E872" s="6" t="str">
        <x:v>tsij [tsi] (平)</x:v>
      </x:c>
      <x:c r="F872" s="6" t="str">
        <x:v>1</x:v>
      </x:c>
      <x:c r="G872" s="6" t="str">
        <x:v>Tang 300 gap; frequency 4; provisional from Xun Gong</x:v>
      </x:c>
      <x:c r="H872" s="6" t="str">
        <x:f>IF(B872="平","平",IF(B872="","","仄"))</x:f>
        <x:v>平</x:v>
      </x:c>
      <x:c r="I872" s="6" t="str">
        <x:f>IF(D865="","",IF(AND(ISNUMBER(SEARCH("平",D865)),OR(ISNUMBER(SEARCH("上",D865)),ISNUMBER(SEARCH("去",D865)),ISNUMBER(SEARCH("入",D865)))),"Ambiguous",IF(ISNUMBER(SEARCH("平",D865)),"平","仄")))</x:f>
        <x:v>平</x:v>
      </x:c>
      <x:c r="J872" s="7" t="str">
        <x:v>Xun Gong, Tang 300 gap fill</x:v>
      </x:c>
    </x:row>
    <x:row r="873">
      <x:c r="A873" s="5" t="str">
        <x:v>威</x:v>
      </x:c>
      <x:c r="B873" s="6" t="str">
        <x:v>平</x:v>
      </x:c>
      <x:c r="C873" s="6" t="str">
        <x:f>IF(B873="","Needs decision","Ready")</x:f>
        <x:v>Ready</x:v>
      </x:c>
      <x:c r="D873" s="6" t="str">
        <x:v>平</x:v>
      </x:c>
      <x:c r="E873" s="6" t="str">
        <x:v>'jw+j (A)</x:v>
      </x:c>
      <x:c r="F873" s="6" t="str">
        <x:v>1</x:v>
      </x:c>
      <x:c r="G873" s="6" t="str"/>
      <x:c r="H873" s="6" t="str">
        <x:f>IF(B873="平","平",IF(B873="","","仄"))</x:f>
        <x:v>平</x:v>
      </x:c>
      <x:c r="I873" s="6" t="str">
        <x:f>IF(D866="","",IF(AND(ISNUMBER(SEARCH("平",D866)),OR(ISNUMBER(SEARCH("上",D866)),ISNUMBER(SEARCH("去",D866)),ISNUMBER(SEARCH("入",D866)))),"Ambiguous",IF(ISNUMBER(SEARCH("平",D866)),"平","仄")))</x:f>
        <x:v>仄</x:v>
      </x:c>
      <x:c r="J873" s="7" t="str"/>
    </x:row>
    <x:row r="874">
      <x:c r="A874" s="5" t="str">
        <x:v>娉</x:v>
      </x:c>
      <x:c r="B874" s="6" t="str">
        <x:v>去</x:v>
      </x:c>
      <x:c r="C874" s="6" t="str">
        <x:f>IF(B874="","Needs decision","Ready")</x:f>
        <x:v>Ready</x:v>
      </x:c>
      <x:c r="D874" s="6" t="str">
        <x:v>去</x:v>
      </x:c>
      <x:c r="E874" s="6" t="str">
        <x:v>phjiengH (C)</x:v>
      </x:c>
      <x:c r="F874" s="6" t="str">
        <x:v>1</x:v>
      </x:c>
      <x:c r="G874" s="6" t="str"/>
      <x:c r="H874" s="6" t="str">
        <x:f>IF(B874="平","平",IF(B874="","","仄"))</x:f>
        <x:v>仄</x:v>
      </x:c>
      <x:c r="I874" s="6" t="str">
        <x:f>IF(D867="","",IF(AND(ISNUMBER(SEARCH("平",D867)),OR(ISNUMBER(SEARCH("上",D867)),ISNUMBER(SEARCH("去",D867)),ISNUMBER(SEARCH("入",D867)))),"Ambiguous",IF(ISNUMBER(SEARCH("平",D867)),"平","仄")))</x:f>
        <x:v>仄</x:v>
      </x:c>
      <x:c r="J874" s="7" t="str"/>
    </x:row>
    <x:row r="875">
      <x:c r="A875" s="5" t="str">
        <x:v>娑</x:v>
      </x:c>
      <x:c r="B875" s="6" t="str">
        <x:v>平</x:v>
      </x:c>
      <x:c r="C875" s="6" t="str">
        <x:f>IF(B875="","Needs decision","Ready")</x:f>
        <x:v>Ready</x:v>
      </x:c>
      <x:c r="D875" s="6" t="str">
        <x:v>平</x:v>
      </x:c>
      <x:c r="E875" s="6" t="str">
        <x:v>sa (A)</x:v>
      </x:c>
      <x:c r="F875" s="6" t="str">
        <x:v>1</x:v>
      </x:c>
      <x:c r="G875" s="6" t="str"/>
      <x:c r="H875" s="6" t="str">
        <x:f>IF(B875="平","平",IF(B875="","","仄"))</x:f>
        <x:v>平</x:v>
      </x:c>
      <x:c r="I875" s="6" t="str">
        <x:f>IF(D868="","",IF(AND(ISNUMBER(SEARCH("平",D868)),OR(ISNUMBER(SEARCH("上",D868)),ISNUMBER(SEARCH("去",D868)),ISNUMBER(SEARCH("入",D868)))),"Ambiguous",IF(ISNUMBER(SEARCH("平",D868)),"平","仄")))</x:f>
        <x:v>平</x:v>
      </x:c>
      <x:c r="J875" s="7" t="str"/>
    </x:row>
    <x:row r="876">
      <x:c r="A876" s="5" t="str">
        <x:v>娘</x:v>
      </x:c>
      <x:c r="B876" s="6" t="str">
        <x:v>平</x:v>
      </x:c>
      <x:c r="C876" s="6" t="str">
        <x:f>IF(B876="","Needs decision","Ready")</x:f>
        <x:v>Ready</x:v>
      </x:c>
      <x:c r="D876" s="6" t="str">
        <x:v>平</x:v>
      </x:c>
      <x:c r="E876" s="6" t="str">
        <x:v>nrjang [ɳjɑŋ] (平)</x:v>
      </x:c>
      <x:c r="F876" s="6" t="str">
        <x:v>1</x:v>
      </x:c>
      <x:c r="G876" s="6" t="str">
        <x:v>Tang 300 gap; frequency 2; provisional from Xun Gong</x:v>
      </x:c>
      <x:c r="H876" s="6" t="str">
        <x:f>IF(B876="平","平",IF(B876="","","仄"))</x:f>
        <x:v>平</x:v>
      </x:c>
      <x:c r="I876" s="6" t="str">
        <x:f>IF(D869="","",IF(AND(ISNUMBER(SEARCH("平",D869)),OR(ISNUMBER(SEARCH("上",D869)),ISNUMBER(SEARCH("去",D869)),ISNUMBER(SEARCH("入",D869)))),"Ambiguous",IF(ISNUMBER(SEARCH("平",D869)),"平","仄")))</x:f>
        <x:v>平</x:v>
      </x:c>
      <x:c r="J876" s="7" t="str">
        <x:v>Xun Gong, Tang 300 gap fill</x:v>
      </x:c>
    </x:row>
    <x:row r="877">
      <x:c r="A877" s="5" t="str">
        <x:v>娛</x:v>
      </x:c>
      <x:c r="B877" s="6" t="str">
        <x:v>平</x:v>
      </x:c>
      <x:c r="C877" s="6" t="str">
        <x:f>IF(B877="","Needs decision","Ready")</x:f>
        <x:v>Ready</x:v>
      </x:c>
      <x:c r="D877" s="6" t="str">
        <x:v>平</x:v>
      </x:c>
      <x:c r="E877" s="6" t="str">
        <x:v>ngju (A)</x:v>
      </x:c>
      <x:c r="F877" s="6" t="str">
        <x:v>1</x:v>
      </x:c>
      <x:c r="G877" s="6" t="str"/>
      <x:c r="H877" s="6" t="str">
        <x:f>IF(B877="平","平",IF(B877="","","仄"))</x:f>
        <x:v>平</x:v>
      </x:c>
      <x:c r="I877" s="6" t="str">
        <x:f>IF(D870="","",IF(AND(ISNUMBER(SEARCH("平",D870)),OR(ISNUMBER(SEARCH("上",D870)),ISNUMBER(SEARCH("去",D870)),ISNUMBER(SEARCH("入",D870)))),"Ambiguous",IF(ISNUMBER(SEARCH("平",D870)),"平","仄")))</x:f>
        <x:v>平</x:v>
      </x:c>
      <x:c r="J877" s="7" t="str"/>
    </x:row>
    <x:row r="878">
      <x:c r="A878" s="5" t="str">
        <x:v>娟</x:v>
      </x:c>
      <x:c r="B878" s="6" t="str">
        <x:v>平</x:v>
      </x:c>
      <x:c r="C878" s="6" t="str">
        <x:f>IF(B878="","Needs decision","Ready")</x:f>
        <x:v>Ready</x:v>
      </x:c>
      <x:c r="D878" s="6" t="str">
        <x:v>平</x:v>
      </x:c>
      <x:c r="E878" s="6" t="str">
        <x:v>'jwien [ʔjwen] (平)</x:v>
      </x:c>
      <x:c r="F878" s="6" t="str">
        <x:v>1</x:v>
      </x:c>
      <x:c r="G878" s="6" t="str">
        <x:v>Tang 300 gap; frequency 3; provisional from Xun Gong</x:v>
      </x:c>
      <x:c r="H878" s="6" t="str">
        <x:f>IF(B878="平","平",IF(B878="","","仄"))</x:f>
        <x:v>平</x:v>
      </x:c>
      <x:c r="I878" s="6" t="str">
        <x:f>IF(D871="","",IF(AND(ISNUMBER(SEARCH("平",D871)),OR(ISNUMBER(SEARCH("上",D871)),ISNUMBER(SEARCH("去",D871)),ISNUMBER(SEARCH("入",D871)))),"Ambiguous",IF(ISNUMBER(SEARCH("平",D871)),"平","仄")))</x:f>
        <x:v>仄</x:v>
      </x:c>
      <x:c r="J878" s="7" t="str">
        <x:v>Xun Gong, Tang 300 gap fill</x:v>
      </x:c>
    </x:row>
    <x:row r="879">
      <x:c r="A879" s="5" t="str">
        <x:v>娠</x:v>
      </x:c>
      <x:c r="B879" s="6" t="str"/>
      <x:c r="C879" s="6" t="str">
        <x:f>IF(B879="","Needs decision","Ready")</x:f>
        <x:v>Needs decision</x:v>
      </x:c>
      <x:c r="D879" s="6" t="str">
        <x:v>平/去</x:v>
      </x:c>
      <x:c r="E879" s="6" t="str">
        <x:v>syin (A); tsyinH (C)</x:v>
      </x:c>
      <x:c r="F879" s="6" t="str">
        <x:v>2</x:v>
      </x:c>
      <x:c r="G879" s="6" t="str"/>
      <x:c r="H879" s="6" t="str">
        <x:f>IF(B879="平","平",IF(B879="","","仄"))</x:f>
      </x:c>
      <x:c r="I879" s="6" t="str">
        <x:f>IF(D872="","",IF(AND(ISNUMBER(SEARCH("平",D872)),OR(ISNUMBER(SEARCH("上",D872)),ISNUMBER(SEARCH("去",D872)),ISNUMBER(SEARCH("入",D872)))),"Ambiguous",IF(ISNUMBER(SEARCH("平",D872)),"平","仄")))</x:f>
        <x:v>平</x:v>
      </x:c>
      <x:c r="J879" s="7" t="str"/>
    </x:row>
    <x:row r="880">
      <x:c r="A880" s="5" t="str">
        <x:v>娣</x:v>
      </x:c>
      <x:c r="B880" s="6" t="str">
        <x:v>上</x:v>
      </x:c>
      <x:c r="C880" s="6" t="str">
        <x:f>IF(B880="","Needs decision","Ready")</x:f>
        <x:v>Ready</x:v>
      </x:c>
      <x:c r="D880" s="6" t="str">
        <x:v>上</x:v>
      </x:c>
      <x:c r="E880" s="6" t="str">
        <x:v>dejX (B)</x:v>
      </x:c>
      <x:c r="F880" s="6" t="str">
        <x:v>1</x:v>
      </x:c>
      <x:c r="G880" s="6" t="str"/>
      <x:c r="H880" s="6" t="str">
        <x:f>IF(B880="平","平",IF(B880="","","仄"))</x:f>
        <x:v>仄</x:v>
      </x:c>
      <x:c r="I880" s="6" t="str">
        <x:f>IF(D873="","",IF(AND(ISNUMBER(SEARCH("平",D873)),OR(ISNUMBER(SEARCH("上",D873)),ISNUMBER(SEARCH("去",D873)),ISNUMBER(SEARCH("入",D873)))),"Ambiguous",IF(ISNUMBER(SEARCH("平",D873)),"平","仄")))</x:f>
        <x:v>平</x:v>
      </x:c>
      <x:c r="J880" s="7" t="str"/>
    </x:row>
    <x:row r="881">
      <x:c r="A881" s="5" t="str">
        <x:v>娥</x:v>
      </x:c>
      <x:c r="B881" s="6" t="str">
        <x:v>平</x:v>
      </x:c>
      <x:c r="C881" s="6" t="str">
        <x:f>IF(B881="","Needs decision","Ready")</x:f>
        <x:v>Ready</x:v>
      </x:c>
      <x:c r="D881" s="6" t="str">
        <x:v>平</x:v>
      </x:c>
      <x:c r="E881" s="6" t="str"/>
      <x:c r="F881" s="6" t="str"/>
      <x:c r="G881" s="6" t="str">
        <x:v>Manual user correction/addition</x:v>
      </x:c>
      <x:c r="H881" s="6" t="str">
        <x:f>IF(B881="平","平",IF(B881="","","仄"))</x:f>
        <x:v>平</x:v>
      </x:c>
      <x:c r="I881" s="6" t="str">
        <x:f>IF(D874="","",IF(AND(ISNUMBER(SEARCH("平",D874)),OR(ISNUMBER(SEARCH("上",D874)),ISNUMBER(SEARCH("去",D874)),ISNUMBER(SEARCH("入",D874)))),"Ambiguous",IF(ISNUMBER(SEARCH("平",D874)),"平","仄")))</x:f>
        <x:v>仄</x:v>
      </x:c>
      <x:c r="J881" s="7" t="str">
        <x:v>manual user correction</x:v>
      </x:c>
    </x:row>
    <x:row r="882">
      <x:c r="A882" s="5" t="str">
        <x:v>娵</x:v>
      </x:c>
      <x:c r="B882" s="6" t="str">
        <x:v>平</x:v>
      </x:c>
      <x:c r="C882" s="6" t="str">
        <x:f>IF(B882="","Needs decision","Ready")</x:f>
        <x:v>Ready</x:v>
      </x:c>
      <x:c r="D882" s="6" t="str">
        <x:v>平</x:v>
      </x:c>
      <x:c r="E882" s="6" t="str">
        <x:v>tsju (A)</x:v>
      </x:c>
      <x:c r="F882" s="6" t="str">
        <x:v>1</x:v>
      </x:c>
      <x:c r="G882" s="6" t="str"/>
      <x:c r="H882" s="6" t="str">
        <x:f>IF(B882="平","平",IF(B882="","","仄"))</x:f>
        <x:v>平</x:v>
      </x:c>
      <x:c r="I882" s="6" t="str">
        <x:f>IF(D875="","",IF(AND(ISNUMBER(SEARCH("平",D875)),OR(ISNUMBER(SEARCH("上",D875)),ISNUMBER(SEARCH("去",D875)),ISNUMBER(SEARCH("入",D875)))),"Ambiguous",IF(ISNUMBER(SEARCH("平",D875)),"平","仄")))</x:f>
        <x:v>平</x:v>
      </x:c>
      <x:c r="J882" s="7" t="str"/>
    </x:row>
    <x:row r="883">
      <x:c r="A883" s="5" t="str">
        <x:v>娶</x:v>
      </x:c>
      <x:c r="B883" s="6" t="str">
        <x:v>去</x:v>
      </x:c>
      <x:c r="C883" s="6" t="str">
        <x:f>IF(B883="","Needs decision","Ready")</x:f>
        <x:v>Ready</x:v>
      </x:c>
      <x:c r="D883" s="6" t="str">
        <x:v>去</x:v>
      </x:c>
      <x:c r="E883" s="6" t="str">
        <x:v>tshjuH (C)</x:v>
      </x:c>
      <x:c r="F883" s="6" t="str">
        <x:v>1</x:v>
      </x:c>
      <x:c r="G883" s="6" t="str"/>
      <x:c r="H883" s="6" t="str">
        <x:f>IF(B883="平","平",IF(B883="","","仄"))</x:f>
        <x:v>仄</x:v>
      </x:c>
      <x:c r="I883" s="6" t="str">
        <x:f>IF(D876="","",IF(AND(ISNUMBER(SEARCH("平",D876)),OR(ISNUMBER(SEARCH("上",D876)),ISNUMBER(SEARCH("去",D876)),ISNUMBER(SEARCH("入",D876)))),"Ambiguous",IF(ISNUMBER(SEARCH("平",D876)),"平","仄")))</x:f>
        <x:v>平</x:v>
      </x:c>
      <x:c r="J883" s="7" t="str"/>
    </x:row>
    <x:row r="884">
      <x:c r="A884" s="5" t="str">
        <x:v>婁</x:v>
      </x:c>
      <x:c r="B884" s="6" t="str">
        <x:v>平</x:v>
      </x:c>
      <x:c r="C884" s="6" t="str">
        <x:f>IF(B884="","Needs decision","Ready")</x:f>
        <x:v>Ready</x:v>
      </x:c>
      <x:c r="D884" s="6" t="str">
        <x:v>平</x:v>
      </x:c>
      <x:c r="E884" s="6" t="str">
        <x:v>lju (A)</x:v>
      </x:c>
      <x:c r="F884" s="6" t="str">
        <x:v>1</x:v>
      </x:c>
      <x:c r="G884" s="6" t="str"/>
      <x:c r="H884" s="6" t="str">
        <x:f>IF(B884="平","平",IF(B884="","","仄"))</x:f>
        <x:v>平</x:v>
      </x:c>
      <x:c r="I884" s="6" t="str">
        <x:f>IF(D877="","",IF(AND(ISNUMBER(SEARCH("平",D877)),OR(ISNUMBER(SEARCH("上",D877)),ISNUMBER(SEARCH("去",D877)),ISNUMBER(SEARCH("入",D877)))),"Ambiguous",IF(ISNUMBER(SEARCH("平",D877)),"平","仄")))</x:f>
        <x:v>平</x:v>
      </x:c>
      <x:c r="J884" s="7" t="str"/>
    </x:row>
    <x:row r="885">
      <x:c r="A885" s="5" t="str">
        <x:v>婆</x:v>
      </x:c>
      <x:c r="B885" s="6" t="str">
        <x:v>平</x:v>
      </x:c>
      <x:c r="C885" s="6" t="str">
        <x:f>IF(B885="","Needs decision","Ready")</x:f>
        <x:v>Ready</x:v>
      </x:c>
      <x:c r="D885" s="6" t="str">
        <x:v>平</x:v>
      </x:c>
      <x:c r="E885" s="6" t="str">
        <x:v>ba (A)</x:v>
      </x:c>
      <x:c r="F885" s="6" t="str">
        <x:v>1</x:v>
      </x:c>
      <x:c r="G885" s="6" t="str"/>
      <x:c r="H885" s="6" t="str">
        <x:f>IF(B885="平","平",IF(B885="","","仄"))</x:f>
        <x:v>平</x:v>
      </x:c>
      <x:c r="I885" s="6" t="str">
        <x:f>IF(D878="","",IF(AND(ISNUMBER(SEARCH("平",D878)),OR(ISNUMBER(SEARCH("上",D878)),ISNUMBER(SEARCH("去",D878)),ISNUMBER(SEARCH("入",D878)))),"Ambiguous",IF(ISNUMBER(SEARCH("平",D878)),"平","仄")))</x:f>
        <x:v>平</x:v>
      </x:c>
      <x:c r="J885" s="7" t="str"/>
    </x:row>
    <x:row r="886">
      <x:c r="A886" s="5" t="str">
        <x:v>婉</x:v>
      </x:c>
      <x:c r="B886" s="6" t="str">
        <x:v>上</x:v>
      </x:c>
      <x:c r="C886" s="6" t="str">
        <x:f>IF(B886="","Needs decision","Ready")</x:f>
        <x:v>Ready</x:v>
      </x:c>
      <x:c r="D886" s="6" t="str">
        <x:v>上</x:v>
      </x:c>
      <x:c r="E886" s="6" t="str">
        <x:v>'jwonX (B)</x:v>
      </x:c>
      <x:c r="F886" s="6" t="str">
        <x:v>1</x:v>
      </x:c>
      <x:c r="G886" s="6" t="str"/>
      <x:c r="H886" s="6" t="str">
        <x:f>IF(B886="平","平",IF(B886="","","仄"))</x:f>
        <x:v>仄</x:v>
      </x:c>
      <x:c r="I886" s="6" t="str">
        <x:f>IF(D879="","",IF(AND(ISNUMBER(SEARCH("平",D879)),OR(ISNUMBER(SEARCH("上",D879)),ISNUMBER(SEARCH("去",D879)),ISNUMBER(SEARCH("入",D879)))),"Ambiguous",IF(ISNUMBER(SEARCH("平",D879)),"平","仄")))</x:f>
        <x:v>Ambiguous</x:v>
      </x:c>
      <x:c r="J886" s="7" t="str"/>
    </x:row>
    <x:row r="887">
      <x:c r="A887" s="5" t="str">
        <x:v>婕</x:v>
      </x:c>
      <x:c r="B887" s="6" t="str">
        <x:v>入</x:v>
      </x:c>
      <x:c r="C887" s="6" t="str">
        <x:f>IF(B887="","Needs decision","Ready")</x:f>
        <x:v>Ready</x:v>
      </x:c>
      <x:c r="D887" s="6" t="str">
        <x:v>入</x:v>
      </x:c>
      <x:c r="E887" s="6" t="str">
        <x:v>tsjep [tsjep] (入)</x:v>
      </x:c>
      <x:c r="F887" s="6" t="str">
        <x:v>1</x:v>
      </x:c>
      <x:c r="G887" s="6" t="str">
        <x:v>Tang 300 gap; frequency 1; provisional from Xun Gong</x:v>
      </x:c>
      <x:c r="H887" s="6" t="str">
        <x:f>IF(B887="平","平",IF(B887="","","仄"))</x:f>
        <x:v>仄</x:v>
      </x:c>
      <x:c r="I887" s="6" t="str">
        <x:f>IF(D880="","",IF(AND(ISNUMBER(SEARCH("平",D880)),OR(ISNUMBER(SEARCH("上",D880)),ISNUMBER(SEARCH("去",D880)),ISNUMBER(SEARCH("入",D880)))),"Ambiguous",IF(ISNUMBER(SEARCH("平",D880)),"平","仄")))</x:f>
        <x:v>仄</x:v>
      </x:c>
      <x:c r="J887" s="7" t="str">
        <x:v>Xun Gong, Tang 300 gap fill</x:v>
      </x:c>
    </x:row>
    <x:row r="888">
      <x:c r="A888" s="5" t="str">
        <x:v>婚</x:v>
      </x:c>
      <x:c r="B888" s="6" t="str">
        <x:v>平</x:v>
      </x:c>
      <x:c r="C888" s="6" t="str">
        <x:f>IF(B888="","Needs decision","Ready")</x:f>
        <x:v>Ready</x:v>
      </x:c>
      <x:c r="D888" s="6" t="str">
        <x:v>平</x:v>
      </x:c>
      <x:c r="E888" s="6" t="str">
        <x:v>xwon (A)</x:v>
      </x:c>
      <x:c r="F888" s="6" t="str">
        <x:v>1</x:v>
      </x:c>
      <x:c r="G888" s="6" t="str"/>
      <x:c r="H888" s="6" t="str">
        <x:f>IF(B888="平","平",IF(B888="","","仄"))</x:f>
        <x:v>平</x:v>
      </x:c>
      <x:c r="I888" s="6" t="str">
        <x:f>IF(D881="","",IF(AND(ISNUMBER(SEARCH("平",D881)),OR(ISNUMBER(SEARCH("上",D881)),ISNUMBER(SEARCH("去",D881)),ISNUMBER(SEARCH("入",D881)))),"Ambiguous",IF(ISNUMBER(SEARCH("平",D881)),"平","仄")))</x:f>
        <x:v>平</x:v>
      </x:c>
      <x:c r="J888" s="7" t="str"/>
    </x:row>
    <x:row r="889">
      <x:c r="A889" s="5" t="str">
        <x:v>婢</x:v>
      </x:c>
      <x:c r="B889" s="6" t="str">
        <x:v>上</x:v>
      </x:c>
      <x:c r="C889" s="6" t="str">
        <x:f>IF(B889="","Needs decision","Ready")</x:f>
        <x:v>Ready</x:v>
      </x:c>
      <x:c r="D889" s="6" t="str">
        <x:v>上</x:v>
      </x:c>
      <x:c r="E889" s="6" t="str">
        <x:v>bjieX (B)</x:v>
      </x:c>
      <x:c r="F889" s="6" t="str">
        <x:v>1</x:v>
      </x:c>
      <x:c r="G889" s="6" t="str"/>
      <x:c r="H889" s="6" t="str">
        <x:f>IF(B889="平","平",IF(B889="","","仄"))</x:f>
        <x:v>仄</x:v>
      </x:c>
      <x:c r="I889" s="6" t="str">
        <x:f>IF(D882="","",IF(AND(ISNUMBER(SEARCH("平",D882)),OR(ISNUMBER(SEARCH("上",D882)),ISNUMBER(SEARCH("去",D882)),ISNUMBER(SEARCH("入",D882)))),"Ambiguous",IF(ISNUMBER(SEARCH("平",D882)),"平","仄")))</x:f>
        <x:v>平</x:v>
      </x:c>
      <x:c r="J889" s="7" t="str"/>
    </x:row>
    <x:row r="890">
      <x:c r="A890" s="5" t="str">
        <x:v>婦</x:v>
      </x:c>
      <x:c r="B890" s="6" t="str">
        <x:v>上</x:v>
      </x:c>
      <x:c r="C890" s="6" t="str">
        <x:f>IF(B890="","Needs decision","Ready")</x:f>
        <x:v>Ready</x:v>
      </x:c>
      <x:c r="D890" s="6" t="str">
        <x:v>上</x:v>
      </x:c>
      <x:c r="E890" s="6" t="str">
        <x:v>bjuwX (B)</x:v>
      </x:c>
      <x:c r="F890" s="6" t="str">
        <x:v>1</x:v>
      </x:c>
      <x:c r="G890" s="6" t="str"/>
      <x:c r="H890" s="6" t="str">
        <x:f>IF(B890="平","平",IF(B890="","","仄"))</x:f>
        <x:v>仄</x:v>
      </x:c>
      <x:c r="I890" s="6" t="str">
        <x:f>IF(D883="","",IF(AND(ISNUMBER(SEARCH("平",D883)),OR(ISNUMBER(SEARCH("上",D883)),ISNUMBER(SEARCH("去",D883)),ISNUMBER(SEARCH("入",D883)))),"Ambiguous",IF(ISNUMBER(SEARCH("平",D883)),"平","仄")))</x:f>
        <x:v>仄</x:v>
      </x:c>
      <x:c r="J890" s="7" t="str"/>
    </x:row>
    <x:row r="891">
      <x:c r="A891" s="5" t="str">
        <x:v>婪</x:v>
      </x:c>
      <x:c r="B891" s="6" t="str">
        <x:v>平</x:v>
      </x:c>
      <x:c r="C891" s="6" t="str">
        <x:f>IF(B891="","Needs decision","Ready")</x:f>
        <x:v>Ready</x:v>
      </x:c>
      <x:c r="D891" s="6" t="str">
        <x:v>平</x:v>
      </x:c>
      <x:c r="E891" s="6" t="str">
        <x:v>lom (A)</x:v>
      </x:c>
      <x:c r="F891" s="6" t="str">
        <x:v>1</x:v>
      </x:c>
      <x:c r="G891" s="6" t="str"/>
      <x:c r="H891" s="6" t="str">
        <x:f>IF(B891="平","平",IF(B891="","","仄"))</x:f>
        <x:v>平</x:v>
      </x:c>
      <x:c r="I891" s="6" t="str">
        <x:f>IF(D884="","",IF(AND(ISNUMBER(SEARCH("平",D884)),OR(ISNUMBER(SEARCH("上",D884)),ISNUMBER(SEARCH("去",D884)),ISNUMBER(SEARCH("入",D884)))),"Ambiguous",IF(ISNUMBER(SEARCH("平",D884)),"平","仄")))</x:f>
        <x:v>平</x:v>
      </x:c>
      <x:c r="J891" s="7" t="str"/>
    </x:row>
    <x:row r="892">
      <x:c r="A892" s="5" t="str">
        <x:v>婬</x:v>
      </x:c>
      <x:c r="B892" s="6" t="str">
        <x:v>平</x:v>
      </x:c>
      <x:c r="C892" s="6" t="str">
        <x:f>IF(B892="","Needs decision","Ready")</x:f>
        <x:v>Ready</x:v>
      </x:c>
      <x:c r="D892" s="6" t="str">
        <x:v>平</x:v>
      </x:c>
      <x:c r="E892" s="6" t="str">
        <x:v>yim [以開三侵平] jim</x:v>
      </x:c>
      <x:c r="F892" s="6" t="str">
        <x:v>1</x:v>
      </x:c>
      <x:c r="G892" s="6" t="str">
        <x:v>Targeted preliminary fill from Xun Gong; review if uncertain</x:v>
      </x:c>
      <x:c r="H892" s="6" t="str">
        <x:f>IF(B892="平","平",IF(B892="","","仄"))</x:f>
        <x:v>平</x:v>
      </x:c>
      <x:c r="I892" s="6" t="str">
        <x:f>IF(D885="","",IF(AND(ISNUMBER(SEARCH("平",D885)),OR(ISNUMBER(SEARCH("上",D885)),ISNUMBER(SEARCH("去",D885)),ISNUMBER(SEARCH("入",D885)))),"Ambiguous",IF(ISNUMBER(SEARCH("平",D885)),"平","仄")))</x:f>
        <x:v>平</x:v>
      </x:c>
      <x:c r="J892" s="7" t="str">
        <x:v>Xun Gong character-readings.csv</x:v>
      </x:c>
    </x:row>
    <x:row r="893">
      <x:c r="A893" s="5" t="str">
        <x:v>媒</x:v>
      </x:c>
      <x:c r="B893" s="6" t="str">
        <x:v>平</x:v>
      </x:c>
      <x:c r="C893" s="6" t="str">
        <x:f>IF(B893="","Needs decision","Ready")</x:f>
        <x:v>Ready</x:v>
      </x:c>
      <x:c r="D893" s="6" t="str">
        <x:v>平</x:v>
      </x:c>
      <x:c r="E893" s="6" t="str">
        <x:v>mwoj (A)</x:v>
      </x:c>
      <x:c r="F893" s="6" t="str">
        <x:v>1</x:v>
      </x:c>
      <x:c r="G893" s="6" t="str"/>
      <x:c r="H893" s="6" t="str">
        <x:f>IF(B893="平","平",IF(B893="","","仄"))</x:f>
        <x:v>平</x:v>
      </x:c>
      <x:c r="I893" s="6" t="str">
        <x:f>IF(D886="","",IF(AND(ISNUMBER(SEARCH("平",D886)),OR(ISNUMBER(SEARCH("上",D886)),ISNUMBER(SEARCH("去",D886)),ISNUMBER(SEARCH("入",D886)))),"Ambiguous",IF(ISNUMBER(SEARCH("平",D886)),"平","仄")))</x:f>
        <x:v>仄</x:v>
      </x:c>
      <x:c r="J893" s="7" t="str"/>
    </x:row>
    <x:row r="894">
      <x:c r="A894" s="5" t="str">
        <x:v>媕</x:v>
      </x:c>
      <x:c r="B894" s="6" t="str"/>
      <x:c r="C894" s="6" t="str">
        <x:f>IF(B894="","Needs decision","Ready")</x:f>
        <x:v>Needs decision</x:v>
      </x:c>
      <x:c r="D894" s="6" t="str">
        <x:v>平/上/入</x:v>
      </x:c>
      <x:c r="E894" s="6" t="str">
        <x:v>'jemX [ʔɨ̯emʔ] (上); 'om [ʔ̙əm] (平); 'op [ʔ̙əp] (入)</x:v>
      </x:c>
      <x:c r="F894" s="6" t="str">
        <x:v>3</x:v>
      </x:c>
      <x:c r="G894" s="6" t="str">
        <x:v>Tang 300 gap; frequency 1; ambiguous in Xun Gong</x:v>
      </x:c>
      <x:c r="H894" s="6" t="str">
        <x:f>IF(B894="平","平",IF(B894="","","仄"))</x:f>
      </x:c>
      <x:c r="I894" s="6" t="str">
        <x:f>IF(D887="","",IF(AND(ISNUMBER(SEARCH("平",D887)),OR(ISNUMBER(SEARCH("上",D887)),ISNUMBER(SEARCH("去",D887)),ISNUMBER(SEARCH("入",D887)))),"Ambiguous",IF(ISNUMBER(SEARCH("平",D887)),"平","仄")))</x:f>
        <x:v>仄</x:v>
      </x:c>
      <x:c r="J894" s="7" t="str">
        <x:v>Xun Gong, Tang 300 gap fill</x:v>
      </x:c>
    </x:row>
    <x:row r="895">
      <x:c r="A895" s="5" t="str">
        <x:v>媚</x:v>
      </x:c>
      <x:c r="B895" s="6" t="str">
        <x:v>去</x:v>
      </x:c>
      <x:c r="C895" s="6" t="str">
        <x:f>IF(B895="","Needs decision","Ready")</x:f>
        <x:v>Ready</x:v>
      </x:c>
      <x:c r="D895" s="6" t="str">
        <x:v>去</x:v>
      </x:c>
      <x:c r="E895" s="6" t="str">
        <x:v>mijH (C)</x:v>
      </x:c>
      <x:c r="F895" s="6" t="str">
        <x:v>1</x:v>
      </x:c>
      <x:c r="G895" s="6" t="str"/>
      <x:c r="H895" s="6" t="str">
        <x:f>IF(B895="平","平",IF(B895="","","仄"))</x:f>
        <x:v>仄</x:v>
      </x:c>
      <x:c r="I895" s="6" t="str">
        <x:f>IF(D888="","",IF(AND(ISNUMBER(SEARCH("平",D888)),OR(ISNUMBER(SEARCH("上",D888)),ISNUMBER(SEARCH("去",D888)),ISNUMBER(SEARCH("入",D888)))),"Ambiguous",IF(ISNUMBER(SEARCH("平",D888)),"平","仄")))</x:f>
        <x:v>平</x:v>
      </x:c>
      <x:c r="J895" s="7" t="str"/>
    </x:row>
    <x:row r="896">
      <x:c r="A896" s="5" t="str">
        <x:v>媛</x:v>
      </x:c>
      <x:c r="B896" s="6" t="str">
        <x:v>去</x:v>
      </x:c>
      <x:c r="C896" s="6" t="str">
        <x:f>IF(B896="","Needs decision","Ready")</x:f>
        <x:v>Ready</x:v>
      </x:c>
      <x:c r="D896" s="6" t="str">
        <x:v>去</x:v>
      </x:c>
      <x:c r="E896" s="6" t="str">
        <x:v>hjwenH (C)</x:v>
      </x:c>
      <x:c r="F896" s="6" t="str">
        <x:v>1</x:v>
      </x:c>
      <x:c r="G896" s="6" t="str"/>
      <x:c r="H896" s="6" t="str">
        <x:f>IF(B896="平","平",IF(B896="","","仄"))</x:f>
        <x:v>仄</x:v>
      </x:c>
      <x:c r="I896" s="6" t="str">
        <x:f>IF(D889="","",IF(AND(ISNUMBER(SEARCH("平",D889)),OR(ISNUMBER(SEARCH("上",D889)),ISNUMBER(SEARCH("去",D889)),ISNUMBER(SEARCH("入",D889)))),"Ambiguous",IF(ISNUMBER(SEARCH("平",D889)),"平","仄")))</x:f>
        <x:v>仄</x:v>
      </x:c>
      <x:c r="J896" s="7" t="str"/>
    </x:row>
    <x:row r="897">
      <x:c r="A897" s="5" t="str">
        <x:v>媢</x:v>
      </x:c>
      <x:c r="B897" s="6" t="str">
        <x:v>去</x:v>
      </x:c>
      <x:c r="C897" s="6" t="str">
        <x:f>IF(B897="","Needs decision","Ready")</x:f>
        <x:v>Ready</x:v>
      </x:c>
      <x:c r="D897" s="6" t="str">
        <x:v>去</x:v>
      </x:c>
      <x:c r="E897" s="6" t="str">
        <x:v>mawH (C)</x:v>
      </x:c>
      <x:c r="F897" s="6" t="str">
        <x:v>1</x:v>
      </x:c>
      <x:c r="G897" s="6" t="str"/>
      <x:c r="H897" s="6" t="str">
        <x:f>IF(B897="平","平",IF(B897="","","仄"))</x:f>
        <x:v>仄</x:v>
      </x:c>
      <x:c r="I897" s="6" t="str">
        <x:f>IF(D890="","",IF(AND(ISNUMBER(SEARCH("平",D890)),OR(ISNUMBER(SEARCH("上",D890)),ISNUMBER(SEARCH("去",D890)),ISNUMBER(SEARCH("入",D890)))),"Ambiguous",IF(ISNUMBER(SEARCH("平",D890)),"平","仄")))</x:f>
        <x:v>仄</x:v>
      </x:c>
      <x:c r="J897" s="7" t="str"/>
    </x:row>
    <x:row r="898">
      <x:c r="A898" s="5" t="str">
        <x:v>媯</x:v>
      </x:c>
      <x:c r="B898" s="6" t="str">
        <x:v>平</x:v>
      </x:c>
      <x:c r="C898" s="6" t="str">
        <x:f>IF(B898="","Needs decision","Ready")</x:f>
        <x:v>Ready</x:v>
      </x:c>
      <x:c r="D898" s="6" t="str">
        <x:v>平</x:v>
      </x:c>
      <x:c r="E898" s="6" t="str">
        <x:v>kjwe (A)</x:v>
      </x:c>
      <x:c r="F898" s="6" t="str">
        <x:v>1</x:v>
      </x:c>
      <x:c r="G898" s="6" t="str"/>
      <x:c r="H898" s="6" t="str">
        <x:f>IF(B898="平","平",IF(B898="","","仄"))</x:f>
        <x:v>平</x:v>
      </x:c>
      <x:c r="I898" s="6" t="str">
        <x:f>IF(D891="","",IF(AND(ISNUMBER(SEARCH("平",D891)),OR(ISNUMBER(SEARCH("上",D891)),ISNUMBER(SEARCH("去",D891)),ISNUMBER(SEARCH("入",D891)))),"Ambiguous",IF(ISNUMBER(SEARCH("平",D891)),"平","仄")))</x:f>
        <x:v>平</x:v>
      </x:c>
      <x:c r="J898" s="7" t="str"/>
    </x:row>
    <x:row r="899">
      <x:c r="A899" s="5" t="str">
        <x:v>媱</x:v>
      </x:c>
      <x:c r="B899" s="6" t="str">
        <x:v>平</x:v>
      </x:c>
      <x:c r="C899" s="6" t="str">
        <x:f>IF(B899="","Needs decision","Ready")</x:f>
        <x:v>Ready</x:v>
      </x:c>
      <x:c r="D899" s="6" t="str">
        <x:v>平</x:v>
      </x:c>
      <x:c r="E899" s="6" t="str">
        <x:v>yew (A)</x:v>
      </x:c>
      <x:c r="F899" s="6" t="str">
        <x:v>1</x:v>
      </x:c>
      <x:c r="G899" s="6" t="str"/>
      <x:c r="H899" s="6" t="str">
        <x:f>IF(B899="平","平",IF(B899="","","仄"))</x:f>
        <x:v>平</x:v>
      </x:c>
      <x:c r="I899" s="6" t="str">
        <x:f>IF(D892="","",IF(AND(ISNUMBER(SEARCH("平",D892)),OR(ISNUMBER(SEARCH("上",D892)),ISNUMBER(SEARCH("去",D892)),ISNUMBER(SEARCH("入",D892)))),"Ambiguous",IF(ISNUMBER(SEARCH("平",D892)),"平","仄")))</x:f>
        <x:v>平</x:v>
      </x:c>
      <x:c r="J899" s="7" t="str"/>
    </x:row>
    <x:row r="900">
      <x:c r="A900" s="5" t="str">
        <x:v>媼</x:v>
      </x:c>
      <x:c r="B900" s="6" t="str">
        <x:v>上</x:v>
      </x:c>
      <x:c r="C900" s="6" t="str">
        <x:f>IF(B900="","Needs decision","Ready")</x:f>
        <x:v>Ready</x:v>
      </x:c>
      <x:c r="D900" s="6" t="str">
        <x:v>上</x:v>
      </x:c>
      <x:c r="E900" s="6" t="str">
        <x:v>'awX (B)</x:v>
      </x:c>
      <x:c r="F900" s="6" t="str">
        <x:v>1</x:v>
      </x:c>
      <x:c r="G900" s="6" t="str"/>
      <x:c r="H900" s="6" t="str">
        <x:f>IF(B900="平","平",IF(B900="","","仄"))</x:f>
        <x:v>仄</x:v>
      </x:c>
      <x:c r="I900" s="6" t="str">
        <x:f>IF(D893="","",IF(AND(ISNUMBER(SEARCH("平",D893)),OR(ISNUMBER(SEARCH("上",D893)),ISNUMBER(SEARCH("去",D893)),ISNUMBER(SEARCH("入",D893)))),"Ambiguous",IF(ISNUMBER(SEARCH("平",D893)),"平","仄")))</x:f>
        <x:v>平</x:v>
      </x:c>
      <x:c r="J900" s="7" t="str"/>
    </x:row>
    <x:row r="901">
      <x:c r="A901" s="5" t="str">
        <x:v>媾</x:v>
      </x:c>
      <x:c r="B901" s="6" t="str">
        <x:v>去</x:v>
      </x:c>
      <x:c r="C901" s="6" t="str">
        <x:f>IF(B901="","Needs decision","Ready")</x:f>
        <x:v>Ready</x:v>
      </x:c>
      <x:c r="D901" s="6" t="str">
        <x:v>去</x:v>
      </x:c>
      <x:c r="E901" s="6" t="str">
        <x:v>kuwH (C)</x:v>
      </x:c>
      <x:c r="F901" s="6" t="str">
        <x:v>1</x:v>
      </x:c>
      <x:c r="G901" s="6" t="str"/>
      <x:c r="H901" s="6" t="str">
        <x:f>IF(B901="平","平",IF(B901="","","仄"))</x:f>
        <x:v>仄</x:v>
      </x:c>
      <x:c r="I901" s="6" t="str">
        <x:f>IF(D894="","",IF(AND(ISNUMBER(SEARCH("平",D894)),OR(ISNUMBER(SEARCH("上",D894)),ISNUMBER(SEARCH("去",D894)),ISNUMBER(SEARCH("入",D894)))),"Ambiguous",IF(ISNUMBER(SEARCH("平",D894)),"平","仄")))</x:f>
        <x:v>Ambiguous</x:v>
      </x:c>
      <x:c r="J901" s="7" t="str"/>
    </x:row>
    <x:row r="902">
      <x:c r="A902" s="5" t="str">
        <x:v>嫁</x:v>
      </x:c>
      <x:c r="B902" s="6" t="str">
        <x:v>去</x:v>
      </x:c>
      <x:c r="C902" s="6" t="str">
        <x:f>IF(B902="","Needs decision","Ready")</x:f>
        <x:v>Ready</x:v>
      </x:c>
      <x:c r="D902" s="6" t="str">
        <x:v>去</x:v>
      </x:c>
      <x:c r="E902" s="6" t="str">
        <x:v>kaeH (C)</x:v>
      </x:c>
      <x:c r="F902" s="6" t="str">
        <x:v>1</x:v>
      </x:c>
      <x:c r="G902" s="6" t="str"/>
      <x:c r="H902" s="6" t="str">
        <x:f>IF(B902="平","平",IF(B902="","","仄"))</x:f>
        <x:v>仄</x:v>
      </x:c>
      <x:c r="I902" s="6" t="str">
        <x:f>IF(D895="","",IF(AND(ISNUMBER(SEARCH("平",D895)),OR(ISNUMBER(SEARCH("上",D895)),ISNUMBER(SEARCH("去",D895)),ISNUMBER(SEARCH("入",D895)))),"Ambiguous",IF(ISNUMBER(SEARCH("平",D895)),"平","仄")))</x:f>
        <x:v>仄</x:v>
      </x:c>
      <x:c r="J902" s="7" t="str"/>
    </x:row>
    <x:row r="903">
      <x:c r="A903" s="5" t="str">
        <x:v>嫋</x:v>
      </x:c>
      <x:c r="B903" s="6" t="str">
        <x:v>上</x:v>
      </x:c>
      <x:c r="C903" s="6" t="str">
        <x:f>IF(B903="","Needs decision","Ready")</x:f>
        <x:v>Ready</x:v>
      </x:c>
      <x:c r="D903" s="6" t="str">
        <x:v>上</x:v>
      </x:c>
      <x:c r="E903" s="6" t="str">
        <x:v>newX [n̙ewʔ] (上)</x:v>
      </x:c>
      <x:c r="F903" s="6" t="str">
        <x:v>1</x:v>
      </x:c>
      <x:c r="G903" s="6" t="str">
        <x:v>Tang 300 gap; frequency 2; provisional from Xun Gong</x:v>
      </x:c>
      <x:c r="H903" s="6" t="str">
        <x:f>IF(B903="平","平",IF(B903="","","仄"))</x:f>
        <x:v>仄</x:v>
      </x:c>
      <x:c r="I903" s="6" t="str">
        <x:f>IF(D896="","",IF(AND(ISNUMBER(SEARCH("平",D896)),OR(ISNUMBER(SEARCH("上",D896)),ISNUMBER(SEARCH("去",D896)),ISNUMBER(SEARCH("入",D896)))),"Ambiguous",IF(ISNUMBER(SEARCH("平",D896)),"平","仄")))</x:f>
        <x:v>仄</x:v>
      </x:c>
      <x:c r="J903" s="7" t="str">
        <x:v>Xun Gong, Tang 300 gap fill</x:v>
      </x:c>
    </x:row>
    <x:row r="904">
      <x:c r="A904" s="5" t="str">
        <x:v>嫌</x:v>
      </x:c>
      <x:c r="B904" s="6" t="str">
        <x:v>平</x:v>
      </x:c>
      <x:c r="C904" s="6" t="str">
        <x:f>IF(B904="","Needs decision","Ready")</x:f>
        <x:v>Ready</x:v>
      </x:c>
      <x:c r="D904" s="6" t="str">
        <x:v>平</x:v>
      </x:c>
      <x:c r="E904" s="6" t="str">
        <x:v>hem (A)</x:v>
      </x:c>
      <x:c r="F904" s="6" t="str">
        <x:v>1</x:v>
      </x:c>
      <x:c r="G904" s="6" t="str"/>
      <x:c r="H904" s="6" t="str">
        <x:f>IF(B904="平","平",IF(B904="","","仄"))</x:f>
        <x:v>平</x:v>
      </x:c>
      <x:c r="I904" s="6" t="str">
        <x:f>IF(D897="","",IF(AND(ISNUMBER(SEARCH("平",D897)),OR(ISNUMBER(SEARCH("上",D897)),ISNUMBER(SEARCH("去",D897)),ISNUMBER(SEARCH("入",D897)))),"Ambiguous",IF(ISNUMBER(SEARCH("平",D897)),"平","仄")))</x:f>
        <x:v>仄</x:v>
      </x:c>
      <x:c r="J904" s="7" t="str"/>
    </x:row>
    <x:row r="905">
      <x:c r="A905" s="5" t="str">
        <x:v>嫡</x:v>
      </x:c>
      <x:c r="B905" s="6" t="str">
        <x:v>入</x:v>
      </x:c>
      <x:c r="C905" s="6" t="str">
        <x:f>IF(B905="","Needs decision","Ready")</x:f>
        <x:v>Ready</x:v>
      </x:c>
      <x:c r="D905" s="6" t="str">
        <x:v>入</x:v>
      </x:c>
      <x:c r="E905" s="6" t="str">
        <x:v>tek (D)</x:v>
      </x:c>
      <x:c r="F905" s="6" t="str">
        <x:v>1</x:v>
      </x:c>
      <x:c r="G905" s="6" t="str"/>
      <x:c r="H905" s="6" t="str">
        <x:f>IF(B905="平","平",IF(B905="","","仄"))</x:f>
        <x:v>仄</x:v>
      </x:c>
      <x:c r="I905" s="6" t="str">
        <x:f>IF(D898="","",IF(AND(ISNUMBER(SEARCH("平",D898)),OR(ISNUMBER(SEARCH("上",D898)),ISNUMBER(SEARCH("去",D898)),ISNUMBER(SEARCH("入",D898)))),"Ambiguous",IF(ISNUMBER(SEARCH("平",D898)),"平","仄")))</x:f>
        <x:v>平</x:v>
      </x:c>
      <x:c r="J905" s="7" t="str"/>
    </x:row>
    <x:row r="906">
      <x:c r="A906" s="5" t="str">
        <x:v>嬋</x:v>
      </x:c>
      <x:c r="B906" s="6" t="str">
        <x:v>平</x:v>
      </x:c>
      <x:c r="C906" s="6" t="str">
        <x:f>IF(B906="","Needs decision","Ready")</x:f>
        <x:v>Ready</x:v>
      </x:c>
      <x:c r="D906" s="6" t="str">
        <x:v>平</x:v>
      </x:c>
      <x:c r="E906" s="6" t="str">
        <x:v>dzyen [dʑen] (平)</x:v>
      </x:c>
      <x:c r="F906" s="6" t="str">
        <x:v>1</x:v>
      </x:c>
      <x:c r="G906" s="6" t="str">
        <x:v>Tang 300 gap; frequency 1; provisional from Xun Gong</x:v>
      </x:c>
      <x:c r="H906" s="6" t="str">
        <x:f>IF(B906="平","平",IF(B906="","","仄"))</x:f>
        <x:v>平</x:v>
      </x:c>
      <x:c r="I906" s="6" t="str">
        <x:f>IF(D899="","",IF(AND(ISNUMBER(SEARCH("平",D899)),OR(ISNUMBER(SEARCH("上",D899)),ISNUMBER(SEARCH("去",D899)),ISNUMBER(SEARCH("入",D899)))),"Ambiguous",IF(ISNUMBER(SEARCH("平",D899)),"平","仄")))</x:f>
        <x:v>平</x:v>
      </x:c>
      <x:c r="J906" s="7" t="str">
        <x:v>Xun Gong, Tang 300 gap fill</x:v>
      </x:c>
    </x:row>
    <x:row r="907">
      <x:c r="A907" s="5" t="str">
        <x:v>嬌</x:v>
      </x:c>
      <x:c r="B907" s="6" t="str"/>
      <x:c r="C907" s="6" t="str">
        <x:f>IF(B907="","Needs decision","Ready")</x:f>
        <x:v>Needs decision</x:v>
      </x:c>
      <x:c r="D907" s="6" t="str">
        <x:v>平/上</x:v>
      </x:c>
      <x:c r="E907" s="6" t="str">
        <x:v>gjew [ɡɨ̯ew] (平); kjew [kɨ̯ew] (平); kjewX [kɨ̯ewʔ] (上)</x:v>
      </x:c>
      <x:c r="F907" s="6" t="str">
        <x:v>3</x:v>
      </x:c>
      <x:c r="G907" s="6" t="str">
        <x:v>Tang 300 gap; frequency 3; ambiguous in Xun Gong</x:v>
      </x:c>
      <x:c r="H907" s="6" t="str">
        <x:f>IF(B907="平","平",IF(B907="","","仄"))</x:f>
      </x:c>
      <x:c r="I907" s="6" t="str">
        <x:f>IF(D900="","",IF(AND(ISNUMBER(SEARCH("平",D900)),OR(ISNUMBER(SEARCH("上",D900)),ISNUMBER(SEARCH("去",D900)),ISNUMBER(SEARCH("入",D900)))),"Ambiguous",IF(ISNUMBER(SEARCH("平",D900)),"平","仄")))</x:f>
        <x:v>仄</x:v>
      </x:c>
      <x:c r="J907" s="7" t="str">
        <x:v>Xun Gong, Tang 300 gap fill</x:v>
      </x:c>
    </x:row>
    <x:row r="908">
      <x:c r="A908" s="5" t="str">
        <x:v>嬖</x:v>
      </x:c>
      <x:c r="B908" s="6" t="str">
        <x:v>去</x:v>
      </x:c>
      <x:c r="C908" s="6" t="str">
        <x:f>IF(B908="","Needs decision","Ready")</x:f>
        <x:v>Ready</x:v>
      </x:c>
      <x:c r="D908" s="6" t="str">
        <x:v>去</x:v>
      </x:c>
      <x:c r="E908" s="6" t="str">
        <x:v>pejH (C)</x:v>
      </x:c>
      <x:c r="F908" s="6" t="str">
        <x:v>1</x:v>
      </x:c>
      <x:c r="G908" s="6" t="str"/>
      <x:c r="H908" s="6" t="str">
        <x:f>IF(B908="平","平",IF(B908="","","仄"))</x:f>
        <x:v>仄</x:v>
      </x:c>
      <x:c r="I908" s="6" t="str">
        <x:f>IF(D901="","",IF(AND(ISNUMBER(SEARCH("平",D901)),OR(ISNUMBER(SEARCH("上",D901)),ISNUMBER(SEARCH("去",D901)),ISNUMBER(SEARCH("入",D901)))),"Ambiguous",IF(ISNUMBER(SEARCH("平",D901)),"平","仄")))</x:f>
        <x:v>仄</x:v>
      </x:c>
      <x:c r="J908" s="7" t="str"/>
    </x:row>
    <x:row r="909">
      <x:c r="A909" s="5" t="str">
        <x:v>嬪</x:v>
      </x:c>
      <x:c r="B909" s="6" t="str">
        <x:v>平</x:v>
      </x:c>
      <x:c r="C909" s="6" t="str">
        <x:f>IF(B909="","Needs decision","Ready")</x:f>
        <x:v>Ready</x:v>
      </x:c>
      <x:c r="D909" s="6" t="str">
        <x:v>平</x:v>
      </x:c>
      <x:c r="E909" s="6" t="str">
        <x:v>bjin [bjin] (平)</x:v>
      </x:c>
      <x:c r="F909" s="6" t="str">
        <x:v>1</x:v>
      </x:c>
      <x:c r="G909" s="6" t="str">
        <x:v>Tang 300 gap; frequency 1; provisional from Xun Gong</x:v>
      </x:c>
      <x:c r="H909" s="6" t="str">
        <x:f>IF(B909="平","平",IF(B909="","","仄"))</x:f>
        <x:v>平</x:v>
      </x:c>
      <x:c r="I909" s="6" t="str">
        <x:f>IF(D902="","",IF(AND(ISNUMBER(SEARCH("平",D902)),OR(ISNUMBER(SEARCH("上",D902)),ISNUMBER(SEARCH("去",D902)),ISNUMBER(SEARCH("入",D902)))),"Ambiguous",IF(ISNUMBER(SEARCH("平",D902)),"平","仄")))</x:f>
        <x:v>仄</x:v>
      </x:c>
      <x:c r="J909" s="7" t="str">
        <x:v>Xun Gong, Tang 300 gap fill</x:v>
      </x:c>
    </x:row>
    <x:row r="910">
      <x:c r="A910" s="5" t="str">
        <x:v>嬰</x:v>
      </x:c>
      <x:c r="B910" s="6" t="str">
        <x:v>平</x:v>
      </x:c>
      <x:c r="C910" s="6" t="str">
        <x:f>IF(B910="","Needs decision","Ready")</x:f>
        <x:v>Ready</x:v>
      </x:c>
      <x:c r="D910" s="6" t="str">
        <x:v>平</x:v>
      </x:c>
      <x:c r="E910" s="6" t="str">
        <x:v>'jieng (A)</x:v>
      </x:c>
      <x:c r="F910" s="6" t="str">
        <x:v>1</x:v>
      </x:c>
      <x:c r="G910" s="6" t="str"/>
      <x:c r="H910" s="6" t="str">
        <x:f>IF(B910="平","平",IF(B910="","","仄"))</x:f>
        <x:v>平</x:v>
      </x:c>
      <x:c r="I910" s="6" t="str">
        <x:f>IF(D903="","",IF(AND(ISNUMBER(SEARCH("平",D903)),OR(ISNUMBER(SEARCH("上",D903)),ISNUMBER(SEARCH("去",D903)),ISNUMBER(SEARCH("入",D903)))),"Ambiguous",IF(ISNUMBER(SEARCH("平",D903)),"平","仄")))</x:f>
        <x:v>仄</x:v>
      </x:c>
      <x:c r="J910" s="7" t="str"/>
    </x:row>
    <x:row r="911">
      <x:c r="A911" s="5" t="str">
        <x:v>嬴</x:v>
      </x:c>
      <x:c r="B911" s="6" t="str">
        <x:v>平</x:v>
      </x:c>
      <x:c r="C911" s="6" t="str">
        <x:f>IF(B911="","Needs decision","Ready")</x:f>
        <x:v>Ready</x:v>
      </x:c>
      <x:c r="D911" s="6" t="str">
        <x:v>平</x:v>
      </x:c>
      <x:c r="E911" s="6" t="str"/>
      <x:c r="F911" s="6" t="str"/>
      <x:c r="G911" s="6" t="str">
        <x:v>Manual user correction/addition</x:v>
      </x:c>
      <x:c r="H911" s="6" t="str">
        <x:f>IF(B911="平","平",IF(B911="","","仄"))</x:f>
        <x:v>平</x:v>
      </x:c>
      <x:c r="I911" s="6" t="str">
        <x:f>IF(D904="","",IF(AND(ISNUMBER(SEARCH("平",D904)),OR(ISNUMBER(SEARCH("上",D904)),ISNUMBER(SEARCH("去",D904)),ISNUMBER(SEARCH("入",D904)))),"Ambiguous",IF(ISNUMBER(SEARCH("平",D904)),"平","仄")))</x:f>
        <x:v>平</x:v>
      </x:c>
      <x:c r="J911" s="7" t="str">
        <x:v>manual user correction</x:v>
      </x:c>
    </x:row>
    <x:row r="912">
      <x:c r="A912" s="5" t="str">
        <x:v>孌</x:v>
      </x:c>
      <x:c r="B912" s="6" t="str">
        <x:v>上</x:v>
      </x:c>
      <x:c r="C912" s="6" t="str">
        <x:f>IF(B912="","Needs decision","Ready")</x:f>
        <x:v>Ready</x:v>
      </x:c>
      <x:c r="D912" s="6" t="str">
        <x:v>上</x:v>
      </x:c>
      <x:c r="E912" s="6" t="str">
        <x:v>ljwenX (B)</x:v>
      </x:c>
      <x:c r="F912" s="6" t="str">
        <x:v>1</x:v>
      </x:c>
      <x:c r="G912" s="6" t="str"/>
      <x:c r="H912" s="6" t="str">
        <x:f>IF(B912="平","平",IF(B912="","","仄"))</x:f>
        <x:v>仄</x:v>
      </x:c>
      <x:c r="I912" s="6" t="str">
        <x:f>IF(D905="","",IF(AND(ISNUMBER(SEARCH("平",D905)),OR(ISNUMBER(SEARCH("上",D905)),ISNUMBER(SEARCH("去",D905)),ISNUMBER(SEARCH("入",D905)))),"Ambiguous",IF(ISNUMBER(SEARCH("平",D905)),"平","仄")))</x:f>
        <x:v>仄</x:v>
      </x:c>
      <x:c r="J912" s="7" t="str"/>
    </x:row>
    <x:row r="913">
      <x:c r="A913" s="5" t="str">
        <x:v>子</x:v>
      </x:c>
      <x:c r="B913" s="6" t="str">
        <x:v>上</x:v>
      </x:c>
      <x:c r="C913" s="6" t="str">
        <x:f>IF(B913="","Needs decision","Ready")</x:f>
        <x:v>Ready</x:v>
      </x:c>
      <x:c r="D913" s="6" t="str">
        <x:v>上</x:v>
      </x:c>
      <x:c r="E913" s="6" t="str">
        <x:v>tsiX (B)</x:v>
      </x:c>
      <x:c r="F913" s="6" t="str">
        <x:v>1</x:v>
      </x:c>
      <x:c r="G913" s="6" t="str"/>
      <x:c r="H913" s="6" t="str">
        <x:f>IF(B913="平","平",IF(B913="","","仄"))</x:f>
        <x:v>仄</x:v>
      </x:c>
      <x:c r="I913" s="6" t="str">
        <x:f>IF(D906="","",IF(AND(ISNUMBER(SEARCH("平",D906)),OR(ISNUMBER(SEARCH("上",D906)),ISNUMBER(SEARCH("去",D906)),ISNUMBER(SEARCH("入",D906)))),"Ambiguous",IF(ISNUMBER(SEARCH("平",D906)),"平","仄")))</x:f>
        <x:v>平</x:v>
      </x:c>
      <x:c r="J913" s="7" t="str"/>
    </x:row>
    <x:row r="914">
      <x:c r="A914" s="5" t="str">
        <x:v>孔</x:v>
      </x:c>
      <x:c r="B914" s="6" t="str">
        <x:v>上</x:v>
      </x:c>
      <x:c r="C914" s="6" t="str">
        <x:f>IF(B914="","Needs decision","Ready")</x:f>
        <x:v>Ready</x:v>
      </x:c>
      <x:c r="D914" s="6" t="str">
        <x:v>上</x:v>
      </x:c>
      <x:c r="E914" s="6" t="str">
        <x:v>khuwngX (B)</x:v>
      </x:c>
      <x:c r="F914" s="6" t="str">
        <x:v>1</x:v>
      </x:c>
      <x:c r="G914" s="6" t="str"/>
      <x:c r="H914" s="6" t="str">
        <x:f>IF(B914="平","平",IF(B914="","","仄"))</x:f>
        <x:v>仄</x:v>
      </x:c>
      <x:c r="I914" s="6" t="str">
        <x:f>IF(D907="","",IF(AND(ISNUMBER(SEARCH("平",D907)),OR(ISNUMBER(SEARCH("上",D907)),ISNUMBER(SEARCH("去",D907)),ISNUMBER(SEARCH("入",D907)))),"Ambiguous",IF(ISNUMBER(SEARCH("平",D907)),"平","仄")))</x:f>
        <x:v>Ambiguous</x:v>
      </x:c>
      <x:c r="J914" s="7" t="str"/>
    </x:row>
    <x:row r="915">
      <x:c r="A915" s="5" t="str">
        <x:v>孕</x:v>
      </x:c>
      <x:c r="B915" s="6" t="str">
        <x:v>去</x:v>
      </x:c>
      <x:c r="C915" s="6" t="str">
        <x:f>IF(B915="","Needs decision","Ready")</x:f>
        <x:v>Ready</x:v>
      </x:c>
      <x:c r="D915" s="6" t="str">
        <x:v>去</x:v>
      </x:c>
      <x:c r="E915" s="6" t="str">
        <x:v>yingH (C)</x:v>
      </x:c>
      <x:c r="F915" s="6" t="str">
        <x:v>1</x:v>
      </x:c>
      <x:c r="G915" s="6" t="str"/>
      <x:c r="H915" s="6" t="str">
        <x:f>IF(B915="平","平",IF(B915="","","仄"))</x:f>
        <x:v>仄</x:v>
      </x:c>
      <x:c r="I915" s="6" t="str">
        <x:f>IF(D908="","",IF(AND(ISNUMBER(SEARCH("平",D908)),OR(ISNUMBER(SEARCH("上",D908)),ISNUMBER(SEARCH("去",D908)),ISNUMBER(SEARCH("入",D908)))),"Ambiguous",IF(ISNUMBER(SEARCH("平",D908)),"平","仄")))</x:f>
        <x:v>仄</x:v>
      </x:c>
      <x:c r="J915" s="7" t="str"/>
    </x:row>
    <x:row r="916">
      <x:c r="A916" s="5" t="str">
        <x:v>字</x:v>
      </x:c>
      <x:c r="B916" s="6" t="str">
        <x:v>去</x:v>
      </x:c>
      <x:c r="C916" s="6" t="str">
        <x:f>IF(B916="","Needs decision","Ready")</x:f>
        <x:v>Ready</x:v>
      </x:c>
      <x:c r="D916" s="6" t="str">
        <x:v>去</x:v>
      </x:c>
      <x:c r="E916" s="6" t="str">
        <x:v>dziH (C)</x:v>
      </x:c>
      <x:c r="F916" s="6" t="str">
        <x:v>1</x:v>
      </x:c>
      <x:c r="G916" s="6" t="str"/>
      <x:c r="H916" s="6" t="str">
        <x:f>IF(B916="平","平",IF(B916="","","仄"))</x:f>
        <x:v>仄</x:v>
      </x:c>
      <x:c r="I916" s="6" t="str">
        <x:f>IF(D909="","",IF(AND(ISNUMBER(SEARCH("平",D909)),OR(ISNUMBER(SEARCH("上",D909)),ISNUMBER(SEARCH("去",D909)),ISNUMBER(SEARCH("入",D909)))),"Ambiguous",IF(ISNUMBER(SEARCH("平",D909)),"平","仄")))</x:f>
        <x:v>平</x:v>
      </x:c>
      <x:c r="J916" s="7" t="str"/>
    </x:row>
    <x:row r="917">
      <x:c r="A917" s="5" t="str">
        <x:v>存</x:v>
      </x:c>
      <x:c r="B917" s="6" t="str">
        <x:v>平</x:v>
      </x:c>
      <x:c r="C917" s="6" t="str">
        <x:f>IF(B917="","Needs decision","Ready")</x:f>
        <x:v>Ready</x:v>
      </x:c>
      <x:c r="D917" s="6" t="str">
        <x:v>平</x:v>
      </x:c>
      <x:c r="E917" s="6" t="str">
        <x:v>dzwon (A)</x:v>
      </x:c>
      <x:c r="F917" s="6" t="str">
        <x:v>1</x:v>
      </x:c>
      <x:c r="G917" s="6" t="str"/>
      <x:c r="H917" s="6" t="str">
        <x:f>IF(B917="平","平",IF(B917="","","仄"))</x:f>
        <x:v>平</x:v>
      </x:c>
      <x:c r="I917" s="6" t="str">
        <x:f>IF(D910="","",IF(AND(ISNUMBER(SEARCH("平",D910)),OR(ISNUMBER(SEARCH("上",D910)),ISNUMBER(SEARCH("去",D910)),ISNUMBER(SEARCH("入",D910)))),"Ambiguous",IF(ISNUMBER(SEARCH("平",D910)),"平","仄")))</x:f>
        <x:v>平</x:v>
      </x:c>
      <x:c r="J917" s="7" t="str"/>
    </x:row>
    <x:row r="918">
      <x:c r="A918" s="5" t="str">
        <x:v>孛</x:v>
      </x:c>
      <x:c r="B918" s="6" t="str"/>
      <x:c r="C918" s="6" t="str">
        <x:f>IF(B918="","Needs decision","Ready")</x:f>
        <x:v>Needs decision</x:v>
      </x:c>
      <x:c r="D918" s="6" t="str">
        <x:v>去/入</x:v>
      </x:c>
      <x:c r="E918" s="6" t="str">
        <x:v>bwojH (C); bwot (D)</x:v>
      </x:c>
      <x:c r="F918" s="6" t="str">
        <x:v>2</x:v>
      </x:c>
      <x:c r="G918" s="6" t="str"/>
      <x:c r="H918" s="6" t="str">
        <x:f>IF(B918="平","平",IF(B918="","","仄"))</x:f>
      </x:c>
      <x:c r="I918" s="6" t="str">
        <x:f>IF(D911="","",IF(AND(ISNUMBER(SEARCH("平",D911)),OR(ISNUMBER(SEARCH("上",D911)),ISNUMBER(SEARCH("去",D911)),ISNUMBER(SEARCH("入",D911)))),"Ambiguous",IF(ISNUMBER(SEARCH("平",D911)),"平","仄")))</x:f>
        <x:v>平</x:v>
      </x:c>
      <x:c r="J918" s="7" t="str"/>
    </x:row>
    <x:row r="919">
      <x:c r="A919" s="5" t="str">
        <x:v>孝</x:v>
      </x:c>
      <x:c r="B919" s="6" t="str">
        <x:v>去</x:v>
      </x:c>
      <x:c r="C919" s="6" t="str">
        <x:f>IF(B919="","Needs decision","Ready")</x:f>
        <x:v>Ready</x:v>
      </x:c>
      <x:c r="D919" s="6" t="str">
        <x:v>去</x:v>
      </x:c>
      <x:c r="E919" s="6" t="str">
        <x:v>xaewH (C)</x:v>
      </x:c>
      <x:c r="F919" s="6" t="str">
        <x:v>1</x:v>
      </x:c>
      <x:c r="G919" s="6" t="str"/>
      <x:c r="H919" s="6" t="str">
        <x:f>IF(B919="平","平",IF(B919="","","仄"))</x:f>
        <x:v>仄</x:v>
      </x:c>
      <x:c r="I919" s="6" t="str">
        <x:f>IF(D912="","",IF(AND(ISNUMBER(SEARCH("平",D912)),OR(ISNUMBER(SEARCH("上",D912)),ISNUMBER(SEARCH("去",D912)),ISNUMBER(SEARCH("入",D912)))),"Ambiguous",IF(ISNUMBER(SEARCH("平",D912)),"平","仄")))</x:f>
        <x:v>仄</x:v>
      </x:c>
      <x:c r="J919" s="7" t="str"/>
    </x:row>
    <x:row r="920">
      <x:c r="A920" s="5" t="str">
        <x:v>孟</x:v>
      </x:c>
      <x:c r="B920" s="6" t="str">
        <x:v>去</x:v>
      </x:c>
      <x:c r="C920" s="6" t="str">
        <x:f>IF(B920="","Needs decision","Ready")</x:f>
        <x:v>Ready</x:v>
      </x:c>
      <x:c r="D920" s="6" t="str">
        <x:v>去</x:v>
      </x:c>
      <x:c r="E920" s="6" t="str">
        <x:v>maengH (C)</x:v>
      </x:c>
      <x:c r="F920" s="6" t="str">
        <x:v>1</x:v>
      </x:c>
      <x:c r="G920" s="6" t="str"/>
      <x:c r="H920" s="6" t="str">
        <x:f>IF(B920="平","平",IF(B920="","","仄"))</x:f>
        <x:v>仄</x:v>
      </x:c>
      <x:c r="I920" s="6" t="str">
        <x:f>IF(D913="","",IF(AND(ISNUMBER(SEARCH("平",D913)),OR(ISNUMBER(SEARCH("上",D913)),ISNUMBER(SEARCH("去",D913)),ISNUMBER(SEARCH("入",D913)))),"Ambiguous",IF(ISNUMBER(SEARCH("平",D913)),"平","仄")))</x:f>
        <x:v>仄</x:v>
      </x:c>
      <x:c r="J920" s="7" t="str"/>
    </x:row>
    <x:row r="921">
      <x:c r="A921" s="5" t="str">
        <x:v>季</x:v>
      </x:c>
      <x:c r="B921" s="6" t="str">
        <x:v>去</x:v>
      </x:c>
      <x:c r="C921" s="6" t="str">
        <x:f>IF(B921="","Needs decision","Ready")</x:f>
        <x:v>Ready</x:v>
      </x:c>
      <x:c r="D921" s="6" t="str">
        <x:v>去</x:v>
      </x:c>
      <x:c r="E921" s="6" t="str">
        <x:v>kjwijH (C)</x:v>
      </x:c>
      <x:c r="F921" s="6" t="str">
        <x:v>1</x:v>
      </x:c>
      <x:c r="G921" s="6" t="str"/>
      <x:c r="H921" s="6" t="str">
        <x:f>IF(B921="平","平",IF(B921="","","仄"))</x:f>
        <x:v>仄</x:v>
      </x:c>
      <x:c r="I921" s="6" t="str">
        <x:f>IF(D914="","",IF(AND(ISNUMBER(SEARCH("平",D914)),OR(ISNUMBER(SEARCH("上",D914)),ISNUMBER(SEARCH("去",D914)),ISNUMBER(SEARCH("入",D914)))),"Ambiguous",IF(ISNUMBER(SEARCH("平",D914)),"平","仄")))</x:f>
        <x:v>仄</x:v>
      </x:c>
      <x:c r="J921" s="7" t="str"/>
    </x:row>
    <x:row r="922">
      <x:c r="A922" s="5" t="str">
        <x:v>孤</x:v>
      </x:c>
      <x:c r="B922" s="6" t="str">
        <x:v>平</x:v>
      </x:c>
      <x:c r="C922" s="6" t="str">
        <x:f>IF(B922="","Needs decision","Ready")</x:f>
        <x:v>Ready</x:v>
      </x:c>
      <x:c r="D922" s="6" t="str">
        <x:v>平</x:v>
      </x:c>
      <x:c r="E922" s="6" t="str">
        <x:v>ku (A)</x:v>
      </x:c>
      <x:c r="F922" s="6" t="str">
        <x:v>1</x:v>
      </x:c>
      <x:c r="G922" s="6" t="str"/>
      <x:c r="H922" s="6" t="str">
        <x:f>IF(B922="平","平",IF(B922="","","仄"))</x:f>
        <x:v>平</x:v>
      </x:c>
      <x:c r="I922" s="6" t="str">
        <x:f>IF(D915="","",IF(AND(ISNUMBER(SEARCH("平",D915)),OR(ISNUMBER(SEARCH("上",D915)),ISNUMBER(SEARCH("去",D915)),ISNUMBER(SEARCH("入",D915)))),"Ambiguous",IF(ISNUMBER(SEARCH("平",D915)),"平","仄")))</x:f>
        <x:v>仄</x:v>
      </x:c>
      <x:c r="J922" s="7" t="str"/>
    </x:row>
    <x:row r="923">
      <x:c r="A923" s="5" t="str">
        <x:v>孩</x:v>
      </x:c>
      <x:c r="B923" s="6" t="str">
        <x:v>平</x:v>
      </x:c>
      <x:c r="C923" s="6" t="str">
        <x:f>IF(B923="","Needs decision","Ready")</x:f>
        <x:v>Ready</x:v>
      </x:c>
      <x:c r="D923" s="6" t="str">
        <x:v>平</x:v>
      </x:c>
      <x:c r="E923" s="6" t="str">
        <x:v>hoj (A)</x:v>
      </x:c>
      <x:c r="F923" s="6" t="str">
        <x:v>1</x:v>
      </x:c>
      <x:c r="G923" s="6" t="str"/>
      <x:c r="H923" s="6" t="str">
        <x:f>IF(B923="平","平",IF(B923="","","仄"))</x:f>
        <x:v>平</x:v>
      </x:c>
      <x:c r="I923" s="6" t="str">
        <x:f>IF(D916="","",IF(AND(ISNUMBER(SEARCH("平",D916)),OR(ISNUMBER(SEARCH("上",D916)),ISNUMBER(SEARCH("去",D916)),ISNUMBER(SEARCH("入",D916)))),"Ambiguous",IF(ISNUMBER(SEARCH("平",D916)),"平","仄")))</x:f>
        <x:v>仄</x:v>
      </x:c>
      <x:c r="J923" s="7" t="str"/>
    </x:row>
    <x:row r="924">
      <x:c r="A924" s="5" t="str">
        <x:v>孫</x:v>
      </x:c>
      <x:c r="B924" s="6" t="str">
        <x:v>平</x:v>
      </x:c>
      <x:c r="C924" s="6" t="str">
        <x:f>IF(B924="","Needs decision","Ready")</x:f>
        <x:v>Ready</x:v>
      </x:c>
      <x:c r="D924" s="6" t="str">
        <x:v>平</x:v>
      </x:c>
      <x:c r="E924" s="6" t="str">
        <x:v>swon (A)</x:v>
      </x:c>
      <x:c r="F924" s="6" t="str">
        <x:v>1</x:v>
      </x:c>
      <x:c r="G924" s="6" t="str"/>
      <x:c r="H924" s="6" t="str">
        <x:f>IF(B924="平","平",IF(B924="","","仄"))</x:f>
        <x:v>平</x:v>
      </x:c>
      <x:c r="I924" s="6" t="str">
        <x:f>IF(D917="","",IF(AND(ISNUMBER(SEARCH("平",D917)),OR(ISNUMBER(SEARCH("上",D917)),ISNUMBER(SEARCH("去",D917)),ISNUMBER(SEARCH("入",D917)))),"Ambiguous",IF(ISNUMBER(SEARCH("平",D917)),"平","仄")))</x:f>
        <x:v>平</x:v>
      </x:c>
      <x:c r="J924" s="7" t="str"/>
    </x:row>
    <x:row r="925">
      <x:c r="A925" s="5" t="str">
        <x:v>孰</x:v>
      </x:c>
      <x:c r="B925" s="6" t="str">
        <x:v>入</x:v>
      </x:c>
      <x:c r="C925" s="6" t="str">
        <x:f>IF(B925="","Needs decision","Ready")</x:f>
        <x:v>Ready</x:v>
      </x:c>
      <x:c r="D925" s="6" t="str">
        <x:v>入</x:v>
      </x:c>
      <x:c r="E925" s="6" t="str">
        <x:v>dzyuwk (D)</x:v>
      </x:c>
      <x:c r="F925" s="6" t="str">
        <x:v>1</x:v>
      </x:c>
      <x:c r="G925" s="6" t="str"/>
      <x:c r="H925" s="6" t="str">
        <x:f>IF(B925="平","平",IF(B925="","","仄"))</x:f>
        <x:v>仄</x:v>
      </x:c>
      <x:c r="I925" s="6" t="str">
        <x:f>IF(D918="","",IF(AND(ISNUMBER(SEARCH("平",D918)),OR(ISNUMBER(SEARCH("上",D918)),ISNUMBER(SEARCH("去",D918)),ISNUMBER(SEARCH("入",D918)))),"Ambiguous",IF(ISNUMBER(SEARCH("平",D918)),"平","仄")))</x:f>
        <x:v>仄</x:v>
      </x:c>
      <x:c r="J925" s="7" t="str"/>
    </x:row>
    <x:row r="926">
      <x:c r="A926" s="5" t="str">
        <x:v>孱</x:v>
      </x:c>
      <x:c r="B926" s="6" t="str">
        <x:v>平</x:v>
      </x:c>
      <x:c r="C926" s="6" t="str">
        <x:f>IF(B926="","Needs decision","Ready")</x:f>
        <x:v>Ready</x:v>
      </x:c>
      <x:c r="D926" s="6" t="str">
        <x:v>平</x:v>
      </x:c>
      <x:c r="E926" s="6" t="str">
        <x:v>dzrean (A)</x:v>
      </x:c>
      <x:c r="F926" s="6" t="str">
        <x:v>1</x:v>
      </x:c>
      <x:c r="G926" s="6" t="str"/>
      <x:c r="H926" s="6" t="str">
        <x:f>IF(B926="平","平",IF(B926="","","仄"))</x:f>
        <x:v>平</x:v>
      </x:c>
      <x:c r="I926" s="6" t="str">
        <x:f>IF(D919="","",IF(AND(ISNUMBER(SEARCH("平",D919)),OR(ISNUMBER(SEARCH("上",D919)),ISNUMBER(SEARCH("去",D919)),ISNUMBER(SEARCH("入",D919)))),"Ambiguous",IF(ISNUMBER(SEARCH("平",D919)),"平","仄")))</x:f>
        <x:v>仄</x:v>
      </x:c>
      <x:c r="J926" s="7" t="str"/>
    </x:row>
    <x:row r="927">
      <x:c r="A927" s="5" t="str">
        <x:v>學</x:v>
      </x:c>
      <x:c r="B927" s="6" t="str">
        <x:v>入</x:v>
      </x:c>
      <x:c r="C927" s="6" t="str">
        <x:f>IF(B927="","Needs decision","Ready")</x:f>
        <x:v>Ready</x:v>
      </x:c>
      <x:c r="D927" s="6" t="str">
        <x:v>入</x:v>
      </x:c>
      <x:c r="E927" s="6" t="str">
        <x:v>haewk (D)</x:v>
      </x:c>
      <x:c r="F927" s="6" t="str">
        <x:v>1</x:v>
      </x:c>
      <x:c r="G927" s="6" t="str"/>
      <x:c r="H927" s="6" t="str">
        <x:f>IF(B927="平","平",IF(B927="","","仄"))</x:f>
        <x:v>仄</x:v>
      </x:c>
      <x:c r="I927" s="6" t="str">
        <x:f>IF(D920="","",IF(AND(ISNUMBER(SEARCH("平",D920)),OR(ISNUMBER(SEARCH("上",D920)),ISNUMBER(SEARCH("去",D920)),ISNUMBER(SEARCH("入",D920)))),"Ambiguous",IF(ISNUMBER(SEARCH("平",D920)),"平","仄")))</x:f>
        <x:v>仄</x:v>
      </x:c>
      <x:c r="J927" s="7" t="str"/>
    </x:row>
    <x:row r="928">
      <x:c r="A928" s="5" t="str">
        <x:v>孺</x:v>
      </x:c>
      <x:c r="B928" s="6" t="str">
        <x:v>去</x:v>
      </x:c>
      <x:c r="C928" s="6" t="str">
        <x:f>IF(B928="","Needs decision","Ready")</x:f>
        <x:v>Ready</x:v>
      </x:c>
      <x:c r="D928" s="6" t="str">
        <x:v>去</x:v>
      </x:c>
      <x:c r="E928" s="6" t="str">
        <x:v>nyuH (C)</x:v>
      </x:c>
      <x:c r="F928" s="6" t="str">
        <x:v>1</x:v>
      </x:c>
      <x:c r="G928" s="6" t="str"/>
      <x:c r="H928" s="6" t="str">
        <x:f>IF(B928="平","平",IF(B928="","","仄"))</x:f>
        <x:v>仄</x:v>
      </x:c>
      <x:c r="I928" s="6" t="str">
        <x:f>IF(D921="","",IF(AND(ISNUMBER(SEARCH("平",D921)),OR(ISNUMBER(SEARCH("上",D921)),ISNUMBER(SEARCH("去",D921)),ISNUMBER(SEARCH("入",D921)))),"Ambiguous",IF(ISNUMBER(SEARCH("平",D921)),"平","仄")))</x:f>
        <x:v>仄</x:v>
      </x:c>
      <x:c r="J928" s="7" t="str"/>
    </x:row>
    <x:row r="929">
      <x:c r="A929" s="5" t="str">
        <x:v>孼</x:v>
      </x:c>
      <x:c r="B929" s="6" t="str">
        <x:v>入</x:v>
      </x:c>
      <x:c r="C929" s="6" t="str">
        <x:f>IF(B929="","Needs decision","Ready")</x:f>
        <x:v>Ready</x:v>
      </x:c>
      <x:c r="D929" s="6" t="str">
        <x:v>入</x:v>
      </x:c>
      <x:c r="E929" s="6" t="str">
        <x:v>ngjet (D)</x:v>
      </x:c>
      <x:c r="F929" s="6" t="str">
        <x:v>1</x:v>
      </x:c>
      <x:c r="G929" s="6" t="str"/>
      <x:c r="H929" s="6" t="str">
        <x:f>IF(B929="平","平",IF(B929="","","仄"))</x:f>
        <x:v>仄</x:v>
      </x:c>
      <x:c r="I929" s="6" t="str">
        <x:f>IF(D922="","",IF(AND(ISNUMBER(SEARCH("平",D922)),OR(ISNUMBER(SEARCH("上",D922)),ISNUMBER(SEARCH("去",D922)),ISNUMBER(SEARCH("入",D922)))),"Ambiguous",IF(ISNUMBER(SEARCH("平",D922)),"平","仄")))</x:f>
        <x:v>平</x:v>
      </x:c>
      <x:c r="J929" s="7" t="str"/>
    </x:row>
    <x:row r="930">
      <x:c r="A930" s="5" t="str">
        <x:v>孿</x:v>
      </x:c>
      <x:c r="B930" s="6" t="str">
        <x:v>去</x:v>
      </x:c>
      <x:c r="C930" s="6" t="str">
        <x:f>IF(B930="","Needs decision","Ready")</x:f>
        <x:v>Ready</x:v>
      </x:c>
      <x:c r="D930" s="6" t="str">
        <x:v>去</x:v>
      </x:c>
      <x:c r="E930" s="6" t="str">
        <x:v>srjwenH (C); srwaenH (C)</x:v>
      </x:c>
      <x:c r="F930" s="6" t="str">
        <x:v>2</x:v>
      </x:c>
      <x:c r="G930" s="6" t="str"/>
      <x:c r="H930" s="6" t="str">
        <x:f>IF(B930="平","平",IF(B930="","","仄"))</x:f>
        <x:v>仄</x:v>
      </x:c>
      <x:c r="I930" s="6" t="str">
        <x:f>IF(D923="","",IF(AND(ISNUMBER(SEARCH("平",D923)),OR(ISNUMBER(SEARCH("上",D923)),ISNUMBER(SEARCH("去",D923)),ISNUMBER(SEARCH("入",D923)))),"Ambiguous",IF(ISNUMBER(SEARCH("平",D923)),"平","仄")))</x:f>
        <x:v>平</x:v>
      </x:c>
      <x:c r="J930" s="7" t="str"/>
    </x:row>
    <x:row r="931">
      <x:c r="A931" s="5" t="str">
        <x:v>宀</x:v>
      </x:c>
      <x:c r="B931" s="6" t="str">
        <x:v>平</x:v>
      </x:c>
      <x:c r="C931" s="6" t="str">
        <x:f>IF(B931="","Needs decision","Ready")</x:f>
        <x:v>Ready</x:v>
      </x:c>
      <x:c r="D931" s="6" t="str">
        <x:v>平</x:v>
      </x:c>
      <x:c r="E931" s="6" t="str">
        <x:v>mjien (A)</x:v>
      </x:c>
      <x:c r="F931" s="6" t="str">
        <x:v>1</x:v>
      </x:c>
      <x:c r="G931" s="6" t="str"/>
      <x:c r="H931" s="6" t="str">
        <x:f>IF(B931="平","平",IF(B931="","","仄"))</x:f>
        <x:v>平</x:v>
      </x:c>
      <x:c r="I931" s="6" t="str">
        <x:f>IF(D924="","",IF(AND(ISNUMBER(SEARCH("平",D924)),OR(ISNUMBER(SEARCH("上",D924)),ISNUMBER(SEARCH("去",D924)),ISNUMBER(SEARCH("入",D924)))),"Ambiguous",IF(ISNUMBER(SEARCH("平",D924)),"平","仄")))</x:f>
        <x:v>平</x:v>
      </x:c>
      <x:c r="J931" s="7" t="str"/>
    </x:row>
    <x:row r="932">
      <x:c r="A932" s="5" t="str">
        <x:v>它</x:v>
      </x:c>
      <x:c r="B932" s="6" t="str">
        <x:v>平</x:v>
      </x:c>
      <x:c r="C932" s="6" t="str">
        <x:f>IF(B932="","Needs decision","Ready")</x:f>
        <x:v>Ready</x:v>
      </x:c>
      <x:c r="D932" s="6" t="str">
        <x:v>平</x:v>
      </x:c>
      <x:c r="E932" s="6" t="str">
        <x:v>tha (A)</x:v>
      </x:c>
      <x:c r="F932" s="6" t="str">
        <x:v>1</x:v>
      </x:c>
      <x:c r="G932" s="6" t="str"/>
      <x:c r="H932" s="6" t="str">
        <x:f>IF(B932="平","平",IF(B932="","","仄"))</x:f>
        <x:v>平</x:v>
      </x:c>
      <x:c r="I932" s="6" t="str">
        <x:f>IF(D925="","",IF(AND(ISNUMBER(SEARCH("平",D925)),OR(ISNUMBER(SEARCH("上",D925)),ISNUMBER(SEARCH("去",D925)),ISNUMBER(SEARCH("入",D925)))),"Ambiguous",IF(ISNUMBER(SEARCH("平",D925)),"平","仄")))</x:f>
        <x:v>仄</x:v>
      </x:c>
      <x:c r="J932" s="7" t="str"/>
    </x:row>
    <x:row r="933">
      <x:c r="A933" s="5" t="str">
        <x:v>宅</x:v>
      </x:c>
      <x:c r="B933" s="6" t="str">
        <x:v>入</x:v>
      </x:c>
      <x:c r="C933" s="6" t="str">
        <x:f>IF(B933="","Needs decision","Ready")</x:f>
        <x:v>Ready</x:v>
      </x:c>
      <x:c r="D933" s="6" t="str">
        <x:v>入</x:v>
      </x:c>
      <x:c r="E933" s="6" t="str">
        <x:v>draek (D)</x:v>
      </x:c>
      <x:c r="F933" s="6" t="str">
        <x:v>1</x:v>
      </x:c>
      <x:c r="G933" s="6" t="str"/>
      <x:c r="H933" s="6" t="str">
        <x:f>IF(B933="平","平",IF(B933="","","仄"))</x:f>
        <x:v>仄</x:v>
      </x:c>
      <x:c r="I933" s="6" t="str">
        <x:f>IF(D926="","",IF(AND(ISNUMBER(SEARCH("平",D926)),OR(ISNUMBER(SEARCH("上",D926)),ISNUMBER(SEARCH("去",D926)),ISNUMBER(SEARCH("入",D926)))),"Ambiguous",IF(ISNUMBER(SEARCH("平",D926)),"平","仄")))</x:f>
        <x:v>平</x:v>
      </x:c>
      <x:c r="J933" s="7" t="str"/>
    </x:row>
    <x:row r="934">
      <x:c r="A934" s="5" t="str">
        <x:v>宇</x:v>
      </x:c>
      <x:c r="B934" s="6" t="str">
        <x:v>上</x:v>
      </x:c>
      <x:c r="C934" s="6" t="str">
        <x:f>IF(B934="","Needs decision","Ready")</x:f>
        <x:v>Ready</x:v>
      </x:c>
      <x:c r="D934" s="6" t="str">
        <x:v>上</x:v>
      </x:c>
      <x:c r="E934" s="6" t="str">
        <x:v>hjuX (B)</x:v>
      </x:c>
      <x:c r="F934" s="6" t="str">
        <x:v>1</x:v>
      </x:c>
      <x:c r="G934" s="6" t="str"/>
      <x:c r="H934" s="6" t="str">
        <x:f>IF(B934="平","平",IF(B934="","","仄"))</x:f>
        <x:v>仄</x:v>
      </x:c>
      <x:c r="I934" s="6" t="str">
        <x:f>IF(D927="","",IF(AND(ISNUMBER(SEARCH("平",D927)),OR(ISNUMBER(SEARCH("上",D927)),ISNUMBER(SEARCH("去",D927)),ISNUMBER(SEARCH("入",D927)))),"Ambiguous",IF(ISNUMBER(SEARCH("平",D927)),"平","仄")))</x:f>
        <x:v>仄</x:v>
      </x:c>
      <x:c r="J934" s="7" t="str"/>
    </x:row>
    <x:row r="935">
      <x:c r="A935" s="5" t="str">
        <x:v>守</x:v>
      </x:c>
      <x:c r="B935" s="6" t="str"/>
      <x:c r="C935" s="6" t="str">
        <x:f>IF(B935="","Needs decision","Ready")</x:f>
        <x:v>Needs decision</x:v>
      </x:c>
      <x:c r="D935" s="6" t="str">
        <x:v>上/去</x:v>
      </x:c>
      <x:c r="E935" s="6" t="str">
        <x:v>syuwX (B); syuwH (C)</x:v>
      </x:c>
      <x:c r="F935" s="6" t="str">
        <x:v>2</x:v>
      </x:c>
      <x:c r="G935" s="6" t="str"/>
      <x:c r="H935" s="6" t="str">
        <x:f>IF(B935="平","平",IF(B935="","","仄"))</x:f>
      </x:c>
      <x:c r="I935" s="6" t="str">
        <x:f>IF(D928="","",IF(AND(ISNUMBER(SEARCH("平",D928)),OR(ISNUMBER(SEARCH("上",D928)),ISNUMBER(SEARCH("去",D928)),ISNUMBER(SEARCH("入",D928)))),"Ambiguous",IF(ISNUMBER(SEARCH("平",D928)),"平","仄")))</x:f>
        <x:v>仄</x:v>
      </x:c>
      <x:c r="J935" s="7" t="str"/>
    </x:row>
    <x:row r="936">
      <x:c r="A936" s="5" t="str">
        <x:v>安</x:v>
      </x:c>
      <x:c r="B936" s="6" t="str">
        <x:v>平</x:v>
      </x:c>
      <x:c r="C936" s="6" t="str">
        <x:f>IF(B936="","Needs decision","Ready")</x:f>
        <x:v>Ready</x:v>
      </x:c>
      <x:c r="D936" s="6" t="str">
        <x:v>平</x:v>
      </x:c>
      <x:c r="E936" s="6" t="str">
        <x:v>'an (A)</x:v>
      </x:c>
      <x:c r="F936" s="6" t="str">
        <x:v>1</x:v>
      </x:c>
      <x:c r="G936" s="6" t="str"/>
      <x:c r="H936" s="6" t="str">
        <x:f>IF(B936="平","平",IF(B936="","","仄"))</x:f>
        <x:v>平</x:v>
      </x:c>
      <x:c r="I936" s="6" t="str">
        <x:f>IF(D929="","",IF(AND(ISNUMBER(SEARCH("平",D929)),OR(ISNUMBER(SEARCH("上",D929)),ISNUMBER(SEARCH("去",D929)),ISNUMBER(SEARCH("入",D929)))),"Ambiguous",IF(ISNUMBER(SEARCH("平",D929)),"平","仄")))</x:f>
        <x:v>仄</x:v>
      </x:c>
      <x:c r="J936" s="7" t="str"/>
    </x:row>
    <x:row r="937">
      <x:c r="A937" s="5" t="str">
        <x:v>宋</x:v>
      </x:c>
      <x:c r="B937" s="6" t="str">
        <x:v>去</x:v>
      </x:c>
      <x:c r="C937" s="6" t="str">
        <x:f>IF(B937="","Needs decision","Ready")</x:f>
        <x:v>Ready</x:v>
      </x:c>
      <x:c r="D937" s="6" t="str">
        <x:v>去</x:v>
      </x:c>
      <x:c r="E937" s="6" t="str">
        <x:v>sowngH (C)</x:v>
      </x:c>
      <x:c r="F937" s="6" t="str">
        <x:v>1</x:v>
      </x:c>
      <x:c r="G937" s="6" t="str"/>
      <x:c r="H937" s="6" t="str">
        <x:f>IF(B937="平","平",IF(B937="","","仄"))</x:f>
        <x:v>仄</x:v>
      </x:c>
      <x:c r="I937" s="6" t="str">
        <x:f>IF(D930="","",IF(AND(ISNUMBER(SEARCH("平",D930)),OR(ISNUMBER(SEARCH("上",D930)),ISNUMBER(SEARCH("去",D930)),ISNUMBER(SEARCH("入",D930)))),"Ambiguous",IF(ISNUMBER(SEARCH("平",D930)),"平","仄")))</x:f>
        <x:v>仄</x:v>
      </x:c>
      <x:c r="J937" s="7" t="str"/>
    </x:row>
    <x:row r="938">
      <x:c r="A938" s="5" t="str">
        <x:v>完</x:v>
      </x:c>
      <x:c r="B938" s="6" t="str">
        <x:v>平</x:v>
      </x:c>
      <x:c r="C938" s="6" t="str">
        <x:f>IF(B938="","Needs decision","Ready")</x:f>
        <x:v>Ready</x:v>
      </x:c>
      <x:c r="D938" s="6" t="str">
        <x:v>平</x:v>
      </x:c>
      <x:c r="E938" s="6" t="str">
        <x:v>hwan (A)</x:v>
      </x:c>
      <x:c r="F938" s="6" t="str">
        <x:v>1</x:v>
      </x:c>
      <x:c r="G938" s="6" t="str"/>
      <x:c r="H938" s="6" t="str">
        <x:f>IF(B938="平","平",IF(B938="","","仄"))</x:f>
        <x:v>平</x:v>
      </x:c>
      <x:c r="I938" s="6" t="str">
        <x:f>IF(D931="","",IF(AND(ISNUMBER(SEARCH("平",D931)),OR(ISNUMBER(SEARCH("上",D931)),ISNUMBER(SEARCH("去",D931)),ISNUMBER(SEARCH("入",D931)))),"Ambiguous",IF(ISNUMBER(SEARCH("平",D931)),"平","仄")))</x:f>
        <x:v>平</x:v>
      </x:c>
      <x:c r="J938" s="7" t="str"/>
    </x:row>
    <x:row r="939">
      <x:c r="A939" s="5" t="str">
        <x:v>宏</x:v>
      </x:c>
      <x:c r="B939" s="6" t="str">
        <x:v>平</x:v>
      </x:c>
      <x:c r="C939" s="6" t="str">
        <x:f>IF(B939="","Needs decision","Ready")</x:f>
        <x:v>Ready</x:v>
      </x:c>
      <x:c r="D939" s="6" t="str">
        <x:v>平</x:v>
      </x:c>
      <x:c r="E939" s="6" t="str">
        <x:v>hweang (A)</x:v>
      </x:c>
      <x:c r="F939" s="6" t="str">
        <x:v>1</x:v>
      </x:c>
      <x:c r="G939" s="6" t="str"/>
      <x:c r="H939" s="6" t="str">
        <x:f>IF(B939="平","平",IF(B939="","","仄"))</x:f>
        <x:v>平</x:v>
      </x:c>
      <x:c r="I939" s="6" t="str">
        <x:f>IF(D932="","",IF(AND(ISNUMBER(SEARCH("平",D932)),OR(ISNUMBER(SEARCH("上",D932)),ISNUMBER(SEARCH("去",D932)),ISNUMBER(SEARCH("入",D932)))),"Ambiguous",IF(ISNUMBER(SEARCH("平",D932)),"平","仄")))</x:f>
        <x:v>平</x:v>
      </x:c>
      <x:c r="J939" s="7" t="str"/>
    </x:row>
    <x:row r="940">
      <x:c r="A940" s="5" t="str">
        <x:v>宓</x:v>
      </x:c>
      <x:c r="B940" s="6" t="str">
        <x:v>入</x:v>
      </x:c>
      <x:c r="C940" s="6" t="str">
        <x:f>IF(B940="","Needs decision","Ready")</x:f>
        <x:v>Ready</x:v>
      </x:c>
      <x:c r="D940" s="6" t="str">
        <x:v>入</x:v>
      </x:c>
      <x:c r="E940" s="6" t="str">
        <x:v>mit [mɨ̯it] (入); mjit [mjit] (入)</x:v>
      </x:c>
      <x:c r="F940" s="6" t="str">
        <x:v>2</x:v>
      </x:c>
      <x:c r="G940" s="6" t="str">
        <x:v>Tang 300 gap; frequency 1; provisional from Xun Gong</x:v>
      </x:c>
      <x:c r="H940" s="6" t="str">
        <x:f>IF(B940="平","平",IF(B940="","","仄"))</x:f>
        <x:v>仄</x:v>
      </x:c>
      <x:c r="I940" s="6" t="str">
        <x:f>IF(D933="","",IF(AND(ISNUMBER(SEARCH("平",D933)),OR(ISNUMBER(SEARCH("上",D933)),ISNUMBER(SEARCH("去",D933)),ISNUMBER(SEARCH("入",D933)))),"Ambiguous",IF(ISNUMBER(SEARCH("平",D933)),"平","仄")))</x:f>
        <x:v>仄</x:v>
      </x:c>
      <x:c r="J940" s="7" t="str">
        <x:v>Xun Gong, Tang 300 gap fill</x:v>
      </x:c>
    </x:row>
    <x:row r="941">
      <x:c r="A941" s="5" t="str">
        <x:v>宗</x:v>
      </x:c>
      <x:c r="B941" s="6" t="str">
        <x:v>平</x:v>
      </x:c>
      <x:c r="C941" s="6" t="str">
        <x:f>IF(B941="","Needs decision","Ready")</x:f>
        <x:v>Ready</x:v>
      </x:c>
      <x:c r="D941" s="6" t="str">
        <x:v>平</x:v>
      </x:c>
      <x:c r="E941" s="6" t="str">
        <x:v>tsowng (A)</x:v>
      </x:c>
      <x:c r="F941" s="6" t="str">
        <x:v>1</x:v>
      </x:c>
      <x:c r="G941" s="6" t="str"/>
      <x:c r="H941" s="6" t="str">
        <x:f>IF(B941="平","平",IF(B941="","","仄"))</x:f>
        <x:v>平</x:v>
      </x:c>
      <x:c r="I941" s="6" t="str">
        <x:f>IF(D934="","",IF(AND(ISNUMBER(SEARCH("平",D934)),OR(ISNUMBER(SEARCH("上",D934)),ISNUMBER(SEARCH("去",D934)),ISNUMBER(SEARCH("入",D934)))),"Ambiguous",IF(ISNUMBER(SEARCH("平",D934)),"平","仄")))</x:f>
        <x:v>仄</x:v>
      </x:c>
      <x:c r="J941" s="7" t="str"/>
    </x:row>
    <x:row r="942">
      <x:c r="A942" s="5" t="str">
        <x:v>官</x:v>
      </x:c>
      <x:c r="B942" s="6" t="str">
        <x:v>平</x:v>
      </x:c>
      <x:c r="C942" s="6" t="str">
        <x:f>IF(B942="","Needs decision","Ready")</x:f>
        <x:v>Ready</x:v>
      </x:c>
      <x:c r="D942" s="6" t="str">
        <x:v>平</x:v>
      </x:c>
      <x:c r="E942" s="6" t="str">
        <x:v>kwan (A)</x:v>
      </x:c>
      <x:c r="F942" s="6" t="str">
        <x:v>1</x:v>
      </x:c>
      <x:c r="G942" s="6" t="str"/>
      <x:c r="H942" s="6" t="str">
        <x:f>IF(B942="平","平",IF(B942="","","仄"))</x:f>
        <x:v>平</x:v>
      </x:c>
      <x:c r="I942" s="6" t="str">
        <x:f>IF(D935="","",IF(AND(ISNUMBER(SEARCH("平",D935)),OR(ISNUMBER(SEARCH("上",D935)),ISNUMBER(SEARCH("去",D935)),ISNUMBER(SEARCH("入",D935)))),"Ambiguous",IF(ISNUMBER(SEARCH("平",D935)),"平","仄")))</x:f>
        <x:v>仄</x:v>
      </x:c>
      <x:c r="J942" s="7" t="str"/>
    </x:row>
    <x:row r="943">
      <x:c r="A943" s="5" t="str">
        <x:v>宙</x:v>
      </x:c>
      <x:c r="B943" s="6" t="str">
        <x:v>去</x:v>
      </x:c>
      <x:c r="C943" s="6" t="str">
        <x:f>IF(B943="","Needs decision","Ready")</x:f>
        <x:v>Ready</x:v>
      </x:c>
      <x:c r="D943" s="6" t="str">
        <x:v>去</x:v>
      </x:c>
      <x:c r="E943" s="6" t="str">
        <x:v>drjuwH [ɖjuh] (去)</x:v>
      </x:c>
      <x:c r="F943" s="6" t="str">
        <x:v>1</x:v>
      </x:c>
      <x:c r="G943" s="6" t="str">
        <x:v>Tang 300 gap; frequency 1; provisional from Xun Gong</x:v>
      </x:c>
      <x:c r="H943" s="6" t="str">
        <x:f>IF(B943="平","平",IF(B943="","","仄"))</x:f>
        <x:v>仄</x:v>
      </x:c>
      <x:c r="I943" s="6" t="str">
        <x:f>IF(D936="","",IF(AND(ISNUMBER(SEARCH("平",D936)),OR(ISNUMBER(SEARCH("上",D936)),ISNUMBER(SEARCH("去",D936)),ISNUMBER(SEARCH("入",D936)))),"Ambiguous",IF(ISNUMBER(SEARCH("平",D936)),"平","仄")))</x:f>
        <x:v>平</x:v>
      </x:c>
      <x:c r="J943" s="7" t="str">
        <x:v>Xun Gong, Tang 300 gap fill</x:v>
      </x:c>
    </x:row>
    <x:row r="944">
      <x:c r="A944" s="5" t="str">
        <x:v>定</x:v>
      </x:c>
      <x:c r="B944" s="6" t="str">
        <x:v>去</x:v>
      </x:c>
      <x:c r="C944" s="6" t="str">
        <x:f>IF(B944="","Needs decision","Ready")</x:f>
        <x:v>Ready</x:v>
      </x:c>
      <x:c r="D944" s="6" t="str">
        <x:v>去</x:v>
      </x:c>
      <x:c r="E944" s="6" t="str">
        <x:v>dengH (C); tengH (C)</x:v>
      </x:c>
      <x:c r="F944" s="6" t="str">
        <x:v>2</x:v>
      </x:c>
      <x:c r="G944" s="6" t="str"/>
      <x:c r="H944" s="6" t="str">
        <x:f>IF(B944="平","平",IF(B944="","","仄"))</x:f>
        <x:v>仄</x:v>
      </x:c>
      <x:c r="I944" s="6" t="str">
        <x:f>IF(D937="","",IF(AND(ISNUMBER(SEARCH("平",D937)),OR(ISNUMBER(SEARCH("上",D937)),ISNUMBER(SEARCH("去",D937)),ISNUMBER(SEARCH("入",D937)))),"Ambiguous",IF(ISNUMBER(SEARCH("平",D937)),"平","仄")))</x:f>
        <x:v>仄</x:v>
      </x:c>
      <x:c r="J944" s="7" t="str"/>
    </x:row>
    <x:row r="945">
      <x:c r="A945" s="5" t="str">
        <x:v>宛</x:v>
      </x:c>
      <x:c r="B945" s="6" t="str">
        <x:v>上</x:v>
      </x:c>
      <x:c r="C945" s="6" t="str">
        <x:f>IF(B945="","Needs decision","Ready")</x:f>
        <x:v>Ready</x:v>
      </x:c>
      <x:c r="D945" s="6" t="str">
        <x:v>上</x:v>
      </x:c>
      <x:c r="E945" s="6" t="str">
        <x:v>'jwonX (B)</x:v>
      </x:c>
      <x:c r="F945" s="6" t="str">
        <x:v>1</x:v>
      </x:c>
      <x:c r="G945" s="6" t="str"/>
      <x:c r="H945" s="6" t="str">
        <x:f>IF(B945="平","平",IF(B945="","","仄"))</x:f>
        <x:v>仄</x:v>
      </x:c>
      <x:c r="I945" s="6" t="str">
        <x:f>IF(D938="","",IF(AND(ISNUMBER(SEARCH("平",D938)),OR(ISNUMBER(SEARCH("上",D938)),ISNUMBER(SEARCH("去",D938)),ISNUMBER(SEARCH("入",D938)))),"Ambiguous",IF(ISNUMBER(SEARCH("平",D938)),"平","仄")))</x:f>
        <x:v>平</x:v>
      </x:c>
      <x:c r="J945" s="7" t="str"/>
    </x:row>
    <x:row r="946">
      <x:c r="A946" s="5" t="str">
        <x:v>宜</x:v>
      </x:c>
      <x:c r="B946" s="6" t="str">
        <x:v>平</x:v>
      </x:c>
      <x:c r="C946" s="6" t="str">
        <x:f>IF(B946="","Needs decision","Ready")</x:f>
        <x:v>Ready</x:v>
      </x:c>
      <x:c r="D946" s="6" t="str">
        <x:v>平</x:v>
      </x:c>
      <x:c r="E946" s="6" t="str">
        <x:v>ngje (A)</x:v>
      </x:c>
      <x:c r="F946" s="6" t="str">
        <x:v>1</x:v>
      </x:c>
      <x:c r="G946" s="6" t="str"/>
      <x:c r="H946" s="6" t="str">
        <x:f>IF(B946="平","平",IF(B946="","","仄"))</x:f>
        <x:v>平</x:v>
      </x:c>
      <x:c r="I946" s="6" t="str">
        <x:f>IF(D939="","",IF(AND(ISNUMBER(SEARCH("平",D939)),OR(ISNUMBER(SEARCH("上",D939)),ISNUMBER(SEARCH("去",D939)),ISNUMBER(SEARCH("入",D939)))),"Ambiguous",IF(ISNUMBER(SEARCH("平",D939)),"平","仄")))</x:f>
        <x:v>平</x:v>
      </x:c>
      <x:c r="J946" s="7" t="str"/>
    </x:row>
    <x:row r="947">
      <x:c r="A947" s="5" t="str">
        <x:v>客</x:v>
      </x:c>
      <x:c r="B947" s="6" t="str">
        <x:v>入</x:v>
      </x:c>
      <x:c r="C947" s="6" t="str">
        <x:f>IF(B947="","Needs decision","Ready")</x:f>
        <x:v>Ready</x:v>
      </x:c>
      <x:c r="D947" s="6" t="str">
        <x:v>入</x:v>
      </x:c>
      <x:c r="E947" s="6" t="str">
        <x:v>khaek (D)</x:v>
      </x:c>
      <x:c r="F947" s="6" t="str">
        <x:v>1</x:v>
      </x:c>
      <x:c r="G947" s="6" t="str"/>
      <x:c r="H947" s="6" t="str">
        <x:f>IF(B947="平","平",IF(B947="","","仄"))</x:f>
        <x:v>仄</x:v>
      </x:c>
      <x:c r="I947" s="6" t="str">
        <x:f>IF(D940="","",IF(AND(ISNUMBER(SEARCH("平",D940)),OR(ISNUMBER(SEARCH("上",D940)),ISNUMBER(SEARCH("去",D940)),ISNUMBER(SEARCH("入",D940)))),"Ambiguous",IF(ISNUMBER(SEARCH("平",D940)),"平","仄")))</x:f>
        <x:v>仄</x:v>
      </x:c>
      <x:c r="J947" s="7" t="str"/>
    </x:row>
    <x:row r="948">
      <x:c r="A948" s="5" t="str">
        <x:v>宣</x:v>
      </x:c>
      <x:c r="B948" s="6" t="str">
        <x:v>平</x:v>
      </x:c>
      <x:c r="C948" s="6" t="str">
        <x:f>IF(B948="","Needs decision","Ready")</x:f>
        <x:v>Ready</x:v>
      </x:c>
      <x:c r="D948" s="6" t="str">
        <x:v>平</x:v>
      </x:c>
      <x:c r="E948" s="6" t="str">
        <x:v>sjwen (A)</x:v>
      </x:c>
      <x:c r="F948" s="6" t="str">
        <x:v>1</x:v>
      </x:c>
      <x:c r="G948" s="6" t="str"/>
      <x:c r="H948" s="6" t="str">
        <x:f>IF(B948="平","平",IF(B948="","","仄"))</x:f>
        <x:v>平</x:v>
      </x:c>
      <x:c r="I948" s="6" t="str">
        <x:f>IF(D941="","",IF(AND(ISNUMBER(SEARCH("平",D941)),OR(ISNUMBER(SEARCH("上",D941)),ISNUMBER(SEARCH("去",D941)),ISNUMBER(SEARCH("入",D941)))),"Ambiguous",IF(ISNUMBER(SEARCH("平",D941)),"平","仄")))</x:f>
        <x:v>平</x:v>
      </x:c>
      <x:c r="J948" s="7" t="str"/>
    </x:row>
    <x:row r="949">
      <x:c r="A949" s="5" t="str">
        <x:v>室</x:v>
      </x:c>
      <x:c r="B949" s="6" t="str">
        <x:v>入</x:v>
      </x:c>
      <x:c r="C949" s="6" t="str">
        <x:f>IF(B949="","Needs decision","Ready")</x:f>
        <x:v>Ready</x:v>
      </x:c>
      <x:c r="D949" s="6" t="str">
        <x:v>入</x:v>
      </x:c>
      <x:c r="E949" s="6" t="str">
        <x:v>syit (D)</x:v>
      </x:c>
      <x:c r="F949" s="6" t="str">
        <x:v>1</x:v>
      </x:c>
      <x:c r="G949" s="6" t="str"/>
      <x:c r="H949" s="6" t="str">
        <x:f>IF(B949="平","平",IF(B949="","","仄"))</x:f>
        <x:v>仄</x:v>
      </x:c>
      <x:c r="I949" s="6" t="str">
        <x:f>IF(D942="","",IF(AND(ISNUMBER(SEARCH("平",D942)),OR(ISNUMBER(SEARCH("上",D942)),ISNUMBER(SEARCH("去",D942)),ISNUMBER(SEARCH("入",D942)))),"Ambiguous",IF(ISNUMBER(SEARCH("平",D942)),"平","仄")))</x:f>
        <x:v>平</x:v>
      </x:c>
      <x:c r="J949" s="7" t="str"/>
    </x:row>
    <x:row r="950">
      <x:c r="A950" s="5" t="str">
        <x:v>宦</x:v>
      </x:c>
      <x:c r="B950" s="6" t="str">
        <x:v>去</x:v>
      </x:c>
      <x:c r="C950" s="6" t="str">
        <x:f>IF(B950="","Needs decision","Ready")</x:f>
        <x:v>Ready</x:v>
      </x:c>
      <x:c r="D950" s="6" t="str">
        <x:v>去</x:v>
      </x:c>
      <x:c r="E950" s="6" t="str">
        <x:v>hwaenH (C)</x:v>
      </x:c>
      <x:c r="F950" s="6" t="str">
        <x:v>1</x:v>
      </x:c>
      <x:c r="G950" s="6" t="str"/>
      <x:c r="H950" s="6" t="str">
        <x:f>IF(B950="平","平",IF(B950="","","仄"))</x:f>
        <x:v>仄</x:v>
      </x:c>
      <x:c r="I950" s="6" t="str">
        <x:f>IF(D943="","",IF(AND(ISNUMBER(SEARCH("平",D943)),OR(ISNUMBER(SEARCH("上",D943)),ISNUMBER(SEARCH("去",D943)),ISNUMBER(SEARCH("入",D943)))),"Ambiguous",IF(ISNUMBER(SEARCH("平",D943)),"平","仄")))</x:f>
        <x:v>仄</x:v>
      </x:c>
      <x:c r="J950" s="7" t="str"/>
    </x:row>
    <x:row r="951">
      <x:c r="A951" s="5" t="str">
        <x:v>宮</x:v>
      </x:c>
      <x:c r="B951" s="6" t="str">
        <x:v>平</x:v>
      </x:c>
      <x:c r="C951" s="6" t="str">
        <x:f>IF(B951="","Needs decision","Ready")</x:f>
        <x:v>Ready</x:v>
      </x:c>
      <x:c r="D951" s="6" t="str">
        <x:v>平</x:v>
      </x:c>
      <x:c r="E951" s="6" t="str">
        <x:v>kjuwng (A)</x:v>
      </x:c>
      <x:c r="F951" s="6" t="str">
        <x:v>1</x:v>
      </x:c>
      <x:c r="G951" s="6" t="str"/>
      <x:c r="H951" s="6" t="str">
        <x:f>IF(B951="平","平",IF(B951="","","仄"))</x:f>
        <x:v>平</x:v>
      </x:c>
      <x:c r="I951" s="6" t="str">
        <x:f>IF(D944="","",IF(AND(ISNUMBER(SEARCH("平",D944)),OR(ISNUMBER(SEARCH("上",D944)),ISNUMBER(SEARCH("去",D944)),ISNUMBER(SEARCH("入",D944)))),"Ambiguous",IF(ISNUMBER(SEARCH("平",D944)),"平","仄")))</x:f>
        <x:v>仄</x:v>
      </x:c>
      <x:c r="J951" s="7" t="str"/>
    </x:row>
    <x:row r="952">
      <x:c r="A952" s="5" t="str">
        <x:v>宰</x:v>
      </x:c>
      <x:c r="B952" s="6" t="str">
        <x:v>上</x:v>
      </x:c>
      <x:c r="C952" s="6" t="str">
        <x:f>IF(B952="","Needs decision","Ready")</x:f>
        <x:v>Ready</x:v>
      </x:c>
      <x:c r="D952" s="6" t="str">
        <x:v>上</x:v>
      </x:c>
      <x:c r="E952" s="6" t="str">
        <x:v>tsojX (B)</x:v>
      </x:c>
      <x:c r="F952" s="6" t="str">
        <x:v>1</x:v>
      </x:c>
      <x:c r="G952" s="6" t="str"/>
      <x:c r="H952" s="6" t="str">
        <x:f>IF(B952="平","平",IF(B952="","","仄"))</x:f>
        <x:v>仄</x:v>
      </x:c>
      <x:c r="I952" s="6" t="str">
        <x:f>IF(D945="","",IF(AND(ISNUMBER(SEARCH("平",D945)),OR(ISNUMBER(SEARCH("上",D945)),ISNUMBER(SEARCH("去",D945)),ISNUMBER(SEARCH("入",D945)))),"Ambiguous",IF(ISNUMBER(SEARCH("平",D945)),"平","仄")))</x:f>
        <x:v>仄</x:v>
      </x:c>
      <x:c r="J952" s="7" t="str"/>
    </x:row>
    <x:row r="953">
      <x:c r="A953" s="5" t="str">
        <x:v>害</x:v>
      </x:c>
      <x:c r="B953" s="6" t="str">
        <x:v>去</x:v>
      </x:c>
      <x:c r="C953" s="6" t="str">
        <x:f>IF(B953="","Needs decision","Ready")</x:f>
        <x:v>Ready</x:v>
      </x:c>
      <x:c r="D953" s="6" t="str">
        <x:v>去</x:v>
      </x:c>
      <x:c r="E953" s="6" t="str">
        <x:v>hajH (C)</x:v>
      </x:c>
      <x:c r="F953" s="6" t="str">
        <x:v>1</x:v>
      </x:c>
      <x:c r="G953" s="6" t="str"/>
      <x:c r="H953" s="6" t="str">
        <x:f>IF(B953="平","平",IF(B953="","","仄"))</x:f>
        <x:v>仄</x:v>
      </x:c>
      <x:c r="I953" s="6" t="str">
        <x:f>IF(D946="","",IF(AND(ISNUMBER(SEARCH("平",D946)),OR(ISNUMBER(SEARCH("上",D946)),ISNUMBER(SEARCH("去",D946)),ISNUMBER(SEARCH("入",D946)))),"Ambiguous",IF(ISNUMBER(SEARCH("平",D946)),"平","仄")))</x:f>
        <x:v>平</x:v>
      </x:c>
      <x:c r="J953" s="7" t="str"/>
    </x:row>
    <x:row r="954">
      <x:c r="A954" s="5" t="str">
        <x:v>宴</x:v>
      </x:c>
      <x:c r="B954" s="6" t="str">
        <x:v>去</x:v>
      </x:c>
      <x:c r="C954" s="6" t="str">
        <x:f>IF(B954="","Needs decision","Ready")</x:f>
        <x:v>Ready</x:v>
      </x:c>
      <x:c r="D954" s="6" t="str">
        <x:v>去</x:v>
      </x:c>
      <x:c r="E954" s="6" t="str">
        <x:v>'enH (C)</x:v>
      </x:c>
      <x:c r="F954" s="6" t="str">
        <x:v>1</x:v>
      </x:c>
      <x:c r="G954" s="6" t="str"/>
      <x:c r="H954" s="6" t="str">
        <x:f>IF(B954="平","平",IF(B954="","","仄"))</x:f>
        <x:v>仄</x:v>
      </x:c>
      <x:c r="I954" s="6" t="str">
        <x:f>IF(D947="","",IF(AND(ISNUMBER(SEARCH("平",D947)),OR(ISNUMBER(SEARCH("上",D947)),ISNUMBER(SEARCH("去",D947)),ISNUMBER(SEARCH("入",D947)))),"Ambiguous",IF(ISNUMBER(SEARCH("平",D947)),"平","仄")))</x:f>
        <x:v>仄</x:v>
      </x:c>
      <x:c r="J954" s="7" t="str"/>
    </x:row>
    <x:row r="955">
      <x:c r="A955" s="5" t="str">
        <x:v>宵</x:v>
      </x:c>
      <x:c r="B955" s="6" t="str">
        <x:v>平</x:v>
      </x:c>
      <x:c r="C955" s="6" t="str">
        <x:f>IF(B955="","Needs decision","Ready")</x:f>
        <x:v>Ready</x:v>
      </x:c>
      <x:c r="D955" s="6" t="str">
        <x:v>平</x:v>
      </x:c>
      <x:c r="E955" s="6" t="str">
        <x:v>sjew (A)</x:v>
      </x:c>
      <x:c r="F955" s="6" t="str">
        <x:v>1</x:v>
      </x:c>
      <x:c r="G955" s="6" t="str"/>
      <x:c r="H955" s="6" t="str">
        <x:f>IF(B955="平","平",IF(B955="","","仄"))</x:f>
        <x:v>平</x:v>
      </x:c>
      <x:c r="I955" s="6" t="str">
        <x:f>IF(D948="","",IF(AND(ISNUMBER(SEARCH("平",D948)),OR(ISNUMBER(SEARCH("上",D948)),ISNUMBER(SEARCH("去",D948)),ISNUMBER(SEARCH("入",D948)))),"Ambiguous",IF(ISNUMBER(SEARCH("平",D948)),"平","仄")))</x:f>
        <x:v>平</x:v>
      </x:c>
      <x:c r="J955" s="7" t="str"/>
    </x:row>
    <x:row r="956">
      <x:c r="A956" s="5" t="str">
        <x:v>家</x:v>
      </x:c>
      <x:c r="B956" s="6" t="str">
        <x:v>平</x:v>
      </x:c>
      <x:c r="C956" s="6" t="str">
        <x:f>IF(B956="","Needs decision","Ready")</x:f>
        <x:v>Ready</x:v>
      </x:c>
      <x:c r="D956" s="6" t="str">
        <x:v>平</x:v>
      </x:c>
      <x:c r="E956" s="6" t="str">
        <x:v>kae (A)</x:v>
      </x:c>
      <x:c r="F956" s="6" t="str">
        <x:v>1</x:v>
      </x:c>
      <x:c r="G956" s="6" t="str"/>
      <x:c r="H956" s="6" t="str">
        <x:f>IF(B956="平","平",IF(B956="","","仄"))</x:f>
        <x:v>平</x:v>
      </x:c>
      <x:c r="I956" s="6" t="str">
        <x:f>IF(D949="","",IF(AND(ISNUMBER(SEARCH("平",D949)),OR(ISNUMBER(SEARCH("上",D949)),ISNUMBER(SEARCH("去",D949)),ISNUMBER(SEARCH("入",D949)))),"Ambiguous",IF(ISNUMBER(SEARCH("平",D949)),"平","仄")))</x:f>
        <x:v>仄</x:v>
      </x:c>
      <x:c r="J956" s="7" t="str"/>
    </x:row>
    <x:row r="957">
      <x:c r="A957" s="5" t="str">
        <x:v>宸</x:v>
      </x:c>
      <x:c r="B957" s="6" t="str">
        <x:v>平</x:v>
      </x:c>
      <x:c r="C957" s="6" t="str">
        <x:f>IF(B957="","Needs decision","Ready")</x:f>
        <x:v>Ready</x:v>
      </x:c>
      <x:c r="D957" s="6" t="str">
        <x:v>平</x:v>
      </x:c>
      <x:c r="E957" s="6" t="str"/>
      <x:c r="F957" s="6" t="str"/>
      <x:c r="G957" s="6" t="str">
        <x:v>Manual user correction/addition</x:v>
      </x:c>
      <x:c r="H957" s="6" t="str">
        <x:f>IF(B957="平","平",IF(B957="","","仄"))</x:f>
        <x:v>平</x:v>
      </x:c>
      <x:c r="I957" s="6" t="str">
        <x:f>IF(D950="","",IF(AND(ISNUMBER(SEARCH("平",D950)),OR(ISNUMBER(SEARCH("上",D950)),ISNUMBER(SEARCH("去",D950)),ISNUMBER(SEARCH("入",D950)))),"Ambiguous",IF(ISNUMBER(SEARCH("平",D950)),"平","仄")))</x:f>
        <x:v>仄</x:v>
      </x:c>
      <x:c r="J957" s="7" t="str">
        <x:v>manual user correction</x:v>
      </x:c>
    </x:row>
    <x:row r="958">
      <x:c r="A958" s="5" t="str">
        <x:v>容</x:v>
      </x:c>
      <x:c r="B958" s="6" t="str">
        <x:v>平</x:v>
      </x:c>
      <x:c r="C958" s="6" t="str">
        <x:f>IF(B958="","Needs decision","Ready")</x:f>
        <x:v>Ready</x:v>
      </x:c>
      <x:c r="D958" s="6" t="str">
        <x:v>平</x:v>
      </x:c>
      <x:c r="E958" s="6" t="str">
        <x:v>yowng (A)</x:v>
      </x:c>
      <x:c r="F958" s="6" t="str">
        <x:v>1</x:v>
      </x:c>
      <x:c r="G958" s="6" t="str"/>
      <x:c r="H958" s="6" t="str">
        <x:f>IF(B958="平","平",IF(B958="","","仄"))</x:f>
        <x:v>平</x:v>
      </x:c>
      <x:c r="I958" s="6" t="str">
        <x:f>IF(D951="","",IF(AND(ISNUMBER(SEARCH("平",D951)),OR(ISNUMBER(SEARCH("上",D951)),ISNUMBER(SEARCH("去",D951)),ISNUMBER(SEARCH("入",D951)))),"Ambiguous",IF(ISNUMBER(SEARCH("平",D951)),"平","仄")))</x:f>
        <x:v>平</x:v>
      </x:c>
      <x:c r="J958" s="7" t="str"/>
    </x:row>
    <x:row r="959">
      <x:c r="A959" s="5" t="str">
        <x:v>宿</x:v>
      </x:c>
      <x:c r="B959" s="6" t="str">
        <x:v>入</x:v>
      </x:c>
      <x:c r="C959" s="6" t="str">
        <x:f>IF(B959="","Needs decision","Ready")</x:f>
        <x:v>Ready</x:v>
      </x:c>
      <x:c r="D959" s="6" t="str">
        <x:v>入/去</x:v>
      </x:c>
      <x:c r="E959" s="6" t="str">
        <x:v>sjuwk (D); sjuwH (C)</x:v>
      </x:c>
      <x:c r="F959" s="6" t="str">
        <x:v>2</x:v>
      </x:c>
      <x:c r="G959" s="6" t="str">
        <x:v>User workbook edit 2026-09-03</x:v>
      </x:c>
      <x:c r="H959" s="6" t="str">
        <x:f>IF(B959="平","平",IF(B959="","","仄"))</x:f>
        <x:v>仄</x:v>
      </x:c>
      <x:c r="I959" s="6" t="str">
        <x:f>IF(D952="","",IF(AND(ISNUMBER(SEARCH("平",D952)),OR(ISNUMBER(SEARCH("上",D952)),ISNUMBER(SEARCH("去",D952)),ISNUMBER(SEARCH("入",D952)))),"Ambiguous",IF(ISNUMBER(SEARCH("平",D952)),"平","仄")))</x:f>
        <x:v>仄</x:v>
      </x:c>
      <x:c r="J959" s="7" t="str">
        <x:v>manual user correction</x:v>
      </x:c>
    </x:row>
    <x:row r="960">
      <x:c r="A960" s="5" t="str">
        <x:v>寂</x:v>
      </x:c>
      <x:c r="B960" s="6" t="str">
        <x:v>入</x:v>
      </x:c>
      <x:c r="C960" s="6" t="str">
        <x:f>IF(B960="","Needs decision","Ready")</x:f>
        <x:v>Ready</x:v>
      </x:c>
      <x:c r="D960" s="6" t="str">
        <x:v>入</x:v>
      </x:c>
      <x:c r="E960" s="6" t="str">
        <x:v>dzek (D)</x:v>
      </x:c>
      <x:c r="F960" s="6" t="str">
        <x:v>1</x:v>
      </x:c>
      <x:c r="G960" s="6" t="str"/>
      <x:c r="H960" s="6" t="str">
        <x:f>IF(B960="平","平",IF(B960="","","仄"))</x:f>
        <x:v>仄</x:v>
      </x:c>
      <x:c r="I960" s="6" t="str">
        <x:f>IF(D953="","",IF(AND(ISNUMBER(SEARCH("平",D953)),OR(ISNUMBER(SEARCH("上",D953)),ISNUMBER(SEARCH("去",D953)),ISNUMBER(SEARCH("入",D953)))),"Ambiguous",IF(ISNUMBER(SEARCH("平",D953)),"平","仄")))</x:f>
        <x:v>仄</x:v>
      </x:c>
      <x:c r="J960" s="7" t="str"/>
    </x:row>
    <x:row r="961">
      <x:c r="A961" s="5" t="str">
        <x:v>寄</x:v>
      </x:c>
      <x:c r="B961" s="6" t="str">
        <x:v>去</x:v>
      </x:c>
      <x:c r="C961" s="6" t="str">
        <x:f>IF(B961="","Needs decision","Ready")</x:f>
        <x:v>Ready</x:v>
      </x:c>
      <x:c r="D961" s="6" t="str">
        <x:v>去</x:v>
      </x:c>
      <x:c r="E961" s="6" t="str">
        <x:v>kjeH (C)</x:v>
      </x:c>
      <x:c r="F961" s="6" t="str">
        <x:v>1</x:v>
      </x:c>
      <x:c r="G961" s="6" t="str"/>
      <x:c r="H961" s="6" t="str">
        <x:f>IF(B961="平","平",IF(B961="","","仄"))</x:f>
        <x:v>仄</x:v>
      </x:c>
      <x:c r="I961" s="6" t="str">
        <x:f>IF(D954="","",IF(AND(ISNUMBER(SEARCH("平",D954)),OR(ISNUMBER(SEARCH("上",D954)),ISNUMBER(SEARCH("去",D954)),ISNUMBER(SEARCH("入",D954)))),"Ambiguous",IF(ISNUMBER(SEARCH("平",D954)),"平","仄")))</x:f>
        <x:v>仄</x:v>
      </x:c>
      <x:c r="J961" s="7" t="str"/>
    </x:row>
    <x:row r="962">
      <x:c r="A962" s="5" t="str">
        <x:v>寅</x:v>
      </x:c>
      <x:c r="B962" s="6" t="str">
        <x:v>平</x:v>
      </x:c>
      <x:c r="C962" s="6" t="str">
        <x:f>IF(B962="","Needs decision","Ready")</x:f>
        <x:v>Ready</x:v>
      </x:c>
      <x:c r="D962" s="6" t="str">
        <x:v>平</x:v>
      </x:c>
      <x:c r="E962" s="6" t="str">
        <x:v>yij (A); yin (A)</x:v>
      </x:c>
      <x:c r="F962" s="6" t="str">
        <x:v>2</x:v>
      </x:c>
      <x:c r="G962" s="6" t="str"/>
      <x:c r="H962" s="6" t="str">
        <x:f>IF(B962="平","平",IF(B962="","","仄"))</x:f>
        <x:v>平</x:v>
      </x:c>
      <x:c r="I962" s="6" t="str">
        <x:f>IF(D955="","",IF(AND(ISNUMBER(SEARCH("平",D955)),OR(ISNUMBER(SEARCH("上",D955)),ISNUMBER(SEARCH("去",D955)),ISNUMBER(SEARCH("入",D955)))),"Ambiguous",IF(ISNUMBER(SEARCH("平",D955)),"平","仄")))</x:f>
        <x:v>平</x:v>
      </x:c>
      <x:c r="J962" s="7" t="str"/>
    </x:row>
    <x:row r="963">
      <x:c r="A963" s="5" t="str">
        <x:v>密</x:v>
      </x:c>
      <x:c r="B963" s="6" t="str">
        <x:v>入</x:v>
      </x:c>
      <x:c r="C963" s="6" t="str">
        <x:f>IF(B963="","Needs decision","Ready")</x:f>
        <x:v>Ready</x:v>
      </x:c>
      <x:c r="D963" s="6" t="str">
        <x:v>入</x:v>
      </x:c>
      <x:c r="E963" s="6" t="str">
        <x:v>mit (D)</x:v>
      </x:c>
      <x:c r="F963" s="6" t="str">
        <x:v>1</x:v>
      </x:c>
      <x:c r="G963" s="6" t="str"/>
      <x:c r="H963" s="6" t="str">
        <x:f>IF(B963="平","平",IF(B963="","","仄"))</x:f>
        <x:v>仄</x:v>
      </x:c>
      <x:c r="I963" s="6" t="str">
        <x:f>IF(D956="","",IF(AND(ISNUMBER(SEARCH("平",D956)),OR(ISNUMBER(SEARCH("上",D956)),ISNUMBER(SEARCH("去",D956)),ISNUMBER(SEARCH("入",D956)))),"Ambiguous",IF(ISNUMBER(SEARCH("平",D956)),"平","仄")))</x:f>
        <x:v>平</x:v>
      </x:c>
      <x:c r="J963" s="7" t="str"/>
    </x:row>
    <x:row r="964">
      <x:c r="A964" s="5" t="str">
        <x:v>寇</x:v>
      </x:c>
      <x:c r="B964" s="6" t="str">
        <x:v>去</x:v>
      </x:c>
      <x:c r="C964" s="6" t="str">
        <x:f>IF(B964="","Needs decision","Ready")</x:f>
        <x:v>Ready</x:v>
      </x:c>
      <x:c r="D964" s="6" t="str">
        <x:v>去</x:v>
      </x:c>
      <x:c r="E964" s="6" t="str">
        <x:v>khuwH (C)</x:v>
      </x:c>
      <x:c r="F964" s="6" t="str">
        <x:v>1</x:v>
      </x:c>
      <x:c r="G964" s="6" t="str"/>
      <x:c r="H964" s="6" t="str">
        <x:f>IF(B964="平","平",IF(B964="","","仄"))</x:f>
        <x:v>仄</x:v>
      </x:c>
      <x:c r="I964" s="6" t="str">
        <x:f>IF(D957="","",IF(AND(ISNUMBER(SEARCH("平",D957)),OR(ISNUMBER(SEARCH("上",D957)),ISNUMBER(SEARCH("去",D957)),ISNUMBER(SEARCH("入",D957)))),"Ambiguous",IF(ISNUMBER(SEARCH("平",D957)),"平","仄")))</x:f>
        <x:v>平</x:v>
      </x:c>
      <x:c r="J964" s="7" t="str"/>
    </x:row>
    <x:row r="965">
      <x:c r="A965" s="5" t="str">
        <x:v>富</x:v>
      </x:c>
      <x:c r="B965" s="6" t="str">
        <x:v>去</x:v>
      </x:c>
      <x:c r="C965" s="6" t="str">
        <x:f>IF(B965="","Needs decision","Ready")</x:f>
        <x:v>Ready</x:v>
      </x:c>
      <x:c r="D965" s="6" t="str">
        <x:v>去</x:v>
      </x:c>
      <x:c r="E965" s="6" t="str">
        <x:v>pjuwH (C)</x:v>
      </x:c>
      <x:c r="F965" s="6" t="str">
        <x:v>1</x:v>
      </x:c>
      <x:c r="G965" s="6" t="str"/>
      <x:c r="H965" s="6" t="str">
        <x:f>IF(B965="平","平",IF(B965="","","仄"))</x:f>
        <x:v>仄</x:v>
      </x:c>
      <x:c r="I965" s="6" t="str">
        <x:f>IF(D958="","",IF(AND(ISNUMBER(SEARCH("平",D958)),OR(ISNUMBER(SEARCH("上",D958)),ISNUMBER(SEARCH("去",D958)),ISNUMBER(SEARCH("入",D958)))),"Ambiguous",IF(ISNUMBER(SEARCH("平",D958)),"平","仄")))</x:f>
        <x:v>平</x:v>
      </x:c>
      <x:c r="J965" s="7" t="str"/>
    </x:row>
    <x:row r="966">
      <x:c r="A966" s="5" t="str">
        <x:v>寐</x:v>
      </x:c>
      <x:c r="B966" s="6" t="str">
        <x:v>去</x:v>
      </x:c>
      <x:c r="C966" s="6" t="str">
        <x:f>IF(B966="","Needs decision","Ready")</x:f>
        <x:v>Ready</x:v>
      </x:c>
      <x:c r="D966" s="6" t="str">
        <x:v>去</x:v>
      </x:c>
      <x:c r="E966" s="6" t="str">
        <x:v>mjijH (C)</x:v>
      </x:c>
      <x:c r="F966" s="6" t="str">
        <x:v>1</x:v>
      </x:c>
      <x:c r="G966" s="6" t="str"/>
      <x:c r="H966" s="6" t="str">
        <x:f>IF(B966="平","平",IF(B966="","","仄"))</x:f>
        <x:v>仄</x:v>
      </x:c>
      <x:c r="I966" s="6" t="str">
        <x:f>IF(D959="","",IF(AND(ISNUMBER(SEARCH("平",D959)),OR(ISNUMBER(SEARCH("上",D959)),ISNUMBER(SEARCH("去",D959)),ISNUMBER(SEARCH("入",D959)))),"Ambiguous",IF(ISNUMBER(SEARCH("平",D959)),"平","仄")))</x:f>
        <x:v>仄</x:v>
      </x:c>
      <x:c r="J966" s="7" t="str"/>
    </x:row>
    <x:row r="967">
      <x:c r="A967" s="5" t="str">
        <x:v>寒</x:v>
      </x:c>
      <x:c r="B967" s="6" t="str">
        <x:v>平</x:v>
      </x:c>
      <x:c r="C967" s="6" t="str">
        <x:f>IF(B967="","Needs decision","Ready")</x:f>
        <x:v>Ready</x:v>
      </x:c>
      <x:c r="D967" s="6" t="str">
        <x:v>平</x:v>
      </x:c>
      <x:c r="E967" s="6" t="str">
        <x:v>han (A)</x:v>
      </x:c>
      <x:c r="F967" s="6" t="str">
        <x:v>1</x:v>
      </x:c>
      <x:c r="G967" s="6" t="str"/>
      <x:c r="H967" s="6" t="str">
        <x:f>IF(B967="平","平",IF(B967="","","仄"))</x:f>
        <x:v>平</x:v>
      </x:c>
      <x:c r="I967" s="6" t="str">
        <x:f>IF(D960="","",IF(AND(ISNUMBER(SEARCH("平",D960)),OR(ISNUMBER(SEARCH("上",D960)),ISNUMBER(SEARCH("去",D960)),ISNUMBER(SEARCH("入",D960)))),"Ambiguous",IF(ISNUMBER(SEARCH("平",D960)),"平","仄")))</x:f>
        <x:v>仄</x:v>
      </x:c>
      <x:c r="J967" s="7" t="str"/>
    </x:row>
    <x:row r="968">
      <x:c r="A968" s="5" t="str">
        <x:v>寓</x:v>
      </x:c>
      <x:c r="B968" s="6" t="str">
        <x:v>去</x:v>
      </x:c>
      <x:c r="C968" s="6" t="str">
        <x:f>IF(B968="","Needs decision","Ready")</x:f>
        <x:v>Ready</x:v>
      </x:c>
      <x:c r="D968" s="6" t="str">
        <x:v>去</x:v>
      </x:c>
      <x:c r="E968" s="6" t="str">
        <x:v>ngjuH (C)</x:v>
      </x:c>
      <x:c r="F968" s="6" t="str">
        <x:v>1</x:v>
      </x:c>
      <x:c r="G968" s="6" t="str"/>
      <x:c r="H968" s="6" t="str">
        <x:f>IF(B968="平","平",IF(B968="","","仄"))</x:f>
        <x:v>仄</x:v>
      </x:c>
      <x:c r="I968" s="6" t="str">
        <x:f>IF(D961="","",IF(AND(ISNUMBER(SEARCH("平",D961)),OR(ISNUMBER(SEARCH("上",D961)),ISNUMBER(SEARCH("去",D961)),ISNUMBER(SEARCH("入",D961)))),"Ambiguous",IF(ISNUMBER(SEARCH("平",D961)),"平","仄")))</x:f>
        <x:v>仄</x:v>
      </x:c>
      <x:c r="J968" s="7" t="str"/>
    </x:row>
    <x:row r="969">
      <x:c r="A969" s="5" t="str">
        <x:v>寘</x:v>
      </x:c>
      <x:c r="B969" s="6" t="str">
        <x:v>去</x:v>
      </x:c>
      <x:c r="C969" s="6" t="str">
        <x:f>IF(B969="","Needs decision","Ready")</x:f>
        <x:v>Ready</x:v>
      </x:c>
      <x:c r="D969" s="6" t="str">
        <x:v>去</x:v>
      </x:c>
      <x:c r="E969" s="6" t="str">
        <x:v>tsyeH (C)</x:v>
      </x:c>
      <x:c r="F969" s="6" t="str">
        <x:v>1</x:v>
      </x:c>
      <x:c r="G969" s="6" t="str"/>
      <x:c r="H969" s="6" t="str">
        <x:f>IF(B969="平","平",IF(B969="","","仄"))</x:f>
        <x:v>仄</x:v>
      </x:c>
      <x:c r="I969" s="6" t="str">
        <x:f>IF(D962="","",IF(AND(ISNUMBER(SEARCH("平",D962)),OR(ISNUMBER(SEARCH("上",D962)),ISNUMBER(SEARCH("去",D962)),ISNUMBER(SEARCH("入",D962)))),"Ambiguous",IF(ISNUMBER(SEARCH("平",D962)),"平","仄")))</x:f>
        <x:v>平</x:v>
      </x:c>
      <x:c r="J969" s="7" t="str"/>
    </x:row>
    <x:row r="970">
      <x:c r="A970" s="5" t="str">
        <x:v>寞</x:v>
      </x:c>
      <x:c r="B970" s="6" t="str">
        <x:v>入</x:v>
      </x:c>
      <x:c r="C970" s="6" t="str">
        <x:f>IF(B970="","Needs decision","Ready")</x:f>
        <x:v>Ready</x:v>
      </x:c>
      <x:c r="D970" s="6" t="str">
        <x:v>入</x:v>
      </x:c>
      <x:c r="E970" s="6" t="str">
        <x:v>mak [m̙ɑk] (入)</x:v>
      </x:c>
      <x:c r="F970" s="6" t="str">
        <x:v>1</x:v>
      </x:c>
      <x:c r="G970" s="6" t="str">
        <x:v>Tang 300 gap; frequency 8; provisional from Xun Gong</x:v>
      </x:c>
      <x:c r="H970" s="6" t="str">
        <x:f>IF(B970="平","平",IF(B970="","","仄"))</x:f>
        <x:v>仄</x:v>
      </x:c>
      <x:c r="I970" s="6" t="str">
        <x:f>IF(D963="","",IF(AND(ISNUMBER(SEARCH("平",D963)),OR(ISNUMBER(SEARCH("上",D963)),ISNUMBER(SEARCH("去",D963)),ISNUMBER(SEARCH("入",D963)))),"Ambiguous",IF(ISNUMBER(SEARCH("平",D963)),"平","仄")))</x:f>
        <x:v>仄</x:v>
      </x:c>
      <x:c r="J970" s="7" t="str">
        <x:v>Xun Gong, Tang 300 gap fill</x:v>
      </x:c>
    </x:row>
    <x:row r="971">
      <x:c r="A971" s="5" t="str">
        <x:v>察</x:v>
      </x:c>
      <x:c r="B971" s="6" t="str">
        <x:v>入</x:v>
      </x:c>
      <x:c r="C971" s="6" t="str">
        <x:f>IF(B971="","Needs decision","Ready")</x:f>
        <x:v>Ready</x:v>
      </x:c>
      <x:c r="D971" s="6" t="str">
        <x:v>入</x:v>
      </x:c>
      <x:c r="E971" s="6" t="str">
        <x:v>tsrheat (D)</x:v>
      </x:c>
      <x:c r="F971" s="6" t="str">
        <x:v>1</x:v>
      </x:c>
      <x:c r="G971" s="6" t="str"/>
      <x:c r="H971" s="6" t="str">
        <x:f>IF(B971="平","平",IF(B971="","","仄"))</x:f>
        <x:v>仄</x:v>
      </x:c>
      <x:c r="I971" s="6" t="str">
        <x:f>IF(D964="","",IF(AND(ISNUMBER(SEARCH("平",D964)),OR(ISNUMBER(SEARCH("上",D964)),ISNUMBER(SEARCH("去",D964)),ISNUMBER(SEARCH("入",D964)))),"Ambiguous",IF(ISNUMBER(SEARCH("平",D964)),"平","仄")))</x:f>
        <x:v>仄</x:v>
      </x:c>
      <x:c r="J971" s="7" t="str"/>
    </x:row>
    <x:row r="972">
      <x:c r="A972" s="5" t="str">
        <x:v>寡</x:v>
      </x:c>
      <x:c r="B972" s="6" t="str">
        <x:v>上</x:v>
      </x:c>
      <x:c r="C972" s="6" t="str">
        <x:f>IF(B972="","Needs decision","Ready")</x:f>
        <x:v>Ready</x:v>
      </x:c>
      <x:c r="D972" s="6" t="str">
        <x:v>上</x:v>
      </x:c>
      <x:c r="E972" s="6" t="str">
        <x:v>kwaeX (B)</x:v>
      </x:c>
      <x:c r="F972" s="6" t="str">
        <x:v>1</x:v>
      </x:c>
      <x:c r="G972" s="6" t="str"/>
      <x:c r="H972" s="6" t="str">
        <x:f>IF(B972="平","平",IF(B972="","","仄"))</x:f>
        <x:v>仄</x:v>
      </x:c>
      <x:c r="I972" s="6" t="str">
        <x:f>IF(D965="","",IF(AND(ISNUMBER(SEARCH("平",D965)),OR(ISNUMBER(SEARCH("上",D965)),ISNUMBER(SEARCH("去",D965)),ISNUMBER(SEARCH("入",D965)))),"Ambiguous",IF(ISNUMBER(SEARCH("平",D965)),"平","仄")))</x:f>
        <x:v>仄</x:v>
      </x:c>
      <x:c r="J972" s="7" t="str"/>
    </x:row>
    <x:row r="973">
      <x:c r="A973" s="5" t="str">
        <x:v>寢</x:v>
      </x:c>
      <x:c r="B973" s="6" t="str">
        <x:v>上</x:v>
      </x:c>
      <x:c r="C973" s="6" t="str">
        <x:f>IF(B973="","Needs decision","Ready")</x:f>
        <x:v>Ready</x:v>
      </x:c>
      <x:c r="D973" s="6" t="str">
        <x:v>上</x:v>
      </x:c>
      <x:c r="E973" s="6" t="str">
        <x:v>tshimX (B)</x:v>
      </x:c>
      <x:c r="F973" s="6" t="str">
        <x:v>1</x:v>
      </x:c>
      <x:c r="G973" s="6" t="str"/>
      <x:c r="H973" s="6" t="str">
        <x:f>IF(B973="平","平",IF(B973="","","仄"))</x:f>
        <x:v>仄</x:v>
      </x:c>
      <x:c r="I973" s="6" t="str">
        <x:f>IF(D966="","",IF(AND(ISNUMBER(SEARCH("平",D966)),OR(ISNUMBER(SEARCH("上",D966)),ISNUMBER(SEARCH("去",D966)),ISNUMBER(SEARCH("入",D966)))),"Ambiguous",IF(ISNUMBER(SEARCH("平",D966)),"平","仄")))</x:f>
        <x:v>仄</x:v>
      </x:c>
      <x:c r="J973" s="7" t="str"/>
    </x:row>
    <x:row r="974">
      <x:c r="A974" s="5" t="str">
        <x:v>寤</x:v>
      </x:c>
      <x:c r="B974" s="6" t="str">
        <x:v>去</x:v>
      </x:c>
      <x:c r="C974" s="6" t="str">
        <x:f>IF(B974="","Needs decision","Ready")</x:f>
        <x:v>Ready</x:v>
      </x:c>
      <x:c r="D974" s="6" t="str">
        <x:v>去</x:v>
      </x:c>
      <x:c r="E974" s="6" t="str">
        <x:v>nguH (C)</x:v>
      </x:c>
      <x:c r="F974" s="6" t="str">
        <x:v>1</x:v>
      </x:c>
      <x:c r="G974" s="6" t="str"/>
      <x:c r="H974" s="6" t="str">
        <x:f>IF(B974="平","平",IF(B974="","","仄"))</x:f>
        <x:v>仄</x:v>
      </x:c>
      <x:c r="I974" s="6" t="str">
        <x:f>IF(D967="","",IF(AND(ISNUMBER(SEARCH("平",D967)),OR(ISNUMBER(SEARCH("上",D967)),ISNUMBER(SEARCH("去",D967)),ISNUMBER(SEARCH("入",D967)))),"Ambiguous",IF(ISNUMBER(SEARCH("平",D967)),"平","仄")))</x:f>
        <x:v>平</x:v>
      </x:c>
      <x:c r="J974" s="7" t="str"/>
    </x:row>
    <x:row r="975">
      <x:c r="A975" s="5" t="str">
        <x:v>寥</x:v>
      </x:c>
      <x:c r="B975" s="6" t="str">
        <x:v>平</x:v>
      </x:c>
      <x:c r="C975" s="6" t="str">
        <x:f>IF(B975="","Needs decision","Ready")</x:f>
        <x:v>Ready</x:v>
      </x:c>
      <x:c r="D975" s="6" t="str">
        <x:v>平</x:v>
      </x:c>
      <x:c r="E975" s="6" t="str"/>
      <x:c r="F975" s="6" t="str"/>
      <x:c r="G975" s="6" t="str">
        <x:v>Manual user correction/addition</x:v>
      </x:c>
      <x:c r="H975" s="6" t="str">
        <x:f>IF(B975="平","平",IF(B975="","","仄"))</x:f>
        <x:v>平</x:v>
      </x:c>
      <x:c r="I975" s="6" t="str">
        <x:f>IF(D968="","",IF(AND(ISNUMBER(SEARCH("平",D968)),OR(ISNUMBER(SEARCH("上",D968)),ISNUMBER(SEARCH("去",D968)),ISNUMBER(SEARCH("入",D968)))),"Ambiguous",IF(ISNUMBER(SEARCH("平",D968)),"平","仄")))</x:f>
        <x:v>仄</x:v>
      </x:c>
      <x:c r="J975" s="7" t="str">
        <x:v>manual user correction</x:v>
      </x:c>
    </x:row>
    <x:row r="976">
      <x:c r="A976" s="5" t="str">
        <x:v>實</x:v>
      </x:c>
      <x:c r="B976" s="6" t="str">
        <x:v>入</x:v>
      </x:c>
      <x:c r="C976" s="6" t="str">
        <x:f>IF(B976="","Needs decision","Ready")</x:f>
        <x:v>Ready</x:v>
      </x:c>
      <x:c r="D976" s="6" t="str">
        <x:v>入</x:v>
      </x:c>
      <x:c r="E976" s="6" t="str">
        <x:v>zyit (D)</x:v>
      </x:c>
      <x:c r="F976" s="6" t="str">
        <x:v>1</x:v>
      </x:c>
      <x:c r="G976" s="6" t="str"/>
      <x:c r="H976" s="6" t="str">
        <x:f>IF(B976="平","平",IF(B976="","","仄"))</x:f>
        <x:v>仄</x:v>
      </x:c>
      <x:c r="I976" s="6" t="str">
        <x:f>IF(D969="","",IF(AND(ISNUMBER(SEARCH("平",D969)),OR(ISNUMBER(SEARCH("上",D969)),ISNUMBER(SEARCH("去",D969)),ISNUMBER(SEARCH("入",D969)))),"Ambiguous",IF(ISNUMBER(SEARCH("平",D969)),"平","仄")))</x:f>
        <x:v>仄</x:v>
      </x:c>
      <x:c r="J976" s="7" t="str"/>
    </x:row>
    <x:row r="977">
      <x:c r="A977" s="5" t="str">
        <x:v>寧</x:v>
      </x:c>
      <x:c r="B977" s="6" t="str">
        <x:v>平</x:v>
      </x:c>
      <x:c r="C977" s="6" t="str">
        <x:f>IF(B977="","Needs decision","Ready")</x:f>
        <x:v>Ready</x:v>
      </x:c>
      <x:c r="D977" s="6" t="str">
        <x:v>平</x:v>
      </x:c>
      <x:c r="E977" s="6" t="str">
        <x:v>neng (A)</x:v>
      </x:c>
      <x:c r="F977" s="6" t="str">
        <x:v>1</x:v>
      </x:c>
      <x:c r="G977" s="6" t="str"/>
      <x:c r="H977" s="6" t="str">
        <x:f>IF(B977="平","平",IF(B977="","","仄"))</x:f>
        <x:v>平</x:v>
      </x:c>
      <x:c r="I977" s="6" t="str">
        <x:f>IF(D970="","",IF(AND(ISNUMBER(SEARCH("平",D970)),OR(ISNUMBER(SEARCH("上",D970)),ISNUMBER(SEARCH("去",D970)),ISNUMBER(SEARCH("入",D970)))),"Ambiguous",IF(ISNUMBER(SEARCH("平",D970)),"平","仄")))</x:f>
        <x:v>仄</x:v>
      </x:c>
      <x:c r="J977" s="7" t="str"/>
    </x:row>
    <x:row r="978">
      <x:c r="A978" s="5" t="str">
        <x:v>審</x:v>
      </x:c>
      <x:c r="B978" s="6" t="str">
        <x:v>上</x:v>
      </x:c>
      <x:c r="C978" s="6" t="str">
        <x:f>IF(B978="","Needs decision","Ready")</x:f>
        <x:v>Ready</x:v>
      </x:c>
      <x:c r="D978" s="6" t="str">
        <x:v>上</x:v>
      </x:c>
      <x:c r="E978" s="6" t="str">
        <x:v>syimX (B)</x:v>
      </x:c>
      <x:c r="F978" s="6" t="str">
        <x:v>1</x:v>
      </x:c>
      <x:c r="G978" s="6" t="str"/>
      <x:c r="H978" s="6" t="str">
        <x:f>IF(B978="平","平",IF(B978="","","仄"))</x:f>
        <x:v>仄</x:v>
      </x:c>
      <x:c r="I978" s="6" t="str">
        <x:f>IF(D971="","",IF(AND(ISNUMBER(SEARCH("平",D971)),OR(ISNUMBER(SEARCH("上",D971)),ISNUMBER(SEARCH("去",D971)),ISNUMBER(SEARCH("入",D971)))),"Ambiguous",IF(ISNUMBER(SEARCH("平",D971)),"平","仄")))</x:f>
        <x:v>仄</x:v>
      </x:c>
      <x:c r="J978" s="7" t="str"/>
    </x:row>
    <x:row r="979">
      <x:c r="A979" s="5" t="str">
        <x:v>寫</x:v>
      </x:c>
      <x:c r="B979" s="6" t="str">
        <x:v>上</x:v>
      </x:c>
      <x:c r="C979" s="6" t="str">
        <x:f>IF(B979="","Needs decision","Ready")</x:f>
        <x:v>Ready</x:v>
      </x:c>
      <x:c r="D979" s="6" t="str">
        <x:v>上</x:v>
      </x:c>
      <x:c r="E979" s="6" t="str">
        <x:v>sjaeX (B)</x:v>
      </x:c>
      <x:c r="F979" s="6" t="str">
        <x:v>1</x:v>
      </x:c>
      <x:c r="G979" s="6" t="str"/>
      <x:c r="H979" s="6" t="str">
        <x:f>IF(B979="平","平",IF(B979="","","仄"))</x:f>
        <x:v>仄</x:v>
      </x:c>
      <x:c r="I979" s="6" t="str">
        <x:f>IF(D972="","",IF(AND(ISNUMBER(SEARCH("平",D972)),OR(ISNUMBER(SEARCH("上",D972)),ISNUMBER(SEARCH("去",D972)),ISNUMBER(SEARCH("入",D972)))),"Ambiguous",IF(ISNUMBER(SEARCH("平",D972)),"平","仄")))</x:f>
        <x:v>仄</x:v>
      </x:c>
      <x:c r="J979" s="7" t="str"/>
    </x:row>
    <x:row r="980">
      <x:c r="A980" s="5" t="str">
        <x:v>寬</x:v>
      </x:c>
      <x:c r="B980" s="6" t="str">
        <x:v>平</x:v>
      </x:c>
      <x:c r="C980" s="6" t="str">
        <x:f>IF(B980="","Needs decision","Ready")</x:f>
        <x:v>Ready</x:v>
      </x:c>
      <x:c r="D980" s="6" t="str">
        <x:v>平</x:v>
      </x:c>
      <x:c r="E980" s="6" t="str">
        <x:v>khwan (A)</x:v>
      </x:c>
      <x:c r="F980" s="6" t="str">
        <x:v>1</x:v>
      </x:c>
      <x:c r="G980" s="6" t="str"/>
      <x:c r="H980" s="6" t="str">
        <x:f>IF(B980="平","平",IF(B980="","","仄"))</x:f>
        <x:v>平</x:v>
      </x:c>
      <x:c r="I980" s="6" t="str">
        <x:f>IF(D973="","",IF(AND(ISNUMBER(SEARCH("平",D973)),OR(ISNUMBER(SEARCH("上",D973)),ISNUMBER(SEARCH("去",D973)),ISNUMBER(SEARCH("入",D973)))),"Ambiguous",IF(ISNUMBER(SEARCH("平",D973)),"平","仄")))</x:f>
        <x:v>仄</x:v>
      </x:c>
      <x:c r="J980" s="7" t="str"/>
    </x:row>
    <x:row r="981">
      <x:c r="A981" s="5" t="str">
        <x:v>寰</x:v>
      </x:c>
      <x:c r="B981" s="6" t="str">
        <x:v>平</x:v>
      </x:c>
      <x:c r="C981" s="6" t="str">
        <x:f>IF(B981="","Needs decision","Ready")</x:f>
        <x:v>Ready</x:v>
      </x:c>
      <x:c r="D981" s="6" t="str">
        <x:v>平</x:v>
      </x:c>
      <x:c r="E981" s="6" t="str"/>
      <x:c r="F981" s="6" t="str"/>
      <x:c r="G981" s="6" t="str">
        <x:v>Manual user correction/addition</x:v>
      </x:c>
      <x:c r="H981" s="6" t="str">
        <x:f>IF(B981="平","平",IF(B981="","","仄"))</x:f>
        <x:v>平</x:v>
      </x:c>
      <x:c r="I981" s="6" t="str">
        <x:f>IF(D974="","",IF(AND(ISNUMBER(SEARCH("平",D974)),OR(ISNUMBER(SEARCH("上",D974)),ISNUMBER(SEARCH("去",D974)),ISNUMBER(SEARCH("入",D974)))),"Ambiguous",IF(ISNUMBER(SEARCH("平",D974)),"平","仄")))</x:f>
        <x:v>仄</x:v>
      </x:c>
      <x:c r="J981" s="7" t="str">
        <x:v>manual user correction</x:v>
      </x:c>
    </x:row>
    <x:row r="982">
      <x:c r="A982" s="5" t="str">
        <x:v>寵</x:v>
      </x:c>
      <x:c r="B982" s="6" t="str">
        <x:v>上</x:v>
      </x:c>
      <x:c r="C982" s="6" t="str">
        <x:f>IF(B982="","Needs decision","Ready")</x:f>
        <x:v>Ready</x:v>
      </x:c>
      <x:c r="D982" s="6" t="str">
        <x:v>上</x:v>
      </x:c>
      <x:c r="E982" s="6" t="str">
        <x:v>trhjowngX (B)</x:v>
      </x:c>
      <x:c r="F982" s="6" t="str">
        <x:v>1</x:v>
      </x:c>
      <x:c r="G982" s="6" t="str"/>
      <x:c r="H982" s="6" t="str">
        <x:f>IF(B982="平","平",IF(B982="","","仄"))</x:f>
        <x:v>仄</x:v>
      </x:c>
      <x:c r="I982" s="6" t="str">
        <x:f>IF(D975="","",IF(AND(ISNUMBER(SEARCH("平",D975)),OR(ISNUMBER(SEARCH("上",D975)),ISNUMBER(SEARCH("去",D975)),ISNUMBER(SEARCH("入",D975)))),"Ambiguous",IF(ISNUMBER(SEARCH("平",D975)),"平","仄")))</x:f>
        <x:v>平</x:v>
      </x:c>
      <x:c r="J982" s="7" t="str"/>
    </x:row>
    <x:row r="983">
      <x:c r="A983" s="5" t="str">
        <x:v>寶</x:v>
      </x:c>
      <x:c r="B983" s="6" t="str">
        <x:v>上</x:v>
      </x:c>
      <x:c r="C983" s="6" t="str">
        <x:f>IF(B983="","Needs decision","Ready")</x:f>
        <x:v>Ready</x:v>
      </x:c>
      <x:c r="D983" s="6" t="str">
        <x:v>上</x:v>
      </x:c>
      <x:c r="E983" s="6" t="str">
        <x:v>pawX (B)</x:v>
      </x:c>
      <x:c r="F983" s="6" t="str">
        <x:v>1</x:v>
      </x:c>
      <x:c r="G983" s="6" t="str"/>
      <x:c r="H983" s="6" t="str">
        <x:f>IF(B983="平","平",IF(B983="","","仄"))</x:f>
        <x:v>仄</x:v>
      </x:c>
      <x:c r="I983" s="6" t="str">
        <x:f>IF(D976="","",IF(AND(ISNUMBER(SEARCH("平",D976)),OR(ISNUMBER(SEARCH("上",D976)),ISNUMBER(SEARCH("去",D976)),ISNUMBER(SEARCH("入",D976)))),"Ambiguous",IF(ISNUMBER(SEARCH("平",D976)),"平","仄")))</x:f>
        <x:v>仄</x:v>
      </x:c>
      <x:c r="J983" s="7" t="str"/>
    </x:row>
    <x:row r="984">
      <x:c r="A984" s="5" t="str">
        <x:v>寸</x:v>
      </x:c>
      <x:c r="B984" s="6" t="str">
        <x:v>去</x:v>
      </x:c>
      <x:c r="C984" s="6" t="str">
        <x:f>IF(B984="","Needs decision","Ready")</x:f>
        <x:v>Ready</x:v>
      </x:c>
      <x:c r="D984" s="6" t="str">
        <x:v>去</x:v>
      </x:c>
      <x:c r="E984" s="6" t="str">
        <x:v>tshwonH (C)</x:v>
      </x:c>
      <x:c r="F984" s="6" t="str">
        <x:v>1</x:v>
      </x:c>
      <x:c r="G984" s="6" t="str"/>
      <x:c r="H984" s="6" t="str">
        <x:f>IF(B984="平","平",IF(B984="","","仄"))</x:f>
        <x:v>仄</x:v>
      </x:c>
      <x:c r="I984" s="6" t="str">
        <x:f>IF(D977="","",IF(AND(ISNUMBER(SEARCH("平",D977)),OR(ISNUMBER(SEARCH("上",D977)),ISNUMBER(SEARCH("去",D977)),ISNUMBER(SEARCH("入",D977)))),"Ambiguous",IF(ISNUMBER(SEARCH("平",D977)),"平","仄")))</x:f>
        <x:v>平</x:v>
      </x:c>
      <x:c r="J984" s="7" t="str"/>
    </x:row>
    <x:row r="985">
      <x:c r="A985" s="5" t="str">
        <x:v>寺</x:v>
      </x:c>
      <x:c r="B985" s="6" t="str">
        <x:v>去</x:v>
      </x:c>
      <x:c r="C985" s="6" t="str">
        <x:f>IF(B985="","Needs decision","Ready")</x:f>
        <x:v>Ready</x:v>
      </x:c>
      <x:c r="D985" s="6" t="str">
        <x:v>去</x:v>
      </x:c>
      <x:c r="E985" s="6" t="str">
        <x:v>ziH (C)</x:v>
      </x:c>
      <x:c r="F985" s="6" t="str">
        <x:v>1</x:v>
      </x:c>
      <x:c r="G985" s="6" t="str"/>
      <x:c r="H985" s="6" t="str">
        <x:f>IF(B985="平","平",IF(B985="","","仄"))</x:f>
        <x:v>仄</x:v>
      </x:c>
      <x:c r="I985" s="6" t="str">
        <x:f>IF(D978="","",IF(AND(ISNUMBER(SEARCH("平",D978)),OR(ISNUMBER(SEARCH("上",D978)),ISNUMBER(SEARCH("去",D978)),ISNUMBER(SEARCH("入",D978)))),"Ambiguous",IF(ISNUMBER(SEARCH("平",D978)),"平","仄")))</x:f>
        <x:v>仄</x:v>
      </x:c>
      <x:c r="J985" s="7" t="str"/>
    </x:row>
    <x:row r="986">
      <x:c r="A986" s="5" t="str">
        <x:v>封</x:v>
      </x:c>
      <x:c r="B986" s="6" t="str">
        <x:v>平</x:v>
      </x:c>
      <x:c r="C986" s="6" t="str">
        <x:f>IF(B986="","Needs decision","Ready")</x:f>
        <x:v>Ready</x:v>
      </x:c>
      <x:c r="D986" s="6" t="str">
        <x:v>平</x:v>
      </x:c>
      <x:c r="E986" s="6" t="str">
        <x:v>pjowng (A)</x:v>
      </x:c>
      <x:c r="F986" s="6" t="str">
        <x:v>1</x:v>
      </x:c>
      <x:c r="G986" s="6" t="str"/>
      <x:c r="H986" s="6" t="str">
        <x:f>IF(B986="平","平",IF(B986="","","仄"))</x:f>
        <x:v>平</x:v>
      </x:c>
      <x:c r="I986" s="6" t="str">
        <x:f>IF(D979="","",IF(AND(ISNUMBER(SEARCH("平",D979)),OR(ISNUMBER(SEARCH("上",D979)),ISNUMBER(SEARCH("去",D979)),ISNUMBER(SEARCH("入",D979)))),"Ambiguous",IF(ISNUMBER(SEARCH("平",D979)),"平","仄")))</x:f>
        <x:v>仄</x:v>
      </x:c>
      <x:c r="J986" s="7" t="str"/>
    </x:row>
    <x:row r="987">
      <x:c r="A987" s="5" t="str">
        <x:v>射</x:v>
      </x:c>
      <x:c r="B987" s="6" t="str"/>
      <x:c r="C987" s="6" t="str">
        <x:f>IF(B987="","Needs decision","Ready")</x:f>
        <x:v>Needs decision</x:v>
      </x:c>
      <x:c r="D987" s="6" t="str">
        <x:v>去/入</x:v>
      </x:c>
      <x:c r="E987" s="6" t="str">
        <x:v>zyaeH (C); zyek (D)</x:v>
      </x:c>
      <x:c r="F987" s="6" t="str">
        <x:v>2</x:v>
      </x:c>
      <x:c r="G987" s="6" t="str"/>
      <x:c r="H987" s="6" t="str">
        <x:f>IF(B987="平","平",IF(B987="","","仄"))</x:f>
      </x:c>
      <x:c r="I987" s="6" t="str">
        <x:f>IF(D980="","",IF(AND(ISNUMBER(SEARCH("平",D980)),OR(ISNUMBER(SEARCH("上",D980)),ISNUMBER(SEARCH("去",D980)),ISNUMBER(SEARCH("入",D980)))),"Ambiguous",IF(ISNUMBER(SEARCH("平",D980)),"平","仄")))</x:f>
        <x:v>平</x:v>
      </x:c>
      <x:c r="J987" s="7" t="str"/>
    </x:row>
    <x:row r="988">
      <x:c r="A988" s="5" t="str">
        <x:v>將</x:v>
      </x:c>
      <x:c r="B988" s="6" t="str"/>
      <x:c r="C988" s="6" t="str">
        <x:f>IF(B988="","Needs decision","Ready")</x:f>
        <x:v>Needs decision</x:v>
      </x:c>
      <x:c r="D988" s="6" t="str">
        <x:v>平/去</x:v>
      </x:c>
      <x:c r="E988" s="6" t="str">
        <x:v>tsjang (A); tsjangH (C)</x:v>
      </x:c>
      <x:c r="F988" s="6" t="str">
        <x:v>2</x:v>
      </x:c>
      <x:c r="G988" s="6" t="str"/>
      <x:c r="H988" s="6" t="str">
        <x:f>IF(B988="平","平",IF(B988="","","仄"))</x:f>
      </x:c>
      <x:c r="I988" s="6" t="str">
        <x:f>IF(D981="","",IF(AND(ISNUMBER(SEARCH("平",D981)),OR(ISNUMBER(SEARCH("上",D981)),ISNUMBER(SEARCH("去",D981)),ISNUMBER(SEARCH("入",D981)))),"Ambiguous",IF(ISNUMBER(SEARCH("平",D981)),"平","仄")))</x:f>
        <x:v>平</x:v>
      </x:c>
      <x:c r="J988" s="7" t="str"/>
    </x:row>
    <x:row r="989">
      <x:c r="A989" s="5" t="str">
        <x:v>專</x:v>
      </x:c>
      <x:c r="B989" s="6" t="str">
        <x:v>平</x:v>
      </x:c>
      <x:c r="C989" s="6" t="str">
        <x:f>IF(B989="","Needs decision","Ready")</x:f>
        <x:v>Ready</x:v>
      </x:c>
      <x:c r="D989" s="6" t="str">
        <x:v>平</x:v>
      </x:c>
      <x:c r="E989" s="6" t="str">
        <x:v>tsywen (A)</x:v>
      </x:c>
      <x:c r="F989" s="6" t="str">
        <x:v>1</x:v>
      </x:c>
      <x:c r="G989" s="6" t="str"/>
      <x:c r="H989" s="6" t="str">
        <x:f>IF(B989="平","平",IF(B989="","","仄"))</x:f>
        <x:v>平</x:v>
      </x:c>
      <x:c r="I989" s="6" t="str">
        <x:f>IF(D982="","",IF(AND(ISNUMBER(SEARCH("平",D982)),OR(ISNUMBER(SEARCH("上",D982)),ISNUMBER(SEARCH("去",D982)),ISNUMBER(SEARCH("入",D982)))),"Ambiguous",IF(ISNUMBER(SEARCH("平",D982)),"平","仄")))</x:f>
        <x:v>仄</x:v>
      </x:c>
      <x:c r="J989" s="7" t="str"/>
    </x:row>
    <x:row r="990">
      <x:c r="A990" s="5" t="str">
        <x:v>尉</x:v>
      </x:c>
      <x:c r="B990" s="6" t="str"/>
      <x:c r="C990" s="6" t="str">
        <x:f>IF(B990="","Needs decision","Ready")</x:f>
        <x:v>Needs decision</x:v>
      </x:c>
      <x:c r="D990" s="6" t="str">
        <x:v>去/入</x:v>
      </x:c>
      <x:c r="E990" s="6" t="str">
        <x:v>'jut [ʔɨ̯ut] (入); 'jw+jH [ʔwɨjh] (去)</x:v>
      </x:c>
      <x:c r="F990" s="6" t="str">
        <x:v>2</x:v>
      </x:c>
      <x:c r="G990" s="6" t="str">
        <x:v>Tang 300 gap; frequency 1; ambiguous in Xun Gong</x:v>
      </x:c>
      <x:c r="H990" s="6" t="str">
        <x:f>IF(B990="平","平",IF(B990="","","仄"))</x:f>
      </x:c>
      <x:c r="I990" s="6" t="str">
        <x:f>IF(D983="","",IF(AND(ISNUMBER(SEARCH("平",D983)),OR(ISNUMBER(SEARCH("上",D983)),ISNUMBER(SEARCH("去",D983)),ISNUMBER(SEARCH("入",D983)))),"Ambiguous",IF(ISNUMBER(SEARCH("平",D983)),"平","仄")))</x:f>
        <x:v>仄</x:v>
      </x:c>
      <x:c r="J990" s="7" t="str">
        <x:v>Xun Gong, Tang 300 gap fill</x:v>
      </x:c>
    </x:row>
    <x:row r="991">
      <x:c r="A991" s="5" t="str">
        <x:v>尊</x:v>
      </x:c>
      <x:c r="B991" s="6" t="str">
        <x:v>平</x:v>
      </x:c>
      <x:c r="C991" s="6" t="str">
        <x:f>IF(B991="","Needs decision","Ready")</x:f>
        <x:v>Ready</x:v>
      </x:c>
      <x:c r="D991" s="6" t="str">
        <x:v>平</x:v>
      </x:c>
      <x:c r="E991" s="6" t="str">
        <x:v>tswon (A)</x:v>
      </x:c>
      <x:c r="F991" s="6" t="str">
        <x:v>1</x:v>
      </x:c>
      <x:c r="G991" s="6" t="str"/>
      <x:c r="H991" s="6" t="str">
        <x:f>IF(B991="平","平",IF(B991="","","仄"))</x:f>
        <x:v>平</x:v>
      </x:c>
      <x:c r="I991" s="6" t="str">
        <x:f>IF(D984="","",IF(AND(ISNUMBER(SEARCH("平",D984)),OR(ISNUMBER(SEARCH("上",D984)),ISNUMBER(SEARCH("去",D984)),ISNUMBER(SEARCH("入",D984)))),"Ambiguous",IF(ISNUMBER(SEARCH("平",D984)),"平","仄")))</x:f>
        <x:v>仄</x:v>
      </x:c>
      <x:c r="J991" s="7" t="str"/>
    </x:row>
    <x:row r="992">
      <x:c r="A992" s="5" t="str">
        <x:v>尋</x:v>
      </x:c>
      <x:c r="B992" s="6" t="str">
        <x:v>平</x:v>
      </x:c>
      <x:c r="C992" s="6" t="str">
        <x:f>IF(B992="","Needs decision","Ready")</x:f>
        <x:v>Ready</x:v>
      </x:c>
      <x:c r="D992" s="6" t="str">
        <x:v>平</x:v>
      </x:c>
      <x:c r="E992" s="6" t="str">
        <x:v>zim (A)</x:v>
      </x:c>
      <x:c r="F992" s="6" t="str">
        <x:v>1</x:v>
      </x:c>
      <x:c r="G992" s="6" t="str"/>
      <x:c r="H992" s="6" t="str">
        <x:f>IF(B992="平","平",IF(B992="","","仄"))</x:f>
        <x:v>平</x:v>
      </x:c>
      <x:c r="I992" s="6" t="str">
        <x:f>IF(D985="","",IF(AND(ISNUMBER(SEARCH("平",D985)),OR(ISNUMBER(SEARCH("上",D985)),ISNUMBER(SEARCH("去",D985)),ISNUMBER(SEARCH("入",D985)))),"Ambiguous",IF(ISNUMBER(SEARCH("平",D985)),"平","仄")))</x:f>
        <x:v>仄</x:v>
      </x:c>
      <x:c r="J992" s="7" t="str"/>
    </x:row>
    <x:row r="993">
      <x:c r="A993" s="5" t="str">
        <x:v>尌</x:v>
      </x:c>
      <x:c r="B993" s="6" t="str">
        <x:v>去</x:v>
      </x:c>
      <x:c r="C993" s="6" t="str">
        <x:f>IF(B993="","Needs decision","Ready")</x:f>
        <x:v>Ready</x:v>
      </x:c>
      <x:c r="D993" s="6" t="str">
        <x:v>去</x:v>
      </x:c>
      <x:c r="E993" s="6" t="str">
        <x:v>dzyuH (C)</x:v>
      </x:c>
      <x:c r="F993" s="6" t="str">
        <x:v>1</x:v>
      </x:c>
      <x:c r="G993" s="6" t="str"/>
      <x:c r="H993" s="6" t="str">
        <x:f>IF(B993="平","平",IF(B993="","","仄"))</x:f>
        <x:v>仄</x:v>
      </x:c>
      <x:c r="I993" s="6" t="str">
        <x:f>IF(D986="","",IF(AND(ISNUMBER(SEARCH("平",D986)),OR(ISNUMBER(SEARCH("上",D986)),ISNUMBER(SEARCH("去",D986)),ISNUMBER(SEARCH("入",D986)))),"Ambiguous",IF(ISNUMBER(SEARCH("平",D986)),"平","仄")))</x:f>
        <x:v>平</x:v>
      </x:c>
      <x:c r="J993" s="7" t="str"/>
    </x:row>
    <x:row r="994">
      <x:c r="A994" s="5" t="str">
        <x:v>對</x:v>
      </x:c>
      <x:c r="B994" s="6" t="str">
        <x:v>去</x:v>
      </x:c>
      <x:c r="C994" s="6" t="str">
        <x:f>IF(B994="","Needs decision","Ready")</x:f>
        <x:v>Ready</x:v>
      </x:c>
      <x:c r="D994" s="6" t="str">
        <x:v>去</x:v>
      </x:c>
      <x:c r="E994" s="6" t="str">
        <x:v>twojH (C)</x:v>
      </x:c>
      <x:c r="F994" s="6" t="str">
        <x:v>1</x:v>
      </x:c>
      <x:c r="G994" s="6" t="str"/>
      <x:c r="H994" s="6" t="str">
        <x:f>IF(B994="平","平",IF(B994="","","仄"))</x:f>
        <x:v>仄</x:v>
      </x:c>
      <x:c r="I994" s="6" t="str">
        <x:f>IF(D987="","",IF(AND(ISNUMBER(SEARCH("平",D987)),OR(ISNUMBER(SEARCH("上",D987)),ISNUMBER(SEARCH("去",D987)),ISNUMBER(SEARCH("入",D987)))),"Ambiguous",IF(ISNUMBER(SEARCH("平",D987)),"平","仄")))</x:f>
        <x:v>仄</x:v>
      </x:c>
      <x:c r="J994" s="7" t="str"/>
    </x:row>
    <x:row r="995">
      <x:c r="A995" s="5" t="str">
        <x:v>導</x:v>
      </x:c>
      <x:c r="B995" s="6" t="str">
        <x:v>去</x:v>
      </x:c>
      <x:c r="C995" s="6" t="str">
        <x:f>IF(B995="","Needs decision","Ready")</x:f>
        <x:v>Ready</x:v>
      </x:c>
      <x:c r="D995" s="6" t="str">
        <x:v>去</x:v>
      </x:c>
      <x:c r="E995" s="6" t="str">
        <x:v>dawH (C)</x:v>
      </x:c>
      <x:c r="F995" s="6" t="str">
        <x:v>1</x:v>
      </x:c>
      <x:c r="G995" s="6" t="str"/>
      <x:c r="H995" s="6" t="str">
        <x:f>IF(B995="平","平",IF(B995="","","仄"))</x:f>
        <x:v>仄</x:v>
      </x:c>
      <x:c r="I995" s="6" t="str">
        <x:f>IF(D988="","",IF(AND(ISNUMBER(SEARCH("平",D988)),OR(ISNUMBER(SEARCH("上",D988)),ISNUMBER(SEARCH("去",D988)),ISNUMBER(SEARCH("入",D988)))),"Ambiguous",IF(ISNUMBER(SEARCH("平",D988)),"平","仄")))</x:f>
        <x:v>Ambiguous</x:v>
      </x:c>
      <x:c r="J995" s="7" t="str"/>
    </x:row>
    <x:row r="996">
      <x:c r="A996" s="5" t="str">
        <x:v>小</x:v>
      </x:c>
      <x:c r="B996" s="6" t="str">
        <x:v>上</x:v>
      </x:c>
      <x:c r="C996" s="6" t="str">
        <x:f>IF(B996="","Needs decision","Ready")</x:f>
        <x:v>Ready</x:v>
      </x:c>
      <x:c r="D996" s="6" t="str">
        <x:v>上</x:v>
      </x:c>
      <x:c r="E996" s="6" t="str">
        <x:v>sjewX (B)</x:v>
      </x:c>
      <x:c r="F996" s="6" t="str">
        <x:v>1</x:v>
      </x:c>
      <x:c r="G996" s="6" t="str"/>
      <x:c r="H996" s="6" t="str">
        <x:f>IF(B996="平","平",IF(B996="","","仄"))</x:f>
        <x:v>仄</x:v>
      </x:c>
      <x:c r="I996" s="6" t="str">
        <x:f>IF(D989="","",IF(AND(ISNUMBER(SEARCH("平",D989)),OR(ISNUMBER(SEARCH("上",D989)),ISNUMBER(SEARCH("去",D989)),ISNUMBER(SEARCH("入",D989)))),"Ambiguous",IF(ISNUMBER(SEARCH("平",D989)),"平","仄")))</x:f>
        <x:v>平</x:v>
      </x:c>
      <x:c r="J996" s="7" t="str"/>
    </x:row>
    <x:row r="997">
      <x:c r="A997" s="5" t="str">
        <x:v>少</x:v>
      </x:c>
      <x:c r="B997" s="6" t="str"/>
      <x:c r="C997" s="6" t="str">
        <x:f>IF(B997="","Needs decision","Ready")</x:f>
        <x:v>Needs decision</x:v>
      </x:c>
      <x:c r="D997" s="6" t="str">
        <x:v>上/去</x:v>
      </x:c>
      <x:c r="E997" s="6" t="str">
        <x:v>syewX (B); syewH (C)</x:v>
      </x:c>
      <x:c r="F997" s="6" t="str">
        <x:v>2</x:v>
      </x:c>
      <x:c r="G997" s="6" t="str"/>
      <x:c r="H997" s="6" t="str">
        <x:f>IF(B997="平","平",IF(B997="","","仄"))</x:f>
      </x:c>
      <x:c r="I997" s="6" t="str">
        <x:f>IF(D990="","",IF(AND(ISNUMBER(SEARCH("平",D990)),OR(ISNUMBER(SEARCH("上",D990)),ISNUMBER(SEARCH("去",D990)),ISNUMBER(SEARCH("入",D990)))),"Ambiguous",IF(ISNUMBER(SEARCH("平",D990)),"平","仄")))</x:f>
        <x:v>仄</x:v>
      </x:c>
      <x:c r="J997" s="7" t="str"/>
    </x:row>
    <x:row r="998">
      <x:c r="A998" s="5" t="str">
        <x:v>尔</x:v>
      </x:c>
      <x:c r="B998" s="6" t="str">
        <x:v>上</x:v>
      </x:c>
      <x:c r="C998" s="6" t="str">
        <x:f>IF(B998="","Needs decision","Ready")</x:f>
        <x:v>Ready</x:v>
      </x:c>
      <x:c r="D998" s="6" t="str">
        <x:v>上</x:v>
      </x:c>
      <x:c r="E998" s="6" t="str">
        <x:v>nyeX (B)</x:v>
      </x:c>
      <x:c r="F998" s="6" t="str">
        <x:v>1</x:v>
      </x:c>
      <x:c r="G998" s="6" t="str"/>
      <x:c r="H998" s="6" t="str">
        <x:f>IF(B998="平","平",IF(B998="","","仄"))</x:f>
        <x:v>仄</x:v>
      </x:c>
      <x:c r="I998" s="6" t="str">
        <x:f>IF(D991="","",IF(AND(ISNUMBER(SEARCH("平",D991)),OR(ISNUMBER(SEARCH("上",D991)),ISNUMBER(SEARCH("去",D991)),ISNUMBER(SEARCH("入",D991)))),"Ambiguous",IF(ISNUMBER(SEARCH("平",D991)),"平","仄")))</x:f>
        <x:v>平</x:v>
      </x:c>
      <x:c r="J998" s="7" t="str"/>
    </x:row>
    <x:row r="999">
      <x:c r="A999" s="5" t="str">
        <x:v>尗</x:v>
      </x:c>
      <x:c r="B999" s="6" t="str">
        <x:v>入</x:v>
      </x:c>
      <x:c r="C999" s="6" t="str">
        <x:f>IF(B999="","Needs decision","Ready")</x:f>
        <x:v>Ready</x:v>
      </x:c>
      <x:c r="D999" s="6" t="str">
        <x:v>入</x:v>
      </x:c>
      <x:c r="E999" s="6" t="str">
        <x:v>syuwk (D)</x:v>
      </x:c>
      <x:c r="F999" s="6" t="str">
        <x:v>1</x:v>
      </x:c>
      <x:c r="G999" s="6" t="str"/>
      <x:c r="H999" s="6" t="str">
        <x:f>IF(B999="平","平",IF(B999="","","仄"))</x:f>
        <x:v>仄</x:v>
      </x:c>
      <x:c r="I999" s="6" t="str">
        <x:f>IF(D992="","",IF(AND(ISNUMBER(SEARCH("平",D992)),OR(ISNUMBER(SEARCH("上",D992)),ISNUMBER(SEARCH("去",D992)),ISNUMBER(SEARCH("入",D992)))),"Ambiguous",IF(ISNUMBER(SEARCH("平",D992)),"平","仄")))</x:f>
        <x:v>平</x:v>
      </x:c>
      <x:c r="J999" s="7" t="str"/>
    </x:row>
    <x:row r="1000">
      <x:c r="A1000" s="5" t="str">
        <x:v>尚</x:v>
      </x:c>
      <x:c r="B1000" s="6" t="str">
        <x:v>去</x:v>
      </x:c>
      <x:c r="C1000" s="6" t="str">
        <x:f>IF(B1000="","Needs decision","Ready")</x:f>
        <x:v>Ready</x:v>
      </x:c>
      <x:c r="D1000" s="6" t="str">
        <x:v>去</x:v>
      </x:c>
      <x:c r="E1000" s="6" t="str">
        <x:v>dzyangH (C)</x:v>
      </x:c>
      <x:c r="F1000" s="6" t="str">
        <x:v>1</x:v>
      </x:c>
      <x:c r="G1000" s="6" t="str"/>
      <x:c r="H1000" s="6" t="str">
        <x:f>IF(B1000="平","平",IF(B1000="","","仄"))</x:f>
        <x:v>仄</x:v>
      </x:c>
      <x:c r="I1000" s="6" t="str">
        <x:f>IF(D993="","",IF(AND(ISNUMBER(SEARCH("平",D993)),OR(ISNUMBER(SEARCH("上",D993)),ISNUMBER(SEARCH("去",D993)),ISNUMBER(SEARCH("入",D993)))),"Ambiguous",IF(ISNUMBER(SEARCH("平",D993)),"平","仄")))</x:f>
        <x:v>仄</x:v>
      </x:c>
      <x:c r="J1000" s="7" t="str"/>
    </x:row>
    <x:row r="1001">
      <x:c r="A1001" s="5" t="str">
        <x:v>尞</x:v>
      </x:c>
      <x:c r="B1001" s="6" t="str">
        <x:v>去</x:v>
      </x:c>
      <x:c r="C1001" s="6" t="str">
        <x:f>IF(B1001="","Needs decision","Ready")</x:f>
        <x:v>Ready</x:v>
      </x:c>
      <x:c r="D1001" s="6" t="str">
        <x:v>去</x:v>
      </x:c>
      <x:c r="E1001" s="6" t="str">
        <x:v>ljewH (C)</x:v>
      </x:c>
      <x:c r="F1001" s="6" t="str">
        <x:v>1</x:v>
      </x:c>
      <x:c r="G1001" s="6" t="str"/>
      <x:c r="H1001" s="6" t="str">
        <x:f>IF(B1001="平","平",IF(B1001="","","仄"))</x:f>
        <x:v>仄</x:v>
      </x:c>
      <x:c r="I1001" s="6" t="str">
        <x:f>IF(D994="","",IF(AND(ISNUMBER(SEARCH("平",D994)),OR(ISNUMBER(SEARCH("上",D994)),ISNUMBER(SEARCH("去",D994)),ISNUMBER(SEARCH("入",D994)))),"Ambiguous",IF(ISNUMBER(SEARCH("平",D994)),"平","仄")))</x:f>
        <x:v>仄</x:v>
      </x:c>
      <x:c r="J1001" s="7" t="str"/>
    </x:row>
    <x:row r="1002">
      <x:c r="A1002" s="5" t="str">
        <x:v>尤</x:v>
      </x:c>
      <x:c r="B1002" s="6" t="str">
        <x:v>平</x:v>
      </x:c>
      <x:c r="C1002" s="6" t="str">
        <x:f>IF(B1002="","Needs decision","Ready")</x:f>
        <x:v>Ready</x:v>
      </x:c>
      <x:c r="D1002" s="6" t="str">
        <x:v>平</x:v>
      </x:c>
      <x:c r="E1002" s="6" t="str">
        <x:v>hjuw (A)</x:v>
      </x:c>
      <x:c r="F1002" s="6" t="str">
        <x:v>1</x:v>
      </x:c>
      <x:c r="G1002" s="6" t="str"/>
      <x:c r="H1002" s="6" t="str">
        <x:f>IF(B1002="平","平",IF(B1002="","","仄"))</x:f>
        <x:v>平</x:v>
      </x:c>
      <x:c r="I1002" s="6" t="str">
        <x:f>IF(D995="","",IF(AND(ISNUMBER(SEARCH("平",D995)),OR(ISNUMBER(SEARCH("上",D995)),ISNUMBER(SEARCH("去",D995)),ISNUMBER(SEARCH("入",D995)))),"Ambiguous",IF(ISNUMBER(SEARCH("平",D995)),"平","仄")))</x:f>
        <x:v>仄</x:v>
      </x:c>
      <x:c r="J1002" s="7" t="str"/>
    </x:row>
    <x:row r="1003">
      <x:c r="A1003" s="5" t="str">
        <x:v>尨</x:v>
      </x:c>
      <x:c r="B1003" s="6" t="str">
        <x:v>平</x:v>
      </x:c>
      <x:c r="C1003" s="6" t="str">
        <x:f>IF(B1003="","Needs decision","Ready")</x:f>
        <x:v>Ready</x:v>
      </x:c>
      <x:c r="D1003" s="6" t="str">
        <x:v>平</x:v>
      </x:c>
      <x:c r="E1003" s="6" t="str">
        <x:v>maewng (A)</x:v>
      </x:c>
      <x:c r="F1003" s="6" t="str">
        <x:v>1</x:v>
      </x:c>
      <x:c r="G1003" s="6" t="str"/>
      <x:c r="H1003" s="6" t="str">
        <x:f>IF(B1003="平","平",IF(B1003="","","仄"))</x:f>
        <x:v>平</x:v>
      </x:c>
      <x:c r="I1003" s="6" t="str">
        <x:f>IF(D996="","",IF(AND(ISNUMBER(SEARCH("平",D996)),OR(ISNUMBER(SEARCH("上",D996)),ISNUMBER(SEARCH("去",D996)),ISNUMBER(SEARCH("入",D996)))),"Ambiguous",IF(ISNUMBER(SEARCH("平",D996)),"平","仄")))</x:f>
        <x:v>仄</x:v>
      </x:c>
      <x:c r="J1003" s="7" t="str"/>
    </x:row>
    <x:row r="1004">
      <x:c r="A1004" s="5" t="str">
        <x:v>尪</x:v>
      </x:c>
      <x:c r="B1004" s="6" t="str">
        <x:v>平</x:v>
      </x:c>
      <x:c r="C1004" s="6" t="str">
        <x:f>IF(B1004="","Needs decision","Ready")</x:f>
        <x:v>Ready</x:v>
      </x:c>
      <x:c r="D1004" s="6" t="str">
        <x:v>平</x:v>
      </x:c>
      <x:c r="E1004" s="6" t="str">
        <x:v>'wang (A)</x:v>
      </x:c>
      <x:c r="F1004" s="6" t="str">
        <x:v>1</x:v>
      </x:c>
      <x:c r="G1004" s="6" t="str"/>
      <x:c r="H1004" s="6" t="str">
        <x:f>IF(B1004="平","平",IF(B1004="","","仄"))</x:f>
        <x:v>平</x:v>
      </x:c>
      <x:c r="I1004" s="6" t="str">
        <x:f>IF(D997="","",IF(AND(ISNUMBER(SEARCH("平",D997)),OR(ISNUMBER(SEARCH("上",D997)),ISNUMBER(SEARCH("去",D997)),ISNUMBER(SEARCH("入",D997)))),"Ambiguous",IF(ISNUMBER(SEARCH("平",D997)),"平","仄")))</x:f>
        <x:v>仄</x:v>
      </x:c>
      <x:c r="J1004" s="7" t="str"/>
    </x:row>
    <x:row r="1005">
      <x:c r="A1005" s="5" t="str">
        <x:v>就</x:v>
      </x:c>
      <x:c r="B1005" s="6" t="str">
        <x:v>去</x:v>
      </x:c>
      <x:c r="C1005" s="6" t="str">
        <x:f>IF(B1005="","Needs decision","Ready")</x:f>
        <x:v>Ready</x:v>
      </x:c>
      <x:c r="D1005" s="6" t="str">
        <x:v>去</x:v>
      </x:c>
      <x:c r="E1005" s="6" t="str">
        <x:v>dzjuwH (C)</x:v>
      </x:c>
      <x:c r="F1005" s="6" t="str">
        <x:v>1</x:v>
      </x:c>
      <x:c r="G1005" s="6" t="str"/>
      <x:c r="H1005" s="6" t="str">
        <x:f>IF(B1005="平","平",IF(B1005="","","仄"))</x:f>
        <x:v>仄</x:v>
      </x:c>
      <x:c r="I1005" s="6" t="str">
        <x:f>IF(D998="","",IF(AND(ISNUMBER(SEARCH("平",D998)),OR(ISNUMBER(SEARCH("上",D998)),ISNUMBER(SEARCH("去",D998)),ISNUMBER(SEARCH("入",D998)))),"Ambiguous",IF(ISNUMBER(SEARCH("平",D998)),"平","仄")))</x:f>
        <x:v>仄</x:v>
      </x:c>
      <x:c r="J1005" s="7" t="str"/>
    </x:row>
    <x:row r="1006">
      <x:c r="A1006" s="5" t="str">
        <x:v>尸</x:v>
      </x:c>
      <x:c r="B1006" s="6" t="str">
        <x:v>平</x:v>
      </x:c>
      <x:c r="C1006" s="6" t="str">
        <x:f>IF(B1006="","Needs decision","Ready")</x:f>
        <x:v>Ready</x:v>
      </x:c>
      <x:c r="D1006" s="6" t="str">
        <x:v>平</x:v>
      </x:c>
      <x:c r="E1006" s="6" t="str">
        <x:v>syij (A)</x:v>
      </x:c>
      <x:c r="F1006" s="6" t="str">
        <x:v>1</x:v>
      </x:c>
      <x:c r="G1006" s="6" t="str"/>
      <x:c r="H1006" s="6" t="str">
        <x:f>IF(B1006="平","平",IF(B1006="","","仄"))</x:f>
        <x:v>平</x:v>
      </x:c>
      <x:c r="I1006" s="6" t="str">
        <x:f>IF(D999="","",IF(AND(ISNUMBER(SEARCH("平",D999)),OR(ISNUMBER(SEARCH("上",D999)),ISNUMBER(SEARCH("去",D999)),ISNUMBER(SEARCH("入",D999)))),"Ambiguous",IF(ISNUMBER(SEARCH("平",D999)),"平","仄")))</x:f>
        <x:v>仄</x:v>
      </x:c>
      <x:c r="J1006" s="7" t="str"/>
    </x:row>
    <x:row r="1007">
      <x:c r="A1007" s="5" t="str">
        <x:v>尹</x:v>
      </x:c>
      <x:c r="B1007" s="6" t="str">
        <x:v>上</x:v>
      </x:c>
      <x:c r="C1007" s="6" t="str">
        <x:f>IF(B1007="","Needs decision","Ready")</x:f>
        <x:v>Ready</x:v>
      </x:c>
      <x:c r="D1007" s="6" t="str">
        <x:v>上</x:v>
      </x:c>
      <x:c r="E1007" s="6" t="str">
        <x:v>ywinX (B)</x:v>
      </x:c>
      <x:c r="F1007" s="6" t="str">
        <x:v>1</x:v>
      </x:c>
      <x:c r="G1007" s="6" t="str"/>
      <x:c r="H1007" s="6" t="str">
        <x:f>IF(B1007="平","平",IF(B1007="","","仄"))</x:f>
        <x:v>仄</x:v>
      </x:c>
      <x:c r="I1007" s="6" t="str">
        <x:f>IF(D1000="","",IF(AND(ISNUMBER(SEARCH("平",D1000)),OR(ISNUMBER(SEARCH("上",D1000)),ISNUMBER(SEARCH("去",D1000)),ISNUMBER(SEARCH("入",D1000)))),"Ambiguous",IF(ISNUMBER(SEARCH("平",D1000)),"平","仄")))</x:f>
        <x:v>仄</x:v>
      </x:c>
      <x:c r="J1007" s="7" t="str"/>
    </x:row>
    <x:row r="1008">
      <x:c r="A1008" s="5" t="str">
        <x:v>尺</x:v>
      </x:c>
      <x:c r="B1008" s="6" t="str">
        <x:v>入</x:v>
      </x:c>
      <x:c r="C1008" s="6" t="str">
        <x:f>IF(B1008="","Needs decision","Ready")</x:f>
        <x:v>Ready</x:v>
      </x:c>
      <x:c r="D1008" s="6" t="str">
        <x:v>入</x:v>
      </x:c>
      <x:c r="E1008" s="6" t="str">
        <x:v>tsyhek (D)</x:v>
      </x:c>
      <x:c r="F1008" s="6" t="str">
        <x:v>1</x:v>
      </x:c>
      <x:c r="G1008" s="6" t="str"/>
      <x:c r="H1008" s="6" t="str">
        <x:f>IF(B1008="平","平",IF(B1008="","","仄"))</x:f>
        <x:v>仄</x:v>
      </x:c>
      <x:c r="I1008" s="6" t="str">
        <x:f>IF(D1001="","",IF(AND(ISNUMBER(SEARCH("平",D1001)),OR(ISNUMBER(SEARCH("上",D1001)),ISNUMBER(SEARCH("去",D1001)),ISNUMBER(SEARCH("入",D1001)))),"Ambiguous",IF(ISNUMBER(SEARCH("平",D1001)),"平","仄")))</x:f>
        <x:v>仄</x:v>
      </x:c>
      <x:c r="J1008" s="7" t="str"/>
    </x:row>
    <x:row r="1009">
      <x:c r="A1009" s="5" t="str">
        <x:v>尻</x:v>
      </x:c>
      <x:c r="B1009" s="6" t="str">
        <x:v>平</x:v>
      </x:c>
      <x:c r="C1009" s="6" t="str">
        <x:f>IF(B1009="","Needs decision","Ready")</x:f>
        <x:v>Ready</x:v>
      </x:c>
      <x:c r="D1009" s="6" t="str">
        <x:v>平</x:v>
      </x:c>
      <x:c r="E1009" s="6" t="str">
        <x:v>khaw (A)</x:v>
      </x:c>
      <x:c r="F1009" s="6" t="str">
        <x:v>1</x:v>
      </x:c>
      <x:c r="G1009" s="6" t="str"/>
      <x:c r="H1009" s="6" t="str">
        <x:f>IF(B1009="平","平",IF(B1009="","","仄"))</x:f>
        <x:v>平</x:v>
      </x:c>
      <x:c r="I1009" s="6" t="str">
        <x:f>IF(D1002="","",IF(AND(ISNUMBER(SEARCH("平",D1002)),OR(ISNUMBER(SEARCH("上",D1002)),ISNUMBER(SEARCH("去",D1002)),ISNUMBER(SEARCH("入",D1002)))),"Ambiguous",IF(ISNUMBER(SEARCH("平",D1002)),"平","仄")))</x:f>
        <x:v>平</x:v>
      </x:c>
      <x:c r="J1009" s="7" t="str"/>
    </x:row>
    <x:row r="1010">
      <x:c r="A1010" s="5" t="str">
        <x:v>尼</x:v>
      </x:c>
      <x:c r="B1010" s="6" t="str"/>
      <x:c r="C1010" s="6" t="str">
        <x:f>IF(B1010="","Needs decision","Ready")</x:f>
        <x:v>Needs decision</x:v>
      </x:c>
      <x:c r="D1010" s="6" t="str">
        <x:v>上/去/平</x:v>
      </x:c>
      <x:c r="E1010" s="6" t="str">
        <x:v>nejX (B); nejH (C); nrij (A)</x:v>
      </x:c>
      <x:c r="F1010" s="6" t="str">
        <x:v>3</x:v>
      </x:c>
      <x:c r="G1010" s="6" t="str"/>
      <x:c r="H1010" s="6" t="str">
        <x:f>IF(B1010="平","平",IF(B1010="","","仄"))</x:f>
      </x:c>
      <x:c r="I1010" s="6" t="str">
        <x:f>IF(D1003="","",IF(AND(ISNUMBER(SEARCH("平",D1003)),OR(ISNUMBER(SEARCH("上",D1003)),ISNUMBER(SEARCH("去",D1003)),ISNUMBER(SEARCH("入",D1003)))),"Ambiguous",IF(ISNUMBER(SEARCH("平",D1003)),"平","仄")))</x:f>
        <x:v>平</x:v>
      </x:c>
      <x:c r="J1010" s="7" t="str"/>
    </x:row>
    <x:row r="1011">
      <x:c r="A1011" s="5" t="str">
        <x:v>尾</x:v>
      </x:c>
      <x:c r="B1011" s="6" t="str">
        <x:v>上</x:v>
      </x:c>
      <x:c r="C1011" s="6" t="str">
        <x:f>IF(B1011="","Needs decision","Ready")</x:f>
        <x:v>Ready</x:v>
      </x:c>
      <x:c r="D1011" s="6" t="str">
        <x:v>上</x:v>
      </x:c>
      <x:c r="E1011" s="6" t="str">
        <x:v>mj+jX (B)</x:v>
      </x:c>
      <x:c r="F1011" s="6" t="str">
        <x:v>1</x:v>
      </x:c>
      <x:c r="G1011" s="6" t="str"/>
      <x:c r="H1011" s="6" t="str">
        <x:f>IF(B1011="平","平",IF(B1011="","","仄"))</x:f>
        <x:v>仄</x:v>
      </x:c>
      <x:c r="I1011" s="6" t="str">
        <x:f>IF(D1004="","",IF(AND(ISNUMBER(SEARCH("平",D1004)),OR(ISNUMBER(SEARCH("上",D1004)),ISNUMBER(SEARCH("去",D1004)),ISNUMBER(SEARCH("入",D1004)))),"Ambiguous",IF(ISNUMBER(SEARCH("平",D1004)),"平","仄")))</x:f>
        <x:v>平</x:v>
      </x:c>
      <x:c r="J1011" s="7" t="str"/>
    </x:row>
    <x:row r="1012">
      <x:c r="A1012" s="5" t="str">
        <x:v>尿</x:v>
      </x:c>
      <x:c r="B1012" s="6" t="str">
        <x:v>去</x:v>
      </x:c>
      <x:c r="C1012" s="6" t="str">
        <x:f>IF(B1012="","Needs decision","Ready")</x:f>
        <x:v>Ready</x:v>
      </x:c>
      <x:c r="D1012" s="6" t="str">
        <x:v>去</x:v>
      </x:c>
      <x:c r="E1012" s="6" t="str">
        <x:v>newH (C)</x:v>
      </x:c>
      <x:c r="F1012" s="6" t="str">
        <x:v>1</x:v>
      </x:c>
      <x:c r="G1012" s="6" t="str"/>
      <x:c r="H1012" s="6" t="str">
        <x:f>IF(B1012="平","平",IF(B1012="","","仄"))</x:f>
        <x:v>仄</x:v>
      </x:c>
      <x:c r="I1012" s="6" t="str">
        <x:f>IF(D1005="","",IF(AND(ISNUMBER(SEARCH("平",D1005)),OR(ISNUMBER(SEARCH("上",D1005)),ISNUMBER(SEARCH("去",D1005)),ISNUMBER(SEARCH("入",D1005)))),"Ambiguous",IF(ISNUMBER(SEARCH("平",D1005)),"平","仄")))</x:f>
        <x:v>仄</x:v>
      </x:c>
      <x:c r="J1012" s="7" t="str"/>
    </x:row>
    <x:row r="1013">
      <x:c r="A1013" s="5" t="str">
        <x:v>局</x:v>
      </x:c>
      <x:c r="B1013" s="6" t="str">
        <x:v>入</x:v>
      </x:c>
      <x:c r="C1013" s="6" t="str">
        <x:f>IF(B1013="","Needs decision","Ready")</x:f>
        <x:v>Ready</x:v>
      </x:c>
      <x:c r="D1013" s="6" t="str">
        <x:v>入</x:v>
      </x:c>
      <x:c r="E1013" s="6" t="str">
        <x:v>gjowk (D)</x:v>
      </x:c>
      <x:c r="F1013" s="6" t="str">
        <x:v>1</x:v>
      </x:c>
      <x:c r="G1013" s="6" t="str"/>
      <x:c r="H1013" s="6" t="str">
        <x:f>IF(B1013="平","平",IF(B1013="","","仄"))</x:f>
        <x:v>仄</x:v>
      </x:c>
      <x:c r="I1013" s="6" t="str">
        <x:f>IF(D1006="","",IF(AND(ISNUMBER(SEARCH("平",D1006)),OR(ISNUMBER(SEARCH("上",D1006)),ISNUMBER(SEARCH("去",D1006)),ISNUMBER(SEARCH("入",D1006)))),"Ambiguous",IF(ISNUMBER(SEARCH("平",D1006)),"平","仄")))</x:f>
        <x:v>平</x:v>
      </x:c>
      <x:c r="J1013" s="7" t="str"/>
    </x:row>
    <x:row r="1014">
      <x:c r="A1014" s="5" t="str">
        <x:v>居</x:v>
      </x:c>
      <x:c r="B1014" s="6" t="str">
        <x:v>平</x:v>
      </x:c>
      <x:c r="C1014" s="6" t="str">
        <x:f>IF(B1014="","Needs decision","Ready")</x:f>
        <x:v>Ready</x:v>
      </x:c>
      <x:c r="D1014" s="6" t="str">
        <x:v>平/去</x:v>
      </x:c>
      <x:c r="E1014" s="6" t="str">
        <x:v>kjo (A); kjoH (C)</x:v>
      </x:c>
      <x:c r="F1014" s="6" t="str">
        <x:v>2</x:v>
      </x:c>
      <x:c r="G1014" s="6" t="str">
        <x:v>User workbook edit 2026-09-03</x:v>
      </x:c>
      <x:c r="H1014" s="6" t="str">
        <x:f>IF(B1014="平","平",IF(B1014="","","仄"))</x:f>
        <x:v>平</x:v>
      </x:c>
      <x:c r="I1014" s="6" t="str">
        <x:f>IF(D1007="","",IF(AND(ISNUMBER(SEARCH("平",D1007)),OR(ISNUMBER(SEARCH("上",D1007)),ISNUMBER(SEARCH("去",D1007)),ISNUMBER(SEARCH("入",D1007)))),"Ambiguous",IF(ISNUMBER(SEARCH("平",D1007)),"平","仄")))</x:f>
        <x:v>仄</x:v>
      </x:c>
      <x:c r="J1014" s="7" t="str">
        <x:v>manual user correction</x:v>
      </x:c>
    </x:row>
    <x:row r="1015">
      <x:c r="A1015" s="5" t="str">
        <x:v>屆</x:v>
      </x:c>
      <x:c r="B1015" s="6" t="str">
        <x:v>去</x:v>
      </x:c>
      <x:c r="C1015" s="6" t="str">
        <x:f>IF(B1015="","Needs decision","Ready")</x:f>
        <x:v>Ready</x:v>
      </x:c>
      <x:c r="D1015" s="6" t="str">
        <x:v>去</x:v>
      </x:c>
      <x:c r="E1015" s="6" t="str">
        <x:v>keajH (C)</x:v>
      </x:c>
      <x:c r="F1015" s="6" t="str">
        <x:v>1</x:v>
      </x:c>
      <x:c r="G1015" s="6" t="str"/>
      <x:c r="H1015" s="6" t="str">
        <x:f>IF(B1015="平","平",IF(B1015="","","仄"))</x:f>
        <x:v>仄</x:v>
      </x:c>
      <x:c r="I1015" s="6" t="str">
        <x:f>IF(D1008="","",IF(AND(ISNUMBER(SEARCH("平",D1008)),OR(ISNUMBER(SEARCH("上",D1008)),ISNUMBER(SEARCH("去",D1008)),ISNUMBER(SEARCH("入",D1008)))),"Ambiguous",IF(ISNUMBER(SEARCH("平",D1008)),"平","仄")))</x:f>
        <x:v>仄</x:v>
      </x:c>
      <x:c r="J1015" s="7" t="str"/>
    </x:row>
    <x:row r="1016">
      <x:c r="A1016" s="5" t="str">
        <x:v>屈</x:v>
      </x:c>
      <x:c r="B1016" s="6" t="str">
        <x:v>入</x:v>
      </x:c>
      <x:c r="C1016" s="6" t="str">
        <x:f>IF(B1016="","Needs decision","Ready")</x:f>
        <x:v>Ready</x:v>
      </x:c>
      <x:c r="D1016" s="6" t="str">
        <x:v>入</x:v>
      </x:c>
      <x:c r="E1016" s="6" t="str">
        <x:v>khjut (D)</x:v>
      </x:c>
      <x:c r="F1016" s="6" t="str">
        <x:v>1</x:v>
      </x:c>
      <x:c r="G1016" s="6" t="str"/>
      <x:c r="H1016" s="6" t="str">
        <x:f>IF(B1016="平","平",IF(B1016="","","仄"))</x:f>
        <x:v>仄</x:v>
      </x:c>
      <x:c r="I1016" s="6" t="str">
        <x:f>IF(D1009="","",IF(AND(ISNUMBER(SEARCH("平",D1009)),OR(ISNUMBER(SEARCH("上",D1009)),ISNUMBER(SEARCH("去",D1009)),ISNUMBER(SEARCH("入",D1009)))),"Ambiguous",IF(ISNUMBER(SEARCH("平",D1009)),"平","仄")))</x:f>
        <x:v>平</x:v>
      </x:c>
      <x:c r="J1016" s="7" t="str"/>
    </x:row>
    <x:row r="1017">
      <x:c r="A1017" s="5" t="str">
        <x:v>屋</x:v>
      </x:c>
      <x:c r="B1017" s="6" t="str">
        <x:v>入</x:v>
      </x:c>
      <x:c r="C1017" s="6" t="str">
        <x:f>IF(B1017="","Needs decision","Ready")</x:f>
        <x:v>Ready</x:v>
      </x:c>
      <x:c r="D1017" s="6" t="str">
        <x:v>入</x:v>
      </x:c>
      <x:c r="E1017" s="6" t="str">
        <x:v>'uwk (D)</x:v>
      </x:c>
      <x:c r="F1017" s="6" t="str">
        <x:v>1</x:v>
      </x:c>
      <x:c r="G1017" s="6" t="str"/>
      <x:c r="H1017" s="6" t="str">
        <x:f>IF(B1017="平","平",IF(B1017="","","仄"))</x:f>
        <x:v>仄</x:v>
      </x:c>
      <x:c r="I1017" s="6" t="str">
        <x:f>IF(D1010="","",IF(AND(ISNUMBER(SEARCH("平",D1010)),OR(ISNUMBER(SEARCH("上",D1010)),ISNUMBER(SEARCH("去",D1010)),ISNUMBER(SEARCH("入",D1010)))),"Ambiguous",IF(ISNUMBER(SEARCH("平",D1010)),"平","仄")))</x:f>
        <x:v>Ambiguous</x:v>
      </x:c>
      <x:c r="J1017" s="7" t="str"/>
    </x:row>
    <x:row r="1018">
      <x:c r="A1018" s="5" t="str">
        <x:v>屍</x:v>
      </x:c>
      <x:c r="B1018" s="6" t="str">
        <x:v>平</x:v>
      </x:c>
      <x:c r="C1018" s="6" t="str">
        <x:f>IF(B1018="","Needs decision","Ready")</x:f>
        <x:v>Ready</x:v>
      </x:c>
      <x:c r="D1018" s="6" t="str">
        <x:v>平</x:v>
      </x:c>
      <x:c r="E1018" s="6" t="str">
        <x:v>syij (A)</x:v>
      </x:c>
      <x:c r="F1018" s="6" t="str">
        <x:v>1</x:v>
      </x:c>
      <x:c r="G1018" s="6" t="str"/>
      <x:c r="H1018" s="6" t="str">
        <x:f>IF(B1018="平","平",IF(B1018="","","仄"))</x:f>
        <x:v>平</x:v>
      </x:c>
      <x:c r="I1018" s="6" t="str">
        <x:f>IF(D1011="","",IF(AND(ISNUMBER(SEARCH("平",D1011)),OR(ISNUMBER(SEARCH("上",D1011)),ISNUMBER(SEARCH("去",D1011)),ISNUMBER(SEARCH("入",D1011)))),"Ambiguous",IF(ISNUMBER(SEARCH("平",D1011)),"平","仄")))</x:f>
        <x:v>仄</x:v>
      </x:c>
      <x:c r="J1018" s="7" t="str"/>
    </x:row>
    <x:row r="1019">
      <x:c r="A1019" s="5" t="str">
        <x:v>屎</x:v>
      </x:c>
      <x:c r="B1019" s="6" t="str"/>
      <x:c r="C1019" s="6" t="str">
        <x:f>IF(B1019="","Needs decision","Ready")</x:f>
        <x:v>Needs decision</x:v>
      </x:c>
      <x:c r="D1019" s="6" t="str">
        <x:v>上/平</x:v>
      </x:c>
      <x:c r="E1019" s="6" t="str">
        <x:v>syijX (B); xjij (A)</x:v>
      </x:c>
      <x:c r="F1019" s="6" t="str">
        <x:v>2</x:v>
      </x:c>
      <x:c r="G1019" s="6" t="str"/>
      <x:c r="H1019" s="6" t="str">
        <x:f>IF(B1019="平","平",IF(B1019="","","仄"))</x:f>
      </x:c>
      <x:c r="I1019" s="6" t="str">
        <x:f>IF(D1012="","",IF(AND(ISNUMBER(SEARCH("平",D1012)),OR(ISNUMBER(SEARCH("上",D1012)),ISNUMBER(SEARCH("去",D1012)),ISNUMBER(SEARCH("入",D1012)))),"Ambiguous",IF(ISNUMBER(SEARCH("平",D1012)),"平","仄")))</x:f>
        <x:v>仄</x:v>
      </x:c>
      <x:c r="J1019" s="7" t="str"/>
    </x:row>
    <x:row r="1020">
      <x:c r="A1020" s="5" t="str">
        <x:v>屏</x:v>
      </x:c>
      <x:c r="B1020" s="6" t="str">
        <x:v>平</x:v>
      </x:c>
      <x:c r="C1020" s="6" t="str">
        <x:f>IF(B1020="","Needs decision","Ready")</x:f>
        <x:v>Ready</x:v>
      </x:c>
      <x:c r="D1020" s="6" t="str">
        <x:v>平</x:v>
      </x:c>
      <x:c r="E1020" s="6" t="str">
        <x:v>beng (A)</x:v>
      </x:c>
      <x:c r="F1020" s="6" t="str">
        <x:v>1</x:v>
      </x:c>
      <x:c r="G1020" s="6" t="str"/>
      <x:c r="H1020" s="6" t="str">
        <x:f>IF(B1020="平","平",IF(B1020="","","仄"))</x:f>
        <x:v>平</x:v>
      </x:c>
      <x:c r="I1020" s="6" t="str">
        <x:f>IF(D1013="","",IF(AND(ISNUMBER(SEARCH("平",D1013)),OR(ISNUMBER(SEARCH("上",D1013)),ISNUMBER(SEARCH("去",D1013)),ISNUMBER(SEARCH("入",D1013)))),"Ambiguous",IF(ISNUMBER(SEARCH("平",D1013)),"平","仄")))</x:f>
        <x:v>仄</x:v>
      </x:c>
      <x:c r="J1020" s="7" t="str"/>
    </x:row>
    <x:row r="1021">
      <x:c r="A1021" s="5" t="str">
        <x:v>屐</x:v>
      </x:c>
      <x:c r="B1021" s="6" t="str">
        <x:v>入</x:v>
      </x:c>
      <x:c r="C1021" s="6" t="str">
        <x:f>IF(B1021="","Needs decision","Ready")</x:f>
        <x:v>Ready</x:v>
      </x:c>
      <x:c r="D1021" s="6" t="str">
        <x:v>入</x:v>
      </x:c>
      <x:c r="E1021" s="6" t="str">
        <x:v>gjaek (D)</x:v>
      </x:c>
      <x:c r="F1021" s="6" t="str">
        <x:v>1</x:v>
      </x:c>
      <x:c r="G1021" s="6" t="str"/>
      <x:c r="H1021" s="6" t="str">
        <x:f>IF(B1021="平","平",IF(B1021="","","仄"))</x:f>
        <x:v>仄</x:v>
      </x:c>
      <x:c r="I1021" s="6" t="str">
        <x:f>IF(D1014="","",IF(AND(ISNUMBER(SEARCH("平",D1014)),OR(ISNUMBER(SEARCH("上",D1014)),ISNUMBER(SEARCH("去",D1014)),ISNUMBER(SEARCH("入",D1014)))),"Ambiguous",IF(ISNUMBER(SEARCH("平",D1014)),"平","仄")))</x:f>
        <x:v>Ambiguous</x:v>
      </x:c>
      <x:c r="J1021" s="7" t="str"/>
    </x:row>
    <x:row r="1022">
      <x:c r="A1022" s="5" t="str">
        <x:v>屑</x:v>
      </x:c>
      <x:c r="B1022" s="6" t="str">
        <x:v>入</x:v>
      </x:c>
      <x:c r="C1022" s="6" t="str">
        <x:f>IF(B1022="","Needs decision","Ready")</x:f>
        <x:v>Ready</x:v>
      </x:c>
      <x:c r="D1022" s="6" t="str">
        <x:v>入</x:v>
      </x:c>
      <x:c r="E1022" s="6" t="str">
        <x:v>set (D)</x:v>
      </x:c>
      <x:c r="F1022" s="6" t="str">
        <x:v>1</x:v>
      </x:c>
      <x:c r="G1022" s="6" t="str"/>
      <x:c r="H1022" s="6" t="str">
        <x:f>IF(B1022="平","平",IF(B1022="","","仄"))</x:f>
        <x:v>仄</x:v>
      </x:c>
      <x:c r="I1022" s="6" t="str">
        <x:f>IF(D1015="","",IF(AND(ISNUMBER(SEARCH("平",D1015)),OR(ISNUMBER(SEARCH("上",D1015)),ISNUMBER(SEARCH("去",D1015)),ISNUMBER(SEARCH("入",D1015)))),"Ambiguous",IF(ISNUMBER(SEARCH("平",D1015)),"平","仄")))</x:f>
        <x:v>仄</x:v>
      </x:c>
      <x:c r="J1022" s="7" t="str"/>
    </x:row>
    <x:row r="1023">
      <x:c r="A1023" s="5" t="str">
        <x:v>展</x:v>
      </x:c>
      <x:c r="B1023" s="6" t="str"/>
      <x:c r="C1023" s="6" t="str">
        <x:f>IF(B1023="","Needs decision","Ready")</x:f>
        <x:v>Needs decision</x:v>
      </x:c>
      <x:c r="D1023" s="6" t="str">
        <x:v>上/去</x:v>
      </x:c>
      <x:c r="E1023" s="6" t="str">
        <x:v>trjenX (B); trjenH (C)</x:v>
      </x:c>
      <x:c r="F1023" s="6" t="str">
        <x:v>2</x:v>
      </x:c>
      <x:c r="G1023" s="6" t="str"/>
      <x:c r="H1023" s="6" t="str">
        <x:f>IF(B1023="平","平",IF(B1023="","","仄"))</x:f>
      </x:c>
      <x:c r="I1023" s="6" t="str">
        <x:f>IF(D1016="","",IF(AND(ISNUMBER(SEARCH("平",D1016)),OR(ISNUMBER(SEARCH("上",D1016)),ISNUMBER(SEARCH("去",D1016)),ISNUMBER(SEARCH("入",D1016)))),"Ambiguous",IF(ISNUMBER(SEARCH("平",D1016)),"平","仄")))</x:f>
        <x:v>仄</x:v>
      </x:c>
      <x:c r="J1023" s="7" t="str"/>
    </x:row>
    <x:row r="1024">
      <x:c r="A1024" s="5" t="str">
        <x:v>屖</x:v>
      </x:c>
      <x:c r="B1024" s="6" t="str">
        <x:v>平</x:v>
      </x:c>
      <x:c r="C1024" s="6" t="str">
        <x:f>IF(B1024="","Needs decision","Ready")</x:f>
        <x:v>Ready</x:v>
      </x:c>
      <x:c r="D1024" s="6" t="str">
        <x:v>平</x:v>
      </x:c>
      <x:c r="E1024" s="6" t="str">
        <x:v>sej (A)</x:v>
      </x:c>
      <x:c r="F1024" s="6" t="str">
        <x:v>1</x:v>
      </x:c>
      <x:c r="G1024" s="6" t="str"/>
      <x:c r="H1024" s="6" t="str">
        <x:f>IF(B1024="平","平",IF(B1024="","","仄"))</x:f>
        <x:v>平</x:v>
      </x:c>
      <x:c r="I1024" s="6" t="str">
        <x:f>IF(D1017="","",IF(AND(ISNUMBER(SEARCH("平",D1017)),OR(ISNUMBER(SEARCH("上",D1017)),ISNUMBER(SEARCH("去",D1017)),ISNUMBER(SEARCH("入",D1017)))),"Ambiguous",IF(ISNUMBER(SEARCH("平",D1017)),"平","仄")))</x:f>
        <x:v>仄</x:v>
      </x:c>
      <x:c r="J1024" s="7" t="str"/>
    </x:row>
    <x:row r="1025">
      <x:c r="A1025" s="5" t="str">
        <x:v>屠</x:v>
      </x:c>
      <x:c r="B1025" s="6" t="str">
        <x:v>平</x:v>
      </x:c>
      <x:c r="C1025" s="6" t="str">
        <x:f>IF(B1025="","Needs decision","Ready")</x:f>
        <x:v>Ready</x:v>
      </x:c>
      <x:c r="D1025" s="6" t="str">
        <x:v>平</x:v>
      </x:c>
      <x:c r="E1025" s="6" t="str">
        <x:v>du (A)</x:v>
      </x:c>
      <x:c r="F1025" s="6" t="str">
        <x:v>1</x:v>
      </x:c>
      <x:c r="G1025" s="6" t="str"/>
      <x:c r="H1025" s="6" t="str">
        <x:f>IF(B1025="平","平",IF(B1025="","","仄"))</x:f>
        <x:v>平</x:v>
      </x:c>
      <x:c r="I1025" s="6" t="str">
        <x:f>IF(D1018="","",IF(AND(ISNUMBER(SEARCH("平",D1018)),OR(ISNUMBER(SEARCH("上",D1018)),ISNUMBER(SEARCH("去",D1018)),ISNUMBER(SEARCH("入",D1018)))),"Ambiguous",IF(ISNUMBER(SEARCH("平",D1018)),"平","仄")))</x:f>
        <x:v>平</x:v>
      </x:c>
      <x:c r="J1025" s="7" t="str"/>
    </x:row>
    <x:row r="1026">
      <x:c r="A1026" s="5" t="str">
        <x:v>屢</x:v>
      </x:c>
      <x:c r="B1026" s="6" t="str">
        <x:v>去</x:v>
      </x:c>
      <x:c r="C1026" s="6" t="str">
        <x:f>IF(B1026="","Needs decision","Ready")</x:f>
        <x:v>Ready</x:v>
      </x:c>
      <x:c r="D1026" s="6" t="str">
        <x:v>去</x:v>
      </x:c>
      <x:c r="E1026" s="6" t="str">
        <x:v>ljuH (C)</x:v>
      </x:c>
      <x:c r="F1026" s="6" t="str">
        <x:v>1</x:v>
      </x:c>
      <x:c r="G1026" s="6" t="str"/>
      <x:c r="H1026" s="6" t="str">
        <x:f>IF(B1026="平","平",IF(B1026="","","仄"))</x:f>
        <x:v>仄</x:v>
      </x:c>
      <x:c r="I1026" s="6" t="str">
        <x:f>IF(D1019="","",IF(AND(ISNUMBER(SEARCH("平",D1019)),OR(ISNUMBER(SEARCH("上",D1019)),ISNUMBER(SEARCH("去",D1019)),ISNUMBER(SEARCH("入",D1019)))),"Ambiguous",IF(ISNUMBER(SEARCH("平",D1019)),"平","仄")))</x:f>
        <x:v>Ambiguous</x:v>
      </x:c>
      <x:c r="J1026" s="7" t="str"/>
    </x:row>
    <x:row r="1027">
      <x:c r="A1027" s="5" t="str">
        <x:v>層</x:v>
      </x:c>
      <x:c r="B1027" s="6" t="str">
        <x:v>平</x:v>
      </x:c>
      <x:c r="C1027" s="6" t="str">
        <x:f>IF(B1027="","Needs decision","Ready")</x:f>
        <x:v>Ready</x:v>
      </x:c>
      <x:c r="D1027" s="6" t="str">
        <x:v>平</x:v>
      </x:c>
      <x:c r="E1027" s="6" t="str">
        <x:v>dzong (A)</x:v>
      </x:c>
      <x:c r="F1027" s="6" t="str">
        <x:v>1</x:v>
      </x:c>
      <x:c r="G1027" s="6" t="str"/>
      <x:c r="H1027" s="6" t="str">
        <x:f>IF(B1027="平","平",IF(B1027="","","仄"))</x:f>
        <x:v>平</x:v>
      </x:c>
      <x:c r="I1027" s="6" t="str">
        <x:f>IF(D1020="","",IF(AND(ISNUMBER(SEARCH("平",D1020)),OR(ISNUMBER(SEARCH("上",D1020)),ISNUMBER(SEARCH("去",D1020)),ISNUMBER(SEARCH("入",D1020)))),"Ambiguous",IF(ISNUMBER(SEARCH("平",D1020)),"平","仄")))</x:f>
        <x:v>平</x:v>
      </x:c>
      <x:c r="J1027" s="7" t="str"/>
    </x:row>
    <x:row r="1028">
      <x:c r="A1028" s="5" t="str">
        <x:v>履</x:v>
      </x:c>
      <x:c r="B1028" s="6" t="str">
        <x:v>上</x:v>
      </x:c>
      <x:c r="C1028" s="6" t="str">
        <x:f>IF(B1028="","Needs decision","Ready")</x:f>
        <x:v>Ready</x:v>
      </x:c>
      <x:c r="D1028" s="6" t="str">
        <x:v>上</x:v>
      </x:c>
      <x:c r="E1028" s="6" t="str">
        <x:v>lijX (B)</x:v>
      </x:c>
      <x:c r="F1028" s="6" t="str">
        <x:v>1</x:v>
      </x:c>
      <x:c r="G1028" s="6" t="str"/>
      <x:c r="H1028" s="6" t="str">
        <x:f>IF(B1028="平","平",IF(B1028="","","仄"))</x:f>
        <x:v>仄</x:v>
      </x:c>
      <x:c r="I1028" s="6" t="str">
        <x:f>IF(D1021="","",IF(AND(ISNUMBER(SEARCH("平",D1021)),OR(ISNUMBER(SEARCH("上",D1021)),ISNUMBER(SEARCH("去",D1021)),ISNUMBER(SEARCH("入",D1021)))),"Ambiguous",IF(ISNUMBER(SEARCH("平",D1021)),"平","仄")))</x:f>
        <x:v>仄</x:v>
      </x:c>
      <x:c r="J1028" s="7" t="str"/>
    </x:row>
    <x:row r="1029">
      <x:c r="A1029" s="5" t="str">
        <x:v>屧</x:v>
      </x:c>
      <x:c r="B1029" s="6" t="str">
        <x:v>入</x:v>
      </x:c>
      <x:c r="C1029" s="6" t="str">
        <x:f>IF(B1029="","Needs decision","Ready")</x:f>
        <x:v>Ready</x:v>
      </x:c>
      <x:c r="D1029" s="6" t="str">
        <x:v>入</x:v>
      </x:c>
      <x:c r="E1029" s="6" t="str">
        <x:v>sep (D)</x:v>
      </x:c>
      <x:c r="F1029" s="6" t="str">
        <x:v>1</x:v>
      </x:c>
      <x:c r="G1029" s="6" t="str"/>
      <x:c r="H1029" s="6" t="str">
        <x:f>IF(B1029="平","平",IF(B1029="","","仄"))</x:f>
        <x:v>仄</x:v>
      </x:c>
      <x:c r="I1029" s="6" t="str">
        <x:f>IF(D1022="","",IF(AND(ISNUMBER(SEARCH("平",D1022)),OR(ISNUMBER(SEARCH("上",D1022)),ISNUMBER(SEARCH("去",D1022)),ISNUMBER(SEARCH("入",D1022)))),"Ambiguous",IF(ISNUMBER(SEARCH("平",D1022)),"平","仄")))</x:f>
        <x:v>仄</x:v>
      </x:c>
      <x:c r="J1029" s="7" t="str"/>
    </x:row>
    <x:row r="1030">
      <x:c r="A1030" s="5" t="str">
        <x:v>屨</x:v>
      </x:c>
      <x:c r="B1030" s="6" t="str">
        <x:v>去</x:v>
      </x:c>
      <x:c r="C1030" s="6" t="str">
        <x:f>IF(B1030="","Needs decision","Ready")</x:f>
        <x:v>Ready</x:v>
      </x:c>
      <x:c r="D1030" s="6" t="str">
        <x:v>去</x:v>
      </x:c>
      <x:c r="E1030" s="6" t="str">
        <x:v>kjuH (C)</x:v>
      </x:c>
      <x:c r="F1030" s="6" t="str">
        <x:v>1</x:v>
      </x:c>
      <x:c r="G1030" s="6" t="str"/>
      <x:c r="H1030" s="6" t="str">
        <x:f>IF(B1030="平","平",IF(B1030="","","仄"))</x:f>
        <x:v>仄</x:v>
      </x:c>
      <x:c r="I1030" s="6" t="str">
        <x:f>IF(D1023="","",IF(AND(ISNUMBER(SEARCH("平",D1023)),OR(ISNUMBER(SEARCH("上",D1023)),ISNUMBER(SEARCH("去",D1023)),ISNUMBER(SEARCH("入",D1023)))),"Ambiguous",IF(ISNUMBER(SEARCH("平",D1023)),"平","仄")))</x:f>
        <x:v>仄</x:v>
      </x:c>
      <x:c r="J1030" s="7" t="str"/>
    </x:row>
    <x:row r="1031">
      <x:c r="A1031" s="5" t="str">
        <x:v>屬</x:v>
      </x:c>
      <x:c r="B1031" s="6" t="str">
        <x:v>入</x:v>
      </x:c>
      <x:c r="C1031" s="6" t="str">
        <x:f>IF(B1031="","Needs decision","Ready")</x:f>
        <x:v>Ready</x:v>
      </x:c>
      <x:c r="D1031" s="6" t="str">
        <x:v>入</x:v>
      </x:c>
      <x:c r="E1031" s="6" t="str">
        <x:v>dzyowk (D); tsyowk (D)</x:v>
      </x:c>
      <x:c r="F1031" s="6" t="str">
        <x:v>2</x:v>
      </x:c>
      <x:c r="G1031" s="6" t="str"/>
      <x:c r="H1031" s="6" t="str">
        <x:f>IF(B1031="平","平",IF(B1031="","","仄"))</x:f>
        <x:v>仄</x:v>
      </x:c>
      <x:c r="I1031" s="6" t="str">
        <x:f>IF(D1024="","",IF(AND(ISNUMBER(SEARCH("平",D1024)),OR(ISNUMBER(SEARCH("上",D1024)),ISNUMBER(SEARCH("去",D1024)),ISNUMBER(SEARCH("入",D1024)))),"Ambiguous",IF(ISNUMBER(SEARCH("平",D1024)),"平","仄")))</x:f>
        <x:v>平</x:v>
      </x:c>
      <x:c r="J1031" s="7" t="str"/>
    </x:row>
    <x:row r="1032">
      <x:c r="A1032" s="5" t="str">
        <x:v>屯</x:v>
      </x:c>
      <x:c r="B1032" s="6" t="str">
        <x:v>平</x:v>
      </x:c>
      <x:c r="C1032" s="6" t="str">
        <x:f>IF(B1032="","Needs decision","Ready")</x:f>
        <x:v>Ready</x:v>
      </x:c>
      <x:c r="D1032" s="6" t="str">
        <x:v>平</x:v>
      </x:c>
      <x:c r="E1032" s="6" t="str">
        <x:v>dwon (A); trwin (A)</x:v>
      </x:c>
      <x:c r="F1032" s="6" t="str">
        <x:v>2</x:v>
      </x:c>
      <x:c r="G1032" s="6" t="str"/>
      <x:c r="H1032" s="6" t="str">
        <x:f>IF(B1032="平","平",IF(B1032="","","仄"))</x:f>
        <x:v>平</x:v>
      </x:c>
      <x:c r="I1032" s="6" t="str">
        <x:f>IF(D1025="","",IF(AND(ISNUMBER(SEARCH("平",D1025)),OR(ISNUMBER(SEARCH("上",D1025)),ISNUMBER(SEARCH("去",D1025)),ISNUMBER(SEARCH("入",D1025)))),"Ambiguous",IF(ISNUMBER(SEARCH("平",D1025)),"平","仄")))</x:f>
        <x:v>平</x:v>
      </x:c>
      <x:c r="J1032" s="7" t="str"/>
    </x:row>
    <x:row r="1033">
      <x:c r="A1033" s="5" t="str">
        <x:v>屰</x:v>
      </x:c>
      <x:c r="B1033" s="6" t="str">
        <x:v>入</x:v>
      </x:c>
      <x:c r="C1033" s="6" t="str">
        <x:f>IF(B1033="","Needs decision","Ready")</x:f>
        <x:v>Ready</x:v>
      </x:c>
      <x:c r="D1033" s="6" t="str">
        <x:v>入</x:v>
      </x:c>
      <x:c r="E1033" s="6" t="str">
        <x:v>ngjaek (D)</x:v>
      </x:c>
      <x:c r="F1033" s="6" t="str">
        <x:v>1</x:v>
      </x:c>
      <x:c r="G1033" s="6" t="str"/>
      <x:c r="H1033" s="6" t="str">
        <x:f>IF(B1033="平","平",IF(B1033="","","仄"))</x:f>
        <x:v>仄</x:v>
      </x:c>
      <x:c r="I1033" s="6" t="str">
        <x:f>IF(D1026="","",IF(AND(ISNUMBER(SEARCH("平",D1026)),OR(ISNUMBER(SEARCH("上",D1026)),ISNUMBER(SEARCH("去",D1026)),ISNUMBER(SEARCH("入",D1026)))),"Ambiguous",IF(ISNUMBER(SEARCH("平",D1026)),"平","仄")))</x:f>
        <x:v>仄</x:v>
      </x:c>
      <x:c r="J1033" s="7" t="str"/>
    </x:row>
    <x:row r="1034">
      <x:c r="A1034" s="5" t="str">
        <x:v>山</x:v>
      </x:c>
      <x:c r="B1034" s="6" t="str">
        <x:v>平</x:v>
      </x:c>
      <x:c r="C1034" s="6" t="str">
        <x:f>IF(B1034="","Needs decision","Ready")</x:f>
        <x:v>Ready</x:v>
      </x:c>
      <x:c r="D1034" s="6" t="str">
        <x:v>平</x:v>
      </x:c>
      <x:c r="E1034" s="6" t="str">
        <x:v>srean (A)</x:v>
      </x:c>
      <x:c r="F1034" s="6" t="str">
        <x:v>1</x:v>
      </x:c>
      <x:c r="G1034" s="6" t="str"/>
      <x:c r="H1034" s="6" t="str">
        <x:f>IF(B1034="平","平",IF(B1034="","","仄"))</x:f>
        <x:v>平</x:v>
      </x:c>
      <x:c r="I1034" s="6" t="str">
        <x:f>IF(D1027="","",IF(AND(ISNUMBER(SEARCH("平",D1027)),OR(ISNUMBER(SEARCH("上",D1027)),ISNUMBER(SEARCH("去",D1027)),ISNUMBER(SEARCH("入",D1027)))),"Ambiguous",IF(ISNUMBER(SEARCH("平",D1027)),"平","仄")))</x:f>
        <x:v>平</x:v>
      </x:c>
      <x:c r="J1034" s="7" t="str"/>
    </x:row>
    <x:row r="1035">
      <x:c r="A1035" s="5" t="str">
        <x:v>屹</x:v>
      </x:c>
      <x:c r="B1035" s="6" t="str">
        <x:v>入</x:v>
      </x:c>
      <x:c r="C1035" s="6" t="str">
        <x:f>IF(B1035="","Needs decision","Ready")</x:f>
        <x:v>Ready</x:v>
      </x:c>
      <x:c r="D1035" s="6" t="str">
        <x:v>入</x:v>
      </x:c>
      <x:c r="E1035" s="6" t="str">
        <x:v>ngj+t [ŋɨt] (入)</x:v>
      </x:c>
      <x:c r="F1035" s="6" t="str">
        <x:v>1</x:v>
      </x:c>
      <x:c r="G1035" s="6" t="str">
        <x:v>Tang 300 gap; frequency 1; provisional from Xun Gong</x:v>
      </x:c>
      <x:c r="H1035" s="6" t="str">
        <x:f>IF(B1035="平","平",IF(B1035="","","仄"))</x:f>
        <x:v>仄</x:v>
      </x:c>
      <x:c r="I1035" s="6" t="str">
        <x:f>IF(D1028="","",IF(AND(ISNUMBER(SEARCH("平",D1028)),OR(ISNUMBER(SEARCH("上",D1028)),ISNUMBER(SEARCH("去",D1028)),ISNUMBER(SEARCH("入",D1028)))),"Ambiguous",IF(ISNUMBER(SEARCH("平",D1028)),"平","仄")))</x:f>
        <x:v>仄</x:v>
      </x:c>
      <x:c r="J1035" s="7" t="str">
        <x:v>Xun Gong, Tang 300 gap fill</x:v>
      </x:c>
    </x:row>
    <x:row r="1036">
      <x:c r="A1036" s="5" t="str">
        <x:v>岐</x:v>
      </x:c>
      <x:c r="B1036" s="6" t="str">
        <x:v>平</x:v>
      </x:c>
      <x:c r="C1036" s="6" t="str">
        <x:f>IF(B1036="","Needs decision","Ready")</x:f>
        <x:v>Ready</x:v>
      </x:c>
      <x:c r="D1036" s="6" t="str">
        <x:v>平</x:v>
      </x:c>
      <x:c r="E1036" s="6" t="str">
        <x:v>gjie [羣開三A支平] ɡjie</x:v>
      </x:c>
      <x:c r="F1036" s="6" t="str">
        <x:v>1</x:v>
      </x:c>
      <x:c r="G1036" s="6" t="str">
        <x:v>Targeted preliminary fill from Xun Gong; review if uncertain</x:v>
      </x:c>
      <x:c r="H1036" s="6" t="str">
        <x:f>IF(B1036="平","平",IF(B1036="","","仄"))</x:f>
        <x:v>平</x:v>
      </x:c>
      <x:c r="I1036" s="6" t="str">
        <x:f>IF(D1029="","",IF(AND(ISNUMBER(SEARCH("平",D1029)),OR(ISNUMBER(SEARCH("上",D1029)),ISNUMBER(SEARCH("去",D1029)),ISNUMBER(SEARCH("入",D1029)))),"Ambiguous",IF(ISNUMBER(SEARCH("平",D1029)),"平","仄")))</x:f>
        <x:v>仄</x:v>
      </x:c>
      <x:c r="J1036" s="7" t="str">
        <x:v>Xun Gong character-readings.csv</x:v>
      </x:c>
    </x:row>
    <x:row r="1037">
      <x:c r="A1037" s="5" t="str">
        <x:v>岑</x:v>
      </x:c>
      <x:c r="B1037" s="6" t="str">
        <x:v>平</x:v>
      </x:c>
      <x:c r="C1037" s="6" t="str">
        <x:f>IF(B1037="","Needs decision","Ready")</x:f>
        <x:v>Ready</x:v>
      </x:c>
      <x:c r="D1037" s="6" t="str">
        <x:v>平</x:v>
      </x:c>
      <x:c r="E1037" s="6" t="str">
        <x:v>dzrim [dʐɨ̯im] (平)</x:v>
      </x:c>
      <x:c r="F1037" s="6" t="str">
        <x:v>1</x:v>
      </x:c>
      <x:c r="G1037" s="6" t="str">
        <x:v>Tang 300 gap; frequency 1; provisional from Xun Gong</x:v>
      </x:c>
      <x:c r="H1037" s="6" t="str">
        <x:f>IF(B1037="平","平",IF(B1037="","","仄"))</x:f>
        <x:v>平</x:v>
      </x:c>
      <x:c r="I1037" s="6" t="str">
        <x:f>IF(D1030="","",IF(AND(ISNUMBER(SEARCH("平",D1030)),OR(ISNUMBER(SEARCH("上",D1030)),ISNUMBER(SEARCH("去",D1030)),ISNUMBER(SEARCH("入",D1030)))),"Ambiguous",IF(ISNUMBER(SEARCH("平",D1030)),"平","仄")))</x:f>
        <x:v>仄</x:v>
      </x:c>
      <x:c r="J1037" s="7" t="str">
        <x:v>Xun Gong, Tang 300 gap fill</x:v>
      </x:c>
    </x:row>
    <x:row r="1038">
      <x:c r="A1038" s="5" t="str">
        <x:v>岡</x:v>
      </x:c>
      <x:c r="B1038" s="6" t="str">
        <x:v>平</x:v>
      </x:c>
      <x:c r="C1038" s="6" t="str">
        <x:f>IF(B1038="","Needs decision","Ready")</x:f>
        <x:v>Ready</x:v>
      </x:c>
      <x:c r="D1038" s="6" t="str">
        <x:v>平</x:v>
      </x:c>
      <x:c r="E1038" s="6" t="str">
        <x:v>kang [見開一唐平] qɑŋ</x:v>
      </x:c>
      <x:c r="F1038" s="6" t="str">
        <x:v>1</x:v>
      </x:c>
      <x:c r="G1038" s="6" t="str">
        <x:v>Targeted preliminary fill from Xun Gong; review if uncertain</x:v>
      </x:c>
      <x:c r="H1038" s="6" t="str">
        <x:f>IF(B1038="平","平",IF(B1038="","","仄"))</x:f>
        <x:v>平</x:v>
      </x:c>
      <x:c r="I1038" s="6" t="str">
        <x:f>IF(D1031="","",IF(AND(ISNUMBER(SEARCH("平",D1031)),OR(ISNUMBER(SEARCH("上",D1031)),ISNUMBER(SEARCH("去",D1031)),ISNUMBER(SEARCH("入",D1031)))),"Ambiguous",IF(ISNUMBER(SEARCH("平",D1031)),"平","仄")))</x:f>
        <x:v>仄</x:v>
      </x:c>
      <x:c r="J1038" s="7" t="str">
        <x:v>Xun Gong character-readings.csv</x:v>
      </x:c>
    </x:row>
    <x:row r="1039">
      <x:c r="A1039" s="5" t="str">
        <x:v>岧</x:v>
      </x:c>
      <x:c r="B1039" s="6" t="str">
        <x:v>平</x:v>
      </x:c>
      <x:c r="C1039" s="6" t="str">
        <x:f>IF(B1039="","Needs decision","Ready")</x:f>
        <x:v>Ready</x:v>
      </x:c>
      <x:c r="D1039" s="6" t="str">
        <x:v>平</x:v>
      </x:c>
      <x:c r="E1039" s="6" t="str">
        <x:v>dew [d̙ew] (平)</x:v>
      </x:c>
      <x:c r="F1039" s="6" t="str">
        <x:v>1</x:v>
      </x:c>
      <x:c r="G1039" s="6" t="str">
        <x:v>Tang 300 gap; frequency 1; provisional from Xun Gong</x:v>
      </x:c>
      <x:c r="H1039" s="6" t="str">
        <x:f>IF(B1039="平","平",IF(B1039="","","仄"))</x:f>
        <x:v>平</x:v>
      </x:c>
      <x:c r="I1039" s="6" t="str">
        <x:f>IF(D1032="","",IF(AND(ISNUMBER(SEARCH("平",D1032)),OR(ISNUMBER(SEARCH("上",D1032)),ISNUMBER(SEARCH("去",D1032)),ISNUMBER(SEARCH("入",D1032)))),"Ambiguous",IF(ISNUMBER(SEARCH("平",D1032)),"平","仄")))</x:f>
        <x:v>平</x:v>
      </x:c>
      <x:c r="J1039" s="7" t="str">
        <x:v>Xun Gong, Tang 300 gap fill</x:v>
      </x:c>
    </x:row>
    <x:row r="1040">
      <x:c r="A1040" s="5" t="str">
        <x:v>岨</x:v>
      </x:c>
      <x:c r="B1040" s="6" t="str">
        <x:v>平</x:v>
      </x:c>
      <x:c r="C1040" s="6" t="str">
        <x:f>IF(B1040="","Needs decision","Ready")</x:f>
        <x:v>Ready</x:v>
      </x:c>
      <x:c r="D1040" s="6" t="str">
        <x:v>平</x:v>
      </x:c>
      <x:c r="E1040" s="6" t="str">
        <x:v>tshjo (A)</x:v>
      </x:c>
      <x:c r="F1040" s="6" t="str">
        <x:v>1</x:v>
      </x:c>
      <x:c r="G1040" s="6" t="str"/>
      <x:c r="H1040" s="6" t="str">
        <x:f>IF(B1040="平","平",IF(B1040="","","仄"))</x:f>
        <x:v>平</x:v>
      </x:c>
      <x:c r="I1040" s="6" t="str">
        <x:f>IF(D1033="","",IF(AND(ISNUMBER(SEARCH("平",D1033)),OR(ISNUMBER(SEARCH("上",D1033)),ISNUMBER(SEARCH("去",D1033)),ISNUMBER(SEARCH("入",D1033)))),"Ambiguous",IF(ISNUMBER(SEARCH("平",D1033)),"平","仄")))</x:f>
        <x:v>仄</x:v>
      </x:c>
      <x:c r="J1040" s="7" t="str"/>
    </x:row>
    <x:row r="1041">
      <x:c r="A1041" s="5" t="str">
        <x:v>岫</x:v>
      </x:c>
      <x:c r="B1041" s="6" t="str">
        <x:v>去</x:v>
      </x:c>
      <x:c r="C1041" s="6" t="str">
        <x:f>IF(B1041="","Needs decision","Ready")</x:f>
        <x:v>Ready</x:v>
      </x:c>
      <x:c r="D1041" s="6" t="str">
        <x:v>去</x:v>
      </x:c>
      <x:c r="E1041" s="6" t="str"/>
      <x:c r="F1041" s="6" t="str"/>
      <x:c r="G1041" s="6" t="str">
        <x:v>Manual user correction/addition</x:v>
      </x:c>
      <x:c r="H1041" s="6" t="str">
        <x:f>IF(B1041="平","平",IF(B1041="","","仄"))</x:f>
        <x:v>仄</x:v>
      </x:c>
      <x:c r="I1041" s="6" t="str">
        <x:v>仄</x:v>
      </x:c>
      <x:c r="J1041" s="7" t="str">
        <x:v>manual user correction</x:v>
      </x:c>
    </x:row>
    <x:row r="1042">
      <x:c r="A1042" s="5" t="str">
        <x:v>岱</x:v>
      </x:c>
      <x:c r="B1042" s="6" t="str">
        <x:v>去</x:v>
      </x:c>
      <x:c r="C1042" s="6" t="str">
        <x:f>IF(B1042="","Needs decision","Ready")</x:f>
        <x:v>Ready</x:v>
      </x:c>
      <x:c r="D1042" s="6" t="str">
        <x:v>去</x:v>
      </x:c>
      <x:c r="E1042" s="6" t="str">
        <x:v>dojH [d̙əjh] (去)</x:v>
      </x:c>
      <x:c r="F1042" s="6" t="str">
        <x:v>1</x:v>
      </x:c>
      <x:c r="G1042" s="6" t="str">
        <x:v>Tang 300 gap; frequency 1; provisional from Xun Gong</x:v>
      </x:c>
      <x:c r="H1042" s="6" t="str">
        <x:f>IF(B1042="平","平",IF(B1042="","","仄"))</x:f>
        <x:v>仄</x:v>
      </x:c>
      <x:c r="I1042" s="6" t="str">
        <x:f>IF(D1034="","",IF(AND(ISNUMBER(SEARCH("平",D1034)),OR(ISNUMBER(SEARCH("上",D1034)),ISNUMBER(SEARCH("去",D1034)),ISNUMBER(SEARCH("入",D1034)))),"Ambiguous",IF(ISNUMBER(SEARCH("平",D1034)),"平","仄")))</x:f>
        <x:v>平</x:v>
      </x:c>
      <x:c r="J1042" s="7" t="str">
        <x:v>Xun Gong, Tang 300 gap fill</x:v>
      </x:c>
    </x:row>
    <x:row r="1043">
      <x:c r="A1043" s="5" t="str">
        <x:v>岳</x:v>
      </x:c>
      <x:c r="B1043" s="6" t="str">
        <x:v>入</x:v>
      </x:c>
      <x:c r="C1043" s="6" t="str">
        <x:f>IF(B1043="","Needs decision","Ready")</x:f>
        <x:v>Ready</x:v>
      </x:c>
      <x:c r="D1043" s="6" t="str">
        <x:v>入</x:v>
      </x:c>
      <x:c r="E1043" s="6" t="str">
        <x:v>ngaewk (D)</x:v>
      </x:c>
      <x:c r="F1043" s="6" t="str">
        <x:v>1</x:v>
      </x:c>
      <x:c r="G1043" s="6" t="str"/>
      <x:c r="H1043" s="6" t="str">
        <x:f>IF(B1043="平","平",IF(B1043="","","仄"))</x:f>
        <x:v>仄</x:v>
      </x:c>
      <x:c r="I1043" s="6" t="str">
        <x:f>IF(D1035="","",IF(AND(ISNUMBER(SEARCH("平",D1035)),OR(ISNUMBER(SEARCH("上",D1035)),ISNUMBER(SEARCH("去",D1035)),ISNUMBER(SEARCH("入",D1035)))),"Ambiguous",IF(ISNUMBER(SEARCH("平",D1035)),"平","仄")))</x:f>
        <x:v>仄</x:v>
      </x:c>
      <x:c r="J1043" s="7" t="str"/>
    </x:row>
    <x:row r="1044">
      <x:c r="A1044" s="5" t="str">
        <x:v>岸</x:v>
      </x:c>
      <x:c r="B1044" s="6" t="str">
        <x:v>去</x:v>
      </x:c>
      <x:c r="C1044" s="6" t="str">
        <x:f>IF(B1044="","Needs decision","Ready")</x:f>
        <x:v>Ready</x:v>
      </x:c>
      <x:c r="D1044" s="6" t="str">
        <x:v>去</x:v>
      </x:c>
      <x:c r="E1044" s="6" t="str">
        <x:v>nganH (C)</x:v>
      </x:c>
      <x:c r="F1044" s="6" t="str">
        <x:v>1</x:v>
      </x:c>
      <x:c r="G1044" s="6" t="str"/>
      <x:c r="H1044" s="6" t="str">
        <x:f>IF(B1044="平","平",IF(B1044="","","仄"))</x:f>
        <x:v>仄</x:v>
      </x:c>
      <x:c r="I1044" s="6" t="str">
        <x:f>IF(D1036="","",IF(AND(ISNUMBER(SEARCH("平",D1036)),OR(ISNUMBER(SEARCH("上",D1036)),ISNUMBER(SEARCH("去",D1036)),ISNUMBER(SEARCH("入",D1036)))),"Ambiguous",IF(ISNUMBER(SEARCH("平",D1036)),"平","仄")))</x:f>
        <x:v>平</x:v>
      </x:c>
      <x:c r="J1044" s="7" t="str"/>
    </x:row>
    <x:row r="1045">
      <x:c r="A1045" s="5" t="str">
        <x:v>峨</x:v>
      </x:c>
      <x:c r="B1045" s="6" t="str">
        <x:v>平</x:v>
      </x:c>
      <x:c r="C1045" s="6" t="str">
        <x:f>IF(B1045="","Needs decision","Ready")</x:f>
        <x:v>Ready</x:v>
      </x:c>
      <x:c r="D1045" s="6" t="str">
        <x:v>平</x:v>
      </x:c>
      <x:c r="E1045" s="6" t="str">
        <x:v>nga [ɴɑ] (平)</x:v>
      </x:c>
      <x:c r="F1045" s="6" t="str">
        <x:v>1</x:v>
      </x:c>
      <x:c r="G1045" s="6" t="str">
        <x:v>Tang 300 gap; frequency 4; provisional from Xun Gong</x:v>
      </x:c>
      <x:c r="H1045" s="6" t="str">
        <x:f>IF(B1045="平","平",IF(B1045="","","仄"))</x:f>
        <x:v>平</x:v>
      </x:c>
      <x:c r="I1045" s="6" t="str">
        <x:f>IF(D1037="","",IF(AND(ISNUMBER(SEARCH("平",D1037)),OR(ISNUMBER(SEARCH("上",D1037)),ISNUMBER(SEARCH("去",D1037)),ISNUMBER(SEARCH("入",D1037)))),"Ambiguous",IF(ISNUMBER(SEARCH("平",D1037)),"平","仄")))</x:f>
        <x:v>平</x:v>
      </x:c>
      <x:c r="J1045" s="7" t="str">
        <x:v>Xun Gong, Tang 300 gap fill</x:v>
      </x:c>
    </x:row>
    <x:row r="1046">
      <x:c r="A1046" s="5" t="str">
        <x:v>峯</x:v>
      </x:c>
      <x:c r="B1046" s="6" t="str">
        <x:v>平</x:v>
      </x:c>
      <x:c r="C1046" s="6" t="str">
        <x:f>IF(B1046="","Needs decision","Ready")</x:f>
        <x:v>Ready</x:v>
      </x:c>
      <x:c r="D1046" s="6" t="str">
        <x:v>平</x:v>
      </x:c>
      <x:c r="E1046" s="6" t="str"/>
      <x:c r="F1046" s="6" t="str"/>
      <x:c r="G1046" s="6" t="str">
        <x:v>Manual user correction/addition</x:v>
      </x:c>
      <x:c r="H1046" s="6" t="str">
        <x:f>IF(B1046="平","平",IF(B1046="","","仄"))</x:f>
        <x:v>平</x:v>
      </x:c>
      <x:c r="I1046" s="6" t="str">
        <x:f>IF(D1038="","",IF(AND(ISNUMBER(SEARCH("平",D1038)),OR(ISNUMBER(SEARCH("上",D1038)),ISNUMBER(SEARCH("去",D1038)),ISNUMBER(SEARCH("入",D1038)))),"Ambiguous",IF(ISNUMBER(SEARCH("平",D1038)),"平","仄")))</x:f>
        <x:v>平</x:v>
      </x:c>
      <x:c r="J1046" s="7" t="str">
        <x:v>manual user correction</x:v>
      </x:c>
    </x:row>
    <x:row r="1047">
      <x:c r="A1047" s="5" t="str">
        <x:v>峰</x:v>
      </x:c>
      <x:c r="B1047" s="6" t="str">
        <x:v>平</x:v>
      </x:c>
      <x:c r="C1047" s="6" t="str">
        <x:f>IF(B1047="","Needs decision","Ready")</x:f>
        <x:v>Ready</x:v>
      </x:c>
      <x:c r="D1047" s="6" t="str">
        <x:v>平</x:v>
      </x:c>
      <x:c r="E1047" s="6" t="str">
        <x:v>variant of 峯</x:v>
      </x:c>
      <x:c r="F1047" s="6" t="str"/>
      <x:c r="G1047" s="6" t="str">
        <x:v>Manual user correction/addition: variant of 峯</x:v>
      </x:c>
      <x:c r="H1047" s="6" t="str">
        <x:f>IF(B1047="平","平",IF(B1047="","","仄"))</x:f>
        <x:v>平</x:v>
      </x:c>
      <x:c r="I1047" s="6" t="str">
        <x:f>IF(D1039="","",IF(AND(ISNUMBER(SEARCH("平",D1039)),OR(ISNUMBER(SEARCH("上",D1039)),ISNUMBER(SEARCH("去",D1039)),ISNUMBER(SEARCH("入",D1039)))),"Ambiguous",IF(ISNUMBER(SEARCH("平",D1039)),"平","仄")))</x:f>
        <x:v>平</x:v>
      </x:c>
      <x:c r="J1047" s="7" t="str">
        <x:v>manual user correction</x:v>
      </x:c>
    </x:row>
    <x:row r="1048">
      <x:c r="A1048" s="5" t="str">
        <x:v>島</x:v>
      </x:c>
      <x:c r="B1048" s="6" t="str">
        <x:v>上</x:v>
      </x:c>
      <x:c r="C1048" s="6" t="str">
        <x:f>IF(B1048="","Needs decision","Ready")</x:f>
        <x:v>Ready</x:v>
      </x:c>
      <x:c r="D1048" s="6" t="str">
        <x:v>上</x:v>
      </x:c>
      <x:c r="E1048" s="6" t="str">
        <x:v>tawX (B)</x:v>
      </x:c>
      <x:c r="F1048" s="6" t="str">
        <x:v>1</x:v>
      </x:c>
      <x:c r="G1048" s="6" t="str"/>
      <x:c r="H1048" s="6" t="str">
        <x:f>IF(B1048="平","平",IF(B1048="","","仄"))</x:f>
        <x:v>仄</x:v>
      </x:c>
      <x:c r="I1048" s="6" t="str">
        <x:f>IF(D1040="","",IF(AND(ISNUMBER(SEARCH("平",D1040)),OR(ISNUMBER(SEARCH("上",D1040)),ISNUMBER(SEARCH("去",D1040)),ISNUMBER(SEARCH("入",D1040)))),"Ambiguous",IF(ISNUMBER(SEARCH("平",D1040)),"平","仄")))</x:f>
        <x:v>平</x:v>
      </x:c>
      <x:c r="J1048" s="7" t="str"/>
    </x:row>
    <x:row r="1049">
      <x:c r="A1049" s="5" t="str">
        <x:v>峽</x:v>
      </x:c>
      <x:c r="B1049" s="6" t="str">
        <x:v>入</x:v>
      </x:c>
      <x:c r="C1049" s="6" t="str">
        <x:f>IF(B1049="","Needs decision","Ready")</x:f>
        <x:v>Ready</x:v>
      </x:c>
      <x:c r="D1049" s="6" t="str">
        <x:v>入</x:v>
      </x:c>
      <x:c r="E1049" s="6" t="str">
        <x:v>heap (D)</x:v>
      </x:c>
      <x:c r="F1049" s="6" t="str">
        <x:v>1</x:v>
      </x:c>
      <x:c r="G1049" s="6" t="str"/>
      <x:c r="H1049" s="6" t="str">
        <x:f>IF(B1049="平","平",IF(B1049="","","仄"))</x:f>
        <x:v>仄</x:v>
      </x:c>
      <x:c r="I1049" s="6" t="str">
        <x:f>IF(D1041="","",IF(AND(ISNUMBER(SEARCH("平",D1041)),OR(ISNUMBER(SEARCH("上",D1041)),ISNUMBER(SEARCH("去",D1041)),ISNUMBER(SEARCH("入",D1041)))),"Ambiguous",IF(ISNUMBER(SEARCH("平",D1041)),"平","仄")))</x:f>
        <x:v>仄</x:v>
      </x:c>
      <x:c r="J1049" s="7" t="str"/>
    </x:row>
    <x:row r="1050">
      <x:c r="A1050" s="5" t="str">
        <x:v>崇</x:v>
      </x:c>
      <x:c r="B1050" s="6" t="str">
        <x:v>平</x:v>
      </x:c>
      <x:c r="C1050" s="6" t="str">
        <x:f>IF(B1050="","Needs decision","Ready")</x:f>
        <x:v>Ready</x:v>
      </x:c>
      <x:c r="D1050" s="6" t="str">
        <x:v>平</x:v>
      </x:c>
      <x:c r="E1050" s="6" t="str">
        <x:v>dzrjuwng (A)</x:v>
      </x:c>
      <x:c r="F1050" s="6" t="str">
        <x:v>1</x:v>
      </x:c>
      <x:c r="G1050" s="6" t="str"/>
      <x:c r="H1050" s="6" t="str">
        <x:f>IF(B1050="平","平",IF(B1050="","","仄"))</x:f>
        <x:v>平</x:v>
      </x:c>
      <x:c r="I1050" s="6" t="str">
        <x:f>IF(D1042="","",IF(AND(ISNUMBER(SEARCH("平",D1042)),OR(ISNUMBER(SEARCH("上",D1042)),ISNUMBER(SEARCH("去",D1042)),ISNUMBER(SEARCH("入",D1042)))),"Ambiguous",IF(ISNUMBER(SEARCH("平",D1042)),"平","仄")))</x:f>
        <x:v>仄</x:v>
      </x:c>
      <x:c r="J1050" s="7" t="str"/>
    </x:row>
    <x:row r="1051">
      <x:c r="A1051" s="5" t="str">
        <x:v>崔</x:v>
      </x:c>
      <x:c r="B1051" s="6" t="str">
        <x:v>平</x:v>
      </x:c>
      <x:c r="C1051" s="6" t="str">
        <x:f>IF(B1051="","Needs decision","Ready")</x:f>
        <x:v>Ready</x:v>
      </x:c>
      <x:c r="D1051" s="6" t="str">
        <x:v>平</x:v>
      </x:c>
      <x:c r="E1051" s="6" t="str">
        <x:v>dzwoj (A)</x:v>
      </x:c>
      <x:c r="F1051" s="6" t="str">
        <x:v>1</x:v>
      </x:c>
      <x:c r="G1051" s="6" t="str"/>
      <x:c r="H1051" s="6" t="str">
        <x:f>IF(B1051="平","平",IF(B1051="","","仄"))</x:f>
        <x:v>平</x:v>
      </x:c>
      <x:c r="I1051" s="6" t="str">
        <x:f>IF(D1043="","",IF(AND(ISNUMBER(SEARCH("平",D1043)),OR(ISNUMBER(SEARCH("上",D1043)),ISNUMBER(SEARCH("去",D1043)),ISNUMBER(SEARCH("入",D1043)))),"Ambiguous",IF(ISNUMBER(SEARCH("平",D1043)),"平","仄")))</x:f>
        <x:v>仄</x:v>
      </x:c>
      <x:c r="J1051" s="7" t="str"/>
    </x:row>
    <x:row r="1052">
      <x:c r="A1052" s="5" t="str">
        <x:v>崖</x:v>
      </x:c>
      <x:c r="B1052" s="6" t="str">
        <x:v>平</x:v>
      </x:c>
      <x:c r="C1052" s="6" t="str">
        <x:f>IF(B1052="","Needs decision","Ready")</x:f>
        <x:v>Ready</x:v>
      </x:c>
      <x:c r="D1052" s="6" t="str">
        <x:v>平</x:v>
      </x:c>
      <x:c r="E1052" s="6" t="str">
        <x:v>ngea (A)</x:v>
      </x:c>
      <x:c r="F1052" s="6" t="str">
        <x:v>1</x:v>
      </x:c>
      <x:c r="G1052" s="6" t="str"/>
      <x:c r="H1052" s="6" t="str">
        <x:f>IF(B1052="平","平",IF(B1052="","","仄"))</x:f>
        <x:v>平</x:v>
      </x:c>
      <x:c r="I1052" s="6" t="str">
        <x:f>IF(D1044="","",IF(AND(ISNUMBER(SEARCH("平",D1044)),OR(ISNUMBER(SEARCH("上",D1044)),ISNUMBER(SEARCH("去",D1044)),ISNUMBER(SEARCH("入",D1044)))),"Ambiguous",IF(ISNUMBER(SEARCH("平",D1044)),"平","仄")))</x:f>
        <x:v>仄</x:v>
      </x:c>
      <x:c r="J1052" s="7" t="str"/>
    </x:row>
    <x:row r="1053">
      <x:c r="A1053" s="5" t="str">
        <x:v>崝</x:v>
      </x:c>
      <x:c r="B1053" s="6" t="str">
        <x:v>平</x:v>
      </x:c>
      <x:c r="C1053" s="6" t="str">
        <x:f>IF(B1053="","Needs decision","Ready")</x:f>
        <x:v>Ready</x:v>
      </x:c>
      <x:c r="D1053" s="6" t="str">
        <x:v>平</x:v>
      </x:c>
      <x:c r="E1053" s="6" t="str"/>
      <x:c r="F1053" s="6" t="str"/>
      <x:c r="G1053" s="6" t="str">
        <x:v>Manual user correction/addition</x:v>
      </x:c>
      <x:c r="H1053" s="6" t="str">
        <x:f>IF(B1053="平","平",IF(B1053="","","仄"))</x:f>
        <x:v>平</x:v>
      </x:c>
      <x:c r="I1053" s="6" t="str">
        <x:f>IF(D1045="","",IF(AND(ISNUMBER(SEARCH("平",D1045)),OR(ISNUMBER(SEARCH("上",D1045)),ISNUMBER(SEARCH("去",D1045)),ISNUMBER(SEARCH("入",D1045)))),"Ambiguous",IF(ISNUMBER(SEARCH("平",D1045)),"平","仄")))</x:f>
        <x:v>平</x:v>
      </x:c>
      <x:c r="J1053" s="7" t="str">
        <x:v>manual user correction</x:v>
      </x:c>
    </x:row>
    <x:row r="1054">
      <x:c r="A1054" s="5" t="str">
        <x:v>崢</x:v>
      </x:c>
      <x:c r="B1054" s="6" t="str">
        <x:v>平</x:v>
      </x:c>
      <x:c r="C1054" s="6" t="str">
        <x:f>IF(B1054="","Needs decision","Ready")</x:f>
        <x:v>Ready</x:v>
      </x:c>
      <x:c r="D1054" s="6" t="str">
        <x:v>平</x:v>
      </x:c>
      <x:c r="E1054" s="6" t="str">
        <x:v>dzreang (A)</x:v>
      </x:c>
      <x:c r="F1054" s="6" t="str">
        <x:v>1</x:v>
      </x:c>
      <x:c r="G1054" s="6" t="str"/>
      <x:c r="H1054" s="6" t="str">
        <x:f>IF(B1054="平","平",IF(B1054="","","仄"))</x:f>
        <x:v>平</x:v>
      </x:c>
      <x:c r="I1054" s="6" t="str">
        <x:f>IF(D1046="","",IF(AND(ISNUMBER(SEARCH("平",D1046)),OR(ISNUMBER(SEARCH("上",D1046)),ISNUMBER(SEARCH("去",D1046)),ISNUMBER(SEARCH("入",D1046)))),"Ambiguous",IF(ISNUMBER(SEARCH("平",D1046)),"平","仄")))</x:f>
        <x:v>平</x:v>
      </x:c>
      <x:c r="J1054" s="7" t="str"/>
    </x:row>
    <x:row r="1055">
      <x:c r="A1055" s="5" t="str">
        <x:v>崦</x:v>
      </x:c>
      <x:c r="B1055" s="6" t="str">
        <x:v>平</x:v>
      </x:c>
      <x:c r="C1055" s="6" t="str">
        <x:f>IF(B1055="","Needs decision","Ready")</x:f>
        <x:v>Ready</x:v>
      </x:c>
      <x:c r="D1055" s="6" t="str">
        <x:v>平</x:v>
      </x:c>
      <x:c r="E1055" s="6" t="str">
        <x:v>'jem [ʔɨ̯em] (平)</x:v>
      </x:c>
      <x:c r="F1055" s="6" t="str">
        <x:v>1</x:v>
      </x:c>
      <x:c r="G1055" s="6" t="str">
        <x:v>Tang 300 gap; frequency 1; provisional from Xun Gong</x:v>
      </x:c>
      <x:c r="H1055" s="6" t="str">
        <x:f>IF(B1055="平","平",IF(B1055="","","仄"))</x:f>
        <x:v>平</x:v>
      </x:c>
      <x:c r="I1055" s="6" t="str">
        <x:f>IF(D1047="","",IF(AND(ISNUMBER(SEARCH("平",D1047)),OR(ISNUMBER(SEARCH("上",D1047)),ISNUMBER(SEARCH("去",D1047)),ISNUMBER(SEARCH("入",D1047)))),"Ambiguous",IF(ISNUMBER(SEARCH("平",D1047)),"平","仄")))</x:f>
        <x:v>平</x:v>
      </x:c>
      <x:c r="J1055" s="7" t="str">
        <x:v>Xun Gong, Tang 300 gap fill</x:v>
      </x:c>
    </x:row>
    <x:row r="1056">
      <x:c r="A1056" s="5" t="str">
        <x:v>崧</x:v>
      </x:c>
      <x:c r="B1056" s="6" t="str">
        <x:v>平</x:v>
      </x:c>
      <x:c r="C1056" s="6" t="str">
        <x:f>IF(B1056="","Needs decision","Ready")</x:f>
        <x:v>Ready</x:v>
      </x:c>
      <x:c r="D1056" s="6" t="str">
        <x:v>平</x:v>
      </x:c>
      <x:c r="E1056" s="6" t="str">
        <x:v>sjuwng (A)</x:v>
      </x:c>
      <x:c r="F1056" s="6" t="str">
        <x:v>1</x:v>
      </x:c>
      <x:c r="G1056" s="6" t="str"/>
      <x:c r="H1056" s="6" t="str">
        <x:f>IF(B1056="平","平",IF(B1056="","","仄"))</x:f>
        <x:v>平</x:v>
      </x:c>
      <x:c r="I1056" s="6" t="str">
        <x:f>IF(D1048="","",IF(AND(ISNUMBER(SEARCH("平",D1048)),OR(ISNUMBER(SEARCH("上",D1048)),ISNUMBER(SEARCH("去",D1048)),ISNUMBER(SEARCH("入",D1048)))),"Ambiguous",IF(ISNUMBER(SEARCH("平",D1048)),"平","仄")))</x:f>
        <x:v>仄</x:v>
      </x:c>
      <x:c r="J1056" s="7" t="str"/>
    </x:row>
    <x:row r="1057">
      <x:c r="A1057" s="5" t="str">
        <x:v>崩</x:v>
      </x:c>
      <x:c r="B1057" s="6" t="str">
        <x:v>平</x:v>
      </x:c>
      <x:c r="C1057" s="6" t="str">
        <x:f>IF(B1057="","Needs decision","Ready")</x:f>
        <x:v>Ready</x:v>
      </x:c>
      <x:c r="D1057" s="6" t="str">
        <x:v>平</x:v>
      </x:c>
      <x:c r="E1057" s="6" t="str">
        <x:v>pong (A)</x:v>
      </x:c>
      <x:c r="F1057" s="6" t="str">
        <x:v>1</x:v>
      </x:c>
      <x:c r="G1057" s="6" t="str"/>
      <x:c r="H1057" s="6" t="str">
        <x:f>IF(B1057="平","平",IF(B1057="","","仄"))</x:f>
        <x:v>平</x:v>
      </x:c>
      <x:c r="I1057" s="6" t="str">
        <x:f>IF(D1049="","",IF(AND(ISNUMBER(SEARCH("平",D1049)),OR(ISNUMBER(SEARCH("上",D1049)),ISNUMBER(SEARCH("去",D1049)),ISNUMBER(SEARCH("入",D1049)))),"Ambiguous",IF(ISNUMBER(SEARCH("平",D1049)),"平","仄")))</x:f>
        <x:v>仄</x:v>
      </x:c>
      <x:c r="J1057" s="7" t="str"/>
    </x:row>
    <x:row r="1058">
      <x:c r="A1058" s="5" t="str">
        <x:v>崴</x:v>
      </x:c>
      <x:c r="B1058" s="6" t="str">
        <x:v>平</x:v>
      </x:c>
      <x:c r="C1058" s="6" t="str">
        <x:f>IF(B1058="","Needs decision","Ready")</x:f>
        <x:v>Ready</x:v>
      </x:c>
      <x:c r="D1058" s="6" t="str">
        <x:v>平</x:v>
      </x:c>
      <x:c r="E1058" s="6" t="str">
        <x:v>'weaj (A)</x:v>
      </x:c>
      <x:c r="F1058" s="6" t="str">
        <x:v>1</x:v>
      </x:c>
      <x:c r="G1058" s="6" t="str"/>
      <x:c r="H1058" s="6" t="str">
        <x:f>IF(B1058="平","平",IF(B1058="","","仄"))</x:f>
        <x:v>平</x:v>
      </x:c>
      <x:c r="I1058" s="6" t="str">
        <x:f>IF(D1050="","",IF(AND(ISNUMBER(SEARCH("平",D1050)),OR(ISNUMBER(SEARCH("上",D1050)),ISNUMBER(SEARCH("去",D1050)),ISNUMBER(SEARCH("入",D1050)))),"Ambiguous",IF(ISNUMBER(SEARCH("平",D1050)),"平","仄")))</x:f>
        <x:v>平</x:v>
      </x:c>
      <x:c r="J1058" s="7" t="str"/>
    </x:row>
    <x:row r="1059">
      <x:c r="A1059" s="5" t="str">
        <x:v>嵋</x:v>
      </x:c>
      <x:c r="B1059" s="6" t="str">
        <x:v>平</x:v>
      </x:c>
      <x:c r="C1059" s="6" t="str">
        <x:f>IF(B1059="","Needs decision","Ready")</x:f>
        <x:v>Ready</x:v>
      </x:c>
      <x:c r="D1059" s="6" t="str">
        <x:v>平</x:v>
      </x:c>
      <x:c r="E1059" s="6" t="str">
        <x:v>mij [mɨ̯i] (平)</x:v>
      </x:c>
      <x:c r="F1059" s="6" t="str">
        <x:v>1</x:v>
      </x:c>
      <x:c r="G1059" s="6" t="str">
        <x:v>Tang 300 gap; frequency 1; provisional from Xun Gong</x:v>
      </x:c>
      <x:c r="H1059" s="6" t="str">
        <x:f>IF(B1059="平","平",IF(B1059="","","仄"))</x:f>
        <x:v>平</x:v>
      </x:c>
      <x:c r="I1059" s="6" t="str">
        <x:f>IF(D1051="","",IF(AND(ISNUMBER(SEARCH("平",D1051)),OR(ISNUMBER(SEARCH("上",D1051)),ISNUMBER(SEARCH("去",D1051)),ISNUMBER(SEARCH("入",D1051)))),"Ambiguous",IF(ISNUMBER(SEARCH("平",D1051)),"平","仄")))</x:f>
        <x:v>平</x:v>
      </x:c>
      <x:c r="J1059" s="7" t="str">
        <x:v>Xun Gong, Tang 300 gap fill</x:v>
      </x:c>
    </x:row>
    <x:row r="1060">
      <x:c r="A1060" s="5" t="str">
        <x:v>嵩</x:v>
      </x:c>
      <x:c r="B1060" s="6" t="str">
        <x:v>平</x:v>
      </x:c>
      <x:c r="C1060" s="6" t="str">
        <x:f>IF(B1060="","Needs decision","Ready")</x:f>
        <x:v>Ready</x:v>
      </x:c>
      <x:c r="D1060" s="6" t="str">
        <x:v>平</x:v>
      </x:c>
      <x:c r="E1060" s="6" t="str">
        <x:v>sjuwng (A)</x:v>
      </x:c>
      <x:c r="F1060" s="6" t="str">
        <x:v>1</x:v>
      </x:c>
      <x:c r="G1060" s="6" t="str"/>
      <x:c r="H1060" s="6" t="str">
        <x:f>IF(B1060="平","平",IF(B1060="","","仄"))</x:f>
        <x:v>平</x:v>
      </x:c>
      <x:c r="I1060" s="6" t="str">
        <x:f>IF(D1052="","",IF(AND(ISNUMBER(SEARCH("平",D1052)),OR(ISNUMBER(SEARCH("上",D1052)),ISNUMBER(SEARCH("去",D1052)),ISNUMBER(SEARCH("入",D1052)))),"Ambiguous",IF(ISNUMBER(SEARCH("平",D1052)),"平","仄")))</x:f>
        <x:v>平</x:v>
      </x:c>
      <x:c r="J1060" s="7" t="str"/>
    </x:row>
    <x:row r="1061">
      <x:c r="A1061" s="5" t="str">
        <x:v>嵬</x:v>
      </x:c>
      <x:c r="B1061" s="6" t="str"/>
      <x:c r="C1061" s="6" t="str">
        <x:f>IF(B1061="","Needs decision","Ready")</x:f>
        <x:v>Needs decision</x:v>
      </x:c>
      <x:c r="D1061" s="6" t="str">
        <x:v>平/上</x:v>
      </x:c>
      <x:c r="E1061" s="6" t="str">
        <x:v>ngwoj (A); ngwojX (B)</x:v>
      </x:c>
      <x:c r="F1061" s="6" t="str">
        <x:v>2</x:v>
      </x:c>
      <x:c r="G1061" s="6" t="str"/>
      <x:c r="H1061" s="6" t="str">
        <x:f>IF(B1061="平","平",IF(B1061="","","仄"))</x:f>
      </x:c>
      <x:c r="I1061" s="6" t="str">
        <x:f>IF(D1053="","",IF(AND(ISNUMBER(SEARCH("平",D1053)),OR(ISNUMBER(SEARCH("上",D1053)),ISNUMBER(SEARCH("去",D1053)),ISNUMBER(SEARCH("入",D1053)))),"Ambiguous",IF(ISNUMBER(SEARCH("平",D1053)),"平","仄")))</x:f>
        <x:v>平</x:v>
      </x:c>
      <x:c r="J1061" s="7" t="str"/>
    </x:row>
    <x:row r="1062">
      <x:c r="A1062" s="5" t="str">
        <x:v>嵯</x:v>
      </x:c>
      <x:c r="B1062" s="6" t="str">
        <x:v>平</x:v>
      </x:c>
      <x:c r="C1062" s="6" t="str">
        <x:f>IF(B1062="","Needs decision","Ready")</x:f>
        <x:v>Ready</x:v>
      </x:c>
      <x:c r="D1062" s="6" t="str">
        <x:v>平</x:v>
      </x:c>
      <x:c r="E1062" s="6" t="str">
        <x:v>dza [d̙z̙ɑ] (平); tsrhje [tʂʰɨ̯ie] (平)</x:v>
      </x:c>
      <x:c r="F1062" s="6" t="str">
        <x:v>2</x:v>
      </x:c>
      <x:c r="G1062" s="6" t="str">
        <x:v>Tang 300 gap; frequency 1; provisional from Xun Gong</x:v>
      </x:c>
      <x:c r="H1062" s="6" t="str">
        <x:f>IF(B1062="平","平",IF(B1062="","","仄"))</x:f>
        <x:v>平</x:v>
      </x:c>
      <x:c r="I1062" s="6" t="str">
        <x:f>IF(D1054="","",IF(AND(ISNUMBER(SEARCH("平",D1054)),OR(ISNUMBER(SEARCH("上",D1054)),ISNUMBER(SEARCH("去",D1054)),ISNUMBER(SEARCH("入",D1054)))),"Ambiguous",IF(ISNUMBER(SEARCH("平",D1054)),"平","仄")))</x:f>
        <x:v>平</x:v>
      </x:c>
      <x:c r="J1062" s="7" t="str">
        <x:v>Xun Gong, Tang 300 gap fill</x:v>
      </x:c>
    </x:row>
    <x:row r="1063">
      <x:c r="A1063" s="5" t="str">
        <x:v>嶇</x:v>
      </x:c>
      <x:c r="B1063" s="6" t="str">
        <x:v>平</x:v>
      </x:c>
      <x:c r="C1063" s="6" t="str">
        <x:f>IF(B1063="","Needs decision","Ready")</x:f>
        <x:v>Ready</x:v>
      </x:c>
      <x:c r="D1063" s="6" t="str">
        <x:v>平</x:v>
      </x:c>
      <x:c r="E1063" s="6" t="str"/>
      <x:c r="F1063" s="6" t="str"/>
      <x:c r="G1063" s="6" t="str">
        <x:v>Manual user correction/addition</x:v>
      </x:c>
      <x:c r="H1063" s="6" t="str">
        <x:f>IF(B1063="平","平",IF(B1063="","","仄"))</x:f>
        <x:v>平</x:v>
      </x:c>
      <x:c r="I1063" s="6" t="str">
        <x:f>IF(D1055="","",IF(AND(ISNUMBER(SEARCH("平",D1055)),OR(ISNUMBER(SEARCH("上",D1055)),ISNUMBER(SEARCH("去",D1055)),ISNUMBER(SEARCH("入",D1055)))),"Ambiguous",IF(ISNUMBER(SEARCH("平",D1055)),"平","仄")))</x:f>
        <x:v>平</x:v>
      </x:c>
      <x:c r="J1063" s="7" t="str">
        <x:v>manual user correction</x:v>
      </x:c>
    </x:row>
    <x:row r="1064">
      <x:c r="A1064" s="5" t="str">
        <x:v>嶢</x:v>
      </x:c>
      <x:c r="B1064" s="6" t="str">
        <x:v>平</x:v>
      </x:c>
      <x:c r="C1064" s="6" t="str">
        <x:f>IF(B1064="","Needs decision","Ready")</x:f>
        <x:v>Ready</x:v>
      </x:c>
      <x:c r="D1064" s="6" t="str">
        <x:v>平</x:v>
      </x:c>
      <x:c r="E1064" s="6" t="str">
        <x:v>ngew [ɴew] (平)</x:v>
      </x:c>
      <x:c r="F1064" s="6" t="str">
        <x:v>1</x:v>
      </x:c>
      <x:c r="G1064" s="6" t="str">
        <x:v>Tang 300 gap; frequency 1; provisional from Xun Gong</x:v>
      </x:c>
      <x:c r="H1064" s="6" t="str">
        <x:f>IF(B1064="平","平",IF(B1064="","","仄"))</x:f>
        <x:v>平</x:v>
      </x:c>
      <x:c r="I1064" s="6" t="str">
        <x:f>IF(D1056="","",IF(AND(ISNUMBER(SEARCH("平",D1056)),OR(ISNUMBER(SEARCH("上",D1056)),ISNUMBER(SEARCH("去",D1056)),ISNUMBER(SEARCH("入",D1056)))),"Ambiguous",IF(ISNUMBER(SEARCH("平",D1056)),"平","仄")))</x:f>
        <x:v>平</x:v>
      </x:c>
      <x:c r="J1064" s="7" t="str">
        <x:v>Xun Gong, Tang 300 gap fill</x:v>
      </x:c>
    </x:row>
    <x:row r="1065">
      <x:c r="A1065" s="5" t="str">
        <x:v>嶮</x:v>
      </x:c>
      <x:c r="B1065" s="6" t="str">
        <x:v>上</x:v>
      </x:c>
      <x:c r="C1065" s="6" t="str">
        <x:f>IF(B1065="","Needs decision","Ready")</x:f>
        <x:v>Ready</x:v>
      </x:c>
      <x:c r="D1065" s="6" t="str">
        <x:v>上</x:v>
      </x:c>
      <x:c r="E1065" s="6" t="str"/>
      <x:c r="F1065" s="6" t="str"/>
      <x:c r="G1065" s="6" t="str">
        <x:v>Manual user correction/addition</x:v>
      </x:c>
      <x:c r="H1065" s="6" t="str">
        <x:f>IF(B1065="平","平",IF(B1065="","","仄"))</x:f>
        <x:v>仄</x:v>
      </x:c>
      <x:c r="I1065" s="6" t="str">
        <x:f>IF(D1057="","",IF(AND(ISNUMBER(SEARCH("平",D1057)),OR(ISNUMBER(SEARCH("上",D1057)),ISNUMBER(SEARCH("去",D1057)),ISNUMBER(SEARCH("入",D1057)))),"Ambiguous",IF(ISNUMBER(SEARCH("平",D1057)),"平","仄")))</x:f>
        <x:v>平</x:v>
      </x:c>
      <x:c r="J1065" s="7" t="str">
        <x:v>manual user correction</x:v>
      </x:c>
    </x:row>
    <x:row r="1066">
      <x:c r="A1066" s="5" t="str">
        <x:v>嶸</x:v>
      </x:c>
      <x:c r="B1066" s="6" t="str">
        <x:v>平</x:v>
      </x:c>
      <x:c r="C1066" s="6" t="str">
        <x:f>IF(B1066="","Needs decision","Ready")</x:f>
        <x:v>Ready</x:v>
      </x:c>
      <x:c r="D1066" s="6" t="str">
        <x:v>平</x:v>
      </x:c>
      <x:c r="E1066" s="6" t="str">
        <x:v>hjwaeng (A); hweang (A)</x:v>
      </x:c>
      <x:c r="F1066" s="6" t="str">
        <x:v>2</x:v>
      </x:c>
      <x:c r="G1066" s="6" t="str"/>
      <x:c r="H1066" s="6" t="str">
        <x:f>IF(B1066="平","平",IF(B1066="","","仄"))</x:f>
        <x:v>平</x:v>
      </x:c>
      <x:c r="I1066" s="6" t="str">
        <x:f>IF(D1058="","",IF(AND(ISNUMBER(SEARCH("平",D1058)),OR(ISNUMBER(SEARCH("上",D1058)),ISNUMBER(SEARCH("去",D1058)),ISNUMBER(SEARCH("入",D1058)))),"Ambiguous",IF(ISNUMBER(SEARCH("平",D1058)),"平","仄")))</x:f>
        <x:v>平</x:v>
      </x:c>
      <x:c r="J1066" s="7" t="str"/>
    </x:row>
    <x:row r="1067">
      <x:c r="A1067" s="5" t="str">
        <x:v>嶺</x:v>
      </x:c>
      <x:c r="B1067" s="6" t="str">
        <x:v>上</x:v>
      </x:c>
      <x:c r="C1067" s="6" t="str">
        <x:f>IF(B1067="","Needs decision","Ready")</x:f>
        <x:v>Ready</x:v>
      </x:c>
      <x:c r="D1067" s="6" t="str">
        <x:v>上</x:v>
      </x:c>
      <x:c r="E1067" s="6" t="str"/>
      <x:c r="F1067" s="6" t="str"/>
      <x:c r="G1067" s="6" t="str">
        <x:v>Manual user correction/addition</x:v>
      </x:c>
      <x:c r="H1067" s="6" t="str">
        <x:f>IF(B1067="平","平",IF(B1067="","","仄"))</x:f>
        <x:v>仄</x:v>
      </x:c>
      <x:c r="I1067" s="6" t="str">
        <x:f>IF(D1059="","",IF(AND(ISNUMBER(SEARCH("平",D1059)),OR(ISNUMBER(SEARCH("上",D1059)),ISNUMBER(SEARCH("去",D1059)),ISNUMBER(SEARCH("入",D1059)))),"Ambiguous",IF(ISNUMBER(SEARCH("平",D1059)),"平","仄")))</x:f>
        <x:v>平</x:v>
      </x:c>
      <x:c r="J1067" s="7" t="str">
        <x:v>manual user correction</x:v>
      </x:c>
    </x:row>
    <x:row r="1068">
      <x:c r="A1068" s="5" t="str">
        <x:v>嶽</x:v>
      </x:c>
      <x:c r="B1068" s="6" t="str">
        <x:v>入</x:v>
      </x:c>
      <x:c r="C1068" s="6" t="str">
        <x:f>IF(B1068="","Needs decision","Ready")</x:f>
        <x:v>Ready</x:v>
      </x:c>
      <x:c r="D1068" s="6" t="str">
        <x:v>入</x:v>
      </x:c>
      <x:c r="E1068" s="6" t="str">
        <x:v>ngaewk (D)</x:v>
      </x:c>
      <x:c r="F1068" s="6" t="str">
        <x:v>1</x:v>
      </x:c>
      <x:c r="G1068" s="6" t="str"/>
      <x:c r="H1068" s="6" t="str">
        <x:f>IF(B1068="平","平",IF(B1068="","","仄"))</x:f>
        <x:v>仄</x:v>
      </x:c>
      <x:c r="I1068" s="6" t="str">
        <x:f>IF(D1060="","",IF(AND(ISNUMBER(SEARCH("平",D1060)),OR(ISNUMBER(SEARCH("上",D1060)),ISNUMBER(SEARCH("去",D1060)),ISNUMBER(SEARCH("入",D1060)))),"Ambiguous",IF(ISNUMBER(SEARCH("平",D1060)),"平","仄")))</x:f>
        <x:v>平</x:v>
      </x:c>
      <x:c r="J1068" s="7" t="str"/>
    </x:row>
    <x:row r="1069">
      <x:c r="A1069" s="5" t="str">
        <x:v>巉</x:v>
      </x:c>
      <x:c r="B1069" s="6" t="str">
        <x:v>平</x:v>
      </x:c>
      <x:c r="C1069" s="6" t="str">
        <x:f>IF(B1069="","Needs decision","Ready")</x:f>
        <x:v>Ready</x:v>
      </x:c>
      <x:c r="D1069" s="6" t="str">
        <x:v>平</x:v>
      </x:c>
      <x:c r="E1069" s="6" t="str"/>
      <x:c r="F1069" s="6" t="str"/>
      <x:c r="G1069" s="6" t="str">
        <x:v>Manual user correction/addition</x:v>
      </x:c>
      <x:c r="H1069" s="6" t="str">
        <x:f>IF(B1069="平","平",IF(B1069="","","仄"))</x:f>
        <x:v>平</x:v>
      </x:c>
      <x:c r="I1069" s="6" t="str">
        <x:f>IF(D1061="","",IF(AND(ISNUMBER(SEARCH("平",D1061)),OR(ISNUMBER(SEARCH("上",D1061)),ISNUMBER(SEARCH("去",D1061)),ISNUMBER(SEARCH("入",D1061)))),"Ambiguous",IF(ISNUMBER(SEARCH("平",D1061)),"平","仄")))</x:f>
        <x:v>Ambiguous</x:v>
      </x:c>
      <x:c r="J1069" s="7" t="str">
        <x:v>manual user correction</x:v>
      </x:c>
    </x:row>
    <x:row r="1070">
      <x:c r="A1070" s="5" t="str">
        <x:v>巍</x:v>
      </x:c>
      <x:c r="B1070" s="6" t="str">
        <x:v>平</x:v>
      </x:c>
      <x:c r="C1070" s="6" t="str">
        <x:f>IF(B1070="","Needs decision","Ready")</x:f>
        <x:v>Ready</x:v>
      </x:c>
      <x:c r="D1070" s="6" t="str">
        <x:v>平</x:v>
      </x:c>
      <x:c r="E1070" s="6" t="str">
        <x:v>ngjw+j (A)</x:v>
      </x:c>
      <x:c r="F1070" s="6" t="str">
        <x:v>1</x:v>
      </x:c>
      <x:c r="G1070" s="6" t="str"/>
      <x:c r="H1070" s="6" t="str">
        <x:f>IF(B1070="平","平",IF(B1070="","","仄"))</x:f>
        <x:v>平</x:v>
      </x:c>
      <x:c r="I1070" s="6" t="str">
        <x:f>IF(D1062="","",IF(AND(ISNUMBER(SEARCH("平",D1062)),OR(ISNUMBER(SEARCH("上",D1062)),ISNUMBER(SEARCH("去",D1062)),ISNUMBER(SEARCH("入",D1062)))),"Ambiguous",IF(ISNUMBER(SEARCH("平",D1062)),"平","仄")))</x:f>
        <x:v>平</x:v>
      </x:c>
      <x:c r="J1070" s="7" t="str"/>
    </x:row>
    <x:row r="1071">
      <x:c r="A1071" s="5" t="str">
        <x:v>巒</x:v>
      </x:c>
      <x:c r="B1071" s="6" t="str">
        <x:v>平</x:v>
      </x:c>
      <x:c r="C1071" s="6" t="str">
        <x:f>IF(B1071="","Needs decision","Ready")</x:f>
        <x:v>Ready</x:v>
      </x:c>
      <x:c r="D1071" s="6" t="str">
        <x:v>平</x:v>
      </x:c>
      <x:c r="E1071" s="6" t="str">
        <x:v>lwan [l̙wɑn] (平)</x:v>
      </x:c>
      <x:c r="F1071" s="6" t="str">
        <x:v>1</x:v>
      </x:c>
      <x:c r="G1071" s="6" t="str">
        <x:v>Tang 300 gap; frequency 2; provisional from Xun Gong</x:v>
      </x:c>
      <x:c r="H1071" s="6" t="str">
        <x:f>IF(B1071="平","平",IF(B1071="","","仄"))</x:f>
        <x:v>平</x:v>
      </x:c>
      <x:c r="I1071" s="6" t="str">
        <x:f>IF(D1063="","",IF(AND(ISNUMBER(SEARCH("平",D1063)),OR(ISNUMBER(SEARCH("上",D1063)),ISNUMBER(SEARCH("去",D1063)),ISNUMBER(SEARCH("入",D1063)))),"Ambiguous",IF(ISNUMBER(SEARCH("平",D1063)),"平","仄")))</x:f>
        <x:v>平</x:v>
      </x:c>
      <x:c r="J1071" s="7" t="str">
        <x:v>Xun Gong, Tang 300 gap fill</x:v>
      </x:c>
    </x:row>
    <x:row r="1072">
      <x:c r="A1072" s="5" t="str">
        <x:v>巔</x:v>
      </x:c>
      <x:c r="B1072" s="6" t="str">
        <x:v>平</x:v>
      </x:c>
      <x:c r="C1072" s="6" t="str">
        <x:f>IF(B1072="","Needs decision","Ready")</x:f>
        <x:v>Ready</x:v>
      </x:c>
      <x:c r="D1072" s="6" t="str">
        <x:v>平</x:v>
      </x:c>
      <x:c r="E1072" s="6" t="str"/>
      <x:c r="F1072" s="6" t="str"/>
      <x:c r="G1072" s="6" t="str">
        <x:v>Manual user correction/addition</x:v>
      </x:c>
      <x:c r="H1072" s="6" t="str">
        <x:f>IF(B1072="平","平",IF(B1072="","","仄"))</x:f>
        <x:v>平</x:v>
      </x:c>
      <x:c r="I1072" s="6" t="str">
        <x:f>IF(D1064="","",IF(AND(ISNUMBER(SEARCH("平",D1064)),OR(ISNUMBER(SEARCH("上",D1064)),ISNUMBER(SEARCH("去",D1064)),ISNUMBER(SEARCH("入",D1064)))),"Ambiguous",IF(ISNUMBER(SEARCH("平",D1064)),"平","仄")))</x:f>
        <x:v>平</x:v>
      </x:c>
      <x:c r="J1072" s="7" t="str">
        <x:v>manual user correction</x:v>
      </x:c>
    </x:row>
    <x:row r="1073">
      <x:c r="A1073" s="5" t="str">
        <x:v>巖</x:v>
      </x:c>
      <x:c r="B1073" s="6" t="str">
        <x:v>平</x:v>
      </x:c>
      <x:c r="C1073" s="6" t="str">
        <x:f>IF(B1073="","Needs decision","Ready")</x:f>
        <x:v>Ready</x:v>
      </x:c>
      <x:c r="D1073" s="6" t="str">
        <x:v>平</x:v>
      </x:c>
      <x:c r="E1073" s="6" t="str">
        <x:v>ngaem (A)</x:v>
      </x:c>
      <x:c r="F1073" s="6" t="str">
        <x:v>1</x:v>
      </x:c>
      <x:c r="G1073" s="6" t="str"/>
      <x:c r="H1073" s="6" t="str">
        <x:f>IF(B1073="平","平",IF(B1073="","","仄"))</x:f>
        <x:v>平</x:v>
      </x:c>
      <x:c r="I1073" s="6" t="str">
        <x:f>IF(D1065="","",IF(AND(ISNUMBER(SEARCH("平",D1065)),OR(ISNUMBER(SEARCH("上",D1065)),ISNUMBER(SEARCH("去",D1065)),ISNUMBER(SEARCH("入",D1065)))),"Ambiguous",IF(ISNUMBER(SEARCH("平",D1065)),"平","仄")))</x:f>
        <x:v>仄</x:v>
      </x:c>
      <x:c r="J1073" s="7" t="str"/>
    </x:row>
    <x:row r="1074">
      <x:c r="A1074" s="5" t="str">
        <x:v>巘</x:v>
      </x:c>
      <x:c r="B1074" s="6" t="str">
        <x:v>上</x:v>
      </x:c>
      <x:c r="C1074" s="6" t="str">
        <x:f>IF(B1074="","Needs decision","Ready")</x:f>
        <x:v>Ready</x:v>
      </x:c>
      <x:c r="D1074" s="6" t="str">
        <x:v>上</x:v>
      </x:c>
      <x:c r="E1074" s="6" t="str">
        <x:v>ngjenX (B); ngjonX (B)</x:v>
      </x:c>
      <x:c r="F1074" s="6" t="str">
        <x:v>2</x:v>
      </x:c>
      <x:c r="G1074" s="6" t="str"/>
      <x:c r="H1074" s="6" t="str">
        <x:f>IF(B1074="平","平",IF(B1074="","","仄"))</x:f>
        <x:v>仄</x:v>
      </x:c>
      <x:c r="I1074" s="6" t="str">
        <x:f>IF(D1066="","",IF(AND(ISNUMBER(SEARCH("平",D1066)),OR(ISNUMBER(SEARCH("上",D1066)),ISNUMBER(SEARCH("去",D1066)),ISNUMBER(SEARCH("入",D1066)))),"Ambiguous",IF(ISNUMBER(SEARCH("平",D1066)),"平","仄")))</x:f>
        <x:v>平</x:v>
      </x:c>
      <x:c r="J1074" s="7" t="str"/>
    </x:row>
    <x:row r="1075">
      <x:c r="A1075" s="5" t="str">
        <x:v>巛</x:v>
      </x:c>
      <x:c r="B1075" s="6" t="str">
        <x:v>平</x:v>
      </x:c>
      <x:c r="C1075" s="6" t="str">
        <x:f>IF(B1075="","Needs decision","Ready")</x:f>
        <x:v>Ready</x:v>
      </x:c>
      <x:c r="D1075" s="6" t="str">
        <x:v>平</x:v>
      </x:c>
      <x:c r="E1075" s="6" t="str">
        <x:v>tsyhwen (A)</x:v>
      </x:c>
      <x:c r="F1075" s="6" t="str">
        <x:v>1</x:v>
      </x:c>
      <x:c r="G1075" s="6" t="str"/>
      <x:c r="H1075" s="6" t="str">
        <x:f>IF(B1075="平","平",IF(B1075="","","仄"))</x:f>
        <x:v>平</x:v>
      </x:c>
      <x:c r="I1075" s="6" t="str">
        <x:f>IF(D1067="","",IF(AND(ISNUMBER(SEARCH("平",D1067)),OR(ISNUMBER(SEARCH("上",D1067)),ISNUMBER(SEARCH("去",D1067)),ISNUMBER(SEARCH("入",D1067)))),"Ambiguous",IF(ISNUMBER(SEARCH("平",D1067)),"平","仄")))</x:f>
        <x:v>仄</x:v>
      </x:c>
      <x:c r="J1075" s="7" t="str"/>
    </x:row>
    <x:row r="1076">
      <x:c r="A1076" s="5" t="str">
        <x:v>巜</x:v>
      </x:c>
      <x:c r="B1076" s="6" t="str">
        <x:v>去</x:v>
      </x:c>
      <x:c r="C1076" s="6" t="str">
        <x:f>IF(B1076="","Needs decision","Ready")</x:f>
        <x:v>Ready</x:v>
      </x:c>
      <x:c r="D1076" s="6" t="str">
        <x:v>去</x:v>
      </x:c>
      <x:c r="E1076" s="6" t="str">
        <x:v>kwajH (C)</x:v>
      </x:c>
      <x:c r="F1076" s="6" t="str">
        <x:v>1</x:v>
      </x:c>
      <x:c r="G1076" s="6" t="str"/>
      <x:c r="H1076" s="6" t="str">
        <x:f>IF(B1076="平","平",IF(B1076="","","仄"))</x:f>
        <x:v>仄</x:v>
      </x:c>
      <x:c r="I1076" s="6" t="str">
        <x:f>IF(D1068="","",IF(AND(ISNUMBER(SEARCH("平",D1068)),OR(ISNUMBER(SEARCH("上",D1068)),ISNUMBER(SEARCH("去",D1068)),ISNUMBER(SEARCH("入",D1068)))),"Ambiguous",IF(ISNUMBER(SEARCH("平",D1068)),"平","仄")))</x:f>
        <x:v>仄</x:v>
      </x:c>
      <x:c r="J1076" s="7" t="str"/>
    </x:row>
    <x:row r="1077">
      <x:c r="A1077" s="5" t="str">
        <x:v>川</x:v>
      </x:c>
      <x:c r="B1077" s="6" t="str">
        <x:v>平</x:v>
      </x:c>
      <x:c r="C1077" s="6" t="str">
        <x:f>IF(B1077="","Needs decision","Ready")</x:f>
        <x:v>Ready</x:v>
      </x:c>
      <x:c r="D1077" s="6" t="str">
        <x:v>平</x:v>
      </x:c>
      <x:c r="E1077" s="6" t="str">
        <x:v>tsyhwen (A)</x:v>
      </x:c>
      <x:c r="F1077" s="6" t="str">
        <x:v>1</x:v>
      </x:c>
      <x:c r="G1077" s="6" t="str"/>
      <x:c r="H1077" s="6" t="str">
        <x:f>IF(B1077="平","平",IF(B1077="","","仄"))</x:f>
        <x:v>平</x:v>
      </x:c>
      <x:c r="I1077" s="6" t="str">
        <x:f>IF(D1069="","",IF(AND(ISNUMBER(SEARCH("平",D1069)),OR(ISNUMBER(SEARCH("上",D1069)),ISNUMBER(SEARCH("去",D1069)),ISNUMBER(SEARCH("入",D1069)))),"Ambiguous",IF(ISNUMBER(SEARCH("平",D1069)),"平","仄")))</x:f>
        <x:v>平</x:v>
      </x:c>
      <x:c r="J1077" s="7" t="str"/>
    </x:row>
    <x:row r="1078">
      <x:c r="A1078" s="5" t="str">
        <x:v>州</x:v>
      </x:c>
      <x:c r="B1078" s="6" t="str">
        <x:v>平</x:v>
      </x:c>
      <x:c r="C1078" s="6" t="str">
        <x:f>IF(B1078="","Needs decision","Ready")</x:f>
        <x:v>Ready</x:v>
      </x:c>
      <x:c r="D1078" s="6" t="str">
        <x:v>平</x:v>
      </x:c>
      <x:c r="E1078" s="6" t="str">
        <x:v>tsyuw (A)</x:v>
      </x:c>
      <x:c r="F1078" s="6" t="str">
        <x:v>1</x:v>
      </x:c>
      <x:c r="G1078" s="6" t="str"/>
      <x:c r="H1078" s="6" t="str">
        <x:f>IF(B1078="平","平",IF(B1078="","","仄"))</x:f>
        <x:v>平</x:v>
      </x:c>
      <x:c r="I1078" s="6" t="str">
        <x:f>IF(D1070="","",IF(AND(ISNUMBER(SEARCH("平",D1070)),OR(ISNUMBER(SEARCH("上",D1070)),ISNUMBER(SEARCH("去",D1070)),ISNUMBER(SEARCH("入",D1070)))),"Ambiguous",IF(ISNUMBER(SEARCH("平",D1070)),"平","仄")))</x:f>
        <x:v>平</x:v>
      </x:c>
      <x:c r="J1078" s="7" t="str"/>
    </x:row>
    <x:row r="1079">
      <x:c r="A1079" s="5" t="str">
        <x:v>巟</x:v>
      </x:c>
      <x:c r="B1079" s="6" t="str">
        <x:v>平</x:v>
      </x:c>
      <x:c r="C1079" s="6" t="str">
        <x:f>IF(B1079="","Needs decision","Ready")</x:f>
        <x:v>Ready</x:v>
      </x:c>
      <x:c r="D1079" s="6" t="str">
        <x:v>平</x:v>
      </x:c>
      <x:c r="E1079" s="6" t="str">
        <x:v>xwang (A)</x:v>
      </x:c>
      <x:c r="F1079" s="6" t="str">
        <x:v>1</x:v>
      </x:c>
      <x:c r="G1079" s="6" t="str"/>
      <x:c r="H1079" s="6" t="str">
        <x:f>IF(B1079="平","平",IF(B1079="","","仄"))</x:f>
        <x:v>平</x:v>
      </x:c>
      <x:c r="I1079" s="6" t="str">
        <x:f>IF(D1071="","",IF(AND(ISNUMBER(SEARCH("平",D1071)),OR(ISNUMBER(SEARCH("上",D1071)),ISNUMBER(SEARCH("去",D1071)),ISNUMBER(SEARCH("入",D1071)))),"Ambiguous",IF(ISNUMBER(SEARCH("平",D1071)),"平","仄")))</x:f>
        <x:v>平</x:v>
      </x:c>
      <x:c r="J1079" s="7" t="str"/>
    </x:row>
    <x:row r="1080">
      <x:c r="A1080" s="5" t="str">
        <x:v>巠</x:v>
      </x:c>
      <x:c r="B1080" s="6" t="str">
        <x:v>平</x:v>
      </x:c>
      <x:c r="C1080" s="6" t="str">
        <x:f>IF(B1080="","Needs decision","Ready")</x:f>
        <x:v>Ready</x:v>
      </x:c>
      <x:c r="D1080" s="6" t="str">
        <x:v>平</x:v>
      </x:c>
      <x:c r="E1080" s="6" t="str">
        <x:v>keng (A)</x:v>
      </x:c>
      <x:c r="F1080" s="6" t="str">
        <x:v>1</x:v>
      </x:c>
      <x:c r="G1080" s="6" t="str"/>
      <x:c r="H1080" s="6" t="str">
        <x:f>IF(B1080="平","平",IF(B1080="","","仄"))</x:f>
        <x:v>平</x:v>
      </x:c>
      <x:c r="I1080" s="6" t="str">
        <x:f>IF(D1072="","",IF(AND(ISNUMBER(SEARCH("平",D1072)),OR(ISNUMBER(SEARCH("上",D1072)),ISNUMBER(SEARCH("去",D1072)),ISNUMBER(SEARCH("入",D1072)))),"Ambiguous",IF(ISNUMBER(SEARCH("平",D1072)),"平","仄")))</x:f>
        <x:v>平</x:v>
      </x:c>
      <x:c r="J1080" s="7" t="str"/>
    </x:row>
    <x:row r="1081">
      <x:c r="A1081" s="5" t="str">
        <x:v>巡</x:v>
      </x:c>
      <x:c r="B1081" s="6" t="str">
        <x:v>平</x:v>
      </x:c>
      <x:c r="C1081" s="6" t="str">
        <x:f>IF(B1081="","Needs decision","Ready")</x:f>
        <x:v>Ready</x:v>
      </x:c>
      <x:c r="D1081" s="6" t="str">
        <x:v>平</x:v>
      </x:c>
      <x:c r="E1081" s="6" t="str">
        <x:v>zwin (A)</x:v>
      </x:c>
      <x:c r="F1081" s="6" t="str">
        <x:v>1</x:v>
      </x:c>
      <x:c r="G1081" s="6" t="str"/>
      <x:c r="H1081" s="6" t="str">
        <x:f>IF(B1081="平","平",IF(B1081="","","仄"))</x:f>
        <x:v>平</x:v>
      </x:c>
      <x:c r="I1081" s="6" t="str">
        <x:f>IF(D1073="","",IF(AND(ISNUMBER(SEARCH("平",D1073)),OR(ISNUMBER(SEARCH("上",D1073)),ISNUMBER(SEARCH("去",D1073)),ISNUMBER(SEARCH("入",D1073)))),"Ambiguous",IF(ISNUMBER(SEARCH("平",D1073)),"平","仄")))</x:f>
        <x:v>平</x:v>
      </x:c>
      <x:c r="J1081" s="7" t="str"/>
    </x:row>
    <x:row r="1082">
      <x:c r="A1082" s="5" t="str">
        <x:v>巢</x:v>
      </x:c>
      <x:c r="B1082" s="6" t="str">
        <x:v>平</x:v>
      </x:c>
      <x:c r="C1082" s="6" t="str">
        <x:f>IF(B1082="","Needs decision","Ready")</x:f>
        <x:v>Ready</x:v>
      </x:c>
      <x:c r="D1082" s="6" t="str">
        <x:v>平</x:v>
      </x:c>
      <x:c r="E1082" s="6" t="str">
        <x:v>dzraew (A)</x:v>
      </x:c>
      <x:c r="F1082" s="6" t="str">
        <x:v>1</x:v>
      </x:c>
      <x:c r="G1082" s="6" t="str"/>
      <x:c r="H1082" s="6" t="str">
        <x:f>IF(B1082="平","平",IF(B1082="","","仄"))</x:f>
        <x:v>平</x:v>
      </x:c>
      <x:c r="I1082" s="6" t="str">
        <x:f>IF(D1074="","",IF(AND(ISNUMBER(SEARCH("平",D1074)),OR(ISNUMBER(SEARCH("上",D1074)),ISNUMBER(SEARCH("去",D1074)),ISNUMBER(SEARCH("入",D1074)))),"Ambiguous",IF(ISNUMBER(SEARCH("平",D1074)),"平","仄")))</x:f>
        <x:v>仄</x:v>
      </x:c>
      <x:c r="J1082" s="7" t="str"/>
    </x:row>
    <x:row r="1083">
      <x:c r="A1083" s="5" t="str">
        <x:v>工</x:v>
      </x:c>
      <x:c r="B1083" s="6" t="str">
        <x:v>平</x:v>
      </x:c>
      <x:c r="C1083" s="6" t="str">
        <x:f>IF(B1083="","Needs decision","Ready")</x:f>
        <x:v>Ready</x:v>
      </x:c>
      <x:c r="D1083" s="6" t="str">
        <x:v>平</x:v>
      </x:c>
      <x:c r="E1083" s="6" t="str">
        <x:v>kuwng (A)</x:v>
      </x:c>
      <x:c r="F1083" s="6" t="str">
        <x:v>1</x:v>
      </x:c>
      <x:c r="G1083" s="6" t="str"/>
      <x:c r="H1083" s="6" t="str">
        <x:f>IF(B1083="平","平",IF(B1083="","","仄"))</x:f>
        <x:v>平</x:v>
      </x:c>
      <x:c r="I1083" s="6" t="str">
        <x:f>IF(D1075="","",IF(AND(ISNUMBER(SEARCH("平",D1075)),OR(ISNUMBER(SEARCH("上",D1075)),ISNUMBER(SEARCH("去",D1075)),ISNUMBER(SEARCH("入",D1075)))),"Ambiguous",IF(ISNUMBER(SEARCH("平",D1075)),"平","仄")))</x:f>
        <x:v>平</x:v>
      </x:c>
      <x:c r="J1083" s="7" t="str"/>
    </x:row>
    <x:row r="1084">
      <x:c r="A1084" s="5" t="str">
        <x:v>左</x:v>
      </x:c>
      <x:c r="B1084" s="6" t="str">
        <x:v>上</x:v>
      </x:c>
      <x:c r="C1084" s="6" t="str">
        <x:f>IF(B1084="","Needs decision","Ready")</x:f>
        <x:v>Ready</x:v>
      </x:c>
      <x:c r="D1084" s="6" t="str">
        <x:v>上/去</x:v>
      </x:c>
      <x:c r="E1084" s="6" t="str">
        <x:v>tsaX (B); tsaH (C)</x:v>
      </x:c>
      <x:c r="F1084" s="6" t="str">
        <x:v>2</x:v>
      </x:c>
      <x:c r="G1084" s="6" t="str"/>
      <x:c r="H1084" s="6" t="str">
        <x:f>IF(B1084="平","平",IF(B1084="","","仄"))</x:f>
        <x:v>仄</x:v>
      </x:c>
      <x:c r="I1084" s="6" t="str">
        <x:f>IF(D1076="","",IF(AND(ISNUMBER(SEARCH("平",D1076)),OR(ISNUMBER(SEARCH("上",D1076)),ISNUMBER(SEARCH("去",D1076)),ISNUMBER(SEARCH("入",D1076)))),"Ambiguous",IF(ISNUMBER(SEARCH("平",D1076)),"平","仄")))</x:f>
        <x:v>仄</x:v>
      </x:c>
      <x:c r="J1084" s="7" t="str"/>
    </x:row>
    <x:row r="1085">
      <x:c r="A1085" s="5" t="str">
        <x:v>巧</x:v>
      </x:c>
      <x:c r="B1085" s="6" t="str">
        <x:v>上</x:v>
      </x:c>
      <x:c r="C1085" s="6" t="str">
        <x:f>IF(B1085="","Needs decision","Ready")</x:f>
        <x:v>Ready</x:v>
      </x:c>
      <x:c r="D1085" s="6" t="str">
        <x:v>上</x:v>
      </x:c>
      <x:c r="E1085" s="6" t="str">
        <x:v>khaewX (B)</x:v>
      </x:c>
      <x:c r="F1085" s="6" t="str">
        <x:v>1</x:v>
      </x:c>
      <x:c r="G1085" s="6" t="str"/>
      <x:c r="H1085" s="6" t="str">
        <x:f>IF(B1085="平","平",IF(B1085="","","仄"))</x:f>
        <x:v>仄</x:v>
      </x:c>
      <x:c r="I1085" s="6" t="str">
        <x:f>IF(D1077="","",IF(AND(ISNUMBER(SEARCH("平",D1077)),OR(ISNUMBER(SEARCH("上",D1077)),ISNUMBER(SEARCH("去",D1077)),ISNUMBER(SEARCH("入",D1077)))),"Ambiguous",IF(ISNUMBER(SEARCH("平",D1077)),"平","仄")))</x:f>
        <x:v>平</x:v>
      </x:c>
      <x:c r="J1085" s="7" t="str"/>
    </x:row>
    <x:row r="1086">
      <x:c r="A1086" s="5" t="str">
        <x:v>巨</x:v>
      </x:c>
      <x:c r="B1086" s="6" t="str">
        <x:v>上</x:v>
      </x:c>
      <x:c r="C1086" s="6" t="str">
        <x:f>IF(B1086="","Needs decision","Ready")</x:f>
        <x:v>Ready</x:v>
      </x:c>
      <x:c r="D1086" s="6" t="str">
        <x:v>上</x:v>
      </x:c>
      <x:c r="E1086" s="6" t="str">
        <x:v>gjoX [羣開三C魚上] ɡɨ̯əʔ</x:v>
      </x:c>
      <x:c r="F1086" s="6" t="str">
        <x:v>1</x:v>
      </x:c>
      <x:c r="G1086" s="6" t="str">
        <x:v>Targeted preliminary fill from Xun Gong; review if uncertain</x:v>
      </x:c>
      <x:c r="H1086" s="6" t="str">
        <x:f>IF(B1086="平","平",IF(B1086="","","仄"))</x:f>
        <x:v>仄</x:v>
      </x:c>
      <x:c r="I1086" s="6" t="str">
        <x:f>IF(D1078="","",IF(AND(ISNUMBER(SEARCH("平",D1078)),OR(ISNUMBER(SEARCH("上",D1078)),ISNUMBER(SEARCH("去",D1078)),ISNUMBER(SEARCH("入",D1078)))),"Ambiguous",IF(ISNUMBER(SEARCH("平",D1078)),"平","仄")))</x:f>
        <x:v>平</x:v>
      </x:c>
      <x:c r="J1086" s="7" t="str">
        <x:v>Xun Gong character-readings.csv</x:v>
      </x:c>
    </x:row>
    <x:row r="1087">
      <x:c r="A1087" s="5" t="str">
        <x:v>巫</x:v>
      </x:c>
      <x:c r="B1087" s="6" t="str">
        <x:v>平</x:v>
      </x:c>
      <x:c r="C1087" s="6" t="str">
        <x:f>IF(B1087="","Needs decision","Ready")</x:f>
        <x:v>Ready</x:v>
      </x:c>
      <x:c r="D1087" s="6" t="str">
        <x:v>平</x:v>
      </x:c>
      <x:c r="E1087" s="6" t="str">
        <x:v>mju (A)</x:v>
      </x:c>
      <x:c r="F1087" s="6" t="str">
        <x:v>1</x:v>
      </x:c>
      <x:c r="G1087" s="6" t="str"/>
      <x:c r="H1087" s="6" t="str">
        <x:f>IF(B1087="平","平",IF(B1087="","","仄"))</x:f>
        <x:v>平</x:v>
      </x:c>
      <x:c r="I1087" s="6" t="str">
        <x:f>IF(D1079="","",IF(AND(ISNUMBER(SEARCH("平",D1079)),OR(ISNUMBER(SEARCH("上",D1079)),ISNUMBER(SEARCH("去",D1079)),ISNUMBER(SEARCH("入",D1079)))),"Ambiguous",IF(ISNUMBER(SEARCH("平",D1079)),"平","仄")))</x:f>
        <x:v>平</x:v>
      </x:c>
      <x:c r="J1087" s="7" t="str"/>
    </x:row>
    <x:row r="1088">
      <x:c r="A1088" s="5" t="str">
        <x:v>差</x:v>
      </x:c>
      <x:c r="B1088" s="6" t="str">
        <x:v>平</x:v>
      </x:c>
      <x:c r="C1088" s="6" t="str">
        <x:f>IF(B1088="","Needs decision","Ready")</x:f>
        <x:v>Ready</x:v>
      </x:c>
      <x:c r="D1088" s="6" t="str">
        <x:v>平</x:v>
      </x:c>
      <x:c r="E1088" s="6" t="str">
        <x:v>tsrhae (A); tsrhea (A); tsrheaj (A); tsrhje (A); tsha (A)</x:v>
      </x:c>
      <x:c r="F1088" s="6" t="str">
        <x:v>5</x:v>
      </x:c>
      <x:c r="G1088" s="6" t="str"/>
      <x:c r="H1088" s="6" t="str">
        <x:f>IF(B1088="平","平",IF(B1088="","","仄"))</x:f>
        <x:v>平</x:v>
      </x:c>
      <x:c r="I1088" s="6" t="str">
        <x:f>IF(D1080="","",IF(AND(ISNUMBER(SEARCH("平",D1080)),OR(ISNUMBER(SEARCH("上",D1080)),ISNUMBER(SEARCH("去",D1080)),ISNUMBER(SEARCH("入",D1080)))),"Ambiguous",IF(ISNUMBER(SEARCH("平",D1080)),"平","仄")))</x:f>
        <x:v>平</x:v>
      </x:c>
      <x:c r="J1088" s="7" t="str"/>
    </x:row>
    <x:row r="1089">
      <x:c r="A1089" s="5" t="str">
        <x:v>己</x:v>
      </x:c>
      <x:c r="B1089" s="6" t="str">
        <x:v>上</x:v>
      </x:c>
      <x:c r="C1089" s="6" t="str">
        <x:f>IF(B1089="","Needs decision","Ready")</x:f>
        <x:v>Ready</x:v>
      </x:c>
      <x:c r="D1089" s="6" t="str">
        <x:v>上</x:v>
      </x:c>
      <x:c r="E1089" s="6" t="str">
        <x:v>kiX (B)</x:v>
      </x:c>
      <x:c r="F1089" s="6" t="str">
        <x:v>1</x:v>
      </x:c>
      <x:c r="G1089" s="6" t="str"/>
      <x:c r="H1089" s="6" t="str">
        <x:f>IF(B1089="平","平",IF(B1089="","","仄"))</x:f>
        <x:v>仄</x:v>
      </x:c>
      <x:c r="I1089" s="6" t="str">
        <x:f>IF(D1081="","",IF(AND(ISNUMBER(SEARCH("平",D1081)),OR(ISNUMBER(SEARCH("上",D1081)),ISNUMBER(SEARCH("去",D1081)),ISNUMBER(SEARCH("入",D1081)))),"Ambiguous",IF(ISNUMBER(SEARCH("平",D1081)),"平","仄")))</x:f>
        <x:v>平</x:v>
      </x:c>
      <x:c r="J1089" s="7" t="str"/>
    </x:row>
    <x:row r="1090">
      <x:c r="A1090" s="5" t="str">
        <x:v>已</x:v>
      </x:c>
      <x:c r="B1090" s="6" t="str">
        <x:v>上</x:v>
      </x:c>
      <x:c r="C1090" s="6" t="str">
        <x:f>IF(B1090="","Needs decision","Ready")</x:f>
        <x:v>Ready</x:v>
      </x:c>
      <x:c r="D1090" s="6" t="str">
        <x:v>上</x:v>
      </x:c>
      <x:c r="E1090" s="6" t="str">
        <x:v>yiX (B)</x:v>
      </x:c>
      <x:c r="F1090" s="6" t="str">
        <x:v>1</x:v>
      </x:c>
      <x:c r="G1090" s="6" t="str"/>
      <x:c r="H1090" s="6" t="str">
        <x:f>IF(B1090="平","平",IF(B1090="","","仄"))</x:f>
        <x:v>仄</x:v>
      </x:c>
      <x:c r="I1090" s="6" t="str">
        <x:f>IF(D1082="","",IF(AND(ISNUMBER(SEARCH("平",D1082)),OR(ISNUMBER(SEARCH("上",D1082)),ISNUMBER(SEARCH("去",D1082)),ISNUMBER(SEARCH("入",D1082)))),"Ambiguous",IF(ISNUMBER(SEARCH("平",D1082)),"平","仄")))</x:f>
        <x:v>平</x:v>
      </x:c>
      <x:c r="J1090" s="7" t="str"/>
    </x:row>
    <x:row r="1091">
      <x:c r="A1091" s="5" t="str">
        <x:v>巳</x:v>
      </x:c>
      <x:c r="B1091" s="6" t="str">
        <x:v>上</x:v>
      </x:c>
      <x:c r="C1091" s="6" t="str">
        <x:f>IF(B1091="","Needs decision","Ready")</x:f>
        <x:v>Ready</x:v>
      </x:c>
      <x:c r="D1091" s="6" t="str">
        <x:v>上</x:v>
      </x:c>
      <x:c r="E1091" s="6" t="str">
        <x:v>ziX (B)</x:v>
      </x:c>
      <x:c r="F1091" s="6" t="str">
        <x:v>1</x:v>
      </x:c>
      <x:c r="G1091" s="6" t="str"/>
      <x:c r="H1091" s="6" t="str">
        <x:f>IF(B1091="平","平",IF(B1091="","","仄"))</x:f>
        <x:v>仄</x:v>
      </x:c>
      <x:c r="I1091" s="6" t="str">
        <x:f>IF(D1083="","",IF(AND(ISNUMBER(SEARCH("平",D1083)),OR(ISNUMBER(SEARCH("上",D1083)),ISNUMBER(SEARCH("去",D1083)),ISNUMBER(SEARCH("入",D1083)))),"Ambiguous",IF(ISNUMBER(SEARCH("平",D1083)),"平","仄")))</x:f>
        <x:v>平</x:v>
      </x:c>
      <x:c r="J1091" s="7" t="str"/>
    </x:row>
    <x:row r="1092">
      <x:c r="A1092" s="5" t="str">
        <x:v>巴</x:v>
      </x:c>
      <x:c r="B1092" s="6" t="str">
        <x:v>平</x:v>
      </x:c>
      <x:c r="C1092" s="6" t="str">
        <x:f>IF(B1092="","Needs decision","Ready")</x:f>
        <x:v>Ready</x:v>
      </x:c>
      <x:c r="D1092" s="6" t="str">
        <x:v>平</x:v>
      </x:c>
      <x:c r="E1092" s="6" t="str">
        <x:v>pae (A)</x:v>
      </x:c>
      <x:c r="F1092" s="6" t="str">
        <x:v>1</x:v>
      </x:c>
      <x:c r="G1092" s="6" t="str"/>
      <x:c r="H1092" s="6" t="str">
        <x:f>IF(B1092="平","平",IF(B1092="","","仄"))</x:f>
        <x:v>平</x:v>
      </x:c>
      <x:c r="I1092" s="6" t="str">
        <x:f>IF(D1084="","",IF(AND(ISNUMBER(SEARCH("平",D1084)),OR(ISNUMBER(SEARCH("上",D1084)),ISNUMBER(SEARCH("去",D1084)),ISNUMBER(SEARCH("入",D1084)))),"Ambiguous",IF(ISNUMBER(SEARCH("平",D1084)),"平","仄")))</x:f>
        <x:v>仄</x:v>
      </x:c>
      <x:c r="J1092" s="7" t="str"/>
    </x:row>
    <x:row r="1093">
      <x:c r="A1093" s="5" t="str">
        <x:v>巷</x:v>
      </x:c>
      <x:c r="B1093" s="6" t="str">
        <x:v>去</x:v>
      </x:c>
      <x:c r="C1093" s="6" t="str">
        <x:f>IF(B1093="","Needs decision","Ready")</x:f>
        <x:v>Ready</x:v>
      </x:c>
      <x:c r="D1093" s="6" t="str">
        <x:v>去</x:v>
      </x:c>
      <x:c r="E1093" s="6" t="str">
        <x:v>haewngH (C)</x:v>
      </x:c>
      <x:c r="F1093" s="6" t="str">
        <x:v>1</x:v>
      </x:c>
      <x:c r="G1093" s="6" t="str"/>
      <x:c r="H1093" s="6" t="str">
        <x:f>IF(B1093="平","平",IF(B1093="","","仄"))</x:f>
        <x:v>仄</x:v>
      </x:c>
      <x:c r="I1093" s="6" t="str">
        <x:f>IF(D1085="","",IF(AND(ISNUMBER(SEARCH("平",D1085)),OR(ISNUMBER(SEARCH("上",D1085)),ISNUMBER(SEARCH("去",D1085)),ISNUMBER(SEARCH("入",D1085)))),"Ambiguous",IF(ISNUMBER(SEARCH("平",D1085)),"平","仄")))</x:f>
        <x:v>仄</x:v>
      </x:c>
      <x:c r="J1093" s="7" t="str"/>
    </x:row>
    <x:row r="1094">
      <x:c r="A1094" s="5" t="str">
        <x:v>巾</x:v>
      </x:c>
      <x:c r="B1094" s="6" t="str">
        <x:v>平</x:v>
      </x:c>
      <x:c r="C1094" s="6" t="str">
        <x:f>IF(B1094="","Needs decision","Ready")</x:f>
        <x:v>Ready</x:v>
      </x:c>
      <x:c r="D1094" s="6" t="str">
        <x:v>平</x:v>
      </x:c>
      <x:c r="E1094" s="6" t="str">
        <x:v>kin (A)</x:v>
      </x:c>
      <x:c r="F1094" s="6" t="str">
        <x:v>1</x:v>
      </x:c>
      <x:c r="G1094" s="6" t="str"/>
      <x:c r="H1094" s="6" t="str">
        <x:f>IF(B1094="平","平",IF(B1094="","","仄"))</x:f>
        <x:v>平</x:v>
      </x:c>
      <x:c r="I1094" s="6" t="str">
        <x:f>IF(D1086="","",IF(AND(ISNUMBER(SEARCH("平",D1086)),OR(ISNUMBER(SEARCH("上",D1086)),ISNUMBER(SEARCH("去",D1086)),ISNUMBER(SEARCH("入",D1086)))),"Ambiguous",IF(ISNUMBER(SEARCH("平",D1086)),"平","仄")))</x:f>
        <x:v>仄</x:v>
      </x:c>
      <x:c r="J1094" s="7" t="str"/>
    </x:row>
    <x:row r="1095">
      <x:c r="A1095" s="5" t="str">
        <x:v>帀</x:v>
      </x:c>
      <x:c r="B1095" s="6" t="str">
        <x:v>入</x:v>
      </x:c>
      <x:c r="C1095" s="6" t="str">
        <x:f>IF(B1095="","Needs decision","Ready")</x:f>
        <x:v>Ready</x:v>
      </x:c>
      <x:c r="D1095" s="6" t="str">
        <x:v>入</x:v>
      </x:c>
      <x:c r="E1095" s="6" t="str">
        <x:v>tsop (D)</x:v>
      </x:c>
      <x:c r="F1095" s="6" t="str">
        <x:v>1</x:v>
      </x:c>
      <x:c r="G1095" s="6" t="str"/>
      <x:c r="H1095" s="6" t="str">
        <x:f>IF(B1095="平","平",IF(B1095="","","仄"))</x:f>
        <x:v>仄</x:v>
      </x:c>
      <x:c r="I1095" s="6" t="str">
        <x:f>IF(D1087="","",IF(AND(ISNUMBER(SEARCH("平",D1087)),OR(ISNUMBER(SEARCH("上",D1087)),ISNUMBER(SEARCH("去",D1087)),ISNUMBER(SEARCH("入",D1087)))),"Ambiguous",IF(ISNUMBER(SEARCH("平",D1087)),"平","仄")))</x:f>
        <x:v>平</x:v>
      </x:c>
      <x:c r="J1095" s="7" t="str"/>
    </x:row>
    <x:row r="1096">
      <x:c r="A1096" s="5" t="str">
        <x:v>市</x:v>
      </x:c>
      <x:c r="B1096" s="6" t="str">
        <x:v>上</x:v>
      </x:c>
      <x:c r="C1096" s="6" t="str">
        <x:f>IF(B1096="","Needs decision","Ready")</x:f>
        <x:v>Ready</x:v>
      </x:c>
      <x:c r="D1096" s="6" t="str">
        <x:v>上</x:v>
      </x:c>
      <x:c r="E1096" s="6" t="str">
        <x:v>dzyiX (B)</x:v>
      </x:c>
      <x:c r="F1096" s="6" t="str">
        <x:v>1</x:v>
      </x:c>
      <x:c r="G1096" s="6" t="str"/>
      <x:c r="H1096" s="6" t="str">
        <x:f>IF(B1096="平","平",IF(B1096="","","仄"))</x:f>
        <x:v>仄</x:v>
      </x:c>
      <x:c r="I1096" s="6" t="str">
        <x:f>IF(D1088="","",IF(AND(ISNUMBER(SEARCH("平",D1088)),OR(ISNUMBER(SEARCH("上",D1088)),ISNUMBER(SEARCH("去",D1088)),ISNUMBER(SEARCH("入",D1088)))),"Ambiguous",IF(ISNUMBER(SEARCH("平",D1088)),"平","仄")))</x:f>
        <x:v>平</x:v>
      </x:c>
      <x:c r="J1096" s="7" t="str"/>
    </x:row>
    <x:row r="1097">
      <x:c r="A1097" s="5" t="str">
        <x:v>布</x:v>
      </x:c>
      <x:c r="B1097" s="6" t="str">
        <x:v>去</x:v>
      </x:c>
      <x:c r="C1097" s="6" t="str">
        <x:f>IF(B1097="","Needs decision","Ready")</x:f>
        <x:v>Ready</x:v>
      </x:c>
      <x:c r="D1097" s="6" t="str">
        <x:v>去</x:v>
      </x:c>
      <x:c r="E1097" s="6" t="str">
        <x:v>puH (C)</x:v>
      </x:c>
      <x:c r="F1097" s="6" t="str">
        <x:v>1</x:v>
      </x:c>
      <x:c r="G1097" s="6" t="str"/>
      <x:c r="H1097" s="6" t="str">
        <x:f>IF(B1097="平","平",IF(B1097="","","仄"))</x:f>
        <x:v>仄</x:v>
      </x:c>
      <x:c r="I1097" s="6" t="str">
        <x:f>IF(D1089="","",IF(AND(ISNUMBER(SEARCH("平",D1089)),OR(ISNUMBER(SEARCH("上",D1089)),ISNUMBER(SEARCH("去",D1089)),ISNUMBER(SEARCH("入",D1089)))),"Ambiguous",IF(ISNUMBER(SEARCH("平",D1089)),"平","仄")))</x:f>
        <x:v>仄</x:v>
      </x:c>
      <x:c r="J1097" s="7" t="str"/>
    </x:row>
    <x:row r="1098">
      <x:c r="A1098" s="5" t="str">
        <x:v>帆</x:v>
      </x:c>
      <x:c r="B1098" s="6" t="str"/>
      <x:c r="C1098" s="6" t="str">
        <x:f>IF(B1098="","Needs decision","Ready")</x:f>
        <x:v>Needs decision</x:v>
      </x:c>
      <x:c r="D1098" s="6" t="str">
        <x:v>平/去</x:v>
      </x:c>
      <x:c r="E1098" s="6" t="str">
        <x:v>bjom [bɨ̯əm] (平); bjomH [bɨ̯əmh] (去)</x:v>
      </x:c>
      <x:c r="F1098" s="6" t="str">
        <x:v>2</x:v>
      </x:c>
      <x:c r="G1098" s="6" t="str">
        <x:v>Tang 300 gap; frequency 12; ambiguous in Xun Gong</x:v>
      </x:c>
      <x:c r="H1098" s="6" t="str">
        <x:f>IF(B1098="平","平",IF(B1098="","","仄"))</x:f>
      </x:c>
      <x:c r="I1098" s="6" t="str">
        <x:f>IF(D1090="","",IF(AND(ISNUMBER(SEARCH("平",D1090)),OR(ISNUMBER(SEARCH("上",D1090)),ISNUMBER(SEARCH("去",D1090)),ISNUMBER(SEARCH("入",D1090)))),"Ambiguous",IF(ISNUMBER(SEARCH("平",D1090)),"平","仄")))</x:f>
        <x:v>仄</x:v>
      </x:c>
      <x:c r="J1098" s="7" t="str">
        <x:v>Xun Gong, Tang 300 gap fill</x:v>
      </x:c>
    </x:row>
    <x:row r="1099">
      <x:c r="A1099" s="5" t="str">
        <x:v>希</x:v>
      </x:c>
      <x:c r="B1099" s="6" t="str">
        <x:v>平</x:v>
      </x:c>
      <x:c r="C1099" s="6" t="str">
        <x:f>IF(B1099="","Needs decision","Ready")</x:f>
        <x:v>Ready</x:v>
      </x:c>
      <x:c r="D1099" s="6" t="str">
        <x:v>平</x:v>
      </x:c>
      <x:c r="E1099" s="6" t="str">
        <x:v>xj+j (A)</x:v>
      </x:c>
      <x:c r="F1099" s="6" t="str">
        <x:v>1</x:v>
      </x:c>
      <x:c r="G1099" s="6" t="str"/>
      <x:c r="H1099" s="6" t="str">
        <x:f>IF(B1099="平","平",IF(B1099="","","仄"))</x:f>
        <x:v>平</x:v>
      </x:c>
      <x:c r="I1099" s="6" t="str">
        <x:f>IF(D1091="","",IF(AND(ISNUMBER(SEARCH("平",D1091)),OR(ISNUMBER(SEARCH("上",D1091)),ISNUMBER(SEARCH("去",D1091)),ISNUMBER(SEARCH("入",D1091)))),"Ambiguous",IF(ISNUMBER(SEARCH("平",D1091)),"平","仄")))</x:f>
        <x:v>仄</x:v>
      </x:c>
      <x:c r="J1099" s="7" t="str"/>
    </x:row>
    <x:row r="1100">
      <x:c r="A1100" s="5" t="str">
        <x:v>帖</x:v>
      </x:c>
      <x:c r="B1100" s="6" t="str">
        <x:v>入</x:v>
      </x:c>
      <x:c r="C1100" s="6" t="str">
        <x:f>IF(B1100="","Needs decision","Ready")</x:f>
        <x:v>Ready</x:v>
      </x:c>
      <x:c r="D1100" s="6" t="str">
        <x:v>入</x:v>
      </x:c>
      <x:c r="E1100" s="6" t="str">
        <x:v>thep [t̙ʰep] (入)</x:v>
      </x:c>
      <x:c r="F1100" s="6" t="str">
        <x:v>1</x:v>
      </x:c>
      <x:c r="G1100" s="6" t="str">
        <x:v>Tang 300 gap; frequency 1; provisional from Xun Gong</x:v>
      </x:c>
      <x:c r="H1100" s="6" t="str">
        <x:f>IF(B1100="平","平",IF(B1100="","","仄"))</x:f>
        <x:v>仄</x:v>
      </x:c>
      <x:c r="I1100" s="6" t="str">
        <x:f>IF(D1092="","",IF(AND(ISNUMBER(SEARCH("平",D1092)),OR(ISNUMBER(SEARCH("上",D1092)),ISNUMBER(SEARCH("去",D1092)),ISNUMBER(SEARCH("入",D1092)))),"Ambiguous",IF(ISNUMBER(SEARCH("平",D1092)),"平","仄")))</x:f>
        <x:v>平</x:v>
      </x:c>
      <x:c r="J1100" s="7" t="str">
        <x:v>Xun Gong, Tang 300 gap fill</x:v>
      </x:c>
    </x:row>
    <x:row r="1101">
      <x:c r="A1101" s="5" t="str">
        <x:v>帚</x:v>
      </x:c>
      <x:c r="B1101" s="6" t="str">
        <x:v>上</x:v>
      </x:c>
      <x:c r="C1101" s="6" t="str">
        <x:f>IF(B1101="","Needs decision","Ready")</x:f>
        <x:v>Ready</x:v>
      </x:c>
      <x:c r="D1101" s="6" t="str">
        <x:v>上</x:v>
      </x:c>
      <x:c r="E1101" s="6" t="str">
        <x:v>tsyuwX (B)</x:v>
      </x:c>
      <x:c r="F1101" s="6" t="str">
        <x:v>1</x:v>
      </x:c>
      <x:c r="G1101" s="6" t="str"/>
      <x:c r="H1101" s="6" t="str">
        <x:f>IF(B1101="平","平",IF(B1101="","","仄"))</x:f>
        <x:v>仄</x:v>
      </x:c>
      <x:c r="I1101" s="6" t="str">
        <x:f>IF(D1093="","",IF(AND(ISNUMBER(SEARCH("平",D1093)),OR(ISNUMBER(SEARCH("上",D1093)),ISNUMBER(SEARCH("去",D1093)),ISNUMBER(SEARCH("入",D1093)))),"Ambiguous",IF(ISNUMBER(SEARCH("平",D1093)),"平","仄")))</x:f>
        <x:v>仄</x:v>
      </x:c>
      <x:c r="J1101" s="7" t="str"/>
    </x:row>
    <x:row r="1102">
      <x:c r="A1102" s="5" t="str">
        <x:v>帛</x:v>
      </x:c>
      <x:c r="B1102" s="6" t="str">
        <x:v>入</x:v>
      </x:c>
      <x:c r="C1102" s="6" t="str">
        <x:f>IF(B1102="","Needs decision","Ready")</x:f>
        <x:v>Ready</x:v>
      </x:c>
      <x:c r="D1102" s="6" t="str">
        <x:v>入</x:v>
      </x:c>
      <x:c r="E1102" s="6" t="str">
        <x:v>baek (D)</x:v>
      </x:c>
      <x:c r="F1102" s="6" t="str">
        <x:v>1</x:v>
      </x:c>
      <x:c r="G1102" s="6" t="str"/>
      <x:c r="H1102" s="6" t="str">
        <x:f>IF(B1102="平","平",IF(B1102="","","仄"))</x:f>
        <x:v>仄</x:v>
      </x:c>
      <x:c r="I1102" s="6" t="str">
        <x:f>IF(D1094="","",IF(AND(ISNUMBER(SEARCH("平",D1094)),OR(ISNUMBER(SEARCH("上",D1094)),ISNUMBER(SEARCH("去",D1094)),ISNUMBER(SEARCH("入",D1094)))),"Ambiguous",IF(ISNUMBER(SEARCH("平",D1094)),"平","仄")))</x:f>
        <x:v>平</x:v>
      </x:c>
      <x:c r="J1102" s="7" t="str"/>
    </x:row>
    <x:row r="1103">
      <x:c r="A1103" s="5" t="str">
        <x:v>帝</x:v>
      </x:c>
      <x:c r="B1103" s="6" t="str">
        <x:v>去</x:v>
      </x:c>
      <x:c r="C1103" s="6" t="str">
        <x:f>IF(B1103="","Needs decision","Ready")</x:f>
        <x:v>Ready</x:v>
      </x:c>
      <x:c r="D1103" s="6" t="str">
        <x:v>去</x:v>
      </x:c>
      <x:c r="E1103" s="6" t="str">
        <x:v>tejH (C)</x:v>
      </x:c>
      <x:c r="F1103" s="6" t="str">
        <x:v>1</x:v>
      </x:c>
      <x:c r="G1103" s="6" t="str"/>
      <x:c r="H1103" s="6" t="str">
        <x:f>IF(B1103="平","平",IF(B1103="","","仄"))</x:f>
        <x:v>仄</x:v>
      </x:c>
      <x:c r="I1103" s="6" t="str">
        <x:f>IF(D1095="","",IF(AND(ISNUMBER(SEARCH("平",D1095)),OR(ISNUMBER(SEARCH("上",D1095)),ISNUMBER(SEARCH("去",D1095)),ISNUMBER(SEARCH("入",D1095)))),"Ambiguous",IF(ISNUMBER(SEARCH("平",D1095)),"平","仄")))</x:f>
        <x:v>仄</x:v>
      </x:c>
      <x:c r="J1103" s="7" t="str"/>
    </x:row>
    <x:row r="1104">
      <x:c r="A1104" s="5" t="str">
        <x:v>帥</x:v>
      </x:c>
      <x:c r="B1104" s="6" t="str">
        <x:v>去</x:v>
      </x:c>
      <x:c r="C1104" s="6" t="str">
        <x:f>IF(B1104="","Needs decision","Ready")</x:f>
        <x:v>Ready</x:v>
      </x:c>
      <x:c r="D1104" s="6" t="str">
        <x:v>去</x:v>
      </x:c>
      <x:c r="E1104" s="6" t="str">
        <x:v>srwijH (C)</x:v>
      </x:c>
      <x:c r="F1104" s="6" t="str">
        <x:v>1</x:v>
      </x:c>
      <x:c r="G1104" s="6" t="str"/>
      <x:c r="H1104" s="6" t="str">
        <x:f>IF(B1104="平","平",IF(B1104="","","仄"))</x:f>
        <x:v>仄</x:v>
      </x:c>
      <x:c r="I1104" s="6" t="str">
        <x:f>IF(D1096="","",IF(AND(ISNUMBER(SEARCH("平",D1096)),OR(ISNUMBER(SEARCH("上",D1096)),ISNUMBER(SEARCH("去",D1096)),ISNUMBER(SEARCH("入",D1096)))),"Ambiguous",IF(ISNUMBER(SEARCH("平",D1096)),"平","仄")))</x:f>
        <x:v>仄</x:v>
      </x:c>
      <x:c r="J1104" s="7" t="str"/>
    </x:row>
    <x:row r="1105">
      <x:c r="A1105" s="5" t="str">
        <x:v>帨</x:v>
      </x:c>
      <x:c r="B1105" s="6" t="str">
        <x:v>去</x:v>
      </x:c>
      <x:c r="C1105" s="6" t="str">
        <x:f>IF(B1105="","Needs decision","Ready")</x:f>
        <x:v>Ready</x:v>
      </x:c>
      <x:c r="D1105" s="6" t="str">
        <x:v>去</x:v>
      </x:c>
      <x:c r="E1105" s="6" t="str">
        <x:v>sywejH (C); tshjwejH (C)</x:v>
      </x:c>
      <x:c r="F1105" s="6" t="str">
        <x:v>2</x:v>
      </x:c>
      <x:c r="G1105" s="6" t="str"/>
      <x:c r="H1105" s="6" t="str">
        <x:f>IF(B1105="平","平",IF(B1105="","","仄"))</x:f>
        <x:v>仄</x:v>
      </x:c>
      <x:c r="I1105" s="6" t="str">
        <x:f>IF(D1097="","",IF(AND(ISNUMBER(SEARCH("平",D1097)),OR(ISNUMBER(SEARCH("上",D1097)),ISNUMBER(SEARCH("去",D1097)),ISNUMBER(SEARCH("入",D1097)))),"Ambiguous",IF(ISNUMBER(SEARCH("平",D1097)),"平","仄")))</x:f>
        <x:v>仄</x:v>
      </x:c>
      <x:c r="J1105" s="7" t="str"/>
    </x:row>
    <x:row r="1106">
      <x:c r="A1106" s="5" t="str">
        <x:v>師</x:v>
      </x:c>
      <x:c r="B1106" s="6" t="str">
        <x:v>平</x:v>
      </x:c>
      <x:c r="C1106" s="6" t="str">
        <x:f>IF(B1106="","Needs decision","Ready")</x:f>
        <x:v>Ready</x:v>
      </x:c>
      <x:c r="D1106" s="6" t="str">
        <x:v>平</x:v>
      </x:c>
      <x:c r="E1106" s="6" t="str">
        <x:v>srij (A)</x:v>
      </x:c>
      <x:c r="F1106" s="6" t="str">
        <x:v>1</x:v>
      </x:c>
      <x:c r="G1106" s="6" t="str"/>
      <x:c r="H1106" s="6" t="str">
        <x:f>IF(B1106="平","平",IF(B1106="","","仄"))</x:f>
        <x:v>平</x:v>
      </x:c>
      <x:c r="I1106" s="6" t="str">
        <x:f>IF(D1098="","",IF(AND(ISNUMBER(SEARCH("平",D1098)),OR(ISNUMBER(SEARCH("上",D1098)),ISNUMBER(SEARCH("去",D1098)),ISNUMBER(SEARCH("入",D1098)))),"Ambiguous",IF(ISNUMBER(SEARCH("平",D1098)),"平","仄")))</x:f>
        <x:v>Ambiguous</x:v>
      </x:c>
      <x:c r="J1106" s="7" t="str"/>
    </x:row>
    <x:row r="1107">
      <x:c r="A1107" s="5" t="str">
        <x:v>席</x:v>
      </x:c>
      <x:c r="B1107" s="6" t="str">
        <x:v>入</x:v>
      </x:c>
      <x:c r="C1107" s="6" t="str">
        <x:f>IF(B1107="","Needs decision","Ready")</x:f>
        <x:v>Ready</x:v>
      </x:c>
      <x:c r="D1107" s="6" t="str">
        <x:v>入</x:v>
      </x:c>
      <x:c r="E1107" s="6" t="str">
        <x:v>zjek (D)</x:v>
      </x:c>
      <x:c r="F1107" s="6" t="str">
        <x:v>1</x:v>
      </x:c>
      <x:c r="G1107" s="6" t="str"/>
      <x:c r="H1107" s="6" t="str">
        <x:f>IF(B1107="平","平",IF(B1107="","","仄"))</x:f>
        <x:v>仄</x:v>
      </x:c>
      <x:c r="I1107" s="6" t="str">
        <x:f>IF(D1099="","",IF(AND(ISNUMBER(SEARCH("平",D1099)),OR(ISNUMBER(SEARCH("上",D1099)),ISNUMBER(SEARCH("去",D1099)),ISNUMBER(SEARCH("入",D1099)))),"Ambiguous",IF(ISNUMBER(SEARCH("平",D1099)),"平","仄")))</x:f>
        <x:v>平</x:v>
      </x:c>
      <x:c r="J1107" s="7" t="str"/>
    </x:row>
    <x:row r="1108">
      <x:c r="A1108" s="5" t="str">
        <x:v>帳</x:v>
      </x:c>
      <x:c r="B1108" s="6" t="str">
        <x:v>去</x:v>
      </x:c>
      <x:c r="C1108" s="6" t="str">
        <x:f>IF(B1108="","Needs decision","Ready")</x:f>
        <x:v>Ready</x:v>
      </x:c>
      <x:c r="D1108" s="6" t="str">
        <x:v>去</x:v>
      </x:c>
      <x:c r="E1108" s="6" t="str">
        <x:v>trjangH (C)</x:v>
      </x:c>
      <x:c r="F1108" s="6" t="str">
        <x:v>1</x:v>
      </x:c>
      <x:c r="G1108" s="6" t="str"/>
      <x:c r="H1108" s="6" t="str">
        <x:f>IF(B1108="平","平",IF(B1108="","","仄"))</x:f>
        <x:v>仄</x:v>
      </x:c>
      <x:c r="I1108" s="6" t="str">
        <x:f>IF(D1100="","",IF(AND(ISNUMBER(SEARCH("平",D1100)),OR(ISNUMBER(SEARCH("上",D1100)),ISNUMBER(SEARCH("去",D1100)),ISNUMBER(SEARCH("入",D1100)))),"Ambiguous",IF(ISNUMBER(SEARCH("平",D1100)),"平","仄")))</x:f>
        <x:v>仄</x:v>
      </x:c>
      <x:c r="J1108" s="7" t="str"/>
    </x:row>
    <x:row r="1109">
      <x:c r="A1109" s="5" t="str">
        <x:v>帶</x:v>
      </x:c>
      <x:c r="B1109" s="6" t="str">
        <x:v>去</x:v>
      </x:c>
      <x:c r="C1109" s="6" t="str">
        <x:f>IF(B1109="","Needs decision","Ready")</x:f>
        <x:v>Ready</x:v>
      </x:c>
      <x:c r="D1109" s="6" t="str">
        <x:v>去</x:v>
      </x:c>
      <x:c r="E1109" s="6" t="str">
        <x:v>tajH (C)</x:v>
      </x:c>
      <x:c r="F1109" s="6" t="str">
        <x:v>1</x:v>
      </x:c>
      <x:c r="G1109" s="6" t="str"/>
      <x:c r="H1109" s="6" t="str">
        <x:f>IF(B1109="平","平",IF(B1109="","","仄"))</x:f>
        <x:v>仄</x:v>
      </x:c>
      <x:c r="I1109" s="6" t="str">
        <x:f>IF(D1101="","",IF(AND(ISNUMBER(SEARCH("平",D1101)),OR(ISNUMBER(SEARCH("上",D1101)),ISNUMBER(SEARCH("去",D1101)),ISNUMBER(SEARCH("入",D1101)))),"Ambiguous",IF(ISNUMBER(SEARCH("平",D1101)),"平","仄")))</x:f>
        <x:v>仄</x:v>
      </x:c>
      <x:c r="J1109" s="7" t="str"/>
    </x:row>
    <x:row r="1110">
      <x:c r="A1110" s="5" t="str">
        <x:v>帷</x:v>
      </x:c>
      <x:c r="B1110" s="6" t="str">
        <x:v>平</x:v>
      </x:c>
      <x:c r="C1110" s="6" t="str">
        <x:f>IF(B1110="","Needs decision","Ready")</x:f>
        <x:v>Ready</x:v>
      </x:c>
      <x:c r="D1110" s="6" t="str">
        <x:v>平</x:v>
      </x:c>
      <x:c r="E1110" s="6" t="str">
        <x:v>hwij (A)</x:v>
      </x:c>
      <x:c r="F1110" s="6" t="str">
        <x:v>1</x:v>
      </x:c>
      <x:c r="G1110" s="6" t="str"/>
      <x:c r="H1110" s="6" t="str">
        <x:f>IF(B1110="平","平",IF(B1110="","","仄"))</x:f>
        <x:v>平</x:v>
      </x:c>
      <x:c r="I1110" s="6" t="str">
        <x:f>IF(D1102="","",IF(AND(ISNUMBER(SEARCH("平",D1102)),OR(ISNUMBER(SEARCH("上",D1102)),ISNUMBER(SEARCH("去",D1102)),ISNUMBER(SEARCH("入",D1102)))),"Ambiguous",IF(ISNUMBER(SEARCH("平",D1102)),"平","仄")))</x:f>
        <x:v>仄</x:v>
      </x:c>
      <x:c r="J1110" s="7" t="str"/>
    </x:row>
    <x:row r="1111">
      <x:c r="A1111" s="5" t="str">
        <x:v>常</x:v>
      </x:c>
      <x:c r="B1111" s="6" t="str">
        <x:v>平</x:v>
      </x:c>
      <x:c r="C1111" s="6" t="str">
        <x:f>IF(B1111="","Needs decision","Ready")</x:f>
        <x:v>Ready</x:v>
      </x:c>
      <x:c r="D1111" s="6" t="str">
        <x:v>平</x:v>
      </x:c>
      <x:c r="E1111" s="6" t="str">
        <x:v>dzyang (A)</x:v>
      </x:c>
      <x:c r="F1111" s="6" t="str">
        <x:v>1</x:v>
      </x:c>
      <x:c r="G1111" s="6" t="str"/>
      <x:c r="H1111" s="6" t="str">
        <x:f>IF(B1111="平","平",IF(B1111="","","仄"))</x:f>
        <x:v>平</x:v>
      </x:c>
      <x:c r="I1111" s="6" t="str">
        <x:f>IF(D1103="","",IF(AND(ISNUMBER(SEARCH("平",D1103)),OR(ISNUMBER(SEARCH("上",D1103)),ISNUMBER(SEARCH("去",D1103)),ISNUMBER(SEARCH("入",D1103)))),"Ambiguous",IF(ISNUMBER(SEARCH("平",D1103)),"平","仄")))</x:f>
        <x:v>仄</x:v>
      </x:c>
      <x:c r="J1111" s="7" t="str"/>
    </x:row>
    <x:row r="1112">
      <x:c r="A1112" s="5" t="str">
        <x:v>帽</x:v>
      </x:c>
      <x:c r="B1112" s="6" t="str">
        <x:v>去</x:v>
      </x:c>
      <x:c r="C1112" s="6" t="str">
        <x:f>IF(B1112="","Needs decision","Ready")</x:f>
        <x:v>Ready</x:v>
      </x:c>
      <x:c r="D1112" s="6" t="str">
        <x:v>去</x:v>
      </x:c>
      <x:c r="E1112" s="6" t="str">
        <x:v>mawH (C)</x:v>
      </x:c>
      <x:c r="F1112" s="6" t="str">
        <x:v>1</x:v>
      </x:c>
      <x:c r="G1112" s="6" t="str"/>
      <x:c r="H1112" s="6" t="str">
        <x:f>IF(B1112="平","平",IF(B1112="","","仄"))</x:f>
        <x:v>仄</x:v>
      </x:c>
      <x:c r="I1112" s="6" t="str">
        <x:f>IF(D1104="","",IF(AND(ISNUMBER(SEARCH("平",D1104)),OR(ISNUMBER(SEARCH("上",D1104)),ISNUMBER(SEARCH("去",D1104)),ISNUMBER(SEARCH("入",D1104)))),"Ambiguous",IF(ISNUMBER(SEARCH("平",D1104)),"平","仄")))</x:f>
        <x:v>仄</x:v>
      </x:c>
      <x:c r="J1112" s="7" t="str"/>
    </x:row>
    <x:row r="1113">
      <x:c r="A1113" s="5" t="str">
        <x:v>幃</x:v>
      </x:c>
      <x:c r="B1113" s="6" t="str">
        <x:v>平</x:v>
      </x:c>
      <x:c r="C1113" s="6" t="str">
        <x:f>IF(B1113="","Needs decision","Ready")</x:f>
        <x:v>Ready</x:v>
      </x:c>
      <x:c r="D1113" s="6" t="str">
        <x:v>平</x:v>
      </x:c>
      <x:c r="E1113" s="6" t="str">
        <x:v>hjw+j [wɨj] (平)</x:v>
      </x:c>
      <x:c r="F1113" s="6" t="str">
        <x:v>1</x:v>
      </x:c>
      <x:c r="G1113" s="6" t="str">
        <x:v>Tang 300 gap; frequency 3; provisional from Xun Gong</x:v>
      </x:c>
      <x:c r="H1113" s="6" t="str">
        <x:f>IF(B1113="平","平",IF(B1113="","","仄"))</x:f>
        <x:v>平</x:v>
      </x:c>
      <x:c r="I1113" s="6" t="str">
        <x:f>IF(D1105="","",IF(AND(ISNUMBER(SEARCH("平",D1105)),OR(ISNUMBER(SEARCH("上",D1105)),ISNUMBER(SEARCH("去",D1105)),ISNUMBER(SEARCH("入",D1105)))),"Ambiguous",IF(ISNUMBER(SEARCH("平",D1105)),"平","仄")))</x:f>
        <x:v>仄</x:v>
      </x:c>
      <x:c r="J1113" s="7" t="str">
        <x:v>Xun Gong, Tang 300 gap fill</x:v>
      </x:c>
    </x:row>
    <x:row r="1114">
      <x:c r="A1114" s="5" t="str">
        <x:v>幄</x:v>
      </x:c>
      <x:c r="B1114" s="6" t="str">
        <x:v>入</x:v>
      </x:c>
      <x:c r="C1114" s="6" t="str">
        <x:f>IF(B1114="","Needs decision","Ready")</x:f>
        <x:v>Ready</x:v>
      </x:c>
      <x:c r="D1114" s="6" t="str">
        <x:v>入</x:v>
      </x:c>
      <x:c r="E1114" s="6" t="str"/>
      <x:c r="F1114" s="6" t="str"/>
      <x:c r="G1114" s="6" t="str">
        <x:v>Manual user correction/addition</x:v>
      </x:c>
      <x:c r="H1114" s="6" t="str">
        <x:f>IF(B1114="平","平",IF(B1114="","","仄"))</x:f>
        <x:v>仄</x:v>
      </x:c>
      <x:c r="I1114" s="6" t="str">
        <x:f>IF(D1106="","",IF(AND(ISNUMBER(SEARCH("平",D1106)),OR(ISNUMBER(SEARCH("上",D1106)),ISNUMBER(SEARCH("去",D1106)),ISNUMBER(SEARCH("入",D1106)))),"Ambiguous",IF(ISNUMBER(SEARCH("平",D1106)),"平","仄")))</x:f>
        <x:v>平</x:v>
      </x:c>
      <x:c r="J1114" s="7" t="str">
        <x:v>manual user correction</x:v>
      </x:c>
    </x:row>
    <x:row r="1115">
      <x:c r="A1115" s="5" t="str">
        <x:v>幅</x:v>
      </x:c>
      <x:c r="B1115" s="6" t="str">
        <x:v>入</x:v>
      </x:c>
      <x:c r="C1115" s="6" t="str">
        <x:f>IF(B1115="","Needs decision","Ready")</x:f>
        <x:v>Ready</x:v>
      </x:c>
      <x:c r="D1115" s="6" t="str">
        <x:v>入</x:v>
      </x:c>
      <x:c r="E1115" s="6" t="str">
        <x:v>pik (D); pjuwk (D)</x:v>
      </x:c>
      <x:c r="F1115" s="6" t="str">
        <x:v>2</x:v>
      </x:c>
      <x:c r="G1115" s="6" t="str"/>
      <x:c r="H1115" s="6" t="str">
        <x:f>IF(B1115="平","平",IF(B1115="","","仄"))</x:f>
        <x:v>仄</x:v>
      </x:c>
      <x:c r="I1115" s="6" t="str">
        <x:f>IF(D1107="","",IF(AND(ISNUMBER(SEARCH("平",D1107)),OR(ISNUMBER(SEARCH("上",D1107)),ISNUMBER(SEARCH("去",D1107)),ISNUMBER(SEARCH("入",D1107)))),"Ambiguous",IF(ISNUMBER(SEARCH("平",D1107)),"平","仄")))</x:f>
        <x:v>仄</x:v>
      </x:c>
      <x:c r="J1115" s="7" t="str"/>
    </x:row>
    <x:row r="1116">
      <x:c r="A1116" s="5" t="str">
        <x:v>幌</x:v>
      </x:c>
      <x:c r="B1116" s="6" t="str">
        <x:v>上</x:v>
      </x:c>
      <x:c r="C1116" s="6" t="str">
        <x:f>IF(B1116="","Needs decision","Ready")</x:f>
        <x:v>Ready</x:v>
      </x:c>
      <x:c r="D1116" s="6" t="str">
        <x:v>上</x:v>
      </x:c>
      <x:c r="E1116" s="6" t="str">
        <x:v>hwangX [ʁwɑŋʔ] (上)</x:v>
      </x:c>
      <x:c r="F1116" s="6" t="str">
        <x:v>1</x:v>
      </x:c>
      <x:c r="G1116" s="6" t="str">
        <x:v>Tang 300 gap; frequency 1; provisional from Xun Gong</x:v>
      </x:c>
      <x:c r="H1116" s="6" t="str">
        <x:f>IF(B1116="平","平",IF(B1116="","","仄"))</x:f>
        <x:v>仄</x:v>
      </x:c>
      <x:c r="I1116" s="6" t="str">
        <x:f>IF(D1108="","",IF(AND(ISNUMBER(SEARCH("平",D1108)),OR(ISNUMBER(SEARCH("上",D1108)),ISNUMBER(SEARCH("去",D1108)),ISNUMBER(SEARCH("入",D1108)))),"Ambiguous",IF(ISNUMBER(SEARCH("平",D1108)),"平","仄")))</x:f>
        <x:v>仄</x:v>
      </x:c>
      <x:c r="J1116" s="7" t="str">
        <x:v>Xun Gong, Tang 300 gap fill</x:v>
      </x:c>
    </x:row>
    <x:row r="1117">
      <x:c r="A1117" s="5" t="str">
        <x:v>幔</x:v>
      </x:c>
      <x:c r="B1117" s="6" t="str">
        <x:v>去</x:v>
      </x:c>
      <x:c r="C1117" s="6" t="str">
        <x:f>IF(B1117="","Needs decision","Ready")</x:f>
        <x:v>Ready</x:v>
      </x:c>
      <x:c r="D1117" s="6" t="str">
        <x:v>去</x:v>
      </x:c>
      <x:c r="E1117" s="6" t="str">
        <x:v>manH (C)</x:v>
      </x:c>
      <x:c r="F1117" s="6" t="str">
        <x:v>1</x:v>
      </x:c>
      <x:c r="G1117" s="6" t="str"/>
      <x:c r="H1117" s="6" t="str">
        <x:f>IF(B1117="平","平",IF(B1117="","","仄"))</x:f>
        <x:v>仄</x:v>
      </x:c>
      <x:c r="I1117" s="6" t="str">
        <x:f>IF(D1109="","",IF(AND(ISNUMBER(SEARCH("平",D1109)),OR(ISNUMBER(SEARCH("上",D1109)),ISNUMBER(SEARCH("去",D1109)),ISNUMBER(SEARCH("入",D1109)))),"Ambiguous",IF(ISNUMBER(SEARCH("平",D1109)),"平","仄")))</x:f>
        <x:v>仄</x:v>
      </x:c>
      <x:c r="J1117" s="7" t="str"/>
    </x:row>
    <x:row r="1118">
      <x:c r="A1118" s="5" t="str">
        <x:v>幕</x:v>
      </x:c>
      <x:c r="B1118" s="6" t="str">
        <x:v>入</x:v>
      </x:c>
      <x:c r="C1118" s="6" t="str">
        <x:f>IF(B1118="","Needs decision","Ready")</x:f>
        <x:v>Ready</x:v>
      </x:c>
      <x:c r="D1118" s="6" t="str">
        <x:v>入</x:v>
      </x:c>
      <x:c r="E1118" s="6" t="str">
        <x:v>mak (D)</x:v>
      </x:c>
      <x:c r="F1118" s="6" t="str">
        <x:v>1</x:v>
      </x:c>
      <x:c r="G1118" s="6" t="str"/>
      <x:c r="H1118" s="6" t="str">
        <x:f>IF(B1118="平","平",IF(B1118="","","仄"))</x:f>
        <x:v>仄</x:v>
      </x:c>
      <x:c r="I1118" s="6" t="str">
        <x:f>IF(D1110="","",IF(AND(ISNUMBER(SEARCH("平",D1110)),OR(ISNUMBER(SEARCH("上",D1110)),ISNUMBER(SEARCH("去",D1110)),ISNUMBER(SEARCH("入",D1110)))),"Ambiguous",IF(ISNUMBER(SEARCH("平",D1110)),"平","仄")))</x:f>
        <x:v>平</x:v>
      </x:c>
      <x:c r="J1118" s="7" t="str"/>
    </x:row>
    <x:row r="1119">
      <x:c r="A1119" s="5" t="str">
        <x:v>幘</x:v>
      </x:c>
      <x:c r="B1119" s="6" t="str">
        <x:v>入</x:v>
      </x:c>
      <x:c r="C1119" s="6" t="str">
        <x:f>IF(B1119="","Needs decision","Ready")</x:f>
        <x:v>Ready</x:v>
      </x:c>
      <x:c r="D1119" s="6" t="str">
        <x:v>入</x:v>
      </x:c>
      <x:c r="E1119" s="6" t="str">
        <x:v>tsreak [tʂeˤk] (入)</x:v>
      </x:c>
      <x:c r="F1119" s="6" t="str">
        <x:v>1</x:v>
      </x:c>
      <x:c r="G1119" s="6" t="str">
        <x:v>Tang 300 gap; frequency 1; provisional from Xun Gong</x:v>
      </x:c>
      <x:c r="H1119" s="6" t="str">
        <x:f>IF(B1119="平","平",IF(B1119="","","仄"))</x:f>
        <x:v>仄</x:v>
      </x:c>
      <x:c r="I1119" s="6" t="str">
        <x:f>IF(D1111="","",IF(AND(ISNUMBER(SEARCH("平",D1111)),OR(ISNUMBER(SEARCH("上",D1111)),ISNUMBER(SEARCH("去",D1111)),ISNUMBER(SEARCH("入",D1111)))),"Ambiguous",IF(ISNUMBER(SEARCH("平",D1111)),"平","仄")))</x:f>
        <x:v>平</x:v>
      </x:c>
      <x:c r="J1119" s="7" t="str">
        <x:v>Xun Gong, Tang 300 gap fill</x:v>
      </x:c>
    </x:row>
    <x:row r="1120">
      <x:c r="A1120" s="5" t="str">
        <x:v>幞</x:v>
      </x:c>
      <x:c r="B1120" s="6" t="str">
        <x:v>入</x:v>
      </x:c>
      <x:c r="C1120" s="6" t="str">
        <x:f>IF(B1120="","Needs decision","Ready")</x:f>
        <x:v>Ready</x:v>
      </x:c>
      <x:c r="D1120" s="6" t="str">
        <x:v>入</x:v>
      </x:c>
      <x:c r="E1120" s="6" t="str">
        <x:v>bjowk (D)</x:v>
      </x:c>
      <x:c r="F1120" s="6" t="str">
        <x:v>1</x:v>
      </x:c>
      <x:c r="G1120" s="6" t="str"/>
      <x:c r="H1120" s="6" t="str">
        <x:f>IF(B1120="平","平",IF(B1120="","","仄"))</x:f>
        <x:v>仄</x:v>
      </x:c>
      <x:c r="I1120" s="6" t="str">
        <x:f>IF(D1112="","",IF(AND(ISNUMBER(SEARCH("平",D1112)),OR(ISNUMBER(SEARCH("上",D1112)),ISNUMBER(SEARCH("去",D1112)),ISNUMBER(SEARCH("入",D1112)))),"Ambiguous",IF(ISNUMBER(SEARCH("平",D1112)),"平","仄")))</x:f>
        <x:v>仄</x:v>
      </x:c>
      <x:c r="J1120" s="7" t="str"/>
    </x:row>
    <x:row r="1121">
      <x:c r="A1121" s="5" t="str">
        <x:v>幠</x:v>
      </x:c>
      <x:c r="B1121" s="6" t="str">
        <x:v>平</x:v>
      </x:c>
      <x:c r="C1121" s="6" t="str">
        <x:f>IF(B1121="","Needs decision","Ready")</x:f>
        <x:v>Ready</x:v>
      </x:c>
      <x:c r="D1121" s="6" t="str">
        <x:v>平</x:v>
      </x:c>
      <x:c r="E1121" s="6" t="str">
        <x:v>xu (A)</x:v>
      </x:c>
      <x:c r="F1121" s="6" t="str">
        <x:v>1</x:v>
      </x:c>
      <x:c r="G1121" s="6" t="str"/>
      <x:c r="H1121" s="6" t="str">
        <x:f>IF(B1121="平","平",IF(B1121="","","仄"))</x:f>
        <x:v>平</x:v>
      </x:c>
      <x:c r="I1121" s="6" t="str">
        <x:f>IF(D1113="","",IF(AND(ISNUMBER(SEARCH("平",D1113)),OR(ISNUMBER(SEARCH("上",D1113)),ISNUMBER(SEARCH("去",D1113)),ISNUMBER(SEARCH("入",D1113)))),"Ambiguous",IF(ISNUMBER(SEARCH("平",D1113)),"平","仄")))</x:f>
        <x:v>平</x:v>
      </x:c>
      <x:c r="J1121" s="7" t="str"/>
    </x:row>
    <x:row r="1122">
      <x:c r="A1122" s="5" t="str">
        <x:v>幢</x:v>
      </x:c>
      <x:c r="B1122" s="6" t="str">
        <x:v>平</x:v>
      </x:c>
      <x:c r="C1122" s="6" t="str">
        <x:f>IF(B1122="","Needs decision","Ready")</x:f>
        <x:v>Ready</x:v>
      </x:c>
      <x:c r="D1122" s="6" t="str">
        <x:v>平</x:v>
      </x:c>
      <x:c r="E1122" s="6" t="str">
        <x:v>draewng (A)</x:v>
      </x:c>
      <x:c r="F1122" s="6" t="str">
        <x:v>1</x:v>
      </x:c>
      <x:c r="G1122" s="6" t="str"/>
      <x:c r="H1122" s="6" t="str">
        <x:f>IF(B1122="平","平",IF(B1122="","","仄"))</x:f>
        <x:v>平</x:v>
      </x:c>
      <x:c r="I1122" s="6" t="str">
        <x:f>IF(D1114="","",IF(AND(ISNUMBER(SEARCH("平",D1114)),OR(ISNUMBER(SEARCH("上",D1114)),ISNUMBER(SEARCH("去",D1114)),ISNUMBER(SEARCH("入",D1114)))),"Ambiguous",IF(ISNUMBER(SEARCH("平",D1114)),"平","仄")))</x:f>
        <x:v>仄</x:v>
      </x:c>
      <x:c r="J1122" s="7" t="str"/>
    </x:row>
    <x:row r="1123">
      <x:c r="A1123" s="5" t="str">
        <x:v>幣</x:v>
      </x:c>
      <x:c r="B1123" s="6" t="str">
        <x:v>去</x:v>
      </x:c>
      <x:c r="C1123" s="6" t="str">
        <x:f>IF(B1123="","Needs decision","Ready")</x:f>
        <x:v>Ready</x:v>
      </x:c>
      <x:c r="D1123" s="6" t="str">
        <x:v>去</x:v>
      </x:c>
      <x:c r="E1123" s="6" t="str">
        <x:v>bjiejH (C)</x:v>
      </x:c>
      <x:c r="F1123" s="6" t="str">
        <x:v>1</x:v>
      </x:c>
      <x:c r="G1123" s="6" t="str"/>
      <x:c r="H1123" s="6" t="str">
        <x:f>IF(B1123="平","平",IF(B1123="","","仄"))</x:f>
        <x:v>仄</x:v>
      </x:c>
      <x:c r="I1123" s="6" t="str">
        <x:f>IF(D1115="","",IF(AND(ISNUMBER(SEARCH("平",D1115)),OR(ISNUMBER(SEARCH("上",D1115)),ISNUMBER(SEARCH("去",D1115)),ISNUMBER(SEARCH("入",D1115)))),"Ambiguous",IF(ISNUMBER(SEARCH("平",D1115)),"平","仄")))</x:f>
        <x:v>仄</x:v>
      </x:c>
      <x:c r="J1123" s="7" t="str"/>
    </x:row>
    <x:row r="1124">
      <x:c r="A1124" s="5" t="str">
        <x:v>幦</x:v>
      </x:c>
      <x:c r="B1124" s="6" t="str">
        <x:v>入</x:v>
      </x:c>
      <x:c r="C1124" s="6" t="str">
        <x:f>IF(B1124="","Needs decision","Ready")</x:f>
        <x:v>Ready</x:v>
      </x:c>
      <x:c r="D1124" s="6" t="str">
        <x:v>入</x:v>
      </x:c>
      <x:c r="E1124" s="6" t="str">
        <x:v>mek (D)</x:v>
      </x:c>
      <x:c r="F1124" s="6" t="str">
        <x:v>1</x:v>
      </x:c>
      <x:c r="G1124" s="6" t="str"/>
      <x:c r="H1124" s="6" t="str">
        <x:f>IF(B1124="平","平",IF(B1124="","","仄"))</x:f>
        <x:v>仄</x:v>
      </x:c>
      <x:c r="I1124" s="6" t="str">
        <x:f>IF(D1116="","",IF(AND(ISNUMBER(SEARCH("平",D1116)),OR(ISNUMBER(SEARCH("上",D1116)),ISNUMBER(SEARCH("去",D1116)),ISNUMBER(SEARCH("入",D1116)))),"Ambiguous",IF(ISNUMBER(SEARCH("平",D1116)),"平","仄")))</x:f>
        <x:v>仄</x:v>
      </x:c>
      <x:c r="J1124" s="7" t="str"/>
    </x:row>
    <x:row r="1125">
      <x:c r="A1125" s="5" t="str">
        <x:v>幨</x:v>
      </x:c>
      <x:c r="B1125" s="6" t="str"/>
      <x:c r="C1125" s="6" t="str">
        <x:f>IF(B1125="","Needs decision","Ready")</x:f>
        <x:v>Needs decision</x:v>
      </x:c>
      <x:c r="D1125" s="6" t="str">
        <x:v>平/去</x:v>
      </x:c>
      <x:c r="E1125" s="6" t="str">
        <x:v>tsyhem (A); tsyhemH (C)</x:v>
      </x:c>
      <x:c r="F1125" s="6" t="str">
        <x:v>2</x:v>
      </x:c>
      <x:c r="G1125" s="6" t="str"/>
      <x:c r="H1125" s="6" t="str">
        <x:f>IF(B1125="平","平",IF(B1125="","","仄"))</x:f>
      </x:c>
      <x:c r="I1125" s="6" t="str">
        <x:f>IF(D1117="","",IF(AND(ISNUMBER(SEARCH("平",D1117)),OR(ISNUMBER(SEARCH("上",D1117)),ISNUMBER(SEARCH("去",D1117)),ISNUMBER(SEARCH("入",D1117)))),"Ambiguous",IF(ISNUMBER(SEARCH("平",D1117)),"平","仄")))</x:f>
        <x:v>仄</x:v>
      </x:c>
      <x:c r="J1125" s="7" t="str"/>
    </x:row>
    <x:row r="1126">
      <x:c r="A1126" s="5" t="str">
        <x:v>幭</x:v>
      </x:c>
      <x:c r="B1126" s="6" t="str">
        <x:v>入</x:v>
      </x:c>
      <x:c r="C1126" s="6" t="str">
        <x:f>IF(B1126="","Needs decision","Ready")</x:f>
        <x:v>Ready</x:v>
      </x:c>
      <x:c r="D1126" s="6" t="str">
        <x:v>入</x:v>
      </x:c>
      <x:c r="E1126" s="6" t="str">
        <x:v>met (D)</x:v>
      </x:c>
      <x:c r="F1126" s="6" t="str">
        <x:v>1</x:v>
      </x:c>
      <x:c r="G1126" s="6" t="str"/>
      <x:c r="H1126" s="6" t="str">
        <x:f>IF(B1126="平","平",IF(B1126="","","仄"))</x:f>
        <x:v>仄</x:v>
      </x:c>
      <x:c r="I1126" s="6" t="str">
        <x:f>IF(D1118="","",IF(AND(ISNUMBER(SEARCH("平",D1118)),OR(ISNUMBER(SEARCH("上",D1118)),ISNUMBER(SEARCH("去",D1118)),ISNUMBER(SEARCH("入",D1118)))),"Ambiguous",IF(ISNUMBER(SEARCH("平",D1118)),"平","仄")))</x:f>
        <x:v>仄</x:v>
      </x:c>
      <x:c r="J1126" s="7" t="str"/>
    </x:row>
    <x:row r="1127">
      <x:c r="A1127" s="5" t="str">
        <x:v>干</x:v>
      </x:c>
      <x:c r="B1127" s="6" t="str">
        <x:v>平</x:v>
      </x:c>
      <x:c r="C1127" s="6" t="str">
        <x:f>IF(B1127="","Needs decision","Ready")</x:f>
        <x:v>Ready</x:v>
      </x:c>
      <x:c r="D1127" s="6" t="str">
        <x:v>平</x:v>
      </x:c>
      <x:c r="E1127" s="6" t="str">
        <x:v>kan (A)</x:v>
      </x:c>
      <x:c r="F1127" s="6" t="str">
        <x:v>1</x:v>
      </x:c>
      <x:c r="G1127" s="6" t="str"/>
      <x:c r="H1127" s="6" t="str">
        <x:f>IF(B1127="平","平",IF(B1127="","","仄"))</x:f>
        <x:v>平</x:v>
      </x:c>
      <x:c r="I1127" s="6" t="str">
        <x:f>IF(D1119="","",IF(AND(ISNUMBER(SEARCH("平",D1119)),OR(ISNUMBER(SEARCH("上",D1119)),ISNUMBER(SEARCH("去",D1119)),ISNUMBER(SEARCH("入",D1119)))),"Ambiguous",IF(ISNUMBER(SEARCH("平",D1119)),"平","仄")))</x:f>
        <x:v>仄</x:v>
      </x:c>
      <x:c r="J1127" s="7" t="str"/>
    </x:row>
    <x:row r="1128">
      <x:c r="A1128" s="5" t="str">
        <x:v>平</x:v>
      </x:c>
      <x:c r="B1128" s="6" t="str">
        <x:v>平</x:v>
      </x:c>
      <x:c r="C1128" s="6" t="str">
        <x:f>IF(B1128="","Needs decision","Ready")</x:f>
        <x:v>Ready</x:v>
      </x:c>
      <x:c r="D1128" s="6" t="str">
        <x:v>平</x:v>
      </x:c>
      <x:c r="E1128" s="6" t="str">
        <x:v>bjien (A); bjaeng (A)</x:v>
      </x:c>
      <x:c r="F1128" s="6" t="str">
        <x:v>2</x:v>
      </x:c>
      <x:c r="G1128" s="6" t="str"/>
      <x:c r="H1128" s="6" t="str">
        <x:f>IF(B1128="平","平",IF(B1128="","","仄"))</x:f>
        <x:v>平</x:v>
      </x:c>
      <x:c r="I1128" s="6" t="str">
        <x:f>IF(D1120="","",IF(AND(ISNUMBER(SEARCH("平",D1120)),OR(ISNUMBER(SEARCH("上",D1120)),ISNUMBER(SEARCH("去",D1120)),ISNUMBER(SEARCH("入",D1120)))),"Ambiguous",IF(ISNUMBER(SEARCH("平",D1120)),"平","仄")))</x:f>
        <x:v>仄</x:v>
      </x:c>
      <x:c r="J1128" s="7" t="str"/>
    </x:row>
    <x:row r="1129">
      <x:c r="A1129" s="5" t="str">
        <x:v>年</x:v>
      </x:c>
      <x:c r="B1129" s="6" t="str">
        <x:v>平</x:v>
      </x:c>
      <x:c r="C1129" s="6" t="str">
        <x:f>IF(B1129="","Needs decision","Ready")</x:f>
        <x:v>Ready</x:v>
      </x:c>
      <x:c r="D1129" s="6" t="str">
        <x:v>平</x:v>
      </x:c>
      <x:c r="E1129" s="6" t="str">
        <x:v>nen (A)</x:v>
      </x:c>
      <x:c r="F1129" s="6" t="str">
        <x:v>1</x:v>
      </x:c>
      <x:c r="G1129" s="6" t="str"/>
      <x:c r="H1129" s="6" t="str">
        <x:f>IF(B1129="平","平",IF(B1129="","","仄"))</x:f>
        <x:v>平</x:v>
      </x:c>
      <x:c r="I1129" s="6" t="str">
        <x:f>IF(D1121="","",IF(AND(ISNUMBER(SEARCH("平",D1121)),OR(ISNUMBER(SEARCH("上",D1121)),ISNUMBER(SEARCH("去",D1121)),ISNUMBER(SEARCH("入",D1121)))),"Ambiguous",IF(ISNUMBER(SEARCH("平",D1121)),"平","仄")))</x:f>
        <x:v>平</x:v>
      </x:c>
      <x:c r="J1129" s="7" t="str"/>
    </x:row>
    <x:row r="1130">
      <x:c r="A1130" s="5" t="str">
        <x:v>幵</x:v>
      </x:c>
      <x:c r="B1130" s="6" t="str">
        <x:v>平</x:v>
      </x:c>
      <x:c r="C1130" s="6" t="str">
        <x:f>IF(B1130="","Needs decision","Ready")</x:f>
        <x:v>Ready</x:v>
      </x:c>
      <x:c r="D1130" s="6" t="str">
        <x:v>平</x:v>
      </x:c>
      <x:c r="E1130" s="6" t="str">
        <x:v>ken (A)</x:v>
      </x:c>
      <x:c r="F1130" s="6" t="str">
        <x:v>1</x:v>
      </x:c>
      <x:c r="G1130" s="6" t="str"/>
      <x:c r="H1130" s="6" t="str">
        <x:f>IF(B1130="平","平",IF(B1130="","","仄"))</x:f>
        <x:v>平</x:v>
      </x:c>
      <x:c r="I1130" s="6" t="str">
        <x:f>IF(D1122="","",IF(AND(ISNUMBER(SEARCH("平",D1122)),OR(ISNUMBER(SEARCH("上",D1122)),ISNUMBER(SEARCH("去",D1122)),ISNUMBER(SEARCH("入",D1122)))),"Ambiguous",IF(ISNUMBER(SEARCH("平",D1122)),"平","仄")))</x:f>
        <x:v>平</x:v>
      </x:c>
      <x:c r="J1130" s="7" t="str"/>
    </x:row>
    <x:row r="1131">
      <x:c r="A1131" s="5" t="str">
        <x:v>并</x:v>
      </x:c>
      <x:c r="B1131" s="6" t="str">
        <x:v>去</x:v>
      </x:c>
      <x:c r="C1131" s="6" t="str">
        <x:f>IF(B1131="","Needs decision","Ready")</x:f>
        <x:v>Ready</x:v>
      </x:c>
      <x:c r="D1131" s="6" t="str">
        <x:v>平/去</x:v>
      </x:c>
      <x:c r="E1131" s="6" t="str">
        <x:v>pjieng (A); pjiengH (C)</x:v>
      </x:c>
      <x:c r="F1131" s="6" t="str">
        <x:v>2</x:v>
      </x:c>
      <x:c r="G1131" s="6" t="str">
        <x:v>User workbook edit 2026-09-03</x:v>
      </x:c>
      <x:c r="H1131" s="6" t="str">
        <x:f>IF(B1131="平","平",IF(B1131="","","仄"))</x:f>
        <x:v>仄</x:v>
      </x:c>
      <x:c r="I1131" s="6" t="str">
        <x:f>IF(D1123="","",IF(AND(ISNUMBER(SEARCH("平",D1123)),OR(ISNUMBER(SEARCH("上",D1123)),ISNUMBER(SEARCH("去",D1123)),ISNUMBER(SEARCH("入",D1123)))),"Ambiguous",IF(ISNUMBER(SEARCH("平",D1123)),"平","仄")))</x:f>
        <x:v>仄</x:v>
      </x:c>
      <x:c r="J1131" s="7" t="str">
        <x:v>manual user correction</x:v>
      </x:c>
    </x:row>
    <x:row r="1132">
      <x:c r="A1132" s="5" t="str">
        <x:v>幷</x:v>
      </x:c>
      <x:c r="B1132" s="6" t="str">
        <x:v>上</x:v>
      </x:c>
      <x:c r="C1132" s="6" t="str">
        <x:f>IF(B1132="","Needs decision","Ready")</x:f>
        <x:v>Ready</x:v>
      </x:c>
      <x:c r="D1132" s="6" t="str">
        <x:v>上</x:v>
      </x:c>
      <x:c r="E1132" s="6" t="str"/>
      <x:c r="F1132" s="6" t="str"/>
      <x:c r="G1132" s="6" t="str">
        <x:v>Manual user correction/addition</x:v>
      </x:c>
      <x:c r="H1132" s="6" t="str">
        <x:f>IF(B1132="平","平",IF(B1132="","","仄"))</x:f>
        <x:v>仄</x:v>
      </x:c>
      <x:c r="I1132" s="6" t="str">
        <x:f>IF(D1124="","",IF(AND(ISNUMBER(SEARCH("平",D1124)),OR(ISNUMBER(SEARCH("上",D1124)),ISNUMBER(SEARCH("去",D1124)),ISNUMBER(SEARCH("入",D1124)))),"Ambiguous",IF(ISNUMBER(SEARCH("平",D1124)),"平","仄")))</x:f>
        <x:v>仄</x:v>
      </x:c>
      <x:c r="J1132" s="7" t="str">
        <x:v>manual user correction</x:v>
      </x:c>
    </x:row>
    <x:row r="1133">
      <x:c r="A1133" s="5" t="str">
        <x:v>幸</x:v>
      </x:c>
      <x:c r="B1133" s="6" t="str">
        <x:v>上</x:v>
      </x:c>
      <x:c r="C1133" s="6" t="str">
        <x:f>IF(B1133="","Needs decision","Ready")</x:f>
        <x:v>Ready</x:v>
      </x:c>
      <x:c r="D1133" s="6" t="str">
        <x:v>上</x:v>
      </x:c>
      <x:c r="E1133" s="6" t="str">
        <x:v>heangX (B)</x:v>
      </x:c>
      <x:c r="F1133" s="6" t="str">
        <x:v>1</x:v>
      </x:c>
      <x:c r="G1133" s="6" t="str"/>
      <x:c r="H1133" s="6" t="str">
        <x:f>IF(B1133="平","平",IF(B1133="","","仄"))</x:f>
        <x:v>仄</x:v>
      </x:c>
      <x:c r="I1133" s="6" t="str">
        <x:f>IF(D1125="","",IF(AND(ISNUMBER(SEARCH("平",D1125)),OR(ISNUMBER(SEARCH("上",D1125)),ISNUMBER(SEARCH("去",D1125)),ISNUMBER(SEARCH("入",D1125)))),"Ambiguous",IF(ISNUMBER(SEARCH("平",D1125)),"平","仄")))</x:f>
        <x:v>Ambiguous</x:v>
      </x:c>
      <x:c r="J1133" s="7" t="str"/>
    </x:row>
    <x:row r="1134">
      <x:c r="A1134" s="5" t="str">
        <x:v>幹</x:v>
      </x:c>
      <x:c r="B1134" s="6" t="str">
        <x:v>去</x:v>
      </x:c>
      <x:c r="C1134" s="6" t="str">
        <x:f>IF(B1134="","Needs decision","Ready")</x:f>
        <x:v>Ready</x:v>
      </x:c>
      <x:c r="D1134" s="6" t="str">
        <x:v>去</x:v>
      </x:c>
      <x:c r="E1134" s="6" t="str">
        <x:v>kanH (C)</x:v>
      </x:c>
      <x:c r="F1134" s="6" t="str">
        <x:v>1</x:v>
      </x:c>
      <x:c r="G1134" s="6" t="str"/>
      <x:c r="H1134" s="6" t="str">
        <x:f>IF(B1134="平","平",IF(B1134="","","仄"))</x:f>
        <x:v>仄</x:v>
      </x:c>
      <x:c r="I1134" s="6" t="str">
        <x:f>IF(D1126="","",IF(AND(ISNUMBER(SEARCH("平",D1126)),OR(ISNUMBER(SEARCH("上",D1126)),ISNUMBER(SEARCH("去",D1126)),ISNUMBER(SEARCH("入",D1126)))),"Ambiguous",IF(ISNUMBER(SEARCH("平",D1126)),"平","仄")))</x:f>
        <x:v>仄</x:v>
      </x:c>
      <x:c r="J1134" s="7" t="str"/>
    </x:row>
    <x:row r="1135">
      <x:c r="A1135" s="5" t="str">
        <x:v>幺</x:v>
      </x:c>
      <x:c r="B1135" s="6" t="str">
        <x:v>平</x:v>
      </x:c>
      <x:c r="C1135" s="6" t="str">
        <x:f>IF(B1135="","Needs decision","Ready")</x:f>
        <x:v>Ready</x:v>
      </x:c>
      <x:c r="D1135" s="6" t="str">
        <x:v>平</x:v>
      </x:c>
      <x:c r="E1135" s="6" t="str">
        <x:v>'ew (A)</x:v>
      </x:c>
      <x:c r="F1135" s="6" t="str">
        <x:v>1</x:v>
      </x:c>
      <x:c r="G1135" s="6" t="str"/>
      <x:c r="H1135" s="6" t="str">
        <x:f>IF(B1135="平","平",IF(B1135="","","仄"))</x:f>
        <x:v>平</x:v>
      </x:c>
      <x:c r="I1135" s="6" t="str">
        <x:f>IF(D1127="","",IF(AND(ISNUMBER(SEARCH("平",D1127)),OR(ISNUMBER(SEARCH("上",D1127)),ISNUMBER(SEARCH("去",D1127)),ISNUMBER(SEARCH("入",D1127)))),"Ambiguous",IF(ISNUMBER(SEARCH("平",D1127)),"平","仄")))</x:f>
        <x:v>平</x:v>
      </x:c>
      <x:c r="J1135" s="7" t="str"/>
    </x:row>
    <x:row r="1136">
      <x:c r="A1136" s="5" t="str">
        <x:v>幼</x:v>
      </x:c>
      <x:c r="B1136" s="6" t="str">
        <x:v>去</x:v>
      </x:c>
      <x:c r="C1136" s="6" t="str">
        <x:f>IF(B1136="","Needs decision","Ready")</x:f>
        <x:v>Ready</x:v>
      </x:c>
      <x:c r="D1136" s="6" t="str">
        <x:v>去</x:v>
      </x:c>
      <x:c r="E1136" s="6" t="str">
        <x:v>'jiwH (C)</x:v>
      </x:c>
      <x:c r="F1136" s="6" t="str">
        <x:v>1</x:v>
      </x:c>
      <x:c r="G1136" s="6" t="str"/>
      <x:c r="H1136" s="6" t="str">
        <x:f>IF(B1136="平","平",IF(B1136="","","仄"))</x:f>
        <x:v>仄</x:v>
      </x:c>
      <x:c r="I1136" s="6" t="str">
        <x:f>IF(D1128="","",IF(AND(ISNUMBER(SEARCH("平",D1128)),OR(ISNUMBER(SEARCH("上",D1128)),ISNUMBER(SEARCH("去",D1128)),ISNUMBER(SEARCH("入",D1128)))),"Ambiguous",IF(ISNUMBER(SEARCH("平",D1128)),"平","仄")))</x:f>
        <x:v>平</x:v>
      </x:c>
      <x:c r="J1136" s="7" t="str"/>
    </x:row>
    <x:row r="1137">
      <x:c r="A1137" s="5" t="str">
        <x:v>幽</x:v>
      </x:c>
      <x:c r="B1137" s="6" t="str">
        <x:v>平</x:v>
      </x:c>
      <x:c r="C1137" s="6" t="str">
        <x:f>IF(B1137="","Needs decision","Ready")</x:f>
        <x:v>Ready</x:v>
      </x:c>
      <x:c r="D1137" s="6" t="str">
        <x:v>平</x:v>
      </x:c>
      <x:c r="E1137" s="6" t="str">
        <x:v>'jiw (A)</x:v>
      </x:c>
      <x:c r="F1137" s="6" t="str">
        <x:v>1</x:v>
      </x:c>
      <x:c r="G1137" s="6" t="str"/>
      <x:c r="H1137" s="6" t="str">
        <x:f>IF(B1137="平","平",IF(B1137="","","仄"))</x:f>
        <x:v>平</x:v>
      </x:c>
      <x:c r="I1137" s="6" t="str">
        <x:f>IF(D1129="","",IF(AND(ISNUMBER(SEARCH("平",D1129)),OR(ISNUMBER(SEARCH("上",D1129)),ISNUMBER(SEARCH("去",D1129)),ISNUMBER(SEARCH("入",D1129)))),"Ambiguous",IF(ISNUMBER(SEARCH("平",D1129)),"平","仄")))</x:f>
        <x:v>平</x:v>
      </x:c>
      <x:c r="J1137" s="7" t="str"/>
    </x:row>
    <x:row r="1138">
      <x:c r="A1138" s="5" t="str">
        <x:v>幾</x:v>
      </x:c>
      <x:c r="B1138" s="6" t="str"/>
      <x:c r="C1138" s="6" t="str">
        <x:f>IF(B1138="","Needs decision","Ready")</x:f>
        <x:v>Needs decision</x:v>
      </x:c>
      <x:c r="D1138" s="6" t="str">
        <x:v>平/上</x:v>
      </x:c>
      <x:c r="E1138" s="6" t="str">
        <x:v>kj+j (A); kj+jX (B)</x:v>
      </x:c>
      <x:c r="F1138" s="6" t="str">
        <x:v>2</x:v>
      </x:c>
      <x:c r="G1138" s="6" t="str"/>
      <x:c r="H1138" s="6" t="str">
        <x:f>IF(B1138="平","平",IF(B1138="","","仄"))</x:f>
      </x:c>
      <x:c r="I1138" s="6" t="str">
        <x:f>IF(D1130="","",IF(AND(ISNUMBER(SEARCH("平",D1130)),OR(ISNUMBER(SEARCH("上",D1130)),ISNUMBER(SEARCH("去",D1130)),ISNUMBER(SEARCH("入",D1130)))),"Ambiguous",IF(ISNUMBER(SEARCH("平",D1130)),"平","仄")))</x:f>
        <x:v>平</x:v>
      </x:c>
      <x:c r="J1138" s="7" t="str"/>
    </x:row>
    <x:row r="1139">
      <x:c r="A1139" s="5" t="str">
        <x:v>庇</x:v>
      </x:c>
      <x:c r="B1139" s="6" t="str"/>
      <x:c r="C1139" s="6" t="str">
        <x:f>IF(B1139="","Needs decision","Ready")</x:f>
        <x:v>Needs decision</x:v>
      </x:c>
      <x:c r="D1139" s="6" t="str">
        <x:v>平/去</x:v>
      </x:c>
      <x:c r="E1139" s="6" t="str">
        <x:v>pjij (A); pjijH (C)</x:v>
      </x:c>
      <x:c r="F1139" s="6" t="str">
        <x:v>2</x:v>
      </x:c>
      <x:c r="G1139" s="6" t="str"/>
      <x:c r="H1139" s="6" t="str">
        <x:f>IF(B1139="平","平",IF(B1139="","","仄"))</x:f>
      </x:c>
      <x:c r="I1139" s="6" t="str">
        <x:f>IF(D1131="","",IF(AND(ISNUMBER(SEARCH("平",D1131)),OR(ISNUMBER(SEARCH("上",D1131)),ISNUMBER(SEARCH("去",D1131)),ISNUMBER(SEARCH("入",D1131)))),"Ambiguous",IF(ISNUMBER(SEARCH("平",D1131)),"平","仄")))</x:f>
        <x:v>Ambiguous</x:v>
      </x:c>
      <x:c r="J1139" s="7" t="str"/>
    </x:row>
    <x:row r="1140">
      <x:c r="A1140" s="5" t="str">
        <x:v>床</x:v>
      </x:c>
      <x:c r="B1140" s="6" t="str">
        <x:v>平</x:v>
      </x:c>
      <x:c r="C1140" s="6" t="str">
        <x:f>IF(B1140="","Needs decision","Ready")</x:f>
        <x:v>Ready</x:v>
      </x:c>
      <x:c r="D1140" s="6" t="str">
        <x:v>平</x:v>
      </x:c>
      <x:c r="E1140" s="6" t="str">
        <x:v>dzrjang [dʐɨ̯ɑŋ] (平)</x:v>
      </x:c>
      <x:c r="F1140" s="6" t="str">
        <x:v>1</x:v>
      </x:c>
      <x:c r="G1140" s="6" t="str">
        <x:v>Tang 300 gap; frequency 7; provisional from Xun Gong</x:v>
      </x:c>
      <x:c r="H1140" s="6" t="str">
        <x:f>IF(B1140="平","平",IF(B1140="","","仄"))</x:f>
        <x:v>平</x:v>
      </x:c>
      <x:c r="I1140" s="6" t="str">
        <x:f>IF(D1132="","",IF(AND(ISNUMBER(SEARCH("平",D1132)),OR(ISNUMBER(SEARCH("上",D1132)),ISNUMBER(SEARCH("去",D1132)),ISNUMBER(SEARCH("入",D1132)))),"Ambiguous",IF(ISNUMBER(SEARCH("平",D1132)),"平","仄")))</x:f>
        <x:v>仄</x:v>
      </x:c>
      <x:c r="J1140" s="7" t="str">
        <x:v>Xun Gong, Tang 300 gap fill</x:v>
      </x:c>
    </x:row>
    <x:row r="1141">
      <x:c r="A1141" s="5" t="str">
        <x:v>庌</x:v>
      </x:c>
      <x:c r="B1141" s="6" t="str">
        <x:v>上</x:v>
      </x:c>
      <x:c r="C1141" s="6" t="str">
        <x:f>IF(B1141="","Needs decision","Ready")</x:f>
        <x:v>Ready</x:v>
      </x:c>
      <x:c r="D1141" s="6" t="str">
        <x:v>上</x:v>
      </x:c>
      <x:c r="E1141" s="6" t="str">
        <x:v>ngaeX (B)</x:v>
      </x:c>
      <x:c r="F1141" s="6" t="str">
        <x:v>1</x:v>
      </x:c>
      <x:c r="G1141" s="6" t="str"/>
      <x:c r="H1141" s="6" t="str">
        <x:f>IF(B1141="平","平",IF(B1141="","","仄"))</x:f>
        <x:v>仄</x:v>
      </x:c>
      <x:c r="I1141" s="6" t="str">
        <x:f>IF(D1133="","",IF(AND(ISNUMBER(SEARCH("平",D1133)),OR(ISNUMBER(SEARCH("上",D1133)),ISNUMBER(SEARCH("去",D1133)),ISNUMBER(SEARCH("入",D1133)))),"Ambiguous",IF(ISNUMBER(SEARCH("平",D1133)),"平","仄")))</x:f>
        <x:v>仄</x:v>
      </x:c>
      <x:c r="J1141" s="7" t="str"/>
    </x:row>
    <x:row r="1142">
      <x:c r="A1142" s="5" t="str">
        <x:v>序</x:v>
      </x:c>
      <x:c r="B1142" s="6" t="str">
        <x:v>上</x:v>
      </x:c>
      <x:c r="C1142" s="6" t="str">
        <x:f>IF(B1142="","Needs decision","Ready")</x:f>
        <x:v>Ready</x:v>
      </x:c>
      <x:c r="D1142" s="6" t="str">
        <x:v>上</x:v>
      </x:c>
      <x:c r="E1142" s="6" t="str">
        <x:v>zjoX (B)</x:v>
      </x:c>
      <x:c r="F1142" s="6" t="str">
        <x:v>1</x:v>
      </x:c>
      <x:c r="G1142" s="6" t="str"/>
      <x:c r="H1142" s="6" t="str">
        <x:f>IF(B1142="平","平",IF(B1142="","","仄"))</x:f>
        <x:v>仄</x:v>
      </x:c>
      <x:c r="I1142" s="6" t="str">
        <x:f>IF(D1134="","",IF(AND(ISNUMBER(SEARCH("平",D1134)),OR(ISNUMBER(SEARCH("上",D1134)),ISNUMBER(SEARCH("去",D1134)),ISNUMBER(SEARCH("入",D1134)))),"Ambiguous",IF(ISNUMBER(SEARCH("平",D1134)),"平","仄")))</x:f>
        <x:v>仄</x:v>
      </x:c>
      <x:c r="J1142" s="7" t="str"/>
    </x:row>
    <x:row r="1143">
      <x:c r="A1143" s="5" t="str">
        <x:v>底</x:v>
      </x:c>
      <x:c r="B1143" s="6" t="str">
        <x:v>上</x:v>
      </x:c>
      <x:c r="C1143" s="6" t="str">
        <x:f>IF(B1143="","Needs decision","Ready")</x:f>
        <x:v>Ready</x:v>
      </x:c>
      <x:c r="D1143" s="6" t="str">
        <x:v>上</x:v>
      </x:c>
      <x:c r="E1143" s="6" t="str">
        <x:v>tejX (B)</x:v>
      </x:c>
      <x:c r="F1143" s="6" t="str">
        <x:v>1</x:v>
      </x:c>
      <x:c r="G1143" s="6" t="str"/>
      <x:c r="H1143" s="6" t="str">
        <x:f>IF(B1143="平","平",IF(B1143="","","仄"))</x:f>
        <x:v>仄</x:v>
      </x:c>
      <x:c r="I1143" s="6" t="str">
        <x:f>IF(D1135="","",IF(AND(ISNUMBER(SEARCH("平",D1135)),OR(ISNUMBER(SEARCH("上",D1135)),ISNUMBER(SEARCH("去",D1135)),ISNUMBER(SEARCH("入",D1135)))),"Ambiguous",IF(ISNUMBER(SEARCH("平",D1135)),"平","仄")))</x:f>
        <x:v>平</x:v>
      </x:c>
      <x:c r="J1143" s="7" t="str"/>
    </x:row>
    <x:row r="1144">
      <x:c r="A1144" s="5" t="str">
        <x:v>店</x:v>
      </x:c>
      <x:c r="B1144" s="6" t="str">
        <x:v>去</x:v>
      </x:c>
      <x:c r="C1144" s="6" t="str">
        <x:f>IF(B1144="","Needs decision","Ready")</x:f>
        <x:v>Ready</x:v>
      </x:c>
      <x:c r="D1144" s="6" t="str">
        <x:v>去</x:v>
      </x:c>
      <x:c r="E1144" s="6" t="str">
        <x:v>temH (C)</x:v>
      </x:c>
      <x:c r="F1144" s="6" t="str">
        <x:v>1</x:v>
      </x:c>
      <x:c r="G1144" s="6" t="str"/>
      <x:c r="H1144" s="6" t="str">
        <x:f>IF(B1144="平","平",IF(B1144="","","仄"))</x:f>
        <x:v>仄</x:v>
      </x:c>
      <x:c r="I1144" s="6" t="str">
        <x:f>IF(D1136="","",IF(AND(ISNUMBER(SEARCH("平",D1136)),OR(ISNUMBER(SEARCH("上",D1136)),ISNUMBER(SEARCH("去",D1136)),ISNUMBER(SEARCH("入",D1136)))),"Ambiguous",IF(ISNUMBER(SEARCH("平",D1136)),"平","仄")))</x:f>
        <x:v>仄</x:v>
      </x:c>
      <x:c r="J1144" s="7" t="str"/>
    </x:row>
    <x:row r="1145">
      <x:c r="A1145" s="5" t="str">
        <x:v>庚</x:v>
      </x:c>
      <x:c r="B1145" s="6" t="str">
        <x:v>平</x:v>
      </x:c>
      <x:c r="C1145" s="6" t="str">
        <x:f>IF(B1145="","Needs decision","Ready")</x:f>
        <x:v>Ready</x:v>
      </x:c>
      <x:c r="D1145" s="6" t="str">
        <x:v>平</x:v>
      </x:c>
      <x:c r="E1145" s="6" t="str">
        <x:v>kaeng (A)</x:v>
      </x:c>
      <x:c r="F1145" s="6" t="str">
        <x:v>1</x:v>
      </x:c>
      <x:c r="G1145" s="6" t="str"/>
      <x:c r="H1145" s="6" t="str">
        <x:f>IF(B1145="平","平",IF(B1145="","","仄"))</x:f>
        <x:v>平</x:v>
      </x:c>
      <x:c r="I1145" s="6" t="str">
        <x:f>IF(D1137="","",IF(AND(ISNUMBER(SEARCH("平",D1137)),OR(ISNUMBER(SEARCH("上",D1137)),ISNUMBER(SEARCH("去",D1137)),ISNUMBER(SEARCH("入",D1137)))),"Ambiguous",IF(ISNUMBER(SEARCH("平",D1137)),"平","仄")))</x:f>
        <x:v>平</x:v>
      </x:c>
      <x:c r="J1145" s="7" t="str"/>
    </x:row>
    <x:row r="1146">
      <x:c r="A1146" s="5" t="str">
        <x:v>府</x:v>
      </x:c>
      <x:c r="B1146" s="6" t="str">
        <x:v>上</x:v>
      </x:c>
      <x:c r="C1146" s="6" t="str">
        <x:f>IF(B1146="","Needs decision","Ready")</x:f>
        <x:v>Ready</x:v>
      </x:c>
      <x:c r="D1146" s="6" t="str">
        <x:v>上</x:v>
      </x:c>
      <x:c r="E1146" s="6" t="str">
        <x:v>pjuX (B)</x:v>
      </x:c>
      <x:c r="F1146" s="6" t="str">
        <x:v>1</x:v>
      </x:c>
      <x:c r="G1146" s="6" t="str"/>
      <x:c r="H1146" s="6" t="str">
        <x:f>IF(B1146="平","平",IF(B1146="","","仄"))</x:f>
        <x:v>仄</x:v>
      </x:c>
      <x:c r="I1146" s="6" t="str">
        <x:f>IF(D1138="","",IF(AND(ISNUMBER(SEARCH("平",D1138)),OR(ISNUMBER(SEARCH("上",D1138)),ISNUMBER(SEARCH("去",D1138)),ISNUMBER(SEARCH("入",D1138)))),"Ambiguous",IF(ISNUMBER(SEARCH("平",D1138)),"平","仄")))</x:f>
        <x:v>Ambiguous</x:v>
      </x:c>
      <x:c r="J1146" s="7" t="str"/>
    </x:row>
    <x:row r="1147">
      <x:c r="A1147" s="5" t="str">
        <x:v>庠</x:v>
      </x:c>
      <x:c r="B1147" s="6" t="str">
        <x:v>平</x:v>
      </x:c>
      <x:c r="C1147" s="6" t="str">
        <x:f>IF(B1147="","Needs decision","Ready")</x:f>
        <x:v>Ready</x:v>
      </x:c>
      <x:c r="D1147" s="6" t="str">
        <x:v>平</x:v>
      </x:c>
      <x:c r="E1147" s="6" t="str">
        <x:v>zjang (A)</x:v>
      </x:c>
      <x:c r="F1147" s="6" t="str">
        <x:v>1</x:v>
      </x:c>
      <x:c r="G1147" s="6" t="str"/>
      <x:c r="H1147" s="6" t="str">
        <x:f>IF(B1147="平","平",IF(B1147="","","仄"))</x:f>
        <x:v>平</x:v>
      </x:c>
      <x:c r="I1147" s="6" t="str">
        <x:f>IF(D1139="","",IF(AND(ISNUMBER(SEARCH("平",D1139)),OR(ISNUMBER(SEARCH("上",D1139)),ISNUMBER(SEARCH("去",D1139)),ISNUMBER(SEARCH("入",D1139)))),"Ambiguous",IF(ISNUMBER(SEARCH("平",D1139)),"平","仄")))</x:f>
        <x:v>Ambiguous</x:v>
      </x:c>
      <x:c r="J1147" s="7" t="str"/>
    </x:row>
    <x:row r="1148">
      <x:c r="A1148" s="5" t="str">
        <x:v>度</x:v>
      </x:c>
      <x:c r="B1148" s="6" t="str"/>
      <x:c r="C1148" s="6" t="str">
        <x:f>IF(B1148="","Needs decision","Ready")</x:f>
        <x:v>Needs decision</x:v>
      </x:c>
      <x:c r="D1148" s="6" t="str">
        <x:v>去/入</x:v>
      </x:c>
      <x:c r="E1148" s="6" t="str">
        <x:v>duH (C); dak (D)</x:v>
      </x:c>
      <x:c r="F1148" s="6" t="str">
        <x:v>2</x:v>
      </x:c>
      <x:c r="G1148" s="6" t="str"/>
      <x:c r="H1148" s="6" t="str">
        <x:f>IF(B1148="平","平",IF(B1148="","","仄"))</x:f>
      </x:c>
      <x:c r="I1148" s="6" t="str">
        <x:f>IF(D1140="","",IF(AND(ISNUMBER(SEARCH("平",D1140)),OR(ISNUMBER(SEARCH("上",D1140)),ISNUMBER(SEARCH("去",D1140)),ISNUMBER(SEARCH("入",D1140)))),"Ambiguous",IF(ISNUMBER(SEARCH("平",D1140)),"平","仄")))</x:f>
        <x:v>平</x:v>
      </x:c>
      <x:c r="J1148" s="7" t="str"/>
    </x:row>
    <x:row r="1149">
      <x:c r="A1149" s="5" t="str">
        <x:v>座</x:v>
      </x:c>
      <x:c r="B1149" s="6" t="str">
        <x:v>去</x:v>
      </x:c>
      <x:c r="C1149" s="6" t="str">
        <x:f>IF(B1149="","Needs decision","Ready")</x:f>
        <x:v>Ready</x:v>
      </x:c>
      <x:c r="D1149" s="6" t="str">
        <x:v>去</x:v>
      </x:c>
      <x:c r="E1149" s="6" t="str">
        <x:v>dzwaH (C)</x:v>
      </x:c>
      <x:c r="F1149" s="6" t="str">
        <x:v>1</x:v>
      </x:c>
      <x:c r="G1149" s="6" t="str"/>
      <x:c r="H1149" s="6" t="str">
        <x:f>IF(B1149="平","平",IF(B1149="","","仄"))</x:f>
        <x:v>仄</x:v>
      </x:c>
      <x:c r="I1149" s="6" t="str">
        <x:f>IF(D1141="","",IF(AND(ISNUMBER(SEARCH("平",D1141)),OR(ISNUMBER(SEARCH("上",D1141)),ISNUMBER(SEARCH("去",D1141)),ISNUMBER(SEARCH("入",D1141)))),"Ambiguous",IF(ISNUMBER(SEARCH("平",D1141)),"平","仄")))</x:f>
        <x:v>仄</x:v>
      </x:c>
      <x:c r="J1149" s="7" t="str"/>
    </x:row>
    <x:row r="1150">
      <x:c r="A1150" s="5" t="str">
        <x:v>庫</x:v>
      </x:c>
      <x:c r="B1150" s="6" t="str">
        <x:v>去</x:v>
      </x:c>
      <x:c r="C1150" s="6" t="str">
        <x:f>IF(B1150="","Needs decision","Ready")</x:f>
        <x:v>Ready</x:v>
      </x:c>
      <x:c r="D1150" s="6" t="str">
        <x:v>去</x:v>
      </x:c>
      <x:c r="E1150" s="6" t="str">
        <x:v>khuH (C)</x:v>
      </x:c>
      <x:c r="F1150" s="6" t="str">
        <x:v>1</x:v>
      </x:c>
      <x:c r="G1150" s="6" t="str"/>
      <x:c r="H1150" s="6" t="str">
        <x:f>IF(B1150="平","平",IF(B1150="","","仄"))</x:f>
        <x:v>仄</x:v>
      </x:c>
      <x:c r="I1150" s="6" t="str">
        <x:f>IF(D1142="","",IF(AND(ISNUMBER(SEARCH("平",D1142)),OR(ISNUMBER(SEARCH("上",D1142)),ISNUMBER(SEARCH("去",D1142)),ISNUMBER(SEARCH("入",D1142)))),"Ambiguous",IF(ISNUMBER(SEARCH("平",D1142)),"平","仄")))</x:f>
        <x:v>仄</x:v>
      </x:c>
      <x:c r="J1150" s="7" t="str"/>
    </x:row>
    <x:row r="1151">
      <x:c r="A1151" s="5" t="str">
        <x:v>庭</x:v>
      </x:c>
      <x:c r="B1151" s="6" t="str">
        <x:v>平</x:v>
      </x:c>
      <x:c r="C1151" s="6" t="str">
        <x:f>IF(B1151="","Needs decision","Ready")</x:f>
        <x:v>Ready</x:v>
      </x:c>
      <x:c r="D1151" s="6" t="str">
        <x:v>平</x:v>
      </x:c>
      <x:c r="E1151" s="6" t="str">
        <x:v>deng [定開四青平] d̙eŋ</x:v>
      </x:c>
      <x:c r="F1151" s="6" t="str">
        <x:v>1</x:v>
      </x:c>
      <x:c r="G1151" s="6" t="str">
        <x:v>Targeted preliminary fill from Xun Gong; review if uncertain</x:v>
      </x:c>
      <x:c r="H1151" s="6" t="str">
        <x:f>IF(B1151="平","平",IF(B1151="","","仄"))</x:f>
        <x:v>平</x:v>
      </x:c>
      <x:c r="I1151" s="6" t="str">
        <x:f>IF(D1143="","",IF(AND(ISNUMBER(SEARCH("平",D1143)),OR(ISNUMBER(SEARCH("上",D1143)),ISNUMBER(SEARCH("去",D1143)),ISNUMBER(SEARCH("入",D1143)))),"Ambiguous",IF(ISNUMBER(SEARCH("平",D1143)),"平","仄")))</x:f>
        <x:v>仄</x:v>
      </x:c>
      <x:c r="J1151" s="7" t="str">
        <x:v>Xun Gong character-readings.csv</x:v>
      </x:c>
    </x:row>
    <x:row r="1152">
      <x:c r="A1152" s="5" t="str">
        <x:v>庳</x:v>
      </x:c>
      <x:c r="B1152" s="6" t="str">
        <x:v>上</x:v>
      </x:c>
      <x:c r="C1152" s="6" t="str">
        <x:f>IF(B1152="","Needs decision","Ready")</x:f>
        <x:v>Ready</x:v>
      </x:c>
      <x:c r="D1152" s="6" t="str">
        <x:v>上</x:v>
      </x:c>
      <x:c r="E1152" s="6" t="str">
        <x:v>bjieX (B)</x:v>
      </x:c>
      <x:c r="F1152" s="6" t="str">
        <x:v>1</x:v>
      </x:c>
      <x:c r="G1152" s="6" t="str"/>
      <x:c r="H1152" s="6" t="str">
        <x:f>IF(B1152="平","平",IF(B1152="","","仄"))</x:f>
        <x:v>仄</x:v>
      </x:c>
      <x:c r="I1152" s="6" t="str">
        <x:f>IF(D1144="","",IF(AND(ISNUMBER(SEARCH("平",D1144)),OR(ISNUMBER(SEARCH("上",D1144)),ISNUMBER(SEARCH("去",D1144)),ISNUMBER(SEARCH("入",D1144)))),"Ambiguous",IF(ISNUMBER(SEARCH("平",D1144)),"平","仄")))</x:f>
        <x:v>仄</x:v>
      </x:c>
      <x:c r="J1152" s="7" t="str"/>
    </x:row>
    <x:row r="1153">
      <x:c r="A1153" s="5" t="str">
        <x:v>庶</x:v>
      </x:c>
      <x:c r="B1153" s="6" t="str">
        <x:v>去</x:v>
      </x:c>
      <x:c r="C1153" s="6" t="str">
        <x:f>IF(B1153="","Needs decision","Ready")</x:f>
        <x:v>Ready</x:v>
      </x:c>
      <x:c r="D1153" s="6" t="str">
        <x:v>去</x:v>
      </x:c>
      <x:c r="E1153" s="6" t="str">
        <x:v>syoH (C)</x:v>
      </x:c>
      <x:c r="F1153" s="6" t="str">
        <x:v>1</x:v>
      </x:c>
      <x:c r="G1153" s="6" t="str"/>
      <x:c r="H1153" s="6" t="str">
        <x:f>IF(B1153="平","平",IF(B1153="","","仄"))</x:f>
        <x:v>仄</x:v>
      </x:c>
      <x:c r="I1153" s="6" t="str">
        <x:f>IF(D1145="","",IF(AND(ISNUMBER(SEARCH("平",D1145)),OR(ISNUMBER(SEARCH("上",D1145)),ISNUMBER(SEARCH("去",D1145)),ISNUMBER(SEARCH("入",D1145)))),"Ambiguous",IF(ISNUMBER(SEARCH("平",D1145)),"平","仄")))</x:f>
        <x:v>平</x:v>
      </x:c>
      <x:c r="J1153" s="7" t="str"/>
    </x:row>
    <x:row r="1154">
      <x:c r="A1154" s="5" t="str">
        <x:v>康</x:v>
      </x:c>
      <x:c r="B1154" s="6" t="str">
        <x:v>平</x:v>
      </x:c>
      <x:c r="C1154" s="6" t="str">
        <x:f>IF(B1154="","Needs decision","Ready")</x:f>
        <x:v>Ready</x:v>
      </x:c>
      <x:c r="D1154" s="6" t="str">
        <x:v>平</x:v>
      </x:c>
      <x:c r="E1154" s="6" t="str">
        <x:v>khang (A); thang (A)</x:v>
      </x:c>
      <x:c r="F1154" s="6" t="str">
        <x:v>2</x:v>
      </x:c>
      <x:c r="G1154" s="6" t="str"/>
      <x:c r="H1154" s="6" t="str">
        <x:f>IF(B1154="平","平",IF(B1154="","","仄"))</x:f>
        <x:v>平</x:v>
      </x:c>
      <x:c r="I1154" s="6" t="str">
        <x:f>IF(D1146="","",IF(AND(ISNUMBER(SEARCH("平",D1146)),OR(ISNUMBER(SEARCH("上",D1146)),ISNUMBER(SEARCH("去",D1146)),ISNUMBER(SEARCH("入",D1146)))),"Ambiguous",IF(ISNUMBER(SEARCH("平",D1146)),"平","仄")))</x:f>
        <x:v>仄</x:v>
      </x:c>
      <x:c r="J1154" s="7" t="str"/>
    </x:row>
    <x:row r="1155">
      <x:c r="A1155" s="5" t="str">
        <x:v>庸</x:v>
      </x:c>
      <x:c r="B1155" s="6" t="str">
        <x:v>平</x:v>
      </x:c>
      <x:c r="C1155" s="6" t="str">
        <x:f>IF(B1155="","Needs decision","Ready")</x:f>
        <x:v>Ready</x:v>
      </x:c>
      <x:c r="D1155" s="6" t="str">
        <x:v>平</x:v>
      </x:c>
      <x:c r="E1155" s="6" t="str">
        <x:v>yowng (A)</x:v>
      </x:c>
      <x:c r="F1155" s="6" t="str">
        <x:v>1</x:v>
      </x:c>
      <x:c r="G1155" s="6" t="str"/>
      <x:c r="H1155" s="6" t="str">
        <x:f>IF(B1155="平","平",IF(B1155="","","仄"))</x:f>
        <x:v>平</x:v>
      </x:c>
      <x:c r="I1155" s="6" t="str">
        <x:f>IF(D1147="","",IF(AND(ISNUMBER(SEARCH("平",D1147)),OR(ISNUMBER(SEARCH("上",D1147)),ISNUMBER(SEARCH("去",D1147)),ISNUMBER(SEARCH("入",D1147)))),"Ambiguous",IF(ISNUMBER(SEARCH("平",D1147)),"平","仄")))</x:f>
        <x:v>平</x:v>
      </x:c>
      <x:c r="J1155" s="7" t="str"/>
    </x:row>
    <x:row r="1156">
      <x:c r="A1156" s="5" t="str">
        <x:v>庾</x:v>
      </x:c>
      <x:c r="B1156" s="6" t="str">
        <x:v>上</x:v>
      </x:c>
      <x:c r="C1156" s="6" t="str">
        <x:f>IF(B1156="","Needs decision","Ready")</x:f>
        <x:v>Ready</x:v>
      </x:c>
      <x:c r="D1156" s="6" t="str">
        <x:v>上</x:v>
      </x:c>
      <x:c r="E1156" s="6" t="str">
        <x:v>yuX (B)</x:v>
      </x:c>
      <x:c r="F1156" s="6" t="str">
        <x:v>1</x:v>
      </x:c>
      <x:c r="G1156" s="6" t="str"/>
      <x:c r="H1156" s="6" t="str">
        <x:f>IF(B1156="平","平",IF(B1156="","","仄"))</x:f>
        <x:v>仄</x:v>
      </x:c>
      <x:c r="I1156" s="6" t="str">
        <x:f>IF(D1148="","",IF(AND(ISNUMBER(SEARCH("平",D1148)),OR(ISNUMBER(SEARCH("上",D1148)),ISNUMBER(SEARCH("去",D1148)),ISNUMBER(SEARCH("入",D1148)))),"Ambiguous",IF(ISNUMBER(SEARCH("平",D1148)),"平","仄")))</x:f>
        <x:v>仄</x:v>
      </x:c>
      <x:c r="J1156" s="7" t="str"/>
    </x:row>
    <x:row r="1157">
      <x:c r="A1157" s="5" t="str">
        <x:v>廁</x:v>
      </x:c>
      <x:c r="B1157" s="6" t="str">
        <x:v>去</x:v>
      </x:c>
      <x:c r="C1157" s="6" t="str">
        <x:f>IF(B1157="","Needs decision","Ready")</x:f>
        <x:v>Ready</x:v>
      </x:c>
      <x:c r="D1157" s="6" t="str">
        <x:v>去</x:v>
      </x:c>
      <x:c r="E1157" s="6" t="str">
        <x:v>tsrhiH (C)</x:v>
      </x:c>
      <x:c r="F1157" s="6" t="str">
        <x:v>1</x:v>
      </x:c>
      <x:c r="G1157" s="6" t="str"/>
      <x:c r="H1157" s="6" t="str">
        <x:f>IF(B1157="平","平",IF(B1157="","","仄"))</x:f>
        <x:v>仄</x:v>
      </x:c>
      <x:c r="I1157" s="6" t="str">
        <x:f>IF(D1149="","",IF(AND(ISNUMBER(SEARCH("平",D1149)),OR(ISNUMBER(SEARCH("上",D1149)),ISNUMBER(SEARCH("去",D1149)),ISNUMBER(SEARCH("入",D1149)))),"Ambiguous",IF(ISNUMBER(SEARCH("平",D1149)),"平","仄")))</x:f>
        <x:v>仄</x:v>
      </x:c>
      <x:c r="J1157" s="7" t="str"/>
    </x:row>
    <x:row r="1158">
      <x:c r="A1158" s="5" t="str">
        <x:v>廂</x:v>
      </x:c>
      <x:c r="B1158" s="6" t="str">
        <x:v>平</x:v>
      </x:c>
      <x:c r="C1158" s="6" t="str">
        <x:f>IF(B1158="","Needs decision","Ready")</x:f>
        <x:v>Ready</x:v>
      </x:c>
      <x:c r="D1158" s="6" t="str">
        <x:v>平</x:v>
      </x:c>
      <x:c r="E1158" s="6" t="str">
        <x:v>sjang [sjɑŋ] (平)</x:v>
      </x:c>
      <x:c r="F1158" s="6" t="str">
        <x:v>1</x:v>
      </x:c>
      <x:c r="G1158" s="6" t="str">
        <x:v>Tang 300 gap; frequency 1; provisional from Xun Gong</x:v>
      </x:c>
      <x:c r="H1158" s="6" t="str">
        <x:f>IF(B1158="平","平",IF(B1158="","","仄"))</x:f>
        <x:v>平</x:v>
      </x:c>
      <x:c r="I1158" s="6" t="str">
        <x:f>IF(D1150="","",IF(AND(ISNUMBER(SEARCH("平",D1150)),OR(ISNUMBER(SEARCH("上",D1150)),ISNUMBER(SEARCH("去",D1150)),ISNUMBER(SEARCH("入",D1150)))),"Ambiguous",IF(ISNUMBER(SEARCH("平",D1150)),"平","仄")))</x:f>
        <x:v>仄</x:v>
      </x:c>
      <x:c r="J1158" s="7" t="str">
        <x:v>Xun Gong, Tang 300 gap fill</x:v>
      </x:c>
    </x:row>
    <x:row r="1159">
      <x:c r="A1159" s="5" t="str">
        <x:v>廄</x:v>
      </x:c>
      <x:c r="B1159" s="6" t="str">
        <x:v>去</x:v>
      </x:c>
      <x:c r="C1159" s="6" t="str">
        <x:f>IF(B1159="","Needs decision","Ready")</x:f>
        <x:v>Ready</x:v>
      </x:c>
      <x:c r="D1159" s="6" t="str">
        <x:v>去</x:v>
      </x:c>
      <x:c r="E1159" s="6" t="str">
        <x:v>kjuwH (C)</x:v>
      </x:c>
      <x:c r="F1159" s="6" t="str">
        <x:v>1</x:v>
      </x:c>
      <x:c r="G1159" s="6" t="str"/>
      <x:c r="H1159" s="6" t="str">
        <x:f>IF(B1159="平","平",IF(B1159="","","仄"))</x:f>
        <x:v>仄</x:v>
      </x:c>
      <x:c r="I1159" s="6" t="str">
        <x:f>IF(D1151="","",IF(AND(ISNUMBER(SEARCH("平",D1151)),OR(ISNUMBER(SEARCH("上",D1151)),ISNUMBER(SEARCH("去",D1151)),ISNUMBER(SEARCH("入",D1151)))),"Ambiguous",IF(ISNUMBER(SEARCH("平",D1151)),"平","仄")))</x:f>
        <x:v>平</x:v>
      </x:c>
      <x:c r="J1159" s="7" t="str"/>
    </x:row>
    <x:row r="1160">
      <x:c r="A1160" s="5" t="str">
        <x:v>廈</x:v>
      </x:c>
      <x:c r="B1160" s="6" t="str">
        <x:v>上</x:v>
      </x:c>
      <x:c r="C1160" s="6" t="str">
        <x:f>IF(B1160="","Needs decision","Ready")</x:f>
        <x:v>Ready</x:v>
      </x:c>
      <x:c r="D1160" s="6" t="str">
        <x:v>上</x:v>
      </x:c>
      <x:c r="E1160" s="6" t="str">
        <x:v>haeX (B)</x:v>
      </x:c>
      <x:c r="F1160" s="6" t="str">
        <x:v>1</x:v>
      </x:c>
      <x:c r="G1160" s="6" t="str"/>
      <x:c r="H1160" s="6" t="str">
        <x:f>IF(B1160="平","平",IF(B1160="","","仄"))</x:f>
        <x:v>仄</x:v>
      </x:c>
      <x:c r="I1160" s="6" t="str">
        <x:f>IF(D1152="","",IF(AND(ISNUMBER(SEARCH("平",D1152)),OR(ISNUMBER(SEARCH("上",D1152)),ISNUMBER(SEARCH("去",D1152)),ISNUMBER(SEARCH("入",D1152)))),"Ambiguous",IF(ISNUMBER(SEARCH("平",D1152)),"平","仄")))</x:f>
        <x:v>仄</x:v>
      </x:c>
      <x:c r="J1160" s="7" t="str"/>
    </x:row>
    <x:row r="1161">
      <x:c r="A1161" s="5" t="str">
        <x:v>廉</x:v>
      </x:c>
      <x:c r="B1161" s="6" t="str">
        <x:v>平</x:v>
      </x:c>
      <x:c r="C1161" s="6" t="str">
        <x:f>IF(B1161="","Needs decision","Ready")</x:f>
        <x:v>Ready</x:v>
      </x:c>
      <x:c r="D1161" s="6" t="str">
        <x:v>平</x:v>
      </x:c>
      <x:c r="E1161" s="6" t="str">
        <x:v>ljem (A)</x:v>
      </x:c>
      <x:c r="F1161" s="6" t="str">
        <x:v>1</x:v>
      </x:c>
      <x:c r="G1161" s="6" t="str"/>
      <x:c r="H1161" s="6" t="str">
        <x:f>IF(B1161="平","平",IF(B1161="","","仄"))</x:f>
        <x:v>平</x:v>
      </x:c>
      <x:c r="I1161" s="6" t="str">
        <x:f>IF(D1153="","",IF(AND(ISNUMBER(SEARCH("平",D1153)),OR(ISNUMBER(SEARCH("上",D1153)),ISNUMBER(SEARCH("去",D1153)),ISNUMBER(SEARCH("入",D1153)))),"Ambiguous",IF(ISNUMBER(SEARCH("平",D1153)),"平","仄")))</x:f>
        <x:v>仄</x:v>
      </x:c>
      <x:c r="J1161" s="7" t="str"/>
    </x:row>
    <x:row r="1162">
      <x:c r="A1162" s="5" t="str">
        <x:v>廊</x:v>
      </x:c>
      <x:c r="B1162" s="6" t="str">
        <x:v>平</x:v>
      </x:c>
      <x:c r="C1162" s="6" t="str">
        <x:f>IF(B1162="","Needs decision","Ready")</x:f>
        <x:v>Ready</x:v>
      </x:c>
      <x:c r="D1162" s="6" t="str">
        <x:v>平</x:v>
      </x:c>
      <x:c r="E1162" s="6" t="str">
        <x:v>lang (A)</x:v>
      </x:c>
      <x:c r="F1162" s="6" t="str">
        <x:v>1</x:v>
      </x:c>
      <x:c r="G1162" s="6" t="str"/>
      <x:c r="H1162" s="6" t="str">
        <x:f>IF(B1162="平","平",IF(B1162="","","仄"))</x:f>
        <x:v>平</x:v>
      </x:c>
      <x:c r="I1162" s="6" t="str">
        <x:f>IF(D1154="","",IF(AND(ISNUMBER(SEARCH("平",D1154)),OR(ISNUMBER(SEARCH("上",D1154)),ISNUMBER(SEARCH("去",D1154)),ISNUMBER(SEARCH("入",D1154)))),"Ambiguous",IF(ISNUMBER(SEARCH("平",D1154)),"平","仄")))</x:f>
        <x:v>平</x:v>
      </x:c>
      <x:c r="J1162" s="7" t="str"/>
    </x:row>
    <x:row r="1163">
      <x:c r="A1163" s="5" t="str">
        <x:v>廌</x:v>
      </x:c>
      <x:c r="B1163" s="6" t="str">
        <x:v>上</x:v>
      </x:c>
      <x:c r="C1163" s="6" t="str">
        <x:f>IF(B1163="","Needs decision","Ready")</x:f>
        <x:v>Ready</x:v>
      </x:c>
      <x:c r="D1163" s="6" t="str">
        <x:v>上</x:v>
      </x:c>
      <x:c r="E1163" s="6" t="str">
        <x:v>dreaX (B)</x:v>
      </x:c>
      <x:c r="F1163" s="6" t="str">
        <x:v>1</x:v>
      </x:c>
      <x:c r="G1163" s="6" t="str"/>
      <x:c r="H1163" s="6" t="str">
        <x:f>IF(B1163="平","平",IF(B1163="","","仄"))</x:f>
        <x:v>仄</x:v>
      </x:c>
      <x:c r="I1163" s="6" t="str">
        <x:f>IF(D1155="","",IF(AND(ISNUMBER(SEARCH("平",D1155)),OR(ISNUMBER(SEARCH("上",D1155)),ISNUMBER(SEARCH("去",D1155)),ISNUMBER(SEARCH("入",D1155)))),"Ambiguous",IF(ISNUMBER(SEARCH("平",D1155)),"平","仄")))</x:f>
        <x:v>平</x:v>
      </x:c>
      <x:c r="J1163" s="7" t="str"/>
    </x:row>
    <x:row r="1164">
      <x:c r="A1164" s="5" t="str">
        <x:v>廓</x:v>
      </x:c>
      <x:c r="B1164" s="6" t="str">
        <x:v>入</x:v>
      </x:c>
      <x:c r="C1164" s="6" t="str">
        <x:f>IF(B1164="","Needs decision","Ready")</x:f>
        <x:v>Ready</x:v>
      </x:c>
      <x:c r="D1164" s="6" t="str">
        <x:v>入</x:v>
      </x:c>
      <x:c r="E1164" s="6" t="str">
        <x:v>khwak (D)</x:v>
      </x:c>
      <x:c r="F1164" s="6" t="str">
        <x:v>1</x:v>
      </x:c>
      <x:c r="G1164" s="6" t="str"/>
      <x:c r="H1164" s="6" t="str">
        <x:f>IF(B1164="平","平",IF(B1164="","","仄"))</x:f>
        <x:v>仄</x:v>
      </x:c>
      <x:c r="I1164" s="6" t="str">
        <x:f>IF(D1156="","",IF(AND(ISNUMBER(SEARCH("平",D1156)),OR(ISNUMBER(SEARCH("上",D1156)),ISNUMBER(SEARCH("去",D1156)),ISNUMBER(SEARCH("入",D1156)))),"Ambiguous",IF(ISNUMBER(SEARCH("平",D1156)),"平","仄")))</x:f>
        <x:v>仄</x:v>
      </x:c>
      <x:c r="J1164" s="7" t="str"/>
    </x:row>
    <x:row r="1165">
      <x:c r="A1165" s="5" t="str">
        <x:v>廚</x:v>
      </x:c>
      <x:c r="B1165" s="6" t="str">
        <x:v>平</x:v>
      </x:c>
      <x:c r="C1165" s="6" t="str">
        <x:f>IF(B1165="","Needs decision","Ready")</x:f>
        <x:v>Ready</x:v>
      </x:c>
      <x:c r="D1165" s="6" t="str">
        <x:v>平</x:v>
      </x:c>
      <x:c r="E1165" s="6" t="str">
        <x:v>drju (A)</x:v>
      </x:c>
      <x:c r="F1165" s="6" t="str">
        <x:v>1</x:v>
      </x:c>
      <x:c r="G1165" s="6" t="str"/>
      <x:c r="H1165" s="6" t="str">
        <x:f>IF(B1165="平","平",IF(B1165="","","仄"))</x:f>
        <x:v>平</x:v>
      </x:c>
      <x:c r="I1165" s="6" t="str">
        <x:f>IF(D1157="","",IF(AND(ISNUMBER(SEARCH("平",D1157)),OR(ISNUMBER(SEARCH("上",D1157)),ISNUMBER(SEARCH("去",D1157)),ISNUMBER(SEARCH("入",D1157)))),"Ambiguous",IF(ISNUMBER(SEARCH("平",D1157)),"平","仄")))</x:f>
        <x:v>仄</x:v>
      </x:c>
      <x:c r="J1165" s="7" t="str"/>
    </x:row>
    <x:row r="1166">
      <x:c r="A1166" s="5" t="str">
        <x:v>廛</x:v>
      </x:c>
      <x:c r="B1166" s="6" t="str">
        <x:v>平</x:v>
      </x:c>
      <x:c r="C1166" s="6" t="str">
        <x:f>IF(B1166="","Needs decision","Ready")</x:f>
        <x:v>Ready</x:v>
      </x:c>
      <x:c r="D1166" s="6" t="str">
        <x:v>平</x:v>
      </x:c>
      <x:c r="E1166" s="6" t="str">
        <x:v>drjen (A)</x:v>
      </x:c>
      <x:c r="F1166" s="6" t="str">
        <x:v>1</x:v>
      </x:c>
      <x:c r="G1166" s="6" t="str"/>
      <x:c r="H1166" s="6" t="str">
        <x:f>IF(B1166="平","平",IF(B1166="","","仄"))</x:f>
        <x:v>平</x:v>
      </x:c>
      <x:c r="I1166" s="6" t="str">
        <x:f>IF(D1158="","",IF(AND(ISNUMBER(SEARCH("平",D1158)),OR(ISNUMBER(SEARCH("上",D1158)),ISNUMBER(SEARCH("去",D1158)),ISNUMBER(SEARCH("入",D1158)))),"Ambiguous",IF(ISNUMBER(SEARCH("平",D1158)),"平","仄")))</x:f>
        <x:v>平</x:v>
      </x:c>
      <x:c r="J1166" s="7" t="str"/>
    </x:row>
    <x:row r="1167">
      <x:c r="A1167" s="5" t="str">
        <x:v>廝</x:v>
      </x:c>
      <x:c r="B1167" s="6" t="str">
        <x:v>平</x:v>
      </x:c>
      <x:c r="C1167" s="6" t="str">
        <x:f>IF(B1167="","Needs decision","Ready")</x:f>
        <x:v>Ready</x:v>
      </x:c>
      <x:c r="D1167" s="6" t="str">
        <x:v>平</x:v>
      </x:c>
      <x:c r="E1167" s="6" t="str">
        <x:v>sje [sie] (平)</x:v>
      </x:c>
      <x:c r="F1167" s="6" t="str">
        <x:v>1</x:v>
      </x:c>
      <x:c r="G1167" s="6" t="str">
        <x:v>Tang 300 gap; frequency 1; provisional from Xun Gong</x:v>
      </x:c>
      <x:c r="H1167" s="6" t="str">
        <x:f>IF(B1167="平","平",IF(B1167="","","仄"))</x:f>
        <x:v>平</x:v>
      </x:c>
      <x:c r="I1167" s="6" t="str">
        <x:f>IF(D1159="","",IF(AND(ISNUMBER(SEARCH("平",D1159)),OR(ISNUMBER(SEARCH("上",D1159)),ISNUMBER(SEARCH("去",D1159)),ISNUMBER(SEARCH("入",D1159)))),"Ambiguous",IF(ISNUMBER(SEARCH("平",D1159)),"平","仄")))</x:f>
        <x:v>仄</x:v>
      </x:c>
      <x:c r="J1167" s="7" t="str">
        <x:v>Xun Gong, Tang 300 gap fill</x:v>
      </x:c>
    </x:row>
    <x:row r="1168">
      <x:c r="A1168" s="5" t="str">
        <x:v>廟</x:v>
      </x:c>
      <x:c r="B1168" s="6" t="str">
        <x:v>去</x:v>
      </x:c>
      <x:c r="C1168" s="6" t="str">
        <x:f>IF(B1168="","Needs decision","Ready")</x:f>
        <x:v>Ready</x:v>
      </x:c>
      <x:c r="D1168" s="6" t="str">
        <x:v>去</x:v>
      </x:c>
      <x:c r="E1168" s="6" t="str">
        <x:v>mjewH (C)</x:v>
      </x:c>
      <x:c r="F1168" s="6" t="str">
        <x:v>1</x:v>
      </x:c>
      <x:c r="G1168" s="6" t="str"/>
      <x:c r="H1168" s="6" t="str">
        <x:f>IF(B1168="平","平",IF(B1168="","","仄"))</x:f>
        <x:v>仄</x:v>
      </x:c>
      <x:c r="I1168" s="6" t="str">
        <x:f>IF(D1160="","",IF(AND(ISNUMBER(SEARCH("平",D1160)),OR(ISNUMBER(SEARCH("上",D1160)),ISNUMBER(SEARCH("去",D1160)),ISNUMBER(SEARCH("入",D1160)))),"Ambiguous",IF(ISNUMBER(SEARCH("平",D1160)),"平","仄")))</x:f>
        <x:v>仄</x:v>
      </x:c>
      <x:c r="J1168" s="7" t="str"/>
    </x:row>
    <x:row r="1169">
      <x:c r="A1169" s="5" t="str">
        <x:v>廢</x:v>
      </x:c>
      <x:c r="B1169" s="6" t="str">
        <x:v>去</x:v>
      </x:c>
      <x:c r="C1169" s="6" t="str">
        <x:f>IF(B1169="","Needs decision","Ready")</x:f>
        <x:v>Ready</x:v>
      </x:c>
      <x:c r="D1169" s="6" t="str">
        <x:v>去</x:v>
      </x:c>
      <x:c r="E1169" s="6" t="str">
        <x:v>pjojH (C)</x:v>
      </x:c>
      <x:c r="F1169" s="6" t="str">
        <x:v>1</x:v>
      </x:c>
      <x:c r="G1169" s="6" t="str"/>
      <x:c r="H1169" s="6" t="str">
        <x:f>IF(B1169="平","平",IF(B1169="","","仄"))</x:f>
        <x:v>仄</x:v>
      </x:c>
      <x:c r="I1169" s="6" t="str">
        <x:f>IF(D1161="","",IF(AND(ISNUMBER(SEARCH("平",D1161)),OR(ISNUMBER(SEARCH("上",D1161)),ISNUMBER(SEARCH("去",D1161)),ISNUMBER(SEARCH("入",D1161)))),"Ambiguous",IF(ISNUMBER(SEARCH("平",D1161)),"平","仄")))</x:f>
        <x:v>平</x:v>
      </x:c>
      <x:c r="J1169" s="7" t="str"/>
    </x:row>
    <x:row r="1170">
      <x:c r="A1170" s="5" t="str">
        <x:v>廣</x:v>
      </x:c>
      <x:c r="B1170" s="6" t="str">
        <x:v>上</x:v>
      </x:c>
      <x:c r="C1170" s="6" t="str">
        <x:f>IF(B1170="","Needs decision","Ready")</x:f>
        <x:v>Ready</x:v>
      </x:c>
      <x:c r="D1170" s="6" t="str">
        <x:v>上/去</x:v>
      </x:c>
      <x:c r="E1170" s="6" t="str">
        <x:v>kwangX (B); kwangH (C)</x:v>
      </x:c>
      <x:c r="F1170" s="6" t="str">
        <x:v>2</x:v>
      </x:c>
      <x:c r="G1170" s="6" t="str">
        <x:v>User workbook edit 2026-09-03</x:v>
      </x:c>
      <x:c r="H1170" s="6" t="str">
        <x:f>IF(B1170="平","平",IF(B1170="","","仄"))</x:f>
        <x:v>仄</x:v>
      </x:c>
      <x:c r="I1170" s="6" t="str">
        <x:f>IF(D1162="","",IF(AND(ISNUMBER(SEARCH("平",D1162)),OR(ISNUMBER(SEARCH("上",D1162)),ISNUMBER(SEARCH("去",D1162)),ISNUMBER(SEARCH("入",D1162)))),"Ambiguous",IF(ISNUMBER(SEARCH("平",D1162)),"平","仄")))</x:f>
        <x:v>平</x:v>
      </x:c>
      <x:c r="J1170" s="7" t="str">
        <x:v>manual user correction</x:v>
      </x:c>
    </x:row>
    <x:row r="1171">
      <x:c r="A1171" s="5" t="str">
        <x:v>廩</x:v>
      </x:c>
      <x:c r="B1171" s="6" t="str">
        <x:v>上</x:v>
      </x:c>
      <x:c r="C1171" s="6" t="str">
        <x:f>IF(B1171="","Needs decision","Ready")</x:f>
        <x:v>Ready</x:v>
      </x:c>
      <x:c r="D1171" s="6" t="str">
        <x:v>上</x:v>
      </x:c>
      <x:c r="E1171" s="6" t="str">
        <x:v>limX (B)</x:v>
      </x:c>
      <x:c r="F1171" s="6" t="str">
        <x:v>1</x:v>
      </x:c>
      <x:c r="G1171" s="6" t="str"/>
      <x:c r="H1171" s="6" t="str">
        <x:f>IF(B1171="平","平",IF(B1171="","","仄"))</x:f>
        <x:v>仄</x:v>
      </x:c>
      <x:c r="I1171" s="6" t="str">
        <x:f>IF(D1163="","",IF(AND(ISNUMBER(SEARCH("平",D1163)),OR(ISNUMBER(SEARCH("上",D1163)),ISNUMBER(SEARCH("去",D1163)),ISNUMBER(SEARCH("入",D1163)))),"Ambiguous",IF(ISNUMBER(SEARCH("平",D1163)),"平","仄")))</x:f>
        <x:v>仄</x:v>
      </x:c>
      <x:c r="J1171" s="7" t="str"/>
    </x:row>
    <x:row r="1172">
      <x:c r="A1172" s="5" t="str">
        <x:v>廬</x:v>
      </x:c>
      <x:c r="B1172" s="6" t="str">
        <x:v>平</x:v>
      </x:c>
      <x:c r="C1172" s="6" t="str">
        <x:f>IF(B1172="","Needs decision","Ready")</x:f>
        <x:v>Ready</x:v>
      </x:c>
      <x:c r="D1172" s="6" t="str">
        <x:v>平</x:v>
      </x:c>
      <x:c r="E1172" s="6" t="str">
        <x:v>ljo (A)</x:v>
      </x:c>
      <x:c r="F1172" s="6" t="str">
        <x:v>1</x:v>
      </x:c>
      <x:c r="G1172" s="6" t="str"/>
      <x:c r="H1172" s="6" t="str">
        <x:f>IF(B1172="平","平",IF(B1172="","","仄"))</x:f>
        <x:v>平</x:v>
      </x:c>
      <x:c r="I1172" s="6" t="str">
        <x:f>IF(D1164="","",IF(AND(ISNUMBER(SEARCH("平",D1164)),OR(ISNUMBER(SEARCH("上",D1164)),ISNUMBER(SEARCH("去",D1164)),ISNUMBER(SEARCH("入",D1164)))),"Ambiguous",IF(ISNUMBER(SEARCH("平",D1164)),"平","仄")))</x:f>
        <x:v>仄</x:v>
      </x:c>
      <x:c r="J1172" s="7" t="str"/>
    </x:row>
    <x:row r="1173">
      <x:c r="A1173" s="5" t="str">
        <x:v>廱</x:v>
      </x:c>
      <x:c r="B1173" s="6" t="str">
        <x:v>平</x:v>
      </x:c>
      <x:c r="C1173" s="6" t="str">
        <x:f>IF(B1173="","Needs decision","Ready")</x:f>
        <x:v>Ready</x:v>
      </x:c>
      <x:c r="D1173" s="6" t="str">
        <x:v>平</x:v>
      </x:c>
      <x:c r="E1173" s="6" t="str"/>
      <x:c r="F1173" s="6" t="str"/>
      <x:c r="G1173" s="6" t="str">
        <x:v>Manual user correction/addition</x:v>
      </x:c>
      <x:c r="H1173" s="6" t="str">
        <x:f>IF(B1173="平","平",IF(B1173="","","仄"))</x:f>
        <x:v>平</x:v>
      </x:c>
      <x:c r="I1173" s="6" t="str">
        <x:f>IF(D1165="","",IF(AND(ISNUMBER(SEARCH("平",D1165)),OR(ISNUMBER(SEARCH("上",D1165)),ISNUMBER(SEARCH("去",D1165)),ISNUMBER(SEARCH("入",D1165)))),"Ambiguous",IF(ISNUMBER(SEARCH("平",D1165)),"平","仄")))</x:f>
        <x:v>平</x:v>
      </x:c>
      <x:c r="J1173" s="7" t="str">
        <x:v>manual user correction</x:v>
      </x:c>
    </x:row>
    <x:row r="1174">
      <x:c r="A1174" s="5" t="str">
        <x:v>延</x:v>
      </x:c>
      <x:c r="B1174" s="6" t="str">
        <x:v>平</x:v>
      </x:c>
      <x:c r="C1174" s="6" t="str">
        <x:f>IF(B1174="","Needs decision","Ready")</x:f>
        <x:v>Ready</x:v>
      </x:c>
      <x:c r="D1174" s="6" t="str">
        <x:v>平</x:v>
      </x:c>
      <x:c r="E1174" s="6" t="str">
        <x:v>yen (A)</x:v>
      </x:c>
      <x:c r="F1174" s="6" t="str">
        <x:v>1</x:v>
      </x:c>
      <x:c r="G1174" s="6" t="str"/>
      <x:c r="H1174" s="6" t="str">
        <x:f>IF(B1174="平","平",IF(B1174="","","仄"))</x:f>
        <x:v>平</x:v>
      </x:c>
      <x:c r="I1174" s="6" t="str">
        <x:f>IF(D1166="","",IF(AND(ISNUMBER(SEARCH("平",D1166)),OR(ISNUMBER(SEARCH("上",D1166)),ISNUMBER(SEARCH("去",D1166)),ISNUMBER(SEARCH("入",D1166)))),"Ambiguous",IF(ISNUMBER(SEARCH("平",D1166)),"平","仄")))</x:f>
        <x:v>平</x:v>
      </x:c>
      <x:c r="J1174" s="7" t="str"/>
    </x:row>
    <x:row r="1175">
      <x:c r="A1175" s="5" t="str">
        <x:v>廷</x:v>
      </x:c>
      <x:c r="B1175" s="6" t="str">
        <x:v>平</x:v>
      </x:c>
      <x:c r="C1175" s="6" t="str">
        <x:f>IF(B1175="","Needs decision","Ready")</x:f>
        <x:v>Ready</x:v>
      </x:c>
      <x:c r="D1175" s="6" t="str">
        <x:v>平</x:v>
      </x:c>
      <x:c r="E1175" s="6" t="str">
        <x:v>deng (A)</x:v>
      </x:c>
      <x:c r="F1175" s="6" t="str">
        <x:v>1</x:v>
      </x:c>
      <x:c r="G1175" s="6" t="str"/>
      <x:c r="H1175" s="6" t="str">
        <x:f>IF(B1175="平","平",IF(B1175="","","仄"))</x:f>
        <x:v>平</x:v>
      </x:c>
      <x:c r="I1175" s="6" t="str">
        <x:f>IF(D1167="","",IF(AND(ISNUMBER(SEARCH("平",D1167)),OR(ISNUMBER(SEARCH("上",D1167)),ISNUMBER(SEARCH("去",D1167)),ISNUMBER(SEARCH("入",D1167)))),"Ambiguous",IF(ISNUMBER(SEARCH("平",D1167)),"平","仄")))</x:f>
        <x:v>平</x:v>
      </x:c>
      <x:c r="J1175" s="7" t="str"/>
    </x:row>
    <x:row r="1176">
      <x:c r="A1176" s="5" t="str">
        <x:v>建</x:v>
      </x:c>
      <x:c r="B1176" s="6" t="str">
        <x:v>去</x:v>
      </x:c>
      <x:c r="C1176" s="6" t="str">
        <x:f>IF(B1176="","Needs decision","Ready")</x:f>
        <x:v>Ready</x:v>
      </x:c>
      <x:c r="D1176" s="6" t="str">
        <x:v>去</x:v>
      </x:c>
      <x:c r="E1176" s="6" t="str">
        <x:v>kjonH (C)</x:v>
      </x:c>
      <x:c r="F1176" s="6" t="str">
        <x:v>1</x:v>
      </x:c>
      <x:c r="G1176" s="6" t="str"/>
      <x:c r="H1176" s="6" t="str">
        <x:f>IF(B1176="平","平",IF(B1176="","","仄"))</x:f>
        <x:v>仄</x:v>
      </x:c>
      <x:c r="I1176" s="6" t="str">
        <x:f>IF(D1168="","",IF(AND(ISNUMBER(SEARCH("平",D1168)),OR(ISNUMBER(SEARCH("上",D1168)),ISNUMBER(SEARCH("去",D1168)),ISNUMBER(SEARCH("入",D1168)))),"Ambiguous",IF(ISNUMBER(SEARCH("平",D1168)),"平","仄")))</x:f>
        <x:v>仄</x:v>
      </x:c>
      <x:c r="J1176" s="7" t="str"/>
    </x:row>
    <x:row r="1177">
      <x:c r="A1177" s="5" t="str">
        <x:v>廼</x:v>
      </x:c>
      <x:c r="B1177" s="6" t="str">
        <x:v>上</x:v>
      </x:c>
      <x:c r="C1177" s="6" t="str">
        <x:f>IF(B1177="","Needs decision","Ready")</x:f>
        <x:v>Ready</x:v>
      </x:c>
      <x:c r="D1177" s="6" t="str">
        <x:v>上</x:v>
      </x:c>
      <x:c r="E1177" s="6" t="str">
        <x:v>nojX (B)</x:v>
      </x:c>
      <x:c r="F1177" s="6" t="str">
        <x:v>1</x:v>
      </x:c>
      <x:c r="G1177" s="6" t="str"/>
      <x:c r="H1177" s="6" t="str">
        <x:f>IF(B1177="平","平",IF(B1177="","","仄"))</x:f>
        <x:v>仄</x:v>
      </x:c>
      <x:c r="I1177" s="6" t="str">
        <x:f>IF(D1169="","",IF(AND(ISNUMBER(SEARCH("平",D1169)),OR(ISNUMBER(SEARCH("上",D1169)),ISNUMBER(SEARCH("去",D1169)),ISNUMBER(SEARCH("入",D1169)))),"Ambiguous",IF(ISNUMBER(SEARCH("平",D1169)),"平","仄")))</x:f>
        <x:v>仄</x:v>
      </x:c>
      <x:c r="J1177" s="7" t="str"/>
    </x:row>
    <x:row r="1178">
      <x:c r="A1178" s="5" t="str">
        <x:v>廾</x:v>
      </x:c>
      <x:c r="B1178" s="6" t="str">
        <x:v>上</x:v>
      </x:c>
      <x:c r="C1178" s="6" t="str">
        <x:f>IF(B1178="","Needs decision","Ready")</x:f>
        <x:v>Ready</x:v>
      </x:c>
      <x:c r="D1178" s="6" t="str">
        <x:v>上</x:v>
      </x:c>
      <x:c r="E1178" s="6" t="str">
        <x:v>kjowngX (B)</x:v>
      </x:c>
      <x:c r="F1178" s="6" t="str">
        <x:v>1</x:v>
      </x:c>
      <x:c r="G1178" s="6" t="str"/>
      <x:c r="H1178" s="6" t="str">
        <x:f>IF(B1178="平","平",IF(B1178="","","仄"))</x:f>
        <x:v>仄</x:v>
      </x:c>
      <x:c r="I1178" s="6" t="str">
        <x:f>IF(D1170="","",IF(AND(ISNUMBER(SEARCH("平",D1170)),OR(ISNUMBER(SEARCH("上",D1170)),ISNUMBER(SEARCH("去",D1170)),ISNUMBER(SEARCH("入",D1170)))),"Ambiguous",IF(ISNUMBER(SEARCH("平",D1170)),"平","仄")))</x:f>
        <x:v>仄</x:v>
      </x:c>
      <x:c r="J1178" s="7" t="str"/>
    </x:row>
    <x:row r="1179">
      <x:c r="A1179" s="5" t="str">
        <x:v>弁</x:v>
      </x:c>
      <x:c r="B1179" s="6" t="str">
        <x:v>去</x:v>
      </x:c>
      <x:c r="C1179" s="6" t="str">
        <x:f>IF(B1179="","Needs decision","Ready")</x:f>
        <x:v>Ready</x:v>
      </x:c>
      <x:c r="D1179" s="6" t="str">
        <x:v>去</x:v>
      </x:c>
      <x:c r="E1179" s="6" t="str">
        <x:v>bjenH (C)</x:v>
      </x:c>
      <x:c r="F1179" s="6" t="str">
        <x:v>1</x:v>
      </x:c>
      <x:c r="G1179" s="6" t="str"/>
      <x:c r="H1179" s="6" t="str">
        <x:f>IF(B1179="平","平",IF(B1179="","","仄"))</x:f>
        <x:v>仄</x:v>
      </x:c>
      <x:c r="I1179" s="6" t="str">
        <x:f>IF(D1171="","",IF(AND(ISNUMBER(SEARCH("平",D1171)),OR(ISNUMBER(SEARCH("上",D1171)),ISNUMBER(SEARCH("去",D1171)),ISNUMBER(SEARCH("入",D1171)))),"Ambiguous",IF(ISNUMBER(SEARCH("平",D1171)),"平","仄")))</x:f>
        <x:v>仄</x:v>
      </x:c>
      <x:c r="J1179" s="7" t="str"/>
    </x:row>
    <x:row r="1180">
      <x:c r="A1180" s="5" t="str">
        <x:v>异</x:v>
      </x:c>
      <x:c r="B1180" s="6" t="str">
        <x:v>去</x:v>
      </x:c>
      <x:c r="C1180" s="6" t="str">
        <x:f>IF(B1180="","Needs decision","Ready")</x:f>
        <x:v>Ready</x:v>
      </x:c>
      <x:c r="D1180" s="6" t="str">
        <x:v>去</x:v>
      </x:c>
      <x:c r="E1180" s="6" t="str">
        <x:v>yiH (C)</x:v>
      </x:c>
      <x:c r="F1180" s="6" t="str">
        <x:v>1</x:v>
      </x:c>
      <x:c r="G1180" s="6" t="str"/>
      <x:c r="H1180" s="6" t="str">
        <x:f>IF(B1180="平","平",IF(B1180="","","仄"))</x:f>
        <x:v>仄</x:v>
      </x:c>
      <x:c r="I1180" s="6" t="str">
        <x:f>IF(D1172="","",IF(AND(ISNUMBER(SEARCH("平",D1172)),OR(ISNUMBER(SEARCH("上",D1172)),ISNUMBER(SEARCH("去",D1172)),ISNUMBER(SEARCH("入",D1172)))),"Ambiguous",IF(ISNUMBER(SEARCH("平",D1172)),"平","仄")))</x:f>
        <x:v>平</x:v>
      </x:c>
      <x:c r="J1180" s="7" t="str"/>
    </x:row>
    <x:row r="1181">
      <x:c r="A1181" s="5" t="str">
        <x:v>弃</x:v>
      </x:c>
      <x:c r="B1181" s="6" t="str">
        <x:v>去</x:v>
      </x:c>
      <x:c r="C1181" s="6" t="str">
        <x:f>IF(B1181="","Needs decision","Ready")</x:f>
        <x:v>Ready</x:v>
      </x:c>
      <x:c r="D1181" s="6" t="str">
        <x:v>去</x:v>
      </x:c>
      <x:c r="E1181" s="6" t="str">
        <x:v>khjijH (C)</x:v>
      </x:c>
      <x:c r="F1181" s="6" t="str">
        <x:v>1</x:v>
      </x:c>
      <x:c r="G1181" s="6" t="str"/>
      <x:c r="H1181" s="6" t="str">
        <x:f>IF(B1181="平","平",IF(B1181="","","仄"))</x:f>
        <x:v>仄</x:v>
      </x:c>
      <x:c r="I1181" s="6" t="str">
        <x:f>IF(D1173="","",IF(AND(ISNUMBER(SEARCH("平",D1173)),OR(ISNUMBER(SEARCH("上",D1173)),ISNUMBER(SEARCH("去",D1173)),ISNUMBER(SEARCH("入",D1173)))),"Ambiguous",IF(ISNUMBER(SEARCH("平",D1173)),"平","仄")))</x:f>
        <x:v>平</x:v>
      </x:c>
      <x:c r="J1181" s="7" t="str"/>
    </x:row>
    <x:row r="1182">
      <x:c r="A1182" s="5" t="str">
        <x:v>弄</x:v>
      </x:c>
      <x:c r="B1182" s="6" t="str">
        <x:v>去</x:v>
      </x:c>
      <x:c r="C1182" s="6" t="str">
        <x:f>IF(B1182="","Needs decision","Ready")</x:f>
        <x:v>Ready</x:v>
      </x:c>
      <x:c r="D1182" s="6" t="str">
        <x:v>去</x:v>
      </x:c>
      <x:c r="E1182" s="6" t="str">
        <x:v>luwngH (C)</x:v>
      </x:c>
      <x:c r="F1182" s="6" t="str">
        <x:v>1</x:v>
      </x:c>
      <x:c r="G1182" s="6" t="str"/>
      <x:c r="H1182" s="6" t="str">
        <x:f>IF(B1182="平","平",IF(B1182="","","仄"))</x:f>
        <x:v>仄</x:v>
      </x:c>
      <x:c r="I1182" s="6" t="str">
        <x:f>IF(D1174="","",IF(AND(ISNUMBER(SEARCH("平",D1174)),OR(ISNUMBER(SEARCH("上",D1174)),ISNUMBER(SEARCH("去",D1174)),ISNUMBER(SEARCH("入",D1174)))),"Ambiguous",IF(ISNUMBER(SEARCH("平",D1174)),"平","仄")))</x:f>
        <x:v>平</x:v>
      </x:c>
      <x:c r="J1182" s="7" t="str"/>
    </x:row>
    <x:row r="1183">
      <x:c r="A1183" s="5" t="str">
        <x:v>弈</x:v>
      </x:c>
      <x:c r="B1183" s="6" t="str">
        <x:v>入</x:v>
      </x:c>
      <x:c r="C1183" s="6" t="str">
        <x:f>IF(B1183="","Needs decision","Ready")</x:f>
        <x:v>Ready</x:v>
      </x:c>
      <x:c r="D1183" s="6" t="str">
        <x:v>入</x:v>
      </x:c>
      <x:c r="E1183" s="6" t="str">
        <x:v>yek (D)</x:v>
      </x:c>
      <x:c r="F1183" s="6" t="str">
        <x:v>1</x:v>
      </x:c>
      <x:c r="G1183" s="6" t="str"/>
      <x:c r="H1183" s="6" t="str">
        <x:f>IF(B1183="平","平",IF(B1183="","","仄"))</x:f>
        <x:v>仄</x:v>
      </x:c>
      <x:c r="I1183" s="6" t="str">
        <x:f>IF(D1175="","",IF(AND(ISNUMBER(SEARCH("平",D1175)),OR(ISNUMBER(SEARCH("上",D1175)),ISNUMBER(SEARCH("去",D1175)),ISNUMBER(SEARCH("入",D1175)))),"Ambiguous",IF(ISNUMBER(SEARCH("平",D1175)),"平","仄")))</x:f>
        <x:v>平</x:v>
      </x:c>
      <x:c r="J1183" s="7" t="str"/>
    </x:row>
    <x:row r="1184">
      <x:c r="A1184" s="5" t="str">
        <x:v>弋</x:v>
      </x:c>
      <x:c r="B1184" s="6" t="str">
        <x:v>入</x:v>
      </x:c>
      <x:c r="C1184" s="6" t="str">
        <x:f>IF(B1184="","Needs decision","Ready")</x:f>
        <x:v>Ready</x:v>
      </x:c>
      <x:c r="D1184" s="6" t="str">
        <x:v>入</x:v>
      </x:c>
      <x:c r="E1184" s="6" t="str">
        <x:v>yik (D)</x:v>
      </x:c>
      <x:c r="F1184" s="6" t="str">
        <x:v>1</x:v>
      </x:c>
      <x:c r="G1184" s="6" t="str"/>
      <x:c r="H1184" s="6" t="str">
        <x:f>IF(B1184="平","平",IF(B1184="","","仄"))</x:f>
        <x:v>仄</x:v>
      </x:c>
      <x:c r="I1184" s="6" t="str">
        <x:f>IF(D1176="","",IF(AND(ISNUMBER(SEARCH("平",D1176)),OR(ISNUMBER(SEARCH("上",D1176)),ISNUMBER(SEARCH("去",D1176)),ISNUMBER(SEARCH("入",D1176)))),"Ambiguous",IF(ISNUMBER(SEARCH("平",D1176)),"平","仄")))</x:f>
        <x:v>仄</x:v>
      </x:c>
      <x:c r="J1184" s="7" t="str"/>
    </x:row>
    <x:row r="1185">
      <x:c r="A1185" s="5" t="str">
        <x:v>式</x:v>
      </x:c>
      <x:c r="B1185" s="6" t="str">
        <x:v>入</x:v>
      </x:c>
      <x:c r="C1185" s="6" t="str">
        <x:f>IF(B1185="","Needs decision","Ready")</x:f>
        <x:v>Ready</x:v>
      </x:c>
      <x:c r="D1185" s="6" t="str">
        <x:v>入</x:v>
      </x:c>
      <x:c r="E1185" s="6" t="str">
        <x:v>syik (D)</x:v>
      </x:c>
      <x:c r="F1185" s="6" t="str">
        <x:v>1</x:v>
      </x:c>
      <x:c r="G1185" s="6" t="str"/>
      <x:c r="H1185" s="6" t="str">
        <x:f>IF(B1185="平","平",IF(B1185="","","仄"))</x:f>
        <x:v>仄</x:v>
      </x:c>
      <x:c r="I1185" s="6" t="str">
        <x:f>IF(D1177="","",IF(AND(ISNUMBER(SEARCH("平",D1177)),OR(ISNUMBER(SEARCH("上",D1177)),ISNUMBER(SEARCH("去",D1177)),ISNUMBER(SEARCH("入",D1177)))),"Ambiguous",IF(ISNUMBER(SEARCH("平",D1177)),"平","仄")))</x:f>
        <x:v>仄</x:v>
      </x:c>
      <x:c r="J1185" s="7" t="str"/>
    </x:row>
    <x:row r="1186">
      <x:c r="A1186" s="5" t="str">
        <x:v>弒</x:v>
      </x:c>
      <x:c r="B1186" s="6" t="str">
        <x:v>去</x:v>
      </x:c>
      <x:c r="C1186" s="6" t="str">
        <x:f>IF(B1186="","Needs decision","Ready")</x:f>
        <x:v>Ready</x:v>
      </x:c>
      <x:c r="D1186" s="6" t="str">
        <x:v>去</x:v>
      </x:c>
      <x:c r="E1186" s="6" t="str">
        <x:v>syiH (C)</x:v>
      </x:c>
      <x:c r="F1186" s="6" t="str">
        <x:v>1</x:v>
      </x:c>
      <x:c r="G1186" s="6" t="str"/>
      <x:c r="H1186" s="6" t="str">
        <x:f>IF(B1186="平","平",IF(B1186="","","仄"))</x:f>
        <x:v>仄</x:v>
      </x:c>
      <x:c r="I1186" s="6" t="str">
        <x:f>IF(D1178="","",IF(AND(ISNUMBER(SEARCH("平",D1178)),OR(ISNUMBER(SEARCH("上",D1178)),ISNUMBER(SEARCH("去",D1178)),ISNUMBER(SEARCH("入",D1178)))),"Ambiguous",IF(ISNUMBER(SEARCH("平",D1178)),"平","仄")))</x:f>
        <x:v>仄</x:v>
      </x:c>
      <x:c r="J1186" s="7" t="str"/>
    </x:row>
    <x:row r="1187">
      <x:c r="A1187" s="5" t="str">
        <x:v>弓</x:v>
      </x:c>
      <x:c r="B1187" s="6" t="str">
        <x:v>平</x:v>
      </x:c>
      <x:c r="C1187" s="6" t="str">
        <x:f>IF(B1187="","Needs decision","Ready")</x:f>
        <x:v>Ready</x:v>
      </x:c>
      <x:c r="D1187" s="6" t="str">
        <x:v>平</x:v>
      </x:c>
      <x:c r="E1187" s="6" t="str">
        <x:v>kjuwng (A)</x:v>
      </x:c>
      <x:c r="F1187" s="6" t="str">
        <x:v>1</x:v>
      </x:c>
      <x:c r="G1187" s="6" t="str"/>
      <x:c r="H1187" s="6" t="str">
        <x:f>IF(B1187="平","平",IF(B1187="","","仄"))</x:f>
        <x:v>平</x:v>
      </x:c>
      <x:c r="I1187" s="6" t="str">
        <x:f>IF(D1179="","",IF(AND(ISNUMBER(SEARCH("平",D1179)),OR(ISNUMBER(SEARCH("上",D1179)),ISNUMBER(SEARCH("去",D1179)),ISNUMBER(SEARCH("入",D1179)))),"Ambiguous",IF(ISNUMBER(SEARCH("平",D1179)),"平","仄")))</x:f>
        <x:v>仄</x:v>
      </x:c>
      <x:c r="J1187" s="7" t="str"/>
    </x:row>
    <x:row r="1188">
      <x:c r="A1188" s="5" t="str">
        <x:v>弔</x:v>
      </x:c>
      <x:c r="B1188" s="6" t="str">
        <x:v>去</x:v>
      </x:c>
      <x:c r="C1188" s="6" t="str">
        <x:f>IF(B1188="","Needs decision","Ready")</x:f>
        <x:v>Ready</x:v>
      </x:c>
      <x:c r="D1188" s="6" t="str">
        <x:v>入/去</x:v>
      </x:c>
      <x:c r="E1188" s="6" t="str">
        <x:v>tek (D); tewH (C)</x:v>
      </x:c>
      <x:c r="F1188" s="6" t="str">
        <x:v>2</x:v>
      </x:c>
      <x:c r="G1188" s="6" t="str"/>
      <x:c r="H1188" s="6" t="str">
        <x:f>IF(B1188="平","平",IF(B1188="","","仄"))</x:f>
        <x:v>仄</x:v>
      </x:c>
      <x:c r="I1188" s="6" t="str">
        <x:f>IF(D1180="","",IF(AND(ISNUMBER(SEARCH("平",D1180)),OR(ISNUMBER(SEARCH("上",D1180)),ISNUMBER(SEARCH("去",D1180)),ISNUMBER(SEARCH("入",D1180)))),"Ambiguous",IF(ISNUMBER(SEARCH("平",D1180)),"平","仄")))</x:f>
        <x:v>仄</x:v>
      </x:c>
      <x:c r="J1188" s="7" t="str"/>
    </x:row>
    <x:row r="1189">
      <x:c r="A1189" s="5" t="str">
        <x:v>引</x:v>
      </x:c>
      <x:c r="B1189" s="6" t="str">
        <x:v>上</x:v>
      </x:c>
      <x:c r="C1189" s="6" t="str">
        <x:f>IF(B1189="","Needs decision","Ready")</x:f>
        <x:v>Ready</x:v>
      </x:c>
      <x:c r="D1189" s="6" t="str">
        <x:v>上/去</x:v>
      </x:c>
      <x:c r="E1189" s="6" t="str">
        <x:v>yinX (B); yinH (C)</x:v>
      </x:c>
      <x:c r="F1189" s="6" t="str">
        <x:v>2</x:v>
      </x:c>
      <x:c r="G1189" s="6" t="str"/>
      <x:c r="H1189" s="6" t="str">
        <x:f>IF(B1189="平","平",IF(B1189="","","仄"))</x:f>
        <x:v>仄</x:v>
      </x:c>
      <x:c r="I1189" s="6" t="str">
        <x:f>IF(D1181="","",IF(AND(ISNUMBER(SEARCH("平",D1181)),OR(ISNUMBER(SEARCH("上",D1181)),ISNUMBER(SEARCH("去",D1181)),ISNUMBER(SEARCH("入",D1181)))),"Ambiguous",IF(ISNUMBER(SEARCH("平",D1181)),"平","仄")))</x:f>
        <x:v>仄</x:v>
      </x:c>
      <x:c r="J1189" s="7" t="str"/>
    </x:row>
    <x:row r="1190">
      <x:c r="A1190" s="5" t="str">
        <x:v>弗</x:v>
      </x:c>
      <x:c r="B1190" s="6" t="str">
        <x:v>入</x:v>
      </x:c>
      <x:c r="C1190" s="6" t="str">
        <x:f>IF(B1190="","Needs decision","Ready")</x:f>
        <x:v>Ready</x:v>
      </x:c>
      <x:c r="D1190" s="6" t="str">
        <x:v>入</x:v>
      </x:c>
      <x:c r="E1190" s="6" t="str">
        <x:v>pjut (D)</x:v>
      </x:c>
      <x:c r="F1190" s="6" t="str">
        <x:v>1</x:v>
      </x:c>
      <x:c r="G1190" s="6" t="str"/>
      <x:c r="H1190" s="6" t="str">
        <x:f>IF(B1190="平","平",IF(B1190="","","仄"))</x:f>
        <x:v>仄</x:v>
      </x:c>
      <x:c r="I1190" s="6" t="str">
        <x:f>IF(D1182="","",IF(AND(ISNUMBER(SEARCH("平",D1182)),OR(ISNUMBER(SEARCH("上",D1182)),ISNUMBER(SEARCH("去",D1182)),ISNUMBER(SEARCH("入",D1182)))),"Ambiguous",IF(ISNUMBER(SEARCH("平",D1182)),"平","仄")))</x:f>
        <x:v>仄</x:v>
      </x:c>
      <x:c r="J1190" s="7" t="str"/>
    </x:row>
    <x:row r="1191">
      <x:c r="A1191" s="5" t="str">
        <x:v>弘</x:v>
      </x:c>
      <x:c r="B1191" s="6" t="str">
        <x:v>平</x:v>
      </x:c>
      <x:c r="C1191" s="6" t="str">
        <x:f>IF(B1191="","Needs decision","Ready")</x:f>
        <x:v>Ready</x:v>
      </x:c>
      <x:c r="D1191" s="6" t="str">
        <x:v>平</x:v>
      </x:c>
      <x:c r="E1191" s="6" t="str">
        <x:v>hwong (A)</x:v>
      </x:c>
      <x:c r="F1191" s="6" t="str">
        <x:v>1</x:v>
      </x:c>
      <x:c r="G1191" s="6" t="str"/>
      <x:c r="H1191" s="6" t="str">
        <x:f>IF(B1191="平","平",IF(B1191="","","仄"))</x:f>
        <x:v>平</x:v>
      </x:c>
      <x:c r="I1191" s="6" t="str">
        <x:f>IF(D1183="","",IF(AND(ISNUMBER(SEARCH("平",D1183)),OR(ISNUMBER(SEARCH("上",D1183)),ISNUMBER(SEARCH("去",D1183)),ISNUMBER(SEARCH("入",D1183)))),"Ambiguous",IF(ISNUMBER(SEARCH("平",D1183)),"平","仄")))</x:f>
        <x:v>仄</x:v>
      </x:c>
      <x:c r="J1191" s="7" t="str"/>
    </x:row>
    <x:row r="1192">
      <x:c r="A1192" s="5" t="str">
        <x:v>弛</x:v>
      </x:c>
      <x:c r="B1192" s="6" t="str">
        <x:v>上</x:v>
      </x:c>
      <x:c r="C1192" s="6" t="str">
        <x:f>IF(B1192="","Needs decision","Ready")</x:f>
        <x:v>Ready</x:v>
      </x:c>
      <x:c r="D1192" s="6" t="str">
        <x:v>上</x:v>
      </x:c>
      <x:c r="E1192" s="6" t="str">
        <x:v>syeX (B)</x:v>
      </x:c>
      <x:c r="F1192" s="6" t="str">
        <x:v>1</x:v>
      </x:c>
      <x:c r="G1192" s="6" t="str"/>
      <x:c r="H1192" s="6" t="str">
        <x:f>IF(B1192="平","平",IF(B1192="","","仄"))</x:f>
        <x:v>仄</x:v>
      </x:c>
      <x:c r="I1192" s="6" t="str">
        <x:f>IF(D1184="","",IF(AND(ISNUMBER(SEARCH("平",D1184)),OR(ISNUMBER(SEARCH("上",D1184)),ISNUMBER(SEARCH("去",D1184)),ISNUMBER(SEARCH("入",D1184)))),"Ambiguous",IF(ISNUMBER(SEARCH("平",D1184)),"平","仄")))</x:f>
        <x:v>仄</x:v>
      </x:c>
      <x:c r="J1192" s="7" t="str"/>
    </x:row>
    <x:row r="1193">
      <x:c r="A1193" s="5" t="str">
        <x:v>弟</x:v>
      </x:c>
      <x:c r="B1193" s="6" t="str">
        <x:v>上</x:v>
      </x:c>
      <x:c r="C1193" s="6" t="str">
        <x:f>IF(B1193="","Needs decision","Ready")</x:f>
        <x:v>Ready</x:v>
      </x:c>
      <x:c r="D1193" s="6" t="str">
        <x:v>上</x:v>
      </x:c>
      <x:c r="E1193" s="6" t="str">
        <x:v>dejX (B)</x:v>
      </x:c>
      <x:c r="F1193" s="6" t="str">
        <x:v>1</x:v>
      </x:c>
      <x:c r="G1193" s="6" t="str"/>
      <x:c r="H1193" s="6" t="str">
        <x:f>IF(B1193="平","平",IF(B1193="","","仄"))</x:f>
        <x:v>仄</x:v>
      </x:c>
      <x:c r="I1193" s="6" t="str">
        <x:f>IF(D1185="","",IF(AND(ISNUMBER(SEARCH("平",D1185)),OR(ISNUMBER(SEARCH("上",D1185)),ISNUMBER(SEARCH("去",D1185)),ISNUMBER(SEARCH("入",D1185)))),"Ambiguous",IF(ISNUMBER(SEARCH("平",D1185)),"平","仄")))</x:f>
        <x:v>仄</x:v>
      </x:c>
      <x:c r="J1193" s="7" t="str"/>
    </x:row>
    <x:row r="1194">
      <x:c r="A1194" s="5" t="str">
        <x:v>弦</x:v>
      </x:c>
      <x:c r="B1194" s="6" t="str">
        <x:v>平</x:v>
      </x:c>
      <x:c r="C1194" s="6" t="str">
        <x:f>IF(B1194="","Needs decision","Ready")</x:f>
        <x:v>Ready</x:v>
      </x:c>
      <x:c r="D1194" s="6" t="str">
        <x:v>平</x:v>
      </x:c>
      <x:c r="E1194" s="6" t="str">
        <x:v>hen (A)</x:v>
      </x:c>
      <x:c r="F1194" s="6" t="str">
        <x:v>1</x:v>
      </x:c>
      <x:c r="G1194" s="6" t="str"/>
      <x:c r="H1194" s="6" t="str">
        <x:f>IF(B1194="平","平",IF(B1194="","","仄"))</x:f>
        <x:v>平</x:v>
      </x:c>
      <x:c r="I1194" s="6" t="str">
        <x:f>IF(D1186="","",IF(AND(ISNUMBER(SEARCH("平",D1186)),OR(ISNUMBER(SEARCH("上",D1186)),ISNUMBER(SEARCH("去",D1186)),ISNUMBER(SEARCH("入",D1186)))),"Ambiguous",IF(ISNUMBER(SEARCH("平",D1186)),"平","仄")))</x:f>
        <x:v>仄</x:v>
      </x:c>
      <x:c r="J1194" s="7" t="str"/>
    </x:row>
    <x:row r="1195">
      <x:c r="A1195" s="5" t="str">
        <x:v>弧</x:v>
      </x:c>
      <x:c r="B1195" s="6" t="str">
        <x:v>平</x:v>
      </x:c>
      <x:c r="C1195" s="6" t="str">
        <x:f>IF(B1195="","Needs decision","Ready")</x:f>
        <x:v>Ready</x:v>
      </x:c>
      <x:c r="D1195" s="6" t="str">
        <x:v>平</x:v>
      </x:c>
      <x:c r="E1195" s="6" t="str">
        <x:v>hu (A)</x:v>
      </x:c>
      <x:c r="F1195" s="6" t="str">
        <x:v>1</x:v>
      </x:c>
      <x:c r="G1195" s="6" t="str"/>
      <x:c r="H1195" s="6" t="str">
        <x:f>IF(B1195="平","平",IF(B1195="","","仄"))</x:f>
        <x:v>平</x:v>
      </x:c>
      <x:c r="I1195" s="6" t="str">
        <x:f>IF(D1187="","",IF(AND(ISNUMBER(SEARCH("平",D1187)),OR(ISNUMBER(SEARCH("上",D1187)),ISNUMBER(SEARCH("去",D1187)),ISNUMBER(SEARCH("入",D1187)))),"Ambiguous",IF(ISNUMBER(SEARCH("平",D1187)),"平","仄")))</x:f>
        <x:v>平</x:v>
      </x:c>
      <x:c r="J1195" s="7" t="str"/>
    </x:row>
    <x:row r="1196">
      <x:c r="A1196" s="5" t="str">
        <x:v>弩</x:v>
      </x:c>
      <x:c r="B1196" s="6" t="str">
        <x:v>上</x:v>
      </x:c>
      <x:c r="C1196" s="6" t="str">
        <x:f>IF(B1196="","Needs decision","Ready")</x:f>
        <x:v>Ready</x:v>
      </x:c>
      <x:c r="D1196" s="6" t="str">
        <x:v>上</x:v>
      </x:c>
      <x:c r="E1196" s="6" t="str">
        <x:v>nuX (B)</x:v>
      </x:c>
      <x:c r="F1196" s="6" t="str">
        <x:v>1</x:v>
      </x:c>
      <x:c r="G1196" s="6" t="str"/>
      <x:c r="H1196" s="6" t="str">
        <x:f>IF(B1196="平","平",IF(B1196="","","仄"))</x:f>
        <x:v>仄</x:v>
      </x:c>
      <x:c r="I1196" s="6" t="str">
        <x:f>IF(D1188="","",IF(AND(ISNUMBER(SEARCH("平",D1188)),OR(ISNUMBER(SEARCH("上",D1188)),ISNUMBER(SEARCH("去",D1188)),ISNUMBER(SEARCH("入",D1188)))),"Ambiguous",IF(ISNUMBER(SEARCH("平",D1188)),"平","仄")))</x:f>
        <x:v>仄</x:v>
      </x:c>
      <x:c r="J1196" s="7" t="str"/>
    </x:row>
    <x:row r="1197">
      <x:c r="A1197" s="5" t="str">
        <x:v>弭</x:v>
      </x:c>
      <x:c r="B1197" s="6" t="str">
        <x:v>上</x:v>
      </x:c>
      <x:c r="C1197" s="6" t="str">
        <x:f>IF(B1197="","Needs decision","Ready")</x:f>
        <x:v>Ready</x:v>
      </x:c>
      <x:c r="D1197" s="6" t="str">
        <x:v>上</x:v>
      </x:c>
      <x:c r="E1197" s="6" t="str">
        <x:v>mjieX (B)</x:v>
      </x:c>
      <x:c r="F1197" s="6" t="str">
        <x:v>1</x:v>
      </x:c>
      <x:c r="G1197" s="6" t="str"/>
      <x:c r="H1197" s="6" t="str">
        <x:f>IF(B1197="平","平",IF(B1197="","","仄"))</x:f>
        <x:v>仄</x:v>
      </x:c>
      <x:c r="I1197" s="6" t="str">
        <x:f>IF(D1189="","",IF(AND(ISNUMBER(SEARCH("平",D1189)),OR(ISNUMBER(SEARCH("上",D1189)),ISNUMBER(SEARCH("去",D1189)),ISNUMBER(SEARCH("入",D1189)))),"Ambiguous",IF(ISNUMBER(SEARCH("平",D1189)),"平","仄")))</x:f>
        <x:v>仄</x:v>
      </x:c>
      <x:c r="J1197" s="7" t="str"/>
    </x:row>
    <x:row r="1198">
      <x:c r="A1198" s="5" t="str">
        <x:v>弱</x:v>
      </x:c>
      <x:c r="B1198" s="6" t="str">
        <x:v>入</x:v>
      </x:c>
      <x:c r="C1198" s="6" t="str">
        <x:f>IF(B1198="","Needs decision","Ready")</x:f>
        <x:v>Ready</x:v>
      </x:c>
      <x:c r="D1198" s="6" t="str">
        <x:v>入</x:v>
      </x:c>
      <x:c r="E1198" s="6" t="str">
        <x:v>nyak (D)</x:v>
      </x:c>
      <x:c r="F1198" s="6" t="str">
        <x:v>1</x:v>
      </x:c>
      <x:c r="G1198" s="6" t="str"/>
      <x:c r="H1198" s="6" t="str">
        <x:f>IF(B1198="平","平",IF(B1198="","","仄"))</x:f>
        <x:v>仄</x:v>
      </x:c>
      <x:c r="I1198" s="6" t="str">
        <x:f>IF(D1190="","",IF(AND(ISNUMBER(SEARCH("平",D1190)),OR(ISNUMBER(SEARCH("上",D1190)),ISNUMBER(SEARCH("去",D1190)),ISNUMBER(SEARCH("入",D1190)))),"Ambiguous",IF(ISNUMBER(SEARCH("平",D1190)),"平","仄")))</x:f>
        <x:v>仄</x:v>
      </x:c>
      <x:c r="J1198" s="7" t="str"/>
    </x:row>
    <x:row r="1199">
      <x:c r="A1199" s="5" t="str">
        <x:v>張</x:v>
      </x:c>
      <x:c r="B1199" s="6" t="str">
        <x:v>平</x:v>
      </x:c>
      <x:c r="C1199" s="6" t="str">
        <x:f>IF(B1199="","Needs decision","Ready")</x:f>
        <x:v>Ready</x:v>
      </x:c>
      <x:c r="D1199" s="6" t="str">
        <x:v>平</x:v>
      </x:c>
      <x:c r="E1199" s="6" t="str">
        <x:v>trjang (A)</x:v>
      </x:c>
      <x:c r="F1199" s="6" t="str">
        <x:v>1</x:v>
      </x:c>
      <x:c r="G1199" s="6" t="str"/>
      <x:c r="H1199" s="6" t="str">
        <x:f>IF(B1199="平","平",IF(B1199="","","仄"))</x:f>
        <x:v>平</x:v>
      </x:c>
      <x:c r="I1199" s="6" t="str">
        <x:f>IF(D1191="","",IF(AND(ISNUMBER(SEARCH("平",D1191)),OR(ISNUMBER(SEARCH("上",D1191)),ISNUMBER(SEARCH("去",D1191)),ISNUMBER(SEARCH("入",D1191)))),"Ambiguous",IF(ISNUMBER(SEARCH("平",D1191)),"平","仄")))</x:f>
        <x:v>平</x:v>
      </x:c>
      <x:c r="J1199" s="7" t="str"/>
    </x:row>
    <x:row r="1200">
      <x:c r="A1200" s="5" t="str">
        <x:v>強</x:v>
      </x:c>
      <x:c r="B1200" s="6" t="str">
        <x:v>平</x:v>
      </x:c>
      <x:c r="C1200" s="6" t="str">
        <x:f>IF(B1200="","Needs decision","Ready")</x:f>
        <x:v>Ready</x:v>
      </x:c>
      <x:c r="D1200" s="6" t="str">
        <x:v>平</x:v>
      </x:c>
      <x:c r="E1200" s="6" t="str">
        <x:v>gjang [羣開三C陽平] ɡɨ̯ɑŋ</x:v>
      </x:c>
      <x:c r="F1200" s="6" t="str">
        <x:v>1</x:v>
      </x:c>
      <x:c r="G1200" s="6" t="str">
        <x:v>Targeted preliminary fill from Xun Gong; review if uncertain</x:v>
      </x:c>
      <x:c r="H1200" s="6" t="str">
        <x:f>IF(B1200="平","平",IF(B1200="","","仄"))</x:f>
        <x:v>平</x:v>
      </x:c>
      <x:c r="I1200" s="6" t="str">
        <x:f>IF(D1192="","",IF(AND(ISNUMBER(SEARCH("平",D1192)),OR(ISNUMBER(SEARCH("上",D1192)),ISNUMBER(SEARCH("去",D1192)),ISNUMBER(SEARCH("入",D1192)))),"Ambiguous",IF(ISNUMBER(SEARCH("平",D1192)),"平","仄")))</x:f>
        <x:v>仄</x:v>
      </x:c>
      <x:c r="J1200" s="7" t="str">
        <x:v>Xun Gong character-readings.csv</x:v>
      </x:c>
    </x:row>
    <x:row r="1201">
      <x:c r="A1201" s="5" t="str">
        <x:v>强</x:v>
      </x:c>
      <x:c r="B1201" s="6" t="str"/>
      <x:c r="C1201" s="6" t="str">
        <x:f>IF(B1201="","Needs decision","Ready")</x:f>
        <x:v>Needs decision</x:v>
      </x:c>
      <x:c r="D1201" s="6" t="str">
        <x:v>平/上</x:v>
      </x:c>
      <x:c r="E1201" s="6" t="str">
        <x:v>gjang (A); gjangX (B)</x:v>
      </x:c>
      <x:c r="F1201" s="6" t="str">
        <x:v>2</x:v>
      </x:c>
      <x:c r="G1201" s="6" t="str"/>
      <x:c r="H1201" s="6" t="str">
        <x:f>IF(B1201="平","平",IF(B1201="","","仄"))</x:f>
      </x:c>
      <x:c r="I1201" s="6" t="str">
        <x:f>IF(D1193="","",IF(AND(ISNUMBER(SEARCH("平",D1193)),OR(ISNUMBER(SEARCH("上",D1193)),ISNUMBER(SEARCH("去",D1193)),ISNUMBER(SEARCH("入",D1193)))),"Ambiguous",IF(ISNUMBER(SEARCH("平",D1193)),"平","仄")))</x:f>
        <x:v>仄</x:v>
      </x:c>
      <x:c r="J1201" s="7" t="str"/>
    </x:row>
    <x:row r="1202">
      <x:c r="A1202" s="5" t="str">
        <x:v>彀</x:v>
      </x:c>
      <x:c r="B1202" s="6" t="str">
        <x:v>去</x:v>
      </x:c>
      <x:c r="C1202" s="6" t="str">
        <x:f>IF(B1202="","Needs decision","Ready")</x:f>
        <x:v>Ready</x:v>
      </x:c>
      <x:c r="D1202" s="6" t="str">
        <x:v>去</x:v>
      </x:c>
      <x:c r="E1202" s="6" t="str">
        <x:v>kuwH (C)</x:v>
      </x:c>
      <x:c r="F1202" s="6" t="str">
        <x:v>1</x:v>
      </x:c>
      <x:c r="G1202" s="6" t="str"/>
      <x:c r="H1202" s="6" t="str">
        <x:f>IF(B1202="平","平",IF(B1202="","","仄"))</x:f>
        <x:v>仄</x:v>
      </x:c>
      <x:c r="I1202" s="6" t="str">
        <x:f>IF(D1194="","",IF(AND(ISNUMBER(SEARCH("平",D1194)),OR(ISNUMBER(SEARCH("上",D1194)),ISNUMBER(SEARCH("去",D1194)),ISNUMBER(SEARCH("入",D1194)))),"Ambiguous",IF(ISNUMBER(SEARCH("平",D1194)),"平","仄")))</x:f>
        <x:v>平</x:v>
      </x:c>
      <x:c r="J1202" s="7" t="str"/>
    </x:row>
    <x:row r="1203">
      <x:c r="A1203" s="5" t="str">
        <x:v>彃</x:v>
      </x:c>
      <x:c r="B1203" s="6" t="str">
        <x:v>入</x:v>
      </x:c>
      <x:c r="C1203" s="6" t="str">
        <x:f>IF(B1203="","Needs decision","Ready")</x:f>
        <x:v>Ready</x:v>
      </x:c>
      <x:c r="D1203" s="6" t="str">
        <x:v>入</x:v>
      </x:c>
      <x:c r="E1203" s="6" t="str">
        <x:v>pjit (D)</x:v>
      </x:c>
      <x:c r="F1203" s="6" t="str">
        <x:v>1</x:v>
      </x:c>
      <x:c r="G1203" s="6" t="str"/>
      <x:c r="H1203" s="6" t="str">
        <x:f>IF(B1203="平","平",IF(B1203="","","仄"))</x:f>
        <x:v>仄</x:v>
      </x:c>
      <x:c r="I1203" s="6" t="str">
        <x:f>IF(D1195="","",IF(AND(ISNUMBER(SEARCH("平",D1195)),OR(ISNUMBER(SEARCH("上",D1195)),ISNUMBER(SEARCH("去",D1195)),ISNUMBER(SEARCH("入",D1195)))),"Ambiguous",IF(ISNUMBER(SEARCH("平",D1195)),"平","仄")))</x:f>
        <x:v>平</x:v>
      </x:c>
      <x:c r="J1203" s="7" t="str"/>
    </x:row>
    <x:row r="1204">
      <x:c r="A1204" s="5" t="str">
        <x:v>彈</x:v>
      </x:c>
      <x:c r="B1204" s="6" t="str"/>
      <x:c r="C1204" s="6" t="str">
        <x:f>IF(B1204="","Needs decision","Ready")</x:f>
        <x:v>Needs decision</x:v>
      </x:c>
      <x:c r="D1204" s="6" t="str">
        <x:v>去/平</x:v>
      </x:c>
      <x:c r="E1204" s="6" t="str">
        <x:v>danH (C); dan (A)</x:v>
      </x:c>
      <x:c r="F1204" s="6" t="str">
        <x:v>2</x:v>
      </x:c>
      <x:c r="G1204" s="6" t="str"/>
      <x:c r="H1204" s="6" t="str">
        <x:f>IF(B1204="平","平",IF(B1204="","","仄"))</x:f>
      </x:c>
      <x:c r="I1204" s="6" t="str">
        <x:f>IF(D1196="","",IF(AND(ISNUMBER(SEARCH("平",D1196)),OR(ISNUMBER(SEARCH("上",D1196)),ISNUMBER(SEARCH("去",D1196)),ISNUMBER(SEARCH("入",D1196)))),"Ambiguous",IF(ISNUMBER(SEARCH("平",D1196)),"平","仄")))</x:f>
        <x:v>仄</x:v>
      </x:c>
      <x:c r="J1204" s="7" t="str"/>
    </x:row>
    <x:row r="1205">
      <x:c r="A1205" s="5" t="str">
        <x:v>彊</x:v>
      </x:c>
      <x:c r="B1205" s="6" t="str">
        <x:v>平</x:v>
      </x:c>
      <x:c r="C1205" s="6" t="str">
        <x:f>IF(B1205="","Needs decision","Ready")</x:f>
        <x:v>Ready</x:v>
      </x:c>
      <x:c r="D1205" s="6" t="str">
        <x:v>平</x:v>
      </x:c>
      <x:c r="E1205" s="6" t="str">
        <x:v>gjang (A)</x:v>
      </x:c>
      <x:c r="F1205" s="6" t="str">
        <x:v>1</x:v>
      </x:c>
      <x:c r="G1205" s="6" t="str"/>
      <x:c r="H1205" s="6" t="str">
        <x:f>IF(B1205="平","平",IF(B1205="","","仄"))</x:f>
        <x:v>平</x:v>
      </x:c>
      <x:c r="I1205" s="6" t="str">
        <x:f>IF(D1197="","",IF(AND(ISNUMBER(SEARCH("平",D1197)),OR(ISNUMBER(SEARCH("上",D1197)),ISNUMBER(SEARCH("去",D1197)),ISNUMBER(SEARCH("入",D1197)))),"Ambiguous",IF(ISNUMBER(SEARCH("平",D1197)),"平","仄")))</x:f>
        <x:v>仄</x:v>
      </x:c>
      <x:c r="J1205" s="7" t="str"/>
    </x:row>
    <x:row r="1206">
      <x:c r="A1206" s="5" t="str">
        <x:v>彌</x:v>
      </x:c>
      <x:c r="B1206" s="6" t="str">
        <x:v>平</x:v>
      </x:c>
      <x:c r="C1206" s="6" t="str">
        <x:f>IF(B1206="","Needs decision","Ready")</x:f>
        <x:v>Ready</x:v>
      </x:c>
      <x:c r="D1206" s="6" t="str">
        <x:v>平/上</x:v>
      </x:c>
      <x:c r="E1206" s="6" t="str">
        <x:v>mjie (A); mjieX (B)</x:v>
      </x:c>
      <x:c r="F1206" s="6" t="str">
        <x:v>2</x:v>
      </x:c>
      <x:c r="G1206" s="6" t="str"/>
      <x:c r="H1206" s="6" t="str">
        <x:f>IF(B1206="平","平",IF(B1206="","","仄"))</x:f>
        <x:v>平</x:v>
      </x:c>
      <x:c r="I1206" s="6" t="str">
        <x:f>IF(D1198="","",IF(AND(ISNUMBER(SEARCH("平",D1198)),OR(ISNUMBER(SEARCH("上",D1198)),ISNUMBER(SEARCH("去",D1198)),ISNUMBER(SEARCH("入",D1198)))),"Ambiguous",IF(ISNUMBER(SEARCH("平",D1198)),"平","仄")))</x:f>
        <x:v>仄</x:v>
      </x:c>
      <x:c r="J1206" s="7" t="str"/>
    </x:row>
    <x:row r="1207">
      <x:c r="A1207" s="5" t="str">
        <x:v>彔</x:v>
      </x:c>
      <x:c r="B1207" s="6" t="str">
        <x:v>入</x:v>
      </x:c>
      <x:c r="C1207" s="6" t="str">
        <x:f>IF(B1207="","Needs decision","Ready")</x:f>
        <x:v>Ready</x:v>
      </x:c>
      <x:c r="D1207" s="6" t="str">
        <x:v>入</x:v>
      </x:c>
      <x:c r="E1207" s="6" t="str">
        <x:v>luwk (D)</x:v>
      </x:c>
      <x:c r="F1207" s="6" t="str">
        <x:v>1</x:v>
      </x:c>
      <x:c r="G1207" s="6" t="str"/>
      <x:c r="H1207" s="6" t="str">
        <x:f>IF(B1207="平","平",IF(B1207="","","仄"))</x:f>
        <x:v>仄</x:v>
      </x:c>
      <x:c r="I1207" s="6" t="str">
        <x:f>IF(D1199="","",IF(AND(ISNUMBER(SEARCH("平",D1199)),OR(ISNUMBER(SEARCH("上",D1199)),ISNUMBER(SEARCH("去",D1199)),ISNUMBER(SEARCH("入",D1199)))),"Ambiguous",IF(ISNUMBER(SEARCH("平",D1199)),"平","仄")))</x:f>
        <x:v>平</x:v>
      </x:c>
      <x:c r="J1207" s="7" t="str"/>
    </x:row>
    <x:row r="1208">
      <x:c r="A1208" s="5" t="str">
        <x:v>彖</x:v>
      </x:c>
      <x:c r="B1208" s="6" t="str">
        <x:v>去</x:v>
      </x:c>
      <x:c r="C1208" s="6" t="str">
        <x:f>IF(B1208="","Needs decision","Ready")</x:f>
        <x:v>Ready</x:v>
      </x:c>
      <x:c r="D1208" s="6" t="str">
        <x:v>去</x:v>
      </x:c>
      <x:c r="E1208" s="6" t="str">
        <x:v>thwanH (C)</x:v>
      </x:c>
      <x:c r="F1208" s="6" t="str">
        <x:v>1</x:v>
      </x:c>
      <x:c r="G1208" s="6" t="str"/>
      <x:c r="H1208" s="6" t="str">
        <x:f>IF(B1208="平","平",IF(B1208="","","仄"))</x:f>
        <x:v>仄</x:v>
      </x:c>
      <x:c r="I1208" s="6" t="str">
        <x:f>IF(D1200="","",IF(AND(ISNUMBER(SEARCH("平",D1200)),OR(ISNUMBER(SEARCH("上",D1200)),ISNUMBER(SEARCH("去",D1200)),ISNUMBER(SEARCH("入",D1200)))),"Ambiguous",IF(ISNUMBER(SEARCH("平",D1200)),"平","仄")))</x:f>
        <x:v>平</x:v>
      </x:c>
      <x:c r="J1208" s="7" t="str"/>
    </x:row>
    <x:row r="1209">
      <x:c r="A1209" s="5" t="str">
        <x:v>彗</x:v>
      </x:c>
      <x:c r="B1209" s="6" t="str">
        <x:v>去</x:v>
      </x:c>
      <x:c r="C1209" s="6" t="str">
        <x:f>IF(B1209="","Needs decision","Ready")</x:f>
        <x:v>Ready</x:v>
      </x:c>
      <x:c r="D1209" s="6" t="str">
        <x:v>去</x:v>
      </x:c>
      <x:c r="E1209" s="6" t="str">
        <x:v>zjwejH (C)</x:v>
      </x:c>
      <x:c r="F1209" s="6" t="str">
        <x:v>1</x:v>
      </x:c>
      <x:c r="G1209" s="6" t="str"/>
      <x:c r="H1209" s="6" t="str">
        <x:f>IF(B1209="平","平",IF(B1209="","","仄"))</x:f>
        <x:v>仄</x:v>
      </x:c>
      <x:c r="I1209" s="6" t="str">
        <x:f>IF(D1201="","",IF(AND(ISNUMBER(SEARCH("平",D1201)),OR(ISNUMBER(SEARCH("上",D1201)),ISNUMBER(SEARCH("去",D1201)),ISNUMBER(SEARCH("入",D1201)))),"Ambiguous",IF(ISNUMBER(SEARCH("平",D1201)),"平","仄")))</x:f>
        <x:v>Ambiguous</x:v>
      </x:c>
      <x:c r="J1209" s="7" t="str"/>
    </x:row>
    <x:row r="1210">
      <x:c r="A1210" s="5" t="str">
        <x:v>彘</x:v>
      </x:c>
      <x:c r="B1210" s="6" t="str">
        <x:v>去</x:v>
      </x:c>
      <x:c r="C1210" s="6" t="str">
        <x:f>IF(B1210="","Needs decision","Ready")</x:f>
        <x:v>Ready</x:v>
      </x:c>
      <x:c r="D1210" s="6" t="str">
        <x:v>去</x:v>
      </x:c>
      <x:c r="E1210" s="6" t="str">
        <x:v>drjejH (C)</x:v>
      </x:c>
      <x:c r="F1210" s="6" t="str">
        <x:v>1</x:v>
      </x:c>
      <x:c r="G1210" s="6" t="str"/>
      <x:c r="H1210" s="6" t="str">
        <x:f>IF(B1210="平","平",IF(B1210="","","仄"))</x:f>
        <x:v>仄</x:v>
      </x:c>
      <x:c r="I1210" s="6" t="str">
        <x:f>IF(D1202="","",IF(AND(ISNUMBER(SEARCH("平",D1202)),OR(ISNUMBER(SEARCH("上",D1202)),ISNUMBER(SEARCH("去",D1202)),ISNUMBER(SEARCH("入",D1202)))),"Ambiguous",IF(ISNUMBER(SEARCH("平",D1202)),"平","仄")))</x:f>
        <x:v>仄</x:v>
      </x:c>
      <x:c r="J1210" s="7" t="str"/>
    </x:row>
    <x:row r="1211">
      <x:c r="A1211" s="5" t="str">
        <x:v>彝</x:v>
      </x:c>
      <x:c r="B1211" s="6" t="str">
        <x:v>平</x:v>
      </x:c>
      <x:c r="C1211" s="6" t="str">
        <x:f>IF(B1211="","Needs decision","Ready")</x:f>
        <x:v>Ready</x:v>
      </x:c>
      <x:c r="D1211" s="6" t="str">
        <x:v>平</x:v>
      </x:c>
      <x:c r="E1211" s="6" t="str">
        <x:v>yij (A)</x:v>
      </x:c>
      <x:c r="F1211" s="6" t="str">
        <x:v>1</x:v>
      </x:c>
      <x:c r="G1211" s="6" t="str"/>
      <x:c r="H1211" s="6" t="str">
        <x:f>IF(B1211="平","平",IF(B1211="","","仄"))</x:f>
        <x:v>平</x:v>
      </x:c>
      <x:c r="I1211" s="6" t="str">
        <x:f>IF(D1203="","",IF(AND(ISNUMBER(SEARCH("平",D1203)),OR(ISNUMBER(SEARCH("上",D1203)),ISNUMBER(SEARCH("去",D1203)),ISNUMBER(SEARCH("入",D1203)))),"Ambiguous",IF(ISNUMBER(SEARCH("平",D1203)),"平","仄")))</x:f>
        <x:v>仄</x:v>
      </x:c>
      <x:c r="J1211" s="7" t="str"/>
    </x:row>
    <x:row r="1212">
      <x:c r="A1212" s="5" t="str">
        <x:v>彡</x:v>
      </x:c>
      <x:c r="B1212" s="6" t="str">
        <x:v>平</x:v>
      </x:c>
      <x:c r="C1212" s="6" t="str">
        <x:f>IF(B1212="","Needs decision","Ready")</x:f>
        <x:v>Ready</x:v>
      </x:c>
      <x:c r="D1212" s="6" t="str">
        <x:v>平</x:v>
      </x:c>
      <x:c r="E1212" s="6" t="str">
        <x:v>yuwng (A)</x:v>
      </x:c>
      <x:c r="F1212" s="6" t="str">
        <x:v>1</x:v>
      </x:c>
      <x:c r="G1212" s="6" t="str"/>
      <x:c r="H1212" s="6" t="str">
        <x:f>IF(B1212="平","平",IF(B1212="","","仄"))</x:f>
        <x:v>平</x:v>
      </x:c>
      <x:c r="I1212" s="6" t="str">
        <x:f>IF(D1204="","",IF(AND(ISNUMBER(SEARCH("平",D1204)),OR(ISNUMBER(SEARCH("上",D1204)),ISNUMBER(SEARCH("去",D1204)),ISNUMBER(SEARCH("入",D1204)))),"Ambiguous",IF(ISNUMBER(SEARCH("平",D1204)),"平","仄")))</x:f>
        <x:v>Ambiguous</x:v>
      </x:c>
      <x:c r="J1212" s="7" t="str"/>
    </x:row>
    <x:row r="1213">
      <x:c r="A1213" s="5" t="str">
        <x:v>形</x:v>
      </x:c>
      <x:c r="B1213" s="6" t="str">
        <x:v>平</x:v>
      </x:c>
      <x:c r="C1213" s="6" t="str">
        <x:f>IF(B1213="","Needs decision","Ready")</x:f>
        <x:v>Ready</x:v>
      </x:c>
      <x:c r="D1213" s="6" t="str">
        <x:v>平</x:v>
      </x:c>
      <x:c r="E1213" s="6" t="str">
        <x:v>heng (A)</x:v>
      </x:c>
      <x:c r="F1213" s="6" t="str">
        <x:v>1</x:v>
      </x:c>
      <x:c r="G1213" s="6" t="str"/>
      <x:c r="H1213" s="6" t="str">
        <x:f>IF(B1213="平","平",IF(B1213="","","仄"))</x:f>
        <x:v>平</x:v>
      </x:c>
      <x:c r="I1213" s="6" t="str">
        <x:f>IF(D1205="","",IF(AND(ISNUMBER(SEARCH("平",D1205)),OR(ISNUMBER(SEARCH("上",D1205)),ISNUMBER(SEARCH("去",D1205)),ISNUMBER(SEARCH("入",D1205)))),"Ambiguous",IF(ISNUMBER(SEARCH("平",D1205)),"平","仄")))</x:f>
        <x:v>平</x:v>
      </x:c>
      <x:c r="J1213" s="7" t="str"/>
    </x:row>
    <x:row r="1214">
      <x:c r="A1214" s="5" t="str">
        <x:v>彤</x:v>
      </x:c>
      <x:c r="B1214" s="6" t="str">
        <x:v>平</x:v>
      </x:c>
      <x:c r="C1214" s="6" t="str">
        <x:f>IF(B1214="","Needs decision","Ready")</x:f>
        <x:v>Ready</x:v>
      </x:c>
      <x:c r="D1214" s="6" t="str">
        <x:v>平</x:v>
      </x:c>
      <x:c r="E1214" s="6" t="str">
        <x:v>downg (A)</x:v>
      </x:c>
      <x:c r="F1214" s="6" t="str">
        <x:v>1</x:v>
      </x:c>
      <x:c r="G1214" s="6" t="str"/>
      <x:c r="H1214" s="6" t="str">
        <x:f>IF(B1214="平","平",IF(B1214="","","仄"))</x:f>
        <x:v>平</x:v>
      </x:c>
      <x:c r="I1214" s="6" t="str">
        <x:f>IF(D1206="","",IF(AND(ISNUMBER(SEARCH("平",D1206)),OR(ISNUMBER(SEARCH("上",D1206)),ISNUMBER(SEARCH("去",D1206)),ISNUMBER(SEARCH("入",D1206)))),"Ambiguous",IF(ISNUMBER(SEARCH("平",D1206)),"平","仄")))</x:f>
        <x:v>Ambiguous</x:v>
      </x:c>
      <x:c r="J1214" s="7" t="str"/>
    </x:row>
    <x:row r="1215">
      <x:c r="A1215" s="5" t="str">
        <x:v>彥</x:v>
      </x:c>
      <x:c r="B1215" s="6" t="str">
        <x:v>去</x:v>
      </x:c>
      <x:c r="C1215" s="6" t="str">
        <x:f>IF(B1215="","Needs decision","Ready")</x:f>
        <x:v>Ready</x:v>
      </x:c>
      <x:c r="D1215" s="6" t="str">
        <x:v>去</x:v>
      </x:c>
      <x:c r="E1215" s="6" t="str">
        <x:v>ngjenH (C)</x:v>
      </x:c>
      <x:c r="F1215" s="6" t="str">
        <x:v>1</x:v>
      </x:c>
      <x:c r="G1215" s="6" t="str"/>
      <x:c r="H1215" s="6" t="str">
        <x:f>IF(B1215="平","平",IF(B1215="","","仄"))</x:f>
        <x:v>仄</x:v>
      </x:c>
      <x:c r="I1215" s="6" t="str">
        <x:f>IF(D1207="","",IF(AND(ISNUMBER(SEARCH("平",D1207)),OR(ISNUMBER(SEARCH("上",D1207)),ISNUMBER(SEARCH("去",D1207)),ISNUMBER(SEARCH("入",D1207)))),"Ambiguous",IF(ISNUMBER(SEARCH("平",D1207)),"平","仄")))</x:f>
        <x:v>仄</x:v>
      </x:c>
      <x:c r="J1215" s="7" t="str"/>
    </x:row>
    <x:row r="1216">
      <x:c r="A1216" s="5" t="str">
        <x:v>彧</x:v>
      </x:c>
      <x:c r="B1216" s="6" t="str">
        <x:v>入</x:v>
      </x:c>
      <x:c r="C1216" s="6" t="str">
        <x:f>IF(B1216="","Needs decision","Ready")</x:f>
        <x:v>Ready</x:v>
      </x:c>
      <x:c r="D1216" s="6" t="str">
        <x:v>入</x:v>
      </x:c>
      <x:c r="E1216" s="6" t="str">
        <x:v>'juwk (D)</x:v>
      </x:c>
      <x:c r="F1216" s="6" t="str">
        <x:v>1</x:v>
      </x:c>
      <x:c r="G1216" s="6" t="str"/>
      <x:c r="H1216" s="6" t="str">
        <x:f>IF(B1216="平","平",IF(B1216="","","仄"))</x:f>
        <x:v>仄</x:v>
      </x:c>
      <x:c r="I1216" s="6" t="str">
        <x:f>IF(D1208="","",IF(AND(ISNUMBER(SEARCH("平",D1208)),OR(ISNUMBER(SEARCH("上",D1208)),ISNUMBER(SEARCH("去",D1208)),ISNUMBER(SEARCH("入",D1208)))),"Ambiguous",IF(ISNUMBER(SEARCH("平",D1208)),"平","仄")))</x:f>
        <x:v>仄</x:v>
      </x:c>
      <x:c r="J1216" s="7" t="str"/>
    </x:row>
    <x:row r="1217">
      <x:c r="A1217" s="5" t="str">
        <x:v>彩</x:v>
      </x:c>
      <x:c r="B1217" s="6" t="str">
        <x:v>上</x:v>
      </x:c>
      <x:c r="C1217" s="6" t="str">
        <x:f>IF(B1217="","Needs decision","Ready")</x:f>
        <x:v>Ready</x:v>
      </x:c>
      <x:c r="D1217" s="6" t="str">
        <x:v>上</x:v>
      </x:c>
      <x:c r="E1217" s="6" t="str">
        <x:v>tshojX (B)</x:v>
      </x:c>
      <x:c r="F1217" s="6" t="str">
        <x:v>1</x:v>
      </x:c>
      <x:c r="G1217" s="6" t="str"/>
      <x:c r="H1217" s="6" t="str">
        <x:f>IF(B1217="平","平",IF(B1217="","","仄"))</x:f>
        <x:v>仄</x:v>
      </x:c>
      <x:c r="I1217" s="6" t="str">
        <x:f>IF(D1209="","",IF(AND(ISNUMBER(SEARCH("平",D1209)),OR(ISNUMBER(SEARCH("上",D1209)),ISNUMBER(SEARCH("去",D1209)),ISNUMBER(SEARCH("入",D1209)))),"Ambiguous",IF(ISNUMBER(SEARCH("平",D1209)),"平","仄")))</x:f>
        <x:v>仄</x:v>
      </x:c>
      <x:c r="J1217" s="7" t="str"/>
    </x:row>
    <x:row r="1218">
      <x:c r="A1218" s="5" t="str">
        <x:v>彫</x:v>
      </x:c>
      <x:c r="B1218" s="6" t="str">
        <x:v>平</x:v>
      </x:c>
      <x:c r="C1218" s="6" t="str">
        <x:f>IF(B1218="","Needs decision","Ready")</x:f>
        <x:v>Ready</x:v>
      </x:c>
      <x:c r="D1218" s="6" t="str">
        <x:v>平</x:v>
      </x:c>
      <x:c r="E1218" s="6" t="str">
        <x:v>tew (A)</x:v>
      </x:c>
      <x:c r="F1218" s="6" t="str">
        <x:v>1</x:v>
      </x:c>
      <x:c r="G1218" s="6" t="str"/>
      <x:c r="H1218" s="6" t="str">
        <x:f>IF(B1218="平","平",IF(B1218="","","仄"))</x:f>
        <x:v>平</x:v>
      </x:c>
      <x:c r="I1218" s="6" t="str">
        <x:f>IF(D1210="","",IF(AND(ISNUMBER(SEARCH("平",D1210)),OR(ISNUMBER(SEARCH("上",D1210)),ISNUMBER(SEARCH("去",D1210)),ISNUMBER(SEARCH("入",D1210)))),"Ambiguous",IF(ISNUMBER(SEARCH("平",D1210)),"平","仄")))</x:f>
        <x:v>仄</x:v>
      </x:c>
      <x:c r="J1218" s="7" t="str"/>
    </x:row>
    <x:row r="1219">
      <x:c r="A1219" s="5" t="str">
        <x:v>彭</x:v>
      </x:c>
      <x:c r="B1219" s="6" t="str">
        <x:v>平</x:v>
      </x:c>
      <x:c r="C1219" s="6" t="str">
        <x:f>IF(B1219="","Needs decision","Ready")</x:f>
        <x:v>Ready</x:v>
      </x:c>
      <x:c r="D1219" s="6" t="str">
        <x:v>平</x:v>
      </x:c>
      <x:c r="E1219" s="6" t="str">
        <x:v>baeng (A)</x:v>
      </x:c>
      <x:c r="F1219" s="6" t="str">
        <x:v>1</x:v>
      </x:c>
      <x:c r="G1219" s="6" t="str"/>
      <x:c r="H1219" s="6" t="str">
        <x:f>IF(B1219="平","平",IF(B1219="","","仄"))</x:f>
        <x:v>平</x:v>
      </x:c>
      <x:c r="I1219" s="6" t="str">
        <x:f>IF(D1211="","",IF(AND(ISNUMBER(SEARCH("平",D1211)),OR(ISNUMBER(SEARCH("上",D1211)),ISNUMBER(SEARCH("去",D1211)),ISNUMBER(SEARCH("入",D1211)))),"Ambiguous",IF(ISNUMBER(SEARCH("平",D1211)),"平","仄")))</x:f>
        <x:v>平</x:v>
      </x:c>
      <x:c r="J1219" s="7" t="str"/>
    </x:row>
    <x:row r="1220">
      <x:c r="A1220" s="5" t="str">
        <x:v>影</x:v>
      </x:c>
      <x:c r="B1220" s="6" t="str">
        <x:v>上</x:v>
      </x:c>
      <x:c r="C1220" s="6" t="str">
        <x:f>IF(B1220="","Needs decision","Ready")</x:f>
        <x:v>Ready</x:v>
      </x:c>
      <x:c r="D1220" s="6" t="str">
        <x:v>上</x:v>
      </x:c>
      <x:c r="E1220" s="6" t="str">
        <x:v>'jaengX (B)</x:v>
      </x:c>
      <x:c r="F1220" s="6" t="str">
        <x:v>1</x:v>
      </x:c>
      <x:c r="G1220" s="6" t="str"/>
      <x:c r="H1220" s="6" t="str">
        <x:f>IF(B1220="平","平",IF(B1220="","","仄"))</x:f>
        <x:v>仄</x:v>
      </x:c>
      <x:c r="I1220" s="6" t="str">
        <x:f>IF(D1212="","",IF(AND(ISNUMBER(SEARCH("平",D1212)),OR(ISNUMBER(SEARCH("上",D1212)),ISNUMBER(SEARCH("去",D1212)),ISNUMBER(SEARCH("入",D1212)))),"Ambiguous",IF(ISNUMBER(SEARCH("平",D1212)),"平","仄")))</x:f>
        <x:v>平</x:v>
      </x:c>
      <x:c r="J1220" s="7" t="str"/>
    </x:row>
    <x:row r="1221">
      <x:c r="A1221" s="5" t="str">
        <x:v>彷</x:v>
      </x:c>
      <x:c r="B1221" s="6" t="str">
        <x:v>平</x:v>
      </x:c>
      <x:c r="C1221" s="6" t="str">
        <x:f>IF(B1221="","Needs decision","Ready")</x:f>
        <x:v>Ready</x:v>
      </x:c>
      <x:c r="D1221" s="6" t="str">
        <x:v>平</x:v>
      </x:c>
      <x:c r="E1221" s="6" t="str">
        <x:v>bang (A)</x:v>
      </x:c>
      <x:c r="F1221" s="6" t="str">
        <x:v>1</x:v>
      </x:c>
      <x:c r="G1221" s="6" t="str"/>
      <x:c r="H1221" s="6" t="str">
        <x:f>IF(B1221="平","平",IF(B1221="","","仄"))</x:f>
        <x:v>平</x:v>
      </x:c>
      <x:c r="I1221" s="6" t="str">
        <x:f>IF(D1213="","",IF(AND(ISNUMBER(SEARCH("平",D1213)),OR(ISNUMBER(SEARCH("上",D1213)),ISNUMBER(SEARCH("去",D1213)),ISNUMBER(SEARCH("入",D1213)))),"Ambiguous",IF(ISNUMBER(SEARCH("平",D1213)),"平","仄")))</x:f>
        <x:v>平</x:v>
      </x:c>
      <x:c r="J1221" s="7" t="str"/>
    </x:row>
    <x:row r="1222">
      <x:c r="A1222" s="5" t="str">
        <x:v>役</x:v>
      </x:c>
      <x:c r="B1222" s="6" t="str">
        <x:v>入</x:v>
      </x:c>
      <x:c r="C1222" s="6" t="str">
        <x:f>IF(B1222="","Needs decision","Ready")</x:f>
        <x:v>Ready</x:v>
      </x:c>
      <x:c r="D1222" s="6" t="str">
        <x:v>入</x:v>
      </x:c>
      <x:c r="E1222" s="6" t="str">
        <x:v>ywek (D)</x:v>
      </x:c>
      <x:c r="F1222" s="6" t="str">
        <x:v>1</x:v>
      </x:c>
      <x:c r="G1222" s="6" t="str"/>
      <x:c r="H1222" s="6" t="str">
        <x:f>IF(B1222="平","平",IF(B1222="","","仄"))</x:f>
        <x:v>仄</x:v>
      </x:c>
      <x:c r="I1222" s="6" t="str">
        <x:f>IF(D1214="","",IF(AND(ISNUMBER(SEARCH("平",D1214)),OR(ISNUMBER(SEARCH("上",D1214)),ISNUMBER(SEARCH("去",D1214)),ISNUMBER(SEARCH("入",D1214)))),"Ambiguous",IF(ISNUMBER(SEARCH("平",D1214)),"平","仄")))</x:f>
        <x:v>平</x:v>
      </x:c>
      <x:c r="J1222" s="7" t="str"/>
    </x:row>
    <x:row r="1223">
      <x:c r="A1223" s="5" t="str">
        <x:v>彼</x:v>
      </x:c>
      <x:c r="B1223" s="6" t="str">
        <x:v>上</x:v>
      </x:c>
      <x:c r="C1223" s="6" t="str">
        <x:f>IF(B1223="","Needs decision","Ready")</x:f>
        <x:v>Ready</x:v>
      </x:c>
      <x:c r="D1223" s="6" t="str">
        <x:v>上</x:v>
      </x:c>
      <x:c r="E1223" s="6" t="str">
        <x:v>pjeX (B)</x:v>
      </x:c>
      <x:c r="F1223" s="6" t="str">
        <x:v>1</x:v>
      </x:c>
      <x:c r="G1223" s="6" t="str"/>
      <x:c r="H1223" s="6" t="str">
        <x:f>IF(B1223="平","平",IF(B1223="","","仄"))</x:f>
        <x:v>仄</x:v>
      </x:c>
      <x:c r="I1223" s="6" t="str">
        <x:f>IF(D1215="","",IF(AND(ISNUMBER(SEARCH("平",D1215)),OR(ISNUMBER(SEARCH("上",D1215)),ISNUMBER(SEARCH("去",D1215)),ISNUMBER(SEARCH("入",D1215)))),"Ambiguous",IF(ISNUMBER(SEARCH("平",D1215)),"平","仄")))</x:f>
        <x:v>仄</x:v>
      </x:c>
      <x:c r="J1223" s="7" t="str"/>
    </x:row>
    <x:row r="1224">
      <x:c r="A1224" s="5" t="str">
        <x:v>彿</x:v>
      </x:c>
      <x:c r="B1224" s="6" t="str">
        <x:v>入</x:v>
      </x:c>
      <x:c r="C1224" s="6" t="str">
        <x:f>IF(B1224="","Needs decision","Ready")</x:f>
        <x:v>Ready</x:v>
      </x:c>
      <x:c r="D1224" s="6" t="str">
        <x:v>入</x:v>
      </x:c>
      <x:c r="E1224" s="6" t="str">
        <x:v>phjut (D)</x:v>
      </x:c>
      <x:c r="F1224" s="6" t="str">
        <x:v>1</x:v>
      </x:c>
      <x:c r="G1224" s="6" t="str"/>
      <x:c r="H1224" s="6" t="str">
        <x:f>IF(B1224="平","平",IF(B1224="","","仄"))</x:f>
        <x:v>仄</x:v>
      </x:c>
      <x:c r="I1224" s="6" t="str">
        <x:f>IF(D1216="","",IF(AND(ISNUMBER(SEARCH("平",D1216)),OR(ISNUMBER(SEARCH("上",D1216)),ISNUMBER(SEARCH("去",D1216)),ISNUMBER(SEARCH("入",D1216)))),"Ambiguous",IF(ISNUMBER(SEARCH("平",D1216)),"平","仄")))</x:f>
        <x:v>仄</x:v>
      </x:c>
      <x:c r="J1224" s="7" t="str"/>
    </x:row>
    <x:row r="1225">
      <x:c r="A1225" s="5" t="str">
        <x:v>往</x:v>
      </x:c>
      <x:c r="B1225" s="6" t="str">
        <x:v>上</x:v>
      </x:c>
      <x:c r="C1225" s="6" t="str">
        <x:f>IF(B1225="","Needs decision","Ready")</x:f>
        <x:v>Ready</x:v>
      </x:c>
      <x:c r="D1225" s="6" t="str">
        <x:v>上</x:v>
      </x:c>
      <x:c r="E1225" s="6" t="str">
        <x:v>hjwangX (B)</x:v>
      </x:c>
      <x:c r="F1225" s="6" t="str">
        <x:v>1</x:v>
      </x:c>
      <x:c r="G1225" s="6" t="str"/>
      <x:c r="H1225" s="6" t="str">
        <x:f>IF(B1225="平","平",IF(B1225="","","仄"))</x:f>
        <x:v>仄</x:v>
      </x:c>
      <x:c r="I1225" s="6" t="str">
        <x:f>IF(D1217="","",IF(AND(ISNUMBER(SEARCH("平",D1217)),OR(ISNUMBER(SEARCH("上",D1217)),ISNUMBER(SEARCH("去",D1217)),ISNUMBER(SEARCH("入",D1217)))),"Ambiguous",IF(ISNUMBER(SEARCH("平",D1217)),"平","仄")))</x:f>
        <x:v>仄</x:v>
      </x:c>
      <x:c r="J1225" s="7" t="str"/>
    </x:row>
    <x:row r="1226">
      <x:c r="A1226" s="5" t="str">
        <x:v>征</x:v>
      </x:c>
      <x:c r="B1226" s="6" t="str">
        <x:v>平</x:v>
      </x:c>
      <x:c r="C1226" s="6" t="str">
        <x:f>IF(B1226="","Needs decision","Ready")</x:f>
        <x:v>Ready</x:v>
      </x:c>
      <x:c r="D1226" s="6" t="str">
        <x:v>平</x:v>
      </x:c>
      <x:c r="E1226" s="6" t="str">
        <x:v>tsyeng (A)</x:v>
      </x:c>
      <x:c r="F1226" s="6" t="str">
        <x:v>1</x:v>
      </x:c>
      <x:c r="G1226" s="6" t="str"/>
      <x:c r="H1226" s="6" t="str">
        <x:f>IF(B1226="平","平",IF(B1226="","","仄"))</x:f>
        <x:v>平</x:v>
      </x:c>
      <x:c r="I1226" s="6" t="str">
        <x:f>IF(D1218="","",IF(AND(ISNUMBER(SEARCH("平",D1218)),OR(ISNUMBER(SEARCH("上",D1218)),ISNUMBER(SEARCH("去",D1218)),ISNUMBER(SEARCH("入",D1218)))),"Ambiguous",IF(ISNUMBER(SEARCH("平",D1218)),"平","仄")))</x:f>
        <x:v>平</x:v>
      </x:c>
      <x:c r="J1226" s="7" t="str"/>
    </x:row>
    <x:row r="1227">
      <x:c r="A1227" s="5" t="str">
        <x:v>徂</x:v>
      </x:c>
      <x:c r="B1227" s="6" t="str">
        <x:v>平</x:v>
      </x:c>
      <x:c r="C1227" s="6" t="str">
        <x:f>IF(B1227="","Needs decision","Ready")</x:f>
        <x:v>Ready</x:v>
      </x:c>
      <x:c r="D1227" s="6" t="str">
        <x:v>平</x:v>
      </x:c>
      <x:c r="E1227" s="6" t="str">
        <x:v>dzu (A)</x:v>
      </x:c>
      <x:c r="F1227" s="6" t="str">
        <x:v>1</x:v>
      </x:c>
      <x:c r="G1227" s="6" t="str"/>
      <x:c r="H1227" s="6" t="str">
        <x:f>IF(B1227="平","平",IF(B1227="","","仄"))</x:f>
        <x:v>平</x:v>
      </x:c>
      <x:c r="I1227" s="6" t="str">
        <x:f>IF(D1219="","",IF(AND(ISNUMBER(SEARCH("平",D1219)),OR(ISNUMBER(SEARCH("上",D1219)),ISNUMBER(SEARCH("去",D1219)),ISNUMBER(SEARCH("入",D1219)))),"Ambiguous",IF(ISNUMBER(SEARCH("平",D1219)),"平","仄")))</x:f>
        <x:v>平</x:v>
      </x:c>
      <x:c r="J1227" s="7" t="str"/>
    </x:row>
    <x:row r="1228">
      <x:c r="A1228" s="5" t="str">
        <x:v>待</x:v>
      </x:c>
      <x:c r="B1228" s="6" t="str">
        <x:v>上</x:v>
      </x:c>
      <x:c r="C1228" s="6" t="str">
        <x:f>IF(B1228="","Needs decision","Ready")</x:f>
        <x:v>Ready</x:v>
      </x:c>
      <x:c r="D1228" s="6" t="str">
        <x:v>上</x:v>
      </x:c>
      <x:c r="E1228" s="6" t="str">
        <x:v>dojX (B)</x:v>
      </x:c>
      <x:c r="F1228" s="6" t="str">
        <x:v>1</x:v>
      </x:c>
      <x:c r="G1228" s="6" t="str"/>
      <x:c r="H1228" s="6" t="str">
        <x:f>IF(B1228="平","平",IF(B1228="","","仄"))</x:f>
        <x:v>仄</x:v>
      </x:c>
      <x:c r="I1228" s="6" t="str">
        <x:f>IF(D1220="","",IF(AND(ISNUMBER(SEARCH("平",D1220)),OR(ISNUMBER(SEARCH("上",D1220)),ISNUMBER(SEARCH("去",D1220)),ISNUMBER(SEARCH("入",D1220)))),"Ambiguous",IF(ISNUMBER(SEARCH("平",D1220)),"平","仄")))</x:f>
        <x:v>仄</x:v>
      </x:c>
      <x:c r="J1228" s="7" t="str"/>
    </x:row>
    <x:row r="1229">
      <x:c r="A1229" s="5" t="str">
        <x:v>徇</x:v>
      </x:c>
      <x:c r="B1229" s="6" t="str">
        <x:v>去</x:v>
      </x:c>
      <x:c r="C1229" s="6" t="str">
        <x:f>IF(B1229="","Needs decision","Ready")</x:f>
        <x:v>Ready</x:v>
      </x:c>
      <x:c r="D1229" s="6" t="str">
        <x:v>去</x:v>
      </x:c>
      <x:c r="E1229" s="6" t="str">
        <x:v>zwinH (C)</x:v>
      </x:c>
      <x:c r="F1229" s="6" t="str">
        <x:v>1</x:v>
      </x:c>
      <x:c r="G1229" s="6" t="str"/>
      <x:c r="H1229" s="6" t="str">
        <x:f>IF(B1229="平","平",IF(B1229="","","仄"))</x:f>
        <x:v>仄</x:v>
      </x:c>
      <x:c r="I1229" s="6" t="str">
        <x:f>IF(D1221="","",IF(AND(ISNUMBER(SEARCH("平",D1221)),OR(ISNUMBER(SEARCH("上",D1221)),ISNUMBER(SEARCH("去",D1221)),ISNUMBER(SEARCH("入",D1221)))),"Ambiguous",IF(ISNUMBER(SEARCH("平",D1221)),"平","仄")))</x:f>
        <x:v>平</x:v>
      </x:c>
      <x:c r="J1229" s="7" t="str"/>
    </x:row>
    <x:row r="1230">
      <x:c r="A1230" s="5" t="str">
        <x:v>徊</x:v>
      </x:c>
      <x:c r="B1230" s="6" t="str">
        <x:v>平</x:v>
      </x:c>
      <x:c r="C1230" s="6" t="str">
        <x:f>IF(B1230="","Needs decision","Ready")</x:f>
        <x:v>Ready</x:v>
      </x:c>
      <x:c r="D1230" s="6" t="str">
        <x:v>平</x:v>
      </x:c>
      <x:c r="E1230" s="6" t="str"/>
      <x:c r="F1230" s="6" t="str"/>
      <x:c r="G1230" s="6" t="str">
        <x:v>Manual user correction/addition</x:v>
      </x:c>
      <x:c r="H1230" s="6" t="str">
        <x:f>IF(B1230="平","平",IF(B1230="","","仄"))</x:f>
        <x:v>平</x:v>
      </x:c>
      <x:c r="I1230" s="6" t="str">
        <x:f>IF(D1222="","",IF(AND(ISNUMBER(SEARCH("平",D1222)),OR(ISNUMBER(SEARCH("上",D1222)),ISNUMBER(SEARCH("去",D1222)),ISNUMBER(SEARCH("入",D1222)))),"Ambiguous",IF(ISNUMBER(SEARCH("平",D1222)),"平","仄")))</x:f>
        <x:v>仄</x:v>
      </x:c>
      <x:c r="J1230" s="7" t="str">
        <x:v>manual user correction</x:v>
      </x:c>
    </x:row>
    <x:row r="1231">
      <x:c r="A1231" s="5" t="str">
        <x:v>律</x:v>
      </x:c>
      <x:c r="B1231" s="6" t="str">
        <x:v>入</x:v>
      </x:c>
      <x:c r="C1231" s="6" t="str">
        <x:f>IF(B1231="","Needs decision","Ready")</x:f>
        <x:v>Ready</x:v>
      </x:c>
      <x:c r="D1231" s="6" t="str">
        <x:v>入</x:v>
      </x:c>
      <x:c r="E1231" s="6" t="str">
        <x:v>lwit (D)</x:v>
      </x:c>
      <x:c r="F1231" s="6" t="str">
        <x:v>1</x:v>
      </x:c>
      <x:c r="G1231" s="6" t="str"/>
      <x:c r="H1231" s="6" t="str">
        <x:f>IF(B1231="平","平",IF(B1231="","","仄"))</x:f>
        <x:v>仄</x:v>
      </x:c>
      <x:c r="I1231" s="6" t="str">
        <x:f>IF(D1223="","",IF(AND(ISNUMBER(SEARCH("平",D1223)),OR(ISNUMBER(SEARCH("上",D1223)),ISNUMBER(SEARCH("去",D1223)),ISNUMBER(SEARCH("入",D1223)))),"Ambiguous",IF(ISNUMBER(SEARCH("平",D1223)),"平","仄")))</x:f>
        <x:v>仄</x:v>
      </x:c>
      <x:c r="J1231" s="7" t="str"/>
    </x:row>
    <x:row r="1232">
      <x:c r="A1232" s="5" t="str">
        <x:v>後</x:v>
      </x:c>
      <x:c r="B1232" s="6" t="str"/>
      <x:c r="C1232" s="6" t="str">
        <x:f>IF(B1232="","Needs decision","Ready")</x:f>
        <x:v>Needs decision</x:v>
      </x:c>
      <x:c r="D1232" s="6" t="str">
        <x:v>上/去</x:v>
      </x:c>
      <x:c r="E1232" s="6" t="str">
        <x:v>huwX (B); huwH (C)</x:v>
      </x:c>
      <x:c r="F1232" s="6" t="str">
        <x:v>2</x:v>
      </x:c>
      <x:c r="G1232" s="6" t="str"/>
      <x:c r="H1232" s="6" t="str">
        <x:f>IF(B1232="平","平",IF(B1232="","","仄"))</x:f>
      </x:c>
      <x:c r="I1232" s="6" t="str">
        <x:f>IF(D1224="","",IF(AND(ISNUMBER(SEARCH("平",D1224)),OR(ISNUMBER(SEARCH("上",D1224)),ISNUMBER(SEARCH("去",D1224)),ISNUMBER(SEARCH("入",D1224)))),"Ambiguous",IF(ISNUMBER(SEARCH("平",D1224)),"平","仄")))</x:f>
        <x:v>仄</x:v>
      </x:c>
      <x:c r="J1232" s="7" t="str"/>
    </x:row>
    <x:row r="1233">
      <x:c r="A1233" s="5" t="str">
        <x:v>徐</x:v>
      </x:c>
      <x:c r="B1233" s="6" t="str">
        <x:v>平</x:v>
      </x:c>
      <x:c r="C1233" s="6" t="str">
        <x:f>IF(B1233="","Needs decision","Ready")</x:f>
        <x:v>Ready</x:v>
      </x:c>
      <x:c r="D1233" s="6" t="str">
        <x:v>平</x:v>
      </x:c>
      <x:c r="E1233" s="6" t="str">
        <x:v>zjo (A)</x:v>
      </x:c>
      <x:c r="F1233" s="6" t="str">
        <x:v>1</x:v>
      </x:c>
      <x:c r="G1233" s="6" t="str"/>
      <x:c r="H1233" s="6" t="str">
        <x:f>IF(B1233="平","平",IF(B1233="","","仄"))</x:f>
        <x:v>平</x:v>
      </x:c>
      <x:c r="I1233" s="6" t="str">
        <x:f>IF(D1225="","",IF(AND(ISNUMBER(SEARCH("平",D1225)),OR(ISNUMBER(SEARCH("上",D1225)),ISNUMBER(SEARCH("去",D1225)),ISNUMBER(SEARCH("入",D1225)))),"Ambiguous",IF(ISNUMBER(SEARCH("平",D1225)),"平","仄")))</x:f>
        <x:v>仄</x:v>
      </x:c>
      <x:c r="J1233" s="7" t="str"/>
    </x:row>
    <x:row r="1234">
      <x:c r="A1234" s="5" t="str">
        <x:v>徑</x:v>
      </x:c>
      <x:c r="B1234" s="6" t="str">
        <x:v>去</x:v>
      </x:c>
      <x:c r="C1234" s="6" t="str">
        <x:f>IF(B1234="","Needs decision","Ready")</x:f>
        <x:v>Ready</x:v>
      </x:c>
      <x:c r="D1234" s="6" t="str">
        <x:v>去</x:v>
      </x:c>
      <x:c r="E1234" s="6" t="str">
        <x:v>kengH (C)</x:v>
      </x:c>
      <x:c r="F1234" s="6" t="str">
        <x:v>1</x:v>
      </x:c>
      <x:c r="G1234" s="6" t="str"/>
      <x:c r="H1234" s="6" t="str">
        <x:f>IF(B1234="平","平",IF(B1234="","","仄"))</x:f>
        <x:v>仄</x:v>
      </x:c>
      <x:c r="I1234" s="6" t="str">
        <x:f>IF(D1226="","",IF(AND(ISNUMBER(SEARCH("平",D1226)),OR(ISNUMBER(SEARCH("上",D1226)),ISNUMBER(SEARCH("去",D1226)),ISNUMBER(SEARCH("入",D1226)))),"Ambiguous",IF(ISNUMBER(SEARCH("平",D1226)),"平","仄")))</x:f>
        <x:v>平</x:v>
      </x:c>
      <x:c r="J1234" s="7" t="str"/>
    </x:row>
    <x:row r="1235">
      <x:c r="A1235" s="5" t="str">
        <x:v>徒</x:v>
      </x:c>
      <x:c r="B1235" s="6" t="str">
        <x:v>平</x:v>
      </x:c>
      <x:c r="C1235" s="6" t="str">
        <x:f>IF(B1235="","Needs decision","Ready")</x:f>
        <x:v>Ready</x:v>
      </x:c>
      <x:c r="D1235" s="6" t="str">
        <x:v>平</x:v>
      </x:c>
      <x:c r="E1235" s="6" t="str">
        <x:v>du (A)</x:v>
      </x:c>
      <x:c r="F1235" s="6" t="str">
        <x:v>1</x:v>
      </x:c>
      <x:c r="G1235" s="6" t="str"/>
      <x:c r="H1235" s="6" t="str">
        <x:f>IF(B1235="平","平",IF(B1235="","","仄"))</x:f>
        <x:v>平</x:v>
      </x:c>
      <x:c r="I1235" s="6" t="str">
        <x:f>IF(D1227="","",IF(AND(ISNUMBER(SEARCH("平",D1227)),OR(ISNUMBER(SEARCH("上",D1227)),ISNUMBER(SEARCH("去",D1227)),ISNUMBER(SEARCH("入",D1227)))),"Ambiguous",IF(ISNUMBER(SEARCH("平",D1227)),"平","仄")))</x:f>
        <x:v>平</x:v>
      </x:c>
      <x:c r="J1235" s="7" t="str"/>
    </x:row>
    <x:row r="1236">
      <x:c r="A1236" s="5" t="str">
        <x:v>得</x:v>
      </x:c>
      <x:c r="B1236" s="6" t="str">
        <x:v>入</x:v>
      </x:c>
      <x:c r="C1236" s="6" t="str">
        <x:f>IF(B1236="","Needs decision","Ready")</x:f>
        <x:v>Ready</x:v>
      </x:c>
      <x:c r="D1236" s="6" t="str">
        <x:v>入</x:v>
      </x:c>
      <x:c r="E1236" s="6" t="str">
        <x:v>tok (D)</x:v>
      </x:c>
      <x:c r="F1236" s="6" t="str">
        <x:v>1</x:v>
      </x:c>
      <x:c r="G1236" s="6" t="str"/>
      <x:c r="H1236" s="6" t="str">
        <x:f>IF(B1236="平","平",IF(B1236="","","仄"))</x:f>
        <x:v>仄</x:v>
      </x:c>
      <x:c r="I1236" s="6" t="str">
        <x:f>IF(D1228="","",IF(AND(ISNUMBER(SEARCH("平",D1228)),OR(ISNUMBER(SEARCH("上",D1228)),ISNUMBER(SEARCH("去",D1228)),ISNUMBER(SEARCH("入",D1228)))),"Ambiguous",IF(ISNUMBER(SEARCH("平",D1228)),"平","仄")))</x:f>
        <x:v>仄</x:v>
      </x:c>
      <x:c r="J1236" s="7" t="str"/>
    </x:row>
    <x:row r="1237">
      <x:c r="A1237" s="5" t="str">
        <x:v>徘</x:v>
      </x:c>
      <x:c r="B1237" s="6" t="str">
        <x:v>平</x:v>
      </x:c>
      <x:c r="C1237" s="6" t="str">
        <x:f>IF(B1237="","Needs decision","Ready")</x:f>
        <x:v>Ready</x:v>
      </x:c>
      <x:c r="D1237" s="6" t="str">
        <x:v>平</x:v>
      </x:c>
      <x:c r="E1237" s="6" t="str"/>
      <x:c r="F1237" s="6" t="str"/>
      <x:c r="G1237" s="6" t="str">
        <x:v>Manual user correction/addition</x:v>
      </x:c>
      <x:c r="H1237" s="6" t="str">
        <x:f>IF(B1237="平","平",IF(B1237="","","仄"))</x:f>
        <x:v>平</x:v>
      </x:c>
      <x:c r="I1237" s="6" t="str">
        <x:f>IF(D1229="","",IF(AND(ISNUMBER(SEARCH("平",D1229)),OR(ISNUMBER(SEARCH("上",D1229)),ISNUMBER(SEARCH("去",D1229)),ISNUMBER(SEARCH("入",D1229)))),"Ambiguous",IF(ISNUMBER(SEARCH("平",D1229)),"平","仄")))</x:f>
        <x:v>仄</x:v>
      </x:c>
      <x:c r="J1237" s="7" t="str">
        <x:v>manual user correction</x:v>
      </x:c>
    </x:row>
    <x:row r="1238">
      <x:c r="A1238" s="5" t="str">
        <x:v>徙</x:v>
      </x:c>
      <x:c r="B1238" s="6" t="str">
        <x:v>上</x:v>
      </x:c>
      <x:c r="C1238" s="6" t="str">
        <x:f>IF(B1238="","Needs decision","Ready")</x:f>
        <x:v>Ready</x:v>
      </x:c>
      <x:c r="D1238" s="6" t="str">
        <x:v>上</x:v>
      </x:c>
      <x:c r="E1238" s="6" t="str">
        <x:v>sjeX (B)</x:v>
      </x:c>
      <x:c r="F1238" s="6" t="str">
        <x:v>1</x:v>
      </x:c>
      <x:c r="G1238" s="6" t="str"/>
      <x:c r="H1238" s="6" t="str">
        <x:f>IF(B1238="平","平",IF(B1238="","","仄"))</x:f>
        <x:v>仄</x:v>
      </x:c>
      <x:c r="I1238" s="6" t="str">
        <x:f>IF(D1230="","",IF(AND(ISNUMBER(SEARCH("平",D1230)),OR(ISNUMBER(SEARCH("上",D1230)),ISNUMBER(SEARCH("去",D1230)),ISNUMBER(SEARCH("入",D1230)))),"Ambiguous",IF(ISNUMBER(SEARCH("平",D1230)),"平","仄")))</x:f>
        <x:v>平</x:v>
      </x:c>
      <x:c r="J1238" s="7" t="str"/>
    </x:row>
    <x:row r="1239">
      <x:c r="A1239" s="5" t="str">
        <x:v>從</x:v>
      </x:c>
      <x:c r="B1239" s="6" t="str">
        <x:v>平</x:v>
      </x:c>
      <x:c r="C1239" s="6" t="str">
        <x:f>IF(B1239="","Needs decision","Ready")</x:f>
        <x:v>Ready</x:v>
      </x:c>
      <x:c r="D1239" s="6" t="str">
        <x:v>平/去</x:v>
      </x:c>
      <x:c r="E1239" s="6" t="str">
        <x:v>dzjowng (A); tsjowng (A); dzjowngH (C)</x:v>
      </x:c>
      <x:c r="F1239" s="6" t="str">
        <x:v>3</x:v>
      </x:c>
      <x:c r="G1239" s="6" t="str"/>
      <x:c r="H1239" s="6" t="str">
        <x:f>IF(B1239="平","平",IF(B1239="","","仄"))</x:f>
        <x:v>平</x:v>
      </x:c>
      <x:c r="I1239" s="6" t="str">
        <x:f>IF(D1231="","",IF(AND(ISNUMBER(SEARCH("平",D1231)),OR(ISNUMBER(SEARCH("上",D1231)),ISNUMBER(SEARCH("去",D1231)),ISNUMBER(SEARCH("入",D1231)))),"Ambiguous",IF(ISNUMBER(SEARCH("平",D1231)),"平","仄")))</x:f>
        <x:v>仄</x:v>
      </x:c>
      <x:c r="J1239" s="7" t="str"/>
    </x:row>
    <x:row r="1240">
      <x:c r="A1240" s="5" t="str">
        <x:v>徠</x:v>
      </x:c>
      <x:c r="B1240" s="6" t="str">
        <x:v>平</x:v>
      </x:c>
      <x:c r="C1240" s="6" t="str">
        <x:f>IF(B1240="","Needs decision","Ready")</x:f>
        <x:v>Ready</x:v>
      </x:c>
      <x:c r="D1240" s="6" t="str">
        <x:v>平</x:v>
      </x:c>
      <x:c r="E1240" s="6" t="str"/>
      <x:c r="F1240" s="6" t="str"/>
      <x:c r="G1240" s="6" t="str">
        <x:v>Manual user correction/addition</x:v>
      </x:c>
      <x:c r="H1240" s="6" t="str">
        <x:f>IF(B1240="平","平",IF(B1240="","","仄"))</x:f>
        <x:v>平</x:v>
      </x:c>
      <x:c r="I1240" s="6" t="str">
        <x:f>IF(D1232="","",IF(AND(ISNUMBER(SEARCH("平",D1232)),OR(ISNUMBER(SEARCH("上",D1232)),ISNUMBER(SEARCH("去",D1232)),ISNUMBER(SEARCH("入",D1232)))),"Ambiguous",IF(ISNUMBER(SEARCH("平",D1232)),"平","仄")))</x:f>
        <x:v>仄</x:v>
      </x:c>
      <x:c r="J1240" s="7" t="str">
        <x:v>manual user correction</x:v>
      </x:c>
    </x:row>
    <x:row r="1241">
      <x:c r="A1241" s="5" t="str">
        <x:v>御</x:v>
      </x:c>
      <x:c r="B1241" s="6" t="str"/>
      <x:c r="C1241" s="6" t="str">
        <x:f>IF(B1241="","Needs decision","Ready")</x:f>
        <x:v>Needs decision</x:v>
      </x:c>
      <x:c r="D1241" s="6" t="str">
        <x:v>上/去</x:v>
      </x:c>
      <x:c r="E1241" s="6" t="str">
        <x:v>ngjoX (B); ngjoH (C)</x:v>
      </x:c>
      <x:c r="F1241" s="6" t="str">
        <x:v>2</x:v>
      </x:c>
      <x:c r="G1241" s="6" t="str"/>
      <x:c r="H1241" s="6" t="str">
        <x:f>IF(B1241="平","平",IF(B1241="","","仄"))</x:f>
      </x:c>
      <x:c r="I1241" s="6" t="str">
        <x:f>IF(D1233="","",IF(AND(ISNUMBER(SEARCH("平",D1233)),OR(ISNUMBER(SEARCH("上",D1233)),ISNUMBER(SEARCH("去",D1233)),ISNUMBER(SEARCH("入",D1233)))),"Ambiguous",IF(ISNUMBER(SEARCH("平",D1233)),"平","仄")))</x:f>
        <x:v>平</x:v>
      </x:c>
      <x:c r="J1241" s="7" t="str"/>
    </x:row>
    <x:row r="1242">
      <x:c r="A1242" s="5" t="str">
        <x:v>徧</x:v>
      </x:c>
      <x:c r="B1242" s="6" t="str">
        <x:v>去</x:v>
      </x:c>
      <x:c r="C1242" s="6" t="str">
        <x:f>IF(B1242="","Needs decision","Ready")</x:f>
        <x:v>Ready</x:v>
      </x:c>
      <x:c r="D1242" s="6" t="str">
        <x:v>去</x:v>
      </x:c>
      <x:c r="E1242" s="6" t="str">
        <x:v>penH (C)</x:v>
      </x:c>
      <x:c r="F1242" s="6" t="str">
        <x:v>1</x:v>
      </x:c>
      <x:c r="G1242" s="6" t="str"/>
      <x:c r="H1242" s="6" t="str">
        <x:f>IF(B1242="平","平",IF(B1242="","","仄"))</x:f>
        <x:v>仄</x:v>
      </x:c>
      <x:c r="I1242" s="6" t="str">
        <x:f>IF(D1234="","",IF(AND(ISNUMBER(SEARCH("平",D1234)),OR(ISNUMBER(SEARCH("上",D1234)),ISNUMBER(SEARCH("去",D1234)),ISNUMBER(SEARCH("入",D1234)))),"Ambiguous",IF(ISNUMBER(SEARCH("平",D1234)),"平","仄")))</x:f>
        <x:v>仄</x:v>
      </x:c>
      <x:c r="J1242" s="7" t="str"/>
    </x:row>
    <x:row r="1243">
      <x:c r="A1243" s="5" t="str">
        <x:v>徨</x:v>
      </x:c>
      <x:c r="B1243" s="6" t="str">
        <x:v>平</x:v>
      </x:c>
      <x:c r="C1243" s="6" t="str">
        <x:f>IF(B1243="","Needs decision","Ready")</x:f>
        <x:v>Ready</x:v>
      </x:c>
      <x:c r="D1243" s="6" t="str">
        <x:v>平</x:v>
      </x:c>
      <x:c r="E1243" s="6" t="str">
        <x:v>hwang (A)</x:v>
      </x:c>
      <x:c r="F1243" s="6" t="str">
        <x:v>1</x:v>
      </x:c>
      <x:c r="G1243" s="6" t="str"/>
      <x:c r="H1243" s="6" t="str">
        <x:f>IF(B1243="平","平",IF(B1243="","","仄"))</x:f>
        <x:v>平</x:v>
      </x:c>
      <x:c r="I1243" s="6" t="str">
        <x:f>IF(D1235="","",IF(AND(ISNUMBER(SEARCH("平",D1235)),OR(ISNUMBER(SEARCH("上",D1235)),ISNUMBER(SEARCH("去",D1235)),ISNUMBER(SEARCH("入",D1235)))),"Ambiguous",IF(ISNUMBER(SEARCH("平",D1235)),"平","仄")))</x:f>
        <x:v>平</x:v>
      </x:c>
      <x:c r="J1243" s="7" t="str"/>
    </x:row>
    <x:row r="1244">
      <x:c r="A1244" s="5" t="str">
        <x:v>復</x:v>
      </x:c>
      <x:c r="B1244" s="6" t="str"/>
      <x:c r="C1244" s="6" t="str">
        <x:f>IF(B1244="","Needs decision","Ready")</x:f>
        <x:v>Needs decision</x:v>
      </x:c>
      <x:c r="D1244" s="6" t="str">
        <x:v>去/入</x:v>
      </x:c>
      <x:c r="E1244" s="6" t="str">
        <x:v>bjuwH (C); bjuwk (D)</x:v>
      </x:c>
      <x:c r="F1244" s="6" t="str">
        <x:v>2</x:v>
      </x:c>
      <x:c r="G1244" s="6" t="str"/>
      <x:c r="H1244" s="6" t="str">
        <x:f>IF(B1244="平","平",IF(B1244="","","仄"))</x:f>
      </x:c>
      <x:c r="I1244" s="6" t="str">
        <x:f>IF(D1236="","",IF(AND(ISNUMBER(SEARCH("平",D1236)),OR(ISNUMBER(SEARCH("上",D1236)),ISNUMBER(SEARCH("去",D1236)),ISNUMBER(SEARCH("入",D1236)))),"Ambiguous",IF(ISNUMBER(SEARCH("平",D1236)),"平","仄")))</x:f>
        <x:v>仄</x:v>
      </x:c>
      <x:c r="J1244" s="7" t="str"/>
    </x:row>
    <x:row r="1245">
      <x:c r="A1245" s="5" t="str">
        <x:v>循</x:v>
      </x:c>
      <x:c r="B1245" s="6" t="str">
        <x:v>平</x:v>
      </x:c>
      <x:c r="C1245" s="6" t="str">
        <x:f>IF(B1245="","Needs decision","Ready")</x:f>
        <x:v>Ready</x:v>
      </x:c>
      <x:c r="D1245" s="6" t="str">
        <x:v>平</x:v>
      </x:c>
      <x:c r="E1245" s="6" t="str">
        <x:v>zwin (A)</x:v>
      </x:c>
      <x:c r="F1245" s="6" t="str">
        <x:v>1</x:v>
      </x:c>
      <x:c r="G1245" s="6" t="str"/>
      <x:c r="H1245" s="6" t="str">
        <x:f>IF(B1245="平","平",IF(B1245="","","仄"))</x:f>
        <x:v>平</x:v>
      </x:c>
      <x:c r="I1245" s="6" t="str">
        <x:f>IF(D1237="","",IF(AND(ISNUMBER(SEARCH("平",D1237)),OR(ISNUMBER(SEARCH("上",D1237)),ISNUMBER(SEARCH("去",D1237)),ISNUMBER(SEARCH("入",D1237)))),"Ambiguous",IF(ISNUMBER(SEARCH("平",D1237)),"平","仄")))</x:f>
        <x:v>平</x:v>
      </x:c>
      <x:c r="J1245" s="7" t="str"/>
    </x:row>
    <x:row r="1246">
      <x:c r="A1246" s="5" t="str">
        <x:v>徬</x:v>
      </x:c>
      <x:c r="B1246" s="6" t="str">
        <x:v>平</x:v>
      </x:c>
      <x:c r="C1246" s="6" t="str">
        <x:f>IF(B1246="","Needs decision","Ready")</x:f>
        <x:v>Ready</x:v>
      </x:c>
      <x:c r="D1246" s="6" t="str">
        <x:v>平</x:v>
      </x:c>
      <x:c r="E1246" s="6" t="str">
        <x:v>bang (A)</x:v>
      </x:c>
      <x:c r="F1246" s="6" t="str">
        <x:v>1</x:v>
      </x:c>
      <x:c r="G1246" s="6" t="str"/>
      <x:c r="H1246" s="6" t="str">
        <x:f>IF(B1246="平","平",IF(B1246="","","仄"))</x:f>
        <x:v>平</x:v>
      </x:c>
      <x:c r="I1246" s="6" t="str">
        <x:f>IF(D1238="","",IF(AND(ISNUMBER(SEARCH("平",D1238)),OR(ISNUMBER(SEARCH("上",D1238)),ISNUMBER(SEARCH("去",D1238)),ISNUMBER(SEARCH("入",D1238)))),"Ambiguous",IF(ISNUMBER(SEARCH("平",D1238)),"平","仄")))</x:f>
        <x:v>仄</x:v>
      </x:c>
      <x:c r="J1246" s="7" t="str"/>
    </x:row>
    <x:row r="1247">
      <x:c r="A1247" s="5" t="str">
        <x:v>徭</x:v>
      </x:c>
      <x:c r="B1247" s="6" t="str">
        <x:v>平</x:v>
      </x:c>
      <x:c r="C1247" s="6" t="str">
        <x:f>IF(B1247="","Needs decision","Ready")</x:f>
        <x:v>Ready</x:v>
      </x:c>
      <x:c r="D1247" s="6" t="str">
        <x:v>平</x:v>
      </x:c>
      <x:c r="E1247" s="6" t="str">
        <x:v>yew (A)</x:v>
      </x:c>
      <x:c r="F1247" s="6" t="str">
        <x:v>1</x:v>
      </x:c>
      <x:c r="G1247" s="6" t="str"/>
      <x:c r="H1247" s="6" t="str">
        <x:f>IF(B1247="平","平",IF(B1247="","","仄"))</x:f>
        <x:v>平</x:v>
      </x:c>
      <x:c r="I1247" s="6" t="str">
        <x:f>IF(D1239="","",IF(AND(ISNUMBER(SEARCH("平",D1239)),OR(ISNUMBER(SEARCH("上",D1239)),ISNUMBER(SEARCH("去",D1239)),ISNUMBER(SEARCH("入",D1239)))),"Ambiguous",IF(ISNUMBER(SEARCH("平",D1239)),"平","仄")))</x:f>
        <x:v>Ambiguous</x:v>
      </x:c>
      <x:c r="J1247" s="7" t="str"/>
    </x:row>
    <x:row r="1248">
      <x:c r="A1248" s="5" t="str">
        <x:v>微</x:v>
      </x:c>
      <x:c r="B1248" s="6" t="str">
        <x:v>平</x:v>
      </x:c>
      <x:c r="C1248" s="6" t="str">
        <x:f>IF(B1248="","Needs decision","Ready")</x:f>
        <x:v>Ready</x:v>
      </x:c>
      <x:c r="D1248" s="6" t="str">
        <x:v>平</x:v>
      </x:c>
      <x:c r="E1248" s="6" t="str">
        <x:v>mj+j (A)</x:v>
      </x:c>
      <x:c r="F1248" s="6" t="str">
        <x:v>1</x:v>
      </x:c>
      <x:c r="G1248" s="6" t="str"/>
      <x:c r="H1248" s="6" t="str">
        <x:f>IF(B1248="平","平",IF(B1248="","","仄"))</x:f>
        <x:v>平</x:v>
      </x:c>
      <x:c r="I1248" s="6" t="str">
        <x:f>IF(D1240="","",IF(AND(ISNUMBER(SEARCH("平",D1240)),OR(ISNUMBER(SEARCH("上",D1240)),ISNUMBER(SEARCH("去",D1240)),ISNUMBER(SEARCH("入",D1240)))),"Ambiguous",IF(ISNUMBER(SEARCH("平",D1240)),"平","仄")))</x:f>
        <x:v>平</x:v>
      </x:c>
      <x:c r="J1248" s="7" t="str"/>
    </x:row>
    <x:row r="1249">
      <x:c r="A1249" s="5" t="str">
        <x:v>徵</x:v>
      </x:c>
      <x:c r="B1249" s="6" t="str">
        <x:v>平</x:v>
      </x:c>
      <x:c r="C1249" s="6" t="str">
        <x:f>IF(B1249="","Needs decision","Ready")</x:f>
        <x:v>Ready</x:v>
      </x:c>
      <x:c r="D1249" s="6" t="str">
        <x:v>平</x:v>
      </x:c>
      <x:c r="E1249" s="6" t="str">
        <x:v>tring (A)</x:v>
      </x:c>
      <x:c r="F1249" s="6" t="str">
        <x:v>1</x:v>
      </x:c>
      <x:c r="G1249" s="6" t="str"/>
      <x:c r="H1249" s="6" t="str">
        <x:f>IF(B1249="平","平",IF(B1249="","","仄"))</x:f>
        <x:v>平</x:v>
      </x:c>
      <x:c r="I1249" s="6" t="str">
        <x:f>IF(D1241="","",IF(AND(ISNUMBER(SEARCH("平",D1241)),OR(ISNUMBER(SEARCH("上",D1241)),ISNUMBER(SEARCH("去",D1241)),ISNUMBER(SEARCH("入",D1241)))),"Ambiguous",IF(ISNUMBER(SEARCH("平",D1241)),"平","仄")))</x:f>
        <x:v>仄</x:v>
      </x:c>
      <x:c r="J1249" s="7" t="str"/>
    </x:row>
    <x:row r="1250">
      <x:c r="A1250" s="5" t="str">
        <x:v>德</x:v>
      </x:c>
      <x:c r="B1250" s="6" t="str">
        <x:v>入</x:v>
      </x:c>
      <x:c r="C1250" s="6" t="str">
        <x:f>IF(B1250="","Needs decision","Ready")</x:f>
        <x:v>Ready</x:v>
      </x:c>
      <x:c r="D1250" s="6" t="str">
        <x:v>入</x:v>
      </x:c>
      <x:c r="E1250" s="6" t="str">
        <x:v>tok (D)</x:v>
      </x:c>
      <x:c r="F1250" s="6" t="str">
        <x:v>1</x:v>
      </x:c>
      <x:c r="G1250" s="6" t="str"/>
      <x:c r="H1250" s="6" t="str">
        <x:f>IF(B1250="平","平",IF(B1250="","","仄"))</x:f>
        <x:v>仄</x:v>
      </x:c>
      <x:c r="I1250" s="6" t="str">
        <x:f>IF(D1242="","",IF(AND(ISNUMBER(SEARCH("平",D1242)),OR(ISNUMBER(SEARCH("上",D1242)),ISNUMBER(SEARCH("去",D1242)),ISNUMBER(SEARCH("入",D1242)))),"Ambiguous",IF(ISNUMBER(SEARCH("平",D1242)),"平","仄")))</x:f>
        <x:v>仄</x:v>
      </x:c>
      <x:c r="J1250" s="7" t="str"/>
    </x:row>
    <x:row r="1251">
      <x:c r="A1251" s="5" t="str">
        <x:v>徹</x:v>
      </x:c>
      <x:c r="B1251" s="6" t="str">
        <x:v>入</x:v>
      </x:c>
      <x:c r="C1251" s="6" t="str">
        <x:f>IF(B1251="","Needs decision","Ready")</x:f>
        <x:v>Ready</x:v>
      </x:c>
      <x:c r="D1251" s="6" t="str">
        <x:v>入</x:v>
      </x:c>
      <x:c r="E1251" s="6" t="str">
        <x:v>drjet (D); trhjet (D)</x:v>
      </x:c>
      <x:c r="F1251" s="6" t="str">
        <x:v>2</x:v>
      </x:c>
      <x:c r="G1251" s="6" t="str"/>
      <x:c r="H1251" s="6" t="str">
        <x:f>IF(B1251="平","平",IF(B1251="","","仄"))</x:f>
        <x:v>仄</x:v>
      </x:c>
      <x:c r="I1251" s="6" t="str">
        <x:f>IF(D1243="","",IF(AND(ISNUMBER(SEARCH("平",D1243)),OR(ISNUMBER(SEARCH("上",D1243)),ISNUMBER(SEARCH("去",D1243)),ISNUMBER(SEARCH("入",D1243)))),"Ambiguous",IF(ISNUMBER(SEARCH("平",D1243)),"平","仄")))</x:f>
        <x:v>平</x:v>
      </x:c>
      <x:c r="J1251" s="7" t="str"/>
    </x:row>
    <x:row r="1252">
      <x:c r="A1252" s="5" t="str">
        <x:v>徼</x:v>
      </x:c>
      <x:c r="B1252" s="6" t="str"/>
      <x:c r="C1252" s="6" t="str">
        <x:f>IF(B1252="","Needs decision","Ready")</x:f>
        <x:v>Needs decision</x:v>
      </x:c>
      <x:c r="D1252" s="6" t="str">
        <x:v>平/去</x:v>
      </x:c>
      <x:c r="E1252" s="6" t="str">
        <x:v>kew (A); kewH (C)</x:v>
      </x:c>
      <x:c r="F1252" s="6" t="str">
        <x:v>2</x:v>
      </x:c>
      <x:c r="G1252" s="6" t="str"/>
      <x:c r="H1252" s="6" t="str">
        <x:f>IF(B1252="平","平",IF(B1252="","","仄"))</x:f>
      </x:c>
      <x:c r="I1252" s="6" t="str">
        <x:f>IF(D1244="","",IF(AND(ISNUMBER(SEARCH("平",D1244)),OR(ISNUMBER(SEARCH("上",D1244)),ISNUMBER(SEARCH("去",D1244)),ISNUMBER(SEARCH("入",D1244)))),"Ambiguous",IF(ISNUMBER(SEARCH("平",D1244)),"平","仄")))</x:f>
        <x:v>仄</x:v>
      </x:c>
      <x:c r="J1252" s="7" t="str"/>
    </x:row>
    <x:row r="1253">
      <x:c r="A1253" s="5" t="str">
        <x:v>徽</x:v>
      </x:c>
      <x:c r="B1253" s="6" t="str">
        <x:v>平</x:v>
      </x:c>
      <x:c r="C1253" s="6" t="str">
        <x:f>IF(B1253="","Needs decision","Ready")</x:f>
        <x:v>Ready</x:v>
      </x:c>
      <x:c r="D1253" s="6" t="str">
        <x:v>平</x:v>
      </x:c>
      <x:c r="E1253" s="6" t="str">
        <x:v>xjw+j (A)</x:v>
      </x:c>
      <x:c r="F1253" s="6" t="str">
        <x:v>1</x:v>
      </x:c>
      <x:c r="G1253" s="6" t="str"/>
      <x:c r="H1253" s="6" t="str">
        <x:f>IF(B1253="平","平",IF(B1253="","","仄"))</x:f>
        <x:v>平</x:v>
      </x:c>
      <x:c r="I1253" s="6" t="str">
        <x:f>IF(D1245="","",IF(AND(ISNUMBER(SEARCH("平",D1245)),OR(ISNUMBER(SEARCH("上",D1245)),ISNUMBER(SEARCH("去",D1245)),ISNUMBER(SEARCH("入",D1245)))),"Ambiguous",IF(ISNUMBER(SEARCH("平",D1245)),"平","仄")))</x:f>
        <x:v>平</x:v>
      </x:c>
      <x:c r="J1253" s="7" t="str"/>
    </x:row>
    <x:row r="1254">
      <x:c r="A1254" s="5" t="str">
        <x:v>心</x:v>
      </x:c>
      <x:c r="B1254" s="6" t="str">
        <x:v>平</x:v>
      </x:c>
      <x:c r="C1254" s="6" t="str">
        <x:f>IF(B1254="","Needs decision","Ready")</x:f>
        <x:v>Ready</x:v>
      </x:c>
      <x:c r="D1254" s="6" t="str">
        <x:v>平</x:v>
      </x:c>
      <x:c r="E1254" s="6" t="str">
        <x:v>sim (A)</x:v>
      </x:c>
      <x:c r="F1254" s="6" t="str">
        <x:v>1</x:v>
      </x:c>
      <x:c r="G1254" s="6" t="str"/>
      <x:c r="H1254" s="6" t="str">
        <x:f>IF(B1254="平","平",IF(B1254="","","仄"))</x:f>
        <x:v>平</x:v>
      </x:c>
      <x:c r="I1254" s="6" t="str">
        <x:f>IF(D1246="","",IF(AND(ISNUMBER(SEARCH("平",D1246)),OR(ISNUMBER(SEARCH("上",D1246)),ISNUMBER(SEARCH("去",D1246)),ISNUMBER(SEARCH("入",D1246)))),"Ambiguous",IF(ISNUMBER(SEARCH("平",D1246)),"平","仄")))</x:f>
        <x:v>平</x:v>
      </x:c>
      <x:c r="J1254" s="7" t="str"/>
    </x:row>
    <x:row r="1255">
      <x:c r="A1255" s="5" t="str">
        <x:v>必</x:v>
      </x:c>
      <x:c r="B1255" s="6" t="str">
        <x:v>入</x:v>
      </x:c>
      <x:c r="C1255" s="6" t="str">
        <x:f>IF(B1255="","Needs decision","Ready")</x:f>
        <x:v>Ready</x:v>
      </x:c>
      <x:c r="D1255" s="6" t="str">
        <x:v>入</x:v>
      </x:c>
      <x:c r="E1255" s="6" t="str">
        <x:v>pjit (D)</x:v>
      </x:c>
      <x:c r="F1255" s="6" t="str">
        <x:v>1</x:v>
      </x:c>
      <x:c r="G1255" s="6" t="str"/>
      <x:c r="H1255" s="6" t="str">
        <x:f>IF(B1255="平","平",IF(B1255="","","仄"))</x:f>
        <x:v>仄</x:v>
      </x:c>
      <x:c r="I1255" s="6" t="str">
        <x:f>IF(D1247="","",IF(AND(ISNUMBER(SEARCH("平",D1247)),OR(ISNUMBER(SEARCH("上",D1247)),ISNUMBER(SEARCH("去",D1247)),ISNUMBER(SEARCH("入",D1247)))),"Ambiguous",IF(ISNUMBER(SEARCH("平",D1247)),"平","仄")))</x:f>
        <x:v>平</x:v>
      </x:c>
      <x:c r="J1255" s="7" t="str"/>
    </x:row>
    <x:row r="1256">
      <x:c r="A1256" s="5" t="str">
        <x:v>忌</x:v>
      </x:c>
      <x:c r="B1256" s="6" t="str">
        <x:v>去</x:v>
      </x:c>
      <x:c r="C1256" s="6" t="str">
        <x:f>IF(B1256="","Needs decision","Ready")</x:f>
        <x:v>Ready</x:v>
      </x:c>
      <x:c r="D1256" s="6" t="str">
        <x:v>去</x:v>
      </x:c>
      <x:c r="E1256" s="6" t="str">
        <x:v>giH (C)</x:v>
      </x:c>
      <x:c r="F1256" s="6" t="str">
        <x:v>1</x:v>
      </x:c>
      <x:c r="G1256" s="6" t="str"/>
      <x:c r="H1256" s="6" t="str">
        <x:f>IF(B1256="平","平",IF(B1256="","","仄"))</x:f>
        <x:v>仄</x:v>
      </x:c>
      <x:c r="I1256" s="6" t="str">
        <x:f>IF(D1248="","",IF(AND(ISNUMBER(SEARCH("平",D1248)),OR(ISNUMBER(SEARCH("上",D1248)),ISNUMBER(SEARCH("去",D1248)),ISNUMBER(SEARCH("入",D1248)))),"Ambiguous",IF(ISNUMBER(SEARCH("平",D1248)),"平","仄")))</x:f>
        <x:v>平</x:v>
      </x:c>
      <x:c r="J1256" s="7" t="str"/>
    </x:row>
    <x:row r="1257">
      <x:c r="A1257" s="5" t="str">
        <x:v>忍</x:v>
      </x:c>
      <x:c r="B1257" s="6" t="str">
        <x:v>上</x:v>
      </x:c>
      <x:c r="C1257" s="6" t="str">
        <x:f>IF(B1257="","Needs decision","Ready")</x:f>
        <x:v>Ready</x:v>
      </x:c>
      <x:c r="D1257" s="6" t="str">
        <x:v>上</x:v>
      </x:c>
      <x:c r="E1257" s="6" t="str">
        <x:v>nyinX (B)</x:v>
      </x:c>
      <x:c r="F1257" s="6" t="str">
        <x:v>1</x:v>
      </x:c>
      <x:c r="G1257" s="6" t="str"/>
      <x:c r="H1257" s="6" t="str">
        <x:f>IF(B1257="平","平",IF(B1257="","","仄"))</x:f>
        <x:v>仄</x:v>
      </x:c>
      <x:c r="I1257" s="6" t="str">
        <x:f>IF(D1249="","",IF(AND(ISNUMBER(SEARCH("平",D1249)),OR(ISNUMBER(SEARCH("上",D1249)),ISNUMBER(SEARCH("去",D1249)),ISNUMBER(SEARCH("入",D1249)))),"Ambiguous",IF(ISNUMBER(SEARCH("平",D1249)),"平","仄")))</x:f>
        <x:v>平</x:v>
      </x:c>
      <x:c r="J1257" s="7" t="str"/>
    </x:row>
    <x:row r="1258">
      <x:c r="A1258" s="5" t="str">
        <x:v>忒</x:v>
      </x:c>
      <x:c r="B1258" s="6" t="str">
        <x:v>入</x:v>
      </x:c>
      <x:c r="C1258" s="6" t="str">
        <x:f>IF(B1258="","Needs decision","Ready")</x:f>
        <x:v>Ready</x:v>
      </x:c>
      <x:c r="D1258" s="6" t="str">
        <x:v>入</x:v>
      </x:c>
      <x:c r="E1258" s="6" t="str">
        <x:v>thok (D)</x:v>
      </x:c>
      <x:c r="F1258" s="6" t="str">
        <x:v>1</x:v>
      </x:c>
      <x:c r="G1258" s="6" t="str"/>
      <x:c r="H1258" s="6" t="str">
        <x:f>IF(B1258="平","平",IF(B1258="","","仄"))</x:f>
        <x:v>仄</x:v>
      </x:c>
      <x:c r="I1258" s="6" t="str">
        <x:f>IF(D1250="","",IF(AND(ISNUMBER(SEARCH("平",D1250)),OR(ISNUMBER(SEARCH("上",D1250)),ISNUMBER(SEARCH("去",D1250)),ISNUMBER(SEARCH("入",D1250)))),"Ambiguous",IF(ISNUMBER(SEARCH("平",D1250)),"平","仄")))</x:f>
        <x:v>仄</x:v>
      </x:c>
      <x:c r="J1258" s="7" t="str"/>
    </x:row>
    <x:row r="1259">
      <x:c r="A1259" s="5" t="str">
        <x:v>忖</x:v>
      </x:c>
      <x:c r="B1259" s="6" t="str">
        <x:v>上</x:v>
      </x:c>
      <x:c r="C1259" s="6" t="str">
        <x:f>IF(B1259="","Needs decision","Ready")</x:f>
        <x:v>Ready</x:v>
      </x:c>
      <x:c r="D1259" s="6" t="str">
        <x:v>上</x:v>
      </x:c>
      <x:c r="E1259" s="6" t="str">
        <x:v>tshwonX (B)</x:v>
      </x:c>
      <x:c r="F1259" s="6" t="str">
        <x:v>1</x:v>
      </x:c>
      <x:c r="G1259" s="6" t="str"/>
      <x:c r="H1259" s="6" t="str">
        <x:f>IF(B1259="平","平",IF(B1259="","","仄"))</x:f>
        <x:v>仄</x:v>
      </x:c>
      <x:c r="I1259" s="6" t="str">
        <x:f>IF(D1251="","",IF(AND(ISNUMBER(SEARCH("平",D1251)),OR(ISNUMBER(SEARCH("上",D1251)),ISNUMBER(SEARCH("去",D1251)),ISNUMBER(SEARCH("入",D1251)))),"Ambiguous",IF(ISNUMBER(SEARCH("平",D1251)),"平","仄")))</x:f>
        <x:v>仄</x:v>
      </x:c>
      <x:c r="J1259" s="7" t="str"/>
    </x:row>
    <x:row r="1260">
      <x:c r="A1260" s="5" t="str">
        <x:v>志</x:v>
      </x:c>
      <x:c r="B1260" s="6" t="str">
        <x:v>去</x:v>
      </x:c>
      <x:c r="C1260" s="6" t="str">
        <x:f>IF(B1260="","Needs decision","Ready")</x:f>
        <x:v>Ready</x:v>
      </x:c>
      <x:c r="D1260" s="6" t="str">
        <x:v>去</x:v>
      </x:c>
      <x:c r="E1260" s="6" t="str">
        <x:v>tsyiH (C)</x:v>
      </x:c>
      <x:c r="F1260" s="6" t="str">
        <x:v>1</x:v>
      </x:c>
      <x:c r="G1260" s="6" t="str"/>
      <x:c r="H1260" s="6" t="str">
        <x:f>IF(B1260="平","平",IF(B1260="","","仄"))</x:f>
        <x:v>仄</x:v>
      </x:c>
      <x:c r="I1260" s="6" t="str">
        <x:f>IF(D1252="","",IF(AND(ISNUMBER(SEARCH("平",D1252)),OR(ISNUMBER(SEARCH("上",D1252)),ISNUMBER(SEARCH("去",D1252)),ISNUMBER(SEARCH("入",D1252)))),"Ambiguous",IF(ISNUMBER(SEARCH("平",D1252)),"平","仄")))</x:f>
        <x:v>Ambiguous</x:v>
      </x:c>
      <x:c r="J1260" s="7" t="str"/>
    </x:row>
    <x:row r="1261">
      <x:c r="A1261" s="5" t="str">
        <x:v>忘</x:v>
      </x:c>
      <x:c r="B1261" s="6" t="str">
        <x:v>去</x:v>
      </x:c>
      <x:c r="C1261" s="6" t="str">
        <x:f>IF(B1261="","Needs decision","Ready")</x:f>
        <x:v>Ready</x:v>
      </x:c>
      <x:c r="D1261" s="6" t="str">
        <x:v>平/去</x:v>
      </x:c>
      <x:c r="E1261" s="6" t="str">
        <x:v>mjang (A); mjangH (C)</x:v>
      </x:c>
      <x:c r="F1261" s="6" t="str">
        <x:v>2</x:v>
      </x:c>
      <x:c r="G1261" s="6" t="str"/>
      <x:c r="H1261" s="6" t="str">
        <x:f>IF(B1261="平","平",IF(B1261="","","仄"))</x:f>
        <x:v>仄</x:v>
      </x:c>
      <x:c r="I1261" s="6" t="str">
        <x:f>IF(D1253="","",IF(AND(ISNUMBER(SEARCH("平",D1253)),OR(ISNUMBER(SEARCH("上",D1253)),ISNUMBER(SEARCH("去",D1253)),ISNUMBER(SEARCH("入",D1253)))),"Ambiguous",IF(ISNUMBER(SEARCH("平",D1253)),"平","仄")))</x:f>
        <x:v>平</x:v>
      </x:c>
      <x:c r="J1261" s="7" t="str"/>
    </x:row>
    <x:row r="1262">
      <x:c r="A1262" s="5" t="str">
        <x:v>忙</x:v>
      </x:c>
      <x:c r="B1262" s="6" t="str">
        <x:v>平</x:v>
      </x:c>
      <x:c r="C1262" s="6" t="str">
        <x:f>IF(B1262="","Needs decision","Ready")</x:f>
        <x:v>Ready</x:v>
      </x:c>
      <x:c r="D1262" s="6" t="str">
        <x:v>平</x:v>
      </x:c>
      <x:c r="E1262" s="6" t="str">
        <x:v>mang (A)</x:v>
      </x:c>
      <x:c r="F1262" s="6" t="str">
        <x:v>1</x:v>
      </x:c>
      <x:c r="G1262" s="6" t="str"/>
      <x:c r="H1262" s="6" t="str">
        <x:f>IF(B1262="平","平",IF(B1262="","","仄"))</x:f>
        <x:v>平</x:v>
      </x:c>
      <x:c r="I1262" s="6" t="str">
        <x:f>IF(D1254="","",IF(AND(ISNUMBER(SEARCH("平",D1254)),OR(ISNUMBER(SEARCH("上",D1254)),ISNUMBER(SEARCH("去",D1254)),ISNUMBER(SEARCH("入",D1254)))),"Ambiguous",IF(ISNUMBER(SEARCH("平",D1254)),"平","仄")))</x:f>
        <x:v>平</x:v>
      </x:c>
      <x:c r="J1262" s="7" t="str"/>
    </x:row>
    <x:row r="1263">
      <x:c r="A1263" s="5" t="str">
        <x:v>忝</x:v>
      </x:c>
      <x:c r="B1263" s="6" t="str"/>
      <x:c r="C1263" s="6" t="str">
        <x:f>IF(B1263="","Needs decision","Ready")</x:f>
        <x:v>Needs decision</x:v>
      </x:c>
      <x:c r="D1263" s="6" t="str">
        <x:v>上/去</x:v>
      </x:c>
      <x:c r="E1263" s="6" t="str">
        <x:v>themX (B); themH (C)</x:v>
      </x:c>
      <x:c r="F1263" s="6" t="str">
        <x:v>2</x:v>
      </x:c>
      <x:c r="G1263" s="6" t="str"/>
      <x:c r="H1263" s="6" t="str">
        <x:f>IF(B1263="平","平",IF(B1263="","","仄"))</x:f>
      </x:c>
      <x:c r="I1263" s="6" t="str">
        <x:f>IF(D1255="","",IF(AND(ISNUMBER(SEARCH("平",D1255)),OR(ISNUMBER(SEARCH("上",D1255)),ISNUMBER(SEARCH("去",D1255)),ISNUMBER(SEARCH("入",D1255)))),"Ambiguous",IF(ISNUMBER(SEARCH("平",D1255)),"平","仄")))</x:f>
        <x:v>仄</x:v>
      </x:c>
      <x:c r="J1263" s="7" t="str"/>
    </x:row>
    <x:row r="1264">
      <x:c r="A1264" s="5" t="str">
        <x:v>忠</x:v>
      </x:c>
      <x:c r="B1264" s="6" t="str">
        <x:v>平</x:v>
      </x:c>
      <x:c r="C1264" s="6" t="str">
        <x:f>IF(B1264="","Needs decision","Ready")</x:f>
        <x:v>Ready</x:v>
      </x:c>
      <x:c r="D1264" s="6" t="str">
        <x:v>平</x:v>
      </x:c>
      <x:c r="E1264" s="6" t="str">
        <x:v>trjuwng (A)</x:v>
      </x:c>
      <x:c r="F1264" s="6" t="str">
        <x:v>1</x:v>
      </x:c>
      <x:c r="G1264" s="6" t="str"/>
      <x:c r="H1264" s="6" t="str">
        <x:f>IF(B1264="平","平",IF(B1264="","","仄"))</x:f>
        <x:v>平</x:v>
      </x:c>
      <x:c r="I1264" s="6" t="str">
        <x:f>IF(D1256="","",IF(AND(ISNUMBER(SEARCH("平",D1256)),OR(ISNUMBER(SEARCH("上",D1256)),ISNUMBER(SEARCH("去",D1256)),ISNUMBER(SEARCH("入",D1256)))),"Ambiguous",IF(ISNUMBER(SEARCH("平",D1256)),"平","仄")))</x:f>
        <x:v>仄</x:v>
      </x:c>
      <x:c r="J1264" s="7" t="str"/>
    </x:row>
    <x:row r="1265">
      <x:c r="A1265" s="5" t="str">
        <x:v>忡</x:v>
      </x:c>
      <x:c r="B1265" s="6" t="str">
        <x:v>平</x:v>
      </x:c>
      <x:c r="C1265" s="6" t="str">
        <x:f>IF(B1265="","Needs decision","Ready")</x:f>
        <x:v>Ready</x:v>
      </x:c>
      <x:c r="D1265" s="6" t="str">
        <x:v>平</x:v>
      </x:c>
      <x:c r="E1265" s="6" t="str">
        <x:v>trhjuwng (A)</x:v>
      </x:c>
      <x:c r="F1265" s="6" t="str">
        <x:v>1</x:v>
      </x:c>
      <x:c r="G1265" s="6" t="str"/>
      <x:c r="H1265" s="6" t="str">
        <x:f>IF(B1265="平","平",IF(B1265="","","仄"))</x:f>
        <x:v>平</x:v>
      </x:c>
      <x:c r="I1265" s="6" t="str">
        <x:f>IF(D1257="","",IF(AND(ISNUMBER(SEARCH("平",D1257)),OR(ISNUMBER(SEARCH("上",D1257)),ISNUMBER(SEARCH("去",D1257)),ISNUMBER(SEARCH("入",D1257)))),"Ambiguous",IF(ISNUMBER(SEARCH("平",D1257)),"平","仄")))</x:f>
        <x:v>仄</x:v>
      </x:c>
      <x:c r="J1265" s="7" t="str"/>
    </x:row>
    <x:row r="1266">
      <x:c r="A1266" s="5" t="str">
        <x:v>快</x:v>
      </x:c>
      <x:c r="B1266" s="6" t="str">
        <x:v>去</x:v>
      </x:c>
      <x:c r="C1266" s="6" t="str">
        <x:f>IF(B1266="","Needs decision","Ready")</x:f>
        <x:v>Ready</x:v>
      </x:c>
      <x:c r="D1266" s="6" t="str">
        <x:v>去</x:v>
      </x:c>
      <x:c r="E1266" s="6" t="str">
        <x:v>khwaejH (C)</x:v>
      </x:c>
      <x:c r="F1266" s="6" t="str">
        <x:v>1</x:v>
      </x:c>
      <x:c r="G1266" s="6" t="str"/>
      <x:c r="H1266" s="6" t="str">
        <x:f>IF(B1266="平","平",IF(B1266="","","仄"))</x:f>
        <x:v>仄</x:v>
      </x:c>
      <x:c r="I1266" s="6" t="str">
        <x:f>IF(D1258="","",IF(AND(ISNUMBER(SEARCH("平",D1258)),OR(ISNUMBER(SEARCH("上",D1258)),ISNUMBER(SEARCH("去",D1258)),ISNUMBER(SEARCH("入",D1258)))),"Ambiguous",IF(ISNUMBER(SEARCH("平",D1258)),"平","仄")))</x:f>
        <x:v>仄</x:v>
      </x:c>
      <x:c r="J1266" s="7" t="str"/>
    </x:row>
    <x:row r="1267">
      <x:c r="A1267" s="5" t="str">
        <x:v>忱</x:v>
      </x:c>
      <x:c r="B1267" s="6" t="str">
        <x:v>平</x:v>
      </x:c>
      <x:c r="C1267" s="6" t="str">
        <x:f>IF(B1267="","Needs decision","Ready")</x:f>
        <x:v>Ready</x:v>
      </x:c>
      <x:c r="D1267" s="6" t="str">
        <x:v>平</x:v>
      </x:c>
      <x:c r="E1267" s="6" t="str">
        <x:v>dzyim (A)</x:v>
      </x:c>
      <x:c r="F1267" s="6" t="str">
        <x:v>1</x:v>
      </x:c>
      <x:c r="G1267" s="6" t="str"/>
      <x:c r="H1267" s="6" t="str">
        <x:f>IF(B1267="平","平",IF(B1267="","","仄"))</x:f>
        <x:v>平</x:v>
      </x:c>
      <x:c r="I1267" s="6" t="str">
        <x:f>IF(D1259="","",IF(AND(ISNUMBER(SEARCH("平",D1259)),OR(ISNUMBER(SEARCH("上",D1259)),ISNUMBER(SEARCH("去",D1259)),ISNUMBER(SEARCH("入",D1259)))),"Ambiguous",IF(ISNUMBER(SEARCH("平",D1259)),"平","仄")))</x:f>
        <x:v>仄</x:v>
      </x:c>
      <x:c r="J1267" s="7" t="str"/>
    </x:row>
    <x:row r="1268">
      <x:c r="A1268" s="5" t="str">
        <x:v>念</x:v>
      </x:c>
      <x:c r="B1268" s="6" t="str">
        <x:v>去</x:v>
      </x:c>
      <x:c r="C1268" s="6" t="str">
        <x:f>IF(B1268="","Needs decision","Ready")</x:f>
        <x:v>Ready</x:v>
      </x:c>
      <x:c r="D1268" s="6" t="str">
        <x:v>去</x:v>
      </x:c>
      <x:c r="E1268" s="6" t="str">
        <x:v>nemH (C)</x:v>
      </x:c>
      <x:c r="F1268" s="6" t="str">
        <x:v>1</x:v>
      </x:c>
      <x:c r="G1268" s="6" t="str"/>
      <x:c r="H1268" s="6" t="str">
        <x:f>IF(B1268="平","平",IF(B1268="","","仄"))</x:f>
        <x:v>仄</x:v>
      </x:c>
      <x:c r="I1268" s="6" t="str">
        <x:f>IF(D1260="","",IF(AND(ISNUMBER(SEARCH("平",D1260)),OR(ISNUMBER(SEARCH("上",D1260)),ISNUMBER(SEARCH("去",D1260)),ISNUMBER(SEARCH("入",D1260)))),"Ambiguous",IF(ISNUMBER(SEARCH("平",D1260)),"平","仄")))</x:f>
        <x:v>仄</x:v>
      </x:c>
      <x:c r="J1268" s="7" t="str"/>
    </x:row>
    <x:row r="1269">
      <x:c r="A1269" s="5" t="str">
        <x:v>忻</x:v>
      </x:c>
      <x:c r="B1269" s="6" t="str">
        <x:v>平</x:v>
      </x:c>
      <x:c r="C1269" s="6" t="str">
        <x:f>IF(B1269="","Needs decision","Ready")</x:f>
        <x:v>Ready</x:v>
      </x:c>
      <x:c r="D1269" s="6" t="str">
        <x:v>平</x:v>
      </x:c>
      <x:c r="E1269" s="6" t="str">
        <x:v>xj+n [曉開三C殷平] xɨn</x:v>
      </x:c>
      <x:c r="F1269" s="6" t="str">
        <x:v>1</x:v>
      </x:c>
      <x:c r="G1269" s="6" t="str">
        <x:v>Targeted preliminary fill from Xun Gong; review if uncertain</x:v>
      </x:c>
      <x:c r="H1269" s="6" t="str">
        <x:f>IF(B1269="平","平",IF(B1269="","","仄"))</x:f>
        <x:v>平</x:v>
      </x:c>
      <x:c r="I1269" s="6" t="str">
        <x:f>IF(D1261="","",IF(AND(ISNUMBER(SEARCH("平",D1261)),OR(ISNUMBER(SEARCH("上",D1261)),ISNUMBER(SEARCH("去",D1261)),ISNUMBER(SEARCH("入",D1261)))),"Ambiguous",IF(ISNUMBER(SEARCH("平",D1261)),"平","仄")))</x:f>
        <x:v>Ambiguous</x:v>
      </x:c>
      <x:c r="J1269" s="7" t="str">
        <x:v>Xun Gong character-readings.csv</x:v>
      </x:c>
    </x:row>
    <x:row r="1270">
      <x:c r="A1270" s="5" t="str">
        <x:v>忽</x:v>
      </x:c>
      <x:c r="B1270" s="6" t="str">
        <x:v>入</x:v>
      </x:c>
      <x:c r="C1270" s="6" t="str">
        <x:f>IF(B1270="","Needs decision","Ready")</x:f>
        <x:v>Ready</x:v>
      </x:c>
      <x:c r="D1270" s="6" t="str">
        <x:v>入</x:v>
      </x:c>
      <x:c r="E1270" s="6" t="str">
        <x:v>xwot (D)</x:v>
      </x:c>
      <x:c r="F1270" s="6" t="str">
        <x:v>1</x:v>
      </x:c>
      <x:c r="G1270" s="6" t="str"/>
      <x:c r="H1270" s="6" t="str">
        <x:f>IF(B1270="平","平",IF(B1270="","","仄"))</x:f>
        <x:v>仄</x:v>
      </x:c>
      <x:c r="I1270" s="6" t="str">
        <x:f>IF(D1262="","",IF(AND(ISNUMBER(SEARCH("平",D1262)),OR(ISNUMBER(SEARCH("上",D1262)),ISNUMBER(SEARCH("去",D1262)),ISNUMBER(SEARCH("入",D1262)))),"Ambiguous",IF(ISNUMBER(SEARCH("平",D1262)),"平","仄")))</x:f>
        <x:v>平</x:v>
      </x:c>
      <x:c r="J1270" s="7" t="str"/>
    </x:row>
    <x:row r="1271">
      <x:c r="A1271" s="5" t="str">
        <x:v>怒</x:v>
      </x:c>
      <x:c r="B1271" s="6" t="str">
        <x:v>去</x:v>
      </x:c>
      <x:c r="C1271" s="6" t="str">
        <x:f>IF(B1271="","Needs decision","Ready")</x:f>
        <x:v>Ready</x:v>
      </x:c>
      <x:c r="D1271" s="6" t="str">
        <x:v>上/去</x:v>
      </x:c>
      <x:c r="E1271" s="6" t="str">
        <x:v>nuX (B); nuH (C)</x:v>
      </x:c>
      <x:c r="F1271" s="6" t="str">
        <x:v>2</x:v>
      </x:c>
      <x:c r="G1271" s="6" t="str"/>
      <x:c r="H1271" s="6" t="str">
        <x:f>IF(B1271="平","平",IF(B1271="","","仄"))</x:f>
        <x:v>仄</x:v>
      </x:c>
      <x:c r="I1271" s="6" t="str">
        <x:f>IF(D1263="","",IF(AND(ISNUMBER(SEARCH("平",D1263)),OR(ISNUMBER(SEARCH("上",D1263)),ISNUMBER(SEARCH("去",D1263)),ISNUMBER(SEARCH("入",D1263)))),"Ambiguous",IF(ISNUMBER(SEARCH("平",D1263)),"平","仄")))</x:f>
        <x:v>仄</x:v>
      </x:c>
      <x:c r="J1271" s="7" t="str"/>
    </x:row>
    <x:row r="1272">
      <x:c r="A1272" s="5" t="str">
        <x:v>怕</x:v>
      </x:c>
      <x:c r="B1272" s="6" t="str"/>
      <x:c r="C1272" s="6" t="str">
        <x:f>IF(B1272="","Needs decision","Ready")</x:f>
        <x:v>Needs decision</x:v>
      </x:c>
      <x:c r="D1272" s="6" t="str">
        <x:v>去/入</x:v>
      </x:c>
      <x:c r="E1272" s="6" t="str">
        <x:v>phaeH [p̙ʰaˤh] (去); phaek [p̙ʰaˤk] (入)</x:v>
      </x:c>
      <x:c r="F1272" s="6" t="str">
        <x:v>2</x:v>
      </x:c>
      <x:c r="G1272" s="6" t="str">
        <x:v>Tang 300 gap; frequency 1; ambiguous in Xun Gong</x:v>
      </x:c>
      <x:c r="H1272" s="6" t="str">
        <x:f>IF(B1272="平","平",IF(B1272="","","仄"))</x:f>
      </x:c>
      <x:c r="I1272" s="6" t="str">
        <x:f>IF(D1264="","",IF(AND(ISNUMBER(SEARCH("平",D1264)),OR(ISNUMBER(SEARCH("上",D1264)),ISNUMBER(SEARCH("去",D1264)),ISNUMBER(SEARCH("入",D1264)))),"Ambiguous",IF(ISNUMBER(SEARCH("平",D1264)),"平","仄")))</x:f>
        <x:v>平</x:v>
      </x:c>
      <x:c r="J1272" s="7" t="str">
        <x:v>Xun Gong, Tang 300 gap fill</x:v>
      </x:c>
    </x:row>
    <x:row r="1273">
      <x:c r="A1273" s="5" t="str">
        <x:v>怖</x:v>
      </x:c>
      <x:c r="B1273" s="6" t="str">
        <x:v>去</x:v>
      </x:c>
      <x:c r="C1273" s="6" t="str">
        <x:f>IF(B1273="","Needs decision","Ready")</x:f>
        <x:v>Ready</x:v>
      </x:c>
      <x:c r="D1273" s="6" t="str">
        <x:v>去</x:v>
      </x:c>
      <x:c r="E1273" s="6" t="str">
        <x:v>phuH [滂一模去] p̙ʰoh</x:v>
      </x:c>
      <x:c r="F1273" s="6" t="str">
        <x:v>1</x:v>
      </x:c>
      <x:c r="G1273" s="6" t="str">
        <x:v>Targeted preliminary fill from Xun Gong; review if uncertain</x:v>
      </x:c>
      <x:c r="H1273" s="6" t="str">
        <x:f>IF(B1273="平","平",IF(B1273="","","仄"))</x:f>
        <x:v>仄</x:v>
      </x:c>
      <x:c r="I1273" s="6" t="str">
        <x:f>IF(D1265="","",IF(AND(ISNUMBER(SEARCH("平",D1265)),OR(ISNUMBER(SEARCH("上",D1265)),ISNUMBER(SEARCH("去",D1265)),ISNUMBER(SEARCH("入",D1265)))),"Ambiguous",IF(ISNUMBER(SEARCH("平",D1265)),"平","仄")))</x:f>
        <x:v>平</x:v>
      </x:c>
      <x:c r="J1273" s="7" t="str">
        <x:v>Xun Gong character-readings.csv</x:v>
      </x:c>
    </x:row>
    <x:row r="1274">
      <x:c r="A1274" s="5" t="str">
        <x:v>怗</x:v>
      </x:c>
      <x:c r="B1274" s="6" t="str">
        <x:v>入</x:v>
      </x:c>
      <x:c r="C1274" s="6" t="str">
        <x:f>IF(B1274="","Needs decision","Ready")</x:f>
        <x:v>Ready</x:v>
      </x:c>
      <x:c r="D1274" s="6" t="str">
        <x:v>入</x:v>
      </x:c>
      <x:c r="E1274" s="6" t="str">
        <x:v>thep (D)</x:v>
      </x:c>
      <x:c r="F1274" s="6" t="str">
        <x:v>1</x:v>
      </x:c>
      <x:c r="G1274" s="6" t="str"/>
      <x:c r="H1274" s="6" t="str">
        <x:f>IF(B1274="平","平",IF(B1274="","","仄"))</x:f>
        <x:v>仄</x:v>
      </x:c>
      <x:c r="I1274" s="6" t="str">
        <x:f>IF(D1266="","",IF(AND(ISNUMBER(SEARCH("平",D1266)),OR(ISNUMBER(SEARCH("上",D1266)),ISNUMBER(SEARCH("去",D1266)),ISNUMBER(SEARCH("入",D1266)))),"Ambiguous",IF(ISNUMBER(SEARCH("平",D1266)),"平","仄")))</x:f>
        <x:v>仄</x:v>
      </x:c>
      <x:c r="J1274" s="7" t="str"/>
    </x:row>
    <x:row r="1275">
      <x:c r="A1275" s="5" t="str">
        <x:v>怛</x:v>
      </x:c>
      <x:c r="B1275" s="6" t="str">
        <x:v>入</x:v>
      </x:c>
      <x:c r="C1275" s="6" t="str">
        <x:f>IF(B1275="","Needs decision","Ready")</x:f>
        <x:v>Ready</x:v>
      </x:c>
      <x:c r="D1275" s="6" t="str">
        <x:v>入</x:v>
      </x:c>
      <x:c r="E1275" s="6" t="str">
        <x:v>tat (D)</x:v>
      </x:c>
      <x:c r="F1275" s="6" t="str">
        <x:v>1</x:v>
      </x:c>
      <x:c r="G1275" s="6" t="str"/>
      <x:c r="H1275" s="6" t="str">
        <x:f>IF(B1275="平","平",IF(B1275="","","仄"))</x:f>
        <x:v>仄</x:v>
      </x:c>
      <x:c r="I1275" s="6" t="str">
        <x:f>IF(D1267="","",IF(AND(ISNUMBER(SEARCH("平",D1267)),OR(ISNUMBER(SEARCH("上",D1267)),ISNUMBER(SEARCH("去",D1267)),ISNUMBER(SEARCH("入",D1267)))),"Ambiguous",IF(ISNUMBER(SEARCH("平",D1267)),"平","仄")))</x:f>
        <x:v>平</x:v>
      </x:c>
      <x:c r="J1275" s="7" t="str"/>
    </x:row>
    <x:row r="1276">
      <x:c r="A1276" s="5" t="str">
        <x:v>思</x:v>
      </x:c>
      <x:c r="B1276" s="6" t="str">
        <x:v>平</x:v>
      </x:c>
      <x:c r="C1276" s="6" t="str">
        <x:f>IF(B1276="","Needs decision","Ready")</x:f>
        <x:v>Ready</x:v>
      </x:c>
      <x:c r="D1276" s="6" t="str">
        <x:v>平</x:v>
      </x:c>
      <x:c r="E1276" s="6" t="str">
        <x:v>si (A)</x:v>
      </x:c>
      <x:c r="F1276" s="6" t="str">
        <x:v>1</x:v>
      </x:c>
      <x:c r="G1276" s="6" t="str"/>
      <x:c r="H1276" s="6" t="str">
        <x:f>IF(B1276="平","平",IF(B1276="","","仄"))</x:f>
        <x:v>平</x:v>
      </x:c>
      <x:c r="I1276" s="6" t="str">
        <x:f>IF(D1268="","",IF(AND(ISNUMBER(SEARCH("平",D1268)),OR(ISNUMBER(SEARCH("上",D1268)),ISNUMBER(SEARCH("去",D1268)),ISNUMBER(SEARCH("入",D1268)))),"Ambiguous",IF(ISNUMBER(SEARCH("平",D1268)),"平","仄")))</x:f>
        <x:v>仄</x:v>
      </x:c>
      <x:c r="J1276" s="7" t="str"/>
    </x:row>
    <x:row r="1277">
      <x:c r="A1277" s="5" t="str">
        <x:v>怠</x:v>
      </x:c>
      <x:c r="B1277" s="6" t="str">
        <x:v>上</x:v>
      </x:c>
      <x:c r="C1277" s="6" t="str">
        <x:f>IF(B1277="","Needs decision","Ready")</x:f>
        <x:v>Ready</x:v>
      </x:c>
      <x:c r="D1277" s="6" t="str">
        <x:v>上</x:v>
      </x:c>
      <x:c r="E1277" s="6" t="str">
        <x:v>dojX (B)</x:v>
      </x:c>
      <x:c r="F1277" s="6" t="str">
        <x:v>1</x:v>
      </x:c>
      <x:c r="G1277" s="6" t="str"/>
      <x:c r="H1277" s="6" t="str">
        <x:f>IF(B1277="平","平",IF(B1277="","","仄"))</x:f>
        <x:v>仄</x:v>
      </x:c>
      <x:c r="I1277" s="6" t="str">
        <x:f>IF(D1269="","",IF(AND(ISNUMBER(SEARCH("平",D1269)),OR(ISNUMBER(SEARCH("上",D1269)),ISNUMBER(SEARCH("去",D1269)),ISNUMBER(SEARCH("入",D1269)))),"Ambiguous",IF(ISNUMBER(SEARCH("平",D1269)),"平","仄")))</x:f>
        <x:v>平</x:v>
      </x:c>
      <x:c r="J1277" s="7" t="str"/>
    </x:row>
    <x:row r="1278">
      <x:c r="A1278" s="5" t="str">
        <x:v>怡</x:v>
      </x:c>
      <x:c r="B1278" s="6" t="str">
        <x:v>平</x:v>
      </x:c>
      <x:c r="C1278" s="6" t="str">
        <x:f>IF(B1278="","Needs decision","Ready")</x:f>
        <x:v>Ready</x:v>
      </x:c>
      <x:c r="D1278" s="6" t="str">
        <x:v>平</x:v>
      </x:c>
      <x:c r="E1278" s="6" t="str">
        <x:v>yi (A)</x:v>
      </x:c>
      <x:c r="F1278" s="6" t="str">
        <x:v>1</x:v>
      </x:c>
      <x:c r="G1278" s="6" t="str"/>
      <x:c r="H1278" s="6" t="str">
        <x:f>IF(B1278="平","平",IF(B1278="","","仄"))</x:f>
        <x:v>平</x:v>
      </x:c>
      <x:c r="I1278" s="6" t="str">
        <x:f>IF(D1270="","",IF(AND(ISNUMBER(SEARCH("平",D1270)),OR(ISNUMBER(SEARCH("上",D1270)),ISNUMBER(SEARCH("去",D1270)),ISNUMBER(SEARCH("入",D1270)))),"Ambiguous",IF(ISNUMBER(SEARCH("平",D1270)),"平","仄")))</x:f>
        <x:v>仄</x:v>
      </x:c>
      <x:c r="J1278" s="7" t="str"/>
    </x:row>
    <x:row r="1279">
      <x:c r="A1279" s="5" t="str">
        <x:v>急</x:v>
      </x:c>
      <x:c r="B1279" s="6" t="str">
        <x:v>入</x:v>
      </x:c>
      <x:c r="C1279" s="6" t="str">
        <x:f>IF(B1279="","Needs decision","Ready")</x:f>
        <x:v>Ready</x:v>
      </x:c>
      <x:c r="D1279" s="6" t="str">
        <x:v>入</x:v>
      </x:c>
      <x:c r="E1279" s="6" t="str">
        <x:v>kip (D)</x:v>
      </x:c>
      <x:c r="F1279" s="6" t="str">
        <x:v>1</x:v>
      </x:c>
      <x:c r="G1279" s="6" t="str"/>
      <x:c r="H1279" s="6" t="str">
        <x:f>IF(B1279="平","平",IF(B1279="","","仄"))</x:f>
        <x:v>仄</x:v>
      </x:c>
      <x:c r="I1279" s="6" t="str">
        <x:f>IF(D1271="","",IF(AND(ISNUMBER(SEARCH("平",D1271)),OR(ISNUMBER(SEARCH("上",D1271)),ISNUMBER(SEARCH("去",D1271)),ISNUMBER(SEARCH("入",D1271)))),"Ambiguous",IF(ISNUMBER(SEARCH("平",D1271)),"平","仄")))</x:f>
        <x:v>仄</x:v>
      </x:c>
      <x:c r="J1279" s="7" t="str"/>
    </x:row>
    <x:row r="1280">
      <x:c r="A1280" s="5" t="str">
        <x:v>怦</x:v>
      </x:c>
      <x:c r="B1280" s="6" t="str">
        <x:v>平</x:v>
      </x:c>
      <x:c r="C1280" s="6" t="str">
        <x:f>IF(B1280="","Needs decision","Ready")</x:f>
        <x:v>Ready</x:v>
      </x:c>
      <x:c r="D1280" s="6" t="str">
        <x:v>平</x:v>
      </x:c>
      <x:c r="E1280" s="6" t="str"/>
      <x:c r="F1280" s="6" t="str"/>
      <x:c r="G1280" s="6" t="str">
        <x:v>Manual user correction/addition</x:v>
      </x:c>
      <x:c r="H1280" s="6" t="str">
        <x:f>IF(B1280="平","平",IF(B1280="","","仄"))</x:f>
        <x:v>平</x:v>
      </x:c>
      <x:c r="I1280" s="6" t="str">
        <x:f>IF(D1272="","",IF(AND(ISNUMBER(SEARCH("平",D1272)),OR(ISNUMBER(SEARCH("上",D1272)),ISNUMBER(SEARCH("去",D1272)),ISNUMBER(SEARCH("入",D1272)))),"Ambiguous",IF(ISNUMBER(SEARCH("平",D1272)),"平","仄")))</x:f>
        <x:v>仄</x:v>
      </x:c>
      <x:c r="J1280" s="7" t="str">
        <x:v>manual user correction</x:v>
      </x:c>
    </x:row>
    <x:row r="1281">
      <x:c r="A1281" s="5" t="str">
        <x:v>性</x:v>
      </x:c>
      <x:c r="B1281" s="6" t="str">
        <x:v>去</x:v>
      </x:c>
      <x:c r="C1281" s="6" t="str">
        <x:f>IF(B1281="","Needs decision","Ready")</x:f>
        <x:v>Ready</x:v>
      </x:c>
      <x:c r="D1281" s="6" t="str">
        <x:v>去</x:v>
      </x:c>
      <x:c r="E1281" s="6" t="str">
        <x:v>sjengH (C)</x:v>
      </x:c>
      <x:c r="F1281" s="6" t="str">
        <x:v>1</x:v>
      </x:c>
      <x:c r="G1281" s="6" t="str"/>
      <x:c r="H1281" s="6" t="str">
        <x:f>IF(B1281="平","平",IF(B1281="","","仄"))</x:f>
        <x:v>仄</x:v>
      </x:c>
      <x:c r="I1281" s="6" t="str">
        <x:f>IF(D1273="","",IF(AND(ISNUMBER(SEARCH("平",D1273)),OR(ISNUMBER(SEARCH("上",D1273)),ISNUMBER(SEARCH("去",D1273)),ISNUMBER(SEARCH("入",D1273)))),"Ambiguous",IF(ISNUMBER(SEARCH("平",D1273)),"平","仄")))</x:f>
        <x:v>仄</x:v>
      </x:c>
      <x:c r="J1281" s="7" t="str"/>
    </x:row>
    <x:row r="1282">
      <x:c r="A1282" s="5" t="str">
        <x:v>怨</x:v>
      </x:c>
      <x:c r="B1282" s="6" t="str">
        <x:v>去</x:v>
      </x:c>
      <x:c r="C1282" s="6" t="str">
        <x:f>IF(B1282="","Needs decision","Ready")</x:f>
        <x:v>Ready</x:v>
      </x:c>
      <x:c r="D1282" s="6" t="str">
        <x:v>去</x:v>
      </x:c>
      <x:c r="E1282" s="6" t="str">
        <x:v>'jwonH (C)</x:v>
      </x:c>
      <x:c r="F1282" s="6" t="str">
        <x:v>1</x:v>
      </x:c>
      <x:c r="G1282" s="6" t="str"/>
      <x:c r="H1282" s="6" t="str">
        <x:f>IF(B1282="平","平",IF(B1282="","","仄"))</x:f>
        <x:v>仄</x:v>
      </x:c>
      <x:c r="I1282" s="6" t="str">
        <x:f>IF(D1274="","",IF(AND(ISNUMBER(SEARCH("平",D1274)),OR(ISNUMBER(SEARCH("上",D1274)),ISNUMBER(SEARCH("去",D1274)),ISNUMBER(SEARCH("入",D1274)))),"Ambiguous",IF(ISNUMBER(SEARCH("平",D1274)),"平","仄")))</x:f>
        <x:v>仄</x:v>
      </x:c>
      <x:c r="J1282" s="7" t="str"/>
    </x:row>
    <x:row r="1283">
      <x:c r="A1283" s="5" t="str">
        <x:v>怩</x:v>
      </x:c>
      <x:c r="B1283" s="6" t="str">
        <x:v>平</x:v>
      </x:c>
      <x:c r="C1283" s="6" t="str">
        <x:f>IF(B1283="","Needs decision","Ready")</x:f>
        <x:v>Ready</x:v>
      </x:c>
      <x:c r="D1283" s="6" t="str">
        <x:v>平</x:v>
      </x:c>
      <x:c r="E1283" s="6" t="str">
        <x:v>nrij (A)</x:v>
      </x:c>
      <x:c r="F1283" s="6" t="str">
        <x:v>1</x:v>
      </x:c>
      <x:c r="G1283" s="6" t="str"/>
      <x:c r="H1283" s="6" t="str">
        <x:f>IF(B1283="平","平",IF(B1283="","","仄"))</x:f>
        <x:v>平</x:v>
      </x:c>
      <x:c r="I1283" s="6" t="str">
        <x:f>IF(D1275="","",IF(AND(ISNUMBER(SEARCH("平",D1275)),OR(ISNUMBER(SEARCH("上",D1275)),ISNUMBER(SEARCH("去",D1275)),ISNUMBER(SEARCH("入",D1275)))),"Ambiguous",IF(ISNUMBER(SEARCH("平",D1275)),"平","仄")))</x:f>
        <x:v>仄</x:v>
      </x:c>
      <x:c r="J1283" s="7" t="str"/>
    </x:row>
    <x:row r="1284">
      <x:c r="A1284" s="5" t="str">
        <x:v>怪</x:v>
      </x:c>
      <x:c r="B1284" s="6" t="str">
        <x:v>去</x:v>
      </x:c>
      <x:c r="C1284" s="6" t="str">
        <x:f>IF(B1284="","Needs decision","Ready")</x:f>
        <x:v>Ready</x:v>
      </x:c>
      <x:c r="D1284" s="6" t="str">
        <x:v>去</x:v>
      </x:c>
      <x:c r="E1284" s="6" t="str">
        <x:v>kweajH (C)</x:v>
      </x:c>
      <x:c r="F1284" s="6" t="str">
        <x:v>1</x:v>
      </x:c>
      <x:c r="G1284" s="6" t="str"/>
      <x:c r="H1284" s="6" t="str">
        <x:f>IF(B1284="平","平",IF(B1284="","","仄"))</x:f>
        <x:v>仄</x:v>
      </x:c>
      <x:c r="I1284" s="6" t="str">
        <x:f>IF(D1276="","",IF(AND(ISNUMBER(SEARCH("平",D1276)),OR(ISNUMBER(SEARCH("上",D1276)),ISNUMBER(SEARCH("去",D1276)),ISNUMBER(SEARCH("入",D1276)))),"Ambiguous",IF(ISNUMBER(SEARCH("平",D1276)),"平","仄")))</x:f>
        <x:v>平</x:v>
      </x:c>
      <x:c r="J1284" s="7" t="str"/>
    </x:row>
    <x:row r="1285">
      <x:c r="A1285" s="5" t="str">
        <x:v>怫</x:v>
      </x:c>
      <x:c r="B1285" s="6" t="str"/>
      <x:c r="C1285" s="6" t="str">
        <x:f>IF(B1285="","Needs decision","Ready")</x:f>
        <x:v>Needs decision</x:v>
      </x:c>
      <x:c r="D1285" s="6" t="str">
        <x:v>去/入</x:v>
      </x:c>
      <x:c r="E1285" s="6" t="str">
        <x:v>bj+jH (C); bjut (D)</x:v>
      </x:c>
      <x:c r="F1285" s="6" t="str">
        <x:v>2</x:v>
      </x:c>
      <x:c r="G1285" s="6" t="str"/>
      <x:c r="H1285" s="6" t="str">
        <x:f>IF(B1285="平","平",IF(B1285="","","仄"))</x:f>
      </x:c>
      <x:c r="I1285" s="6" t="str">
        <x:f>IF(D1277="","",IF(AND(ISNUMBER(SEARCH("平",D1277)),OR(ISNUMBER(SEARCH("上",D1277)),ISNUMBER(SEARCH("去",D1277)),ISNUMBER(SEARCH("入",D1277)))),"Ambiguous",IF(ISNUMBER(SEARCH("平",D1277)),"平","仄")))</x:f>
        <x:v>仄</x:v>
      </x:c>
      <x:c r="J1285" s="7" t="str"/>
    </x:row>
    <x:row r="1286">
      <x:c r="A1286" s="5" t="str">
        <x:v>怯</x:v>
      </x:c>
      <x:c r="B1286" s="6" t="str">
        <x:v>入</x:v>
      </x:c>
      <x:c r="C1286" s="6" t="str">
        <x:f>IF(B1286="","Needs decision","Ready")</x:f>
        <x:v>Ready</x:v>
      </x:c>
      <x:c r="D1286" s="6" t="str">
        <x:v>入</x:v>
      </x:c>
      <x:c r="E1286" s="6" t="str">
        <x:v>khjaep [kʰɨ̯əp] (入)</x:v>
      </x:c>
      <x:c r="F1286" s="6" t="str">
        <x:v>1</x:v>
      </x:c>
      <x:c r="G1286" s="6" t="str">
        <x:v>Tang 300 gap; frequency 2; provisional from Xun Gong</x:v>
      </x:c>
      <x:c r="H1286" s="6" t="str">
        <x:f>IF(B1286="平","平",IF(B1286="","","仄"))</x:f>
        <x:v>仄</x:v>
      </x:c>
      <x:c r="I1286" s="6" t="str">
        <x:f>IF(D1278="","",IF(AND(ISNUMBER(SEARCH("平",D1278)),OR(ISNUMBER(SEARCH("上",D1278)),ISNUMBER(SEARCH("去",D1278)),ISNUMBER(SEARCH("入",D1278)))),"Ambiguous",IF(ISNUMBER(SEARCH("平",D1278)),"平","仄")))</x:f>
        <x:v>平</x:v>
      </x:c>
      <x:c r="J1286" s="7" t="str">
        <x:v>Xun Gong, Tang 300 gap fill</x:v>
      </x:c>
    </x:row>
    <x:row r="1287">
      <x:c r="A1287" s="5" t="str">
        <x:v>怳</x:v>
      </x:c>
      <x:c r="B1287" s="6" t="str">
        <x:v>上</x:v>
      </x:c>
      <x:c r="C1287" s="6" t="str">
        <x:f>IF(B1287="","Needs decision","Ready")</x:f>
        <x:v>Ready</x:v>
      </x:c>
      <x:c r="D1287" s="6" t="str">
        <x:v>上</x:v>
      </x:c>
      <x:c r="E1287" s="6" t="str"/>
      <x:c r="F1287" s="6" t="str"/>
      <x:c r="G1287" s="6" t="str">
        <x:v>Manual user correction/addition</x:v>
      </x:c>
      <x:c r="H1287" s="6" t="str">
        <x:f>IF(B1287="平","平",IF(B1287="","","仄"))</x:f>
        <x:v>仄</x:v>
      </x:c>
      <x:c r="I1287" s="6" t="str">
        <x:f>IF(D1279="","",IF(AND(ISNUMBER(SEARCH("平",D1279)),OR(ISNUMBER(SEARCH("上",D1279)),ISNUMBER(SEARCH("去",D1279)),ISNUMBER(SEARCH("入",D1279)))),"Ambiguous",IF(ISNUMBER(SEARCH("平",D1279)),"平","仄")))</x:f>
        <x:v>仄</x:v>
      </x:c>
      <x:c r="J1287" s="7" t="str">
        <x:v>manual user correction</x:v>
      </x:c>
    </x:row>
    <x:row r="1288">
      <x:c r="A1288" s="5" t="str">
        <x:v>恁</x:v>
      </x:c>
      <x:c r="B1288" s="6" t="str">
        <x:v>上</x:v>
      </x:c>
      <x:c r="C1288" s="6" t="str">
        <x:f>IF(B1288="","Needs decision","Ready")</x:f>
        <x:v>Ready</x:v>
      </x:c>
      <x:c r="D1288" s="6" t="str">
        <x:v>上</x:v>
      </x:c>
      <x:c r="E1288" s="6" t="str">
        <x:v>nyimX (B)</x:v>
      </x:c>
      <x:c r="F1288" s="6" t="str">
        <x:v>1</x:v>
      </x:c>
      <x:c r="G1288" s="6" t="str"/>
      <x:c r="H1288" s="6" t="str">
        <x:f>IF(B1288="平","平",IF(B1288="","","仄"))</x:f>
        <x:v>仄</x:v>
      </x:c>
      <x:c r="I1288" s="6" t="str">
        <x:f>IF(D1280="","",IF(AND(ISNUMBER(SEARCH("平",D1280)),OR(ISNUMBER(SEARCH("上",D1280)),ISNUMBER(SEARCH("去",D1280)),ISNUMBER(SEARCH("入",D1280)))),"Ambiguous",IF(ISNUMBER(SEARCH("平",D1280)),"平","仄")))</x:f>
        <x:v>平</x:v>
      </x:c>
      <x:c r="J1288" s="7" t="str"/>
    </x:row>
    <x:row r="1289">
      <x:c r="A1289" s="5" t="str">
        <x:v>恃</x:v>
      </x:c>
      <x:c r="B1289" s="6" t="str">
        <x:v>上</x:v>
      </x:c>
      <x:c r="C1289" s="6" t="str">
        <x:f>IF(B1289="","Needs decision","Ready")</x:f>
        <x:v>Ready</x:v>
      </x:c>
      <x:c r="D1289" s="6" t="str">
        <x:v>上</x:v>
      </x:c>
      <x:c r="E1289" s="6" t="str">
        <x:v>dzyiX (B)</x:v>
      </x:c>
      <x:c r="F1289" s="6" t="str">
        <x:v>1</x:v>
      </x:c>
      <x:c r="G1289" s="6" t="str"/>
      <x:c r="H1289" s="6" t="str">
        <x:f>IF(B1289="平","平",IF(B1289="","","仄"))</x:f>
        <x:v>仄</x:v>
      </x:c>
      <x:c r="I1289" s="6" t="str">
        <x:f>IF(D1281="","",IF(AND(ISNUMBER(SEARCH("平",D1281)),OR(ISNUMBER(SEARCH("上",D1281)),ISNUMBER(SEARCH("去",D1281)),ISNUMBER(SEARCH("入",D1281)))),"Ambiguous",IF(ISNUMBER(SEARCH("平",D1281)),"平","仄")))</x:f>
        <x:v>仄</x:v>
      </x:c>
      <x:c r="J1289" s="7" t="str"/>
    </x:row>
    <x:row r="1290">
      <x:c r="A1290" s="5" t="str">
        <x:v>恆</x:v>
      </x:c>
      <x:c r="B1290" s="6" t="str">
        <x:v>平</x:v>
      </x:c>
      <x:c r="C1290" s="6" t="str">
        <x:f>IF(B1290="","Needs decision","Ready")</x:f>
        <x:v>Ready</x:v>
      </x:c>
      <x:c r="D1290" s="6" t="str">
        <x:v>平</x:v>
      </x:c>
      <x:c r="E1290" s="6" t="str">
        <x:v>hong (A)</x:v>
      </x:c>
      <x:c r="F1290" s="6" t="str">
        <x:v>1</x:v>
      </x:c>
      <x:c r="G1290" s="6" t="str"/>
      <x:c r="H1290" s="6" t="str">
        <x:f>IF(B1290="平","平",IF(B1290="","","仄"))</x:f>
        <x:v>平</x:v>
      </x:c>
      <x:c r="I1290" s="6" t="str">
        <x:f>IF(D1282="","",IF(AND(ISNUMBER(SEARCH("平",D1282)),OR(ISNUMBER(SEARCH("上",D1282)),ISNUMBER(SEARCH("去",D1282)),ISNUMBER(SEARCH("入",D1282)))),"Ambiguous",IF(ISNUMBER(SEARCH("平",D1282)),"平","仄")))</x:f>
        <x:v>仄</x:v>
      </x:c>
      <x:c r="J1290" s="7" t="str"/>
    </x:row>
    <x:row r="1291">
      <x:c r="A1291" s="5" t="str">
        <x:v>恐</x:v>
      </x:c>
      <x:c r="B1291" s="6" t="str">
        <x:v>上</x:v>
      </x:c>
      <x:c r="C1291" s="6" t="str">
        <x:f>IF(B1291="","Needs decision","Ready")</x:f>
        <x:v>Ready</x:v>
      </x:c>
      <x:c r="D1291" s="6" t="str">
        <x:v>上</x:v>
      </x:c>
      <x:c r="E1291" s="6" t="str">
        <x:v>khjowngX (B)</x:v>
      </x:c>
      <x:c r="F1291" s="6" t="str">
        <x:v>1</x:v>
      </x:c>
      <x:c r="G1291" s="6" t="str"/>
      <x:c r="H1291" s="6" t="str">
        <x:f>IF(B1291="平","平",IF(B1291="","","仄"))</x:f>
        <x:v>仄</x:v>
      </x:c>
      <x:c r="I1291" s="6" t="str">
        <x:f>IF(D1283="","",IF(AND(ISNUMBER(SEARCH("平",D1283)),OR(ISNUMBER(SEARCH("上",D1283)),ISNUMBER(SEARCH("去",D1283)),ISNUMBER(SEARCH("入",D1283)))),"Ambiguous",IF(ISNUMBER(SEARCH("平",D1283)),"平","仄")))</x:f>
        <x:v>平</x:v>
      </x:c>
      <x:c r="J1291" s="7" t="str"/>
    </x:row>
    <x:row r="1292">
      <x:c r="A1292" s="5" t="str">
        <x:v>恒</x:v>
      </x:c>
      <x:c r="B1292" s="6" t="str">
        <x:v>平</x:v>
      </x:c>
      <x:c r="C1292" s="6" t="str">
        <x:f>IF(B1292="","Needs decision","Ready")</x:f>
        <x:v>Ready</x:v>
      </x:c>
      <x:c r="D1292" s="6" t="str"/>
      <x:c r="E1292" s="6" t="str"/>
      <x:c r="F1292" s="6" t="str"/>
      <x:c r="G1292" s="6" t="str"/>
      <x:c r="H1292" s="6" t="str">
        <x:f>IF(B1292="平","平",IF(B1292="","","仄"))</x:f>
        <x:v>平</x:v>
      </x:c>
      <x:c r="I1292" s="6" t="str">
        <x:f>IF(D1284="","",IF(AND(ISNUMBER(SEARCH("平",D1284)),OR(ISNUMBER(SEARCH("上",D1284)),ISNUMBER(SEARCH("去",D1284)),ISNUMBER(SEARCH("入",D1284)))),"Ambiguous",IF(ISNUMBER(SEARCH("平",D1284)),"平","仄")))</x:f>
        <x:v>仄</x:v>
      </x:c>
      <x:c r="J1292" s="7" t="str"/>
    </x:row>
    <x:row r="1293">
      <x:c r="A1293" s="5" t="str">
        <x:v>恕</x:v>
      </x:c>
      <x:c r="B1293" s="6" t="str">
        <x:v>去</x:v>
      </x:c>
      <x:c r="C1293" s="6" t="str">
        <x:f>IF(B1293="","Needs decision","Ready")</x:f>
        <x:v>Ready</x:v>
      </x:c>
      <x:c r="D1293" s="6" t="str">
        <x:v>去</x:v>
      </x:c>
      <x:c r="E1293" s="6" t="str">
        <x:v>syoH (C)</x:v>
      </x:c>
      <x:c r="F1293" s="6" t="str">
        <x:v>1</x:v>
      </x:c>
      <x:c r="G1293" s="6" t="str"/>
      <x:c r="H1293" s="6" t="str">
        <x:f>IF(B1293="平","平",IF(B1293="","","仄"))</x:f>
        <x:v>仄</x:v>
      </x:c>
      <x:c r="I1293" s="6" t="str">
        <x:f>IF(D1285="","",IF(AND(ISNUMBER(SEARCH("平",D1285)),OR(ISNUMBER(SEARCH("上",D1285)),ISNUMBER(SEARCH("去",D1285)),ISNUMBER(SEARCH("入",D1285)))),"Ambiguous",IF(ISNUMBER(SEARCH("平",D1285)),"平","仄")))</x:f>
        <x:v>仄</x:v>
      </x:c>
      <x:c r="J1293" s="7" t="str"/>
    </x:row>
    <x:row r="1294">
      <x:c r="A1294" s="5" t="str">
        <x:v>恚</x:v>
      </x:c>
      <x:c r="B1294" s="6" t="str">
        <x:v>去</x:v>
      </x:c>
      <x:c r="C1294" s="6" t="str">
        <x:f>IF(B1294="","Needs decision","Ready")</x:f>
        <x:v>Ready</x:v>
      </x:c>
      <x:c r="D1294" s="6" t="str">
        <x:v>去</x:v>
      </x:c>
      <x:c r="E1294" s="6" t="str">
        <x:v>'jwieH [影合三A支去] ʔjwieh</x:v>
      </x:c>
      <x:c r="F1294" s="6" t="str">
        <x:v>1</x:v>
      </x:c>
      <x:c r="G1294" s="6" t="str">
        <x:v>Targeted preliminary fill from Xun Gong; review if uncertain</x:v>
      </x:c>
      <x:c r="H1294" s="6" t="str">
        <x:f>IF(B1294="平","平",IF(B1294="","","仄"))</x:f>
        <x:v>仄</x:v>
      </x:c>
      <x:c r="I1294" s="6" t="str">
        <x:f>IF(D1286="","",IF(AND(ISNUMBER(SEARCH("平",D1286)),OR(ISNUMBER(SEARCH("上",D1286)),ISNUMBER(SEARCH("去",D1286)),ISNUMBER(SEARCH("入",D1286)))),"Ambiguous",IF(ISNUMBER(SEARCH("平",D1286)),"平","仄")))</x:f>
        <x:v>仄</x:v>
      </x:c>
      <x:c r="J1294" s="7" t="str">
        <x:v>Xun Gong character-readings.csv</x:v>
      </x:c>
    </x:row>
    <x:row r="1295">
      <x:c r="A1295" s="5" t="str">
        <x:v>恢</x:v>
      </x:c>
      <x:c r="B1295" s="6" t="str">
        <x:v>平</x:v>
      </x:c>
      <x:c r="C1295" s="6" t="str">
        <x:f>IF(B1295="","Needs decision","Ready")</x:f>
        <x:v>Ready</x:v>
      </x:c>
      <x:c r="D1295" s="6" t="str">
        <x:v>平</x:v>
      </x:c>
      <x:c r="E1295" s="6" t="str">
        <x:v>khwoj [qʰwəj] (平)</x:v>
      </x:c>
      <x:c r="F1295" s="6" t="str">
        <x:v>1</x:v>
      </x:c>
      <x:c r="G1295" s="6" t="str">
        <x:v>Tang 300 gap; frequency 2; provisional from Xun Gong</x:v>
      </x:c>
      <x:c r="H1295" s="6" t="str">
        <x:f>IF(B1295="平","平",IF(B1295="","","仄"))</x:f>
        <x:v>平</x:v>
      </x:c>
      <x:c r="I1295" s="6" t="str">
        <x:f>IF(D1287="","",IF(AND(ISNUMBER(SEARCH("平",D1287)),OR(ISNUMBER(SEARCH("上",D1287)),ISNUMBER(SEARCH("去",D1287)),ISNUMBER(SEARCH("入",D1287)))),"Ambiguous",IF(ISNUMBER(SEARCH("平",D1287)),"平","仄")))</x:f>
        <x:v>仄</x:v>
      </x:c>
      <x:c r="J1295" s="7" t="str">
        <x:v>Xun Gong, Tang 300 gap fill</x:v>
      </x:c>
    </x:row>
    <x:row r="1296">
      <x:c r="A1296" s="5" t="str">
        <x:v>恣</x:v>
      </x:c>
      <x:c r="B1296" s="6" t="str">
        <x:v>去</x:v>
      </x:c>
      <x:c r="C1296" s="6" t="str">
        <x:f>IF(B1296="","Needs decision","Ready")</x:f>
        <x:v>Ready</x:v>
      </x:c>
      <x:c r="D1296" s="6" t="str">
        <x:v>去</x:v>
      </x:c>
      <x:c r="E1296" s="6" t="str">
        <x:v>tsijH (C)</x:v>
      </x:c>
      <x:c r="F1296" s="6" t="str">
        <x:v>1</x:v>
      </x:c>
      <x:c r="G1296" s="6" t="str"/>
      <x:c r="H1296" s="6" t="str">
        <x:f>IF(B1296="平","平",IF(B1296="","","仄"))</x:f>
        <x:v>仄</x:v>
      </x:c>
      <x:c r="I1296" s="6" t="str">
        <x:f>IF(D1288="","",IF(AND(ISNUMBER(SEARCH("平",D1288)),OR(ISNUMBER(SEARCH("上",D1288)),ISNUMBER(SEARCH("去",D1288)),ISNUMBER(SEARCH("入",D1288)))),"Ambiguous",IF(ISNUMBER(SEARCH("平",D1288)),"平","仄")))</x:f>
        <x:v>仄</x:v>
      </x:c>
      <x:c r="J1296" s="7" t="str"/>
    </x:row>
    <x:row r="1297">
      <x:c r="A1297" s="5" t="str">
        <x:v>恤</x:v>
      </x:c>
      <x:c r="B1297" s="6" t="str">
        <x:v>入</x:v>
      </x:c>
      <x:c r="C1297" s="6" t="str">
        <x:f>IF(B1297="","Needs decision","Ready")</x:f>
        <x:v>Ready</x:v>
      </x:c>
      <x:c r="D1297" s="6" t="str">
        <x:v>入</x:v>
      </x:c>
      <x:c r="E1297" s="6" t="str">
        <x:v>swit (D)</x:v>
      </x:c>
      <x:c r="F1297" s="6" t="str">
        <x:v>1</x:v>
      </x:c>
      <x:c r="G1297" s="6" t="str"/>
      <x:c r="H1297" s="6" t="str">
        <x:f>IF(B1297="平","平",IF(B1297="","","仄"))</x:f>
        <x:v>仄</x:v>
      </x:c>
      <x:c r="I1297" s="6" t="str">
        <x:f>IF(D1289="","",IF(AND(ISNUMBER(SEARCH("平",D1289)),OR(ISNUMBER(SEARCH("上",D1289)),ISNUMBER(SEARCH("去",D1289)),ISNUMBER(SEARCH("入",D1289)))),"Ambiguous",IF(ISNUMBER(SEARCH("平",D1289)),"平","仄")))</x:f>
        <x:v>仄</x:v>
      </x:c>
      <x:c r="J1297" s="7" t="str"/>
    </x:row>
    <x:row r="1298">
      <x:c r="A1298" s="5" t="str">
        <x:v>恥</x:v>
      </x:c>
      <x:c r="B1298" s="6" t="str">
        <x:v>上</x:v>
      </x:c>
      <x:c r="C1298" s="6" t="str">
        <x:f>IF(B1298="","Needs decision","Ready")</x:f>
        <x:v>Ready</x:v>
      </x:c>
      <x:c r="D1298" s="6" t="str">
        <x:v>上</x:v>
      </x:c>
      <x:c r="E1298" s="6" t="str">
        <x:v>trhiX (B)</x:v>
      </x:c>
      <x:c r="F1298" s="6" t="str">
        <x:v>1</x:v>
      </x:c>
      <x:c r="G1298" s="6" t="str"/>
      <x:c r="H1298" s="6" t="str">
        <x:f>IF(B1298="平","平",IF(B1298="","","仄"))</x:f>
        <x:v>仄</x:v>
      </x:c>
      <x:c r="I1298" s="6" t="str">
        <x:f>IF(D1290="","",IF(AND(ISNUMBER(SEARCH("平",D1290)),OR(ISNUMBER(SEARCH("上",D1290)),ISNUMBER(SEARCH("去",D1290)),ISNUMBER(SEARCH("入",D1290)))),"Ambiguous",IF(ISNUMBER(SEARCH("平",D1290)),"平","仄")))</x:f>
        <x:v>平</x:v>
      </x:c>
      <x:c r="J1298" s="7" t="str"/>
    </x:row>
    <x:row r="1299">
      <x:c r="A1299" s="5" t="str">
        <x:v>恨</x:v>
      </x:c>
      <x:c r="B1299" s="6" t="str">
        <x:v>去</x:v>
      </x:c>
      <x:c r="C1299" s="6" t="str">
        <x:f>IF(B1299="","Needs decision","Ready")</x:f>
        <x:v>Ready</x:v>
      </x:c>
      <x:c r="D1299" s="6" t="str">
        <x:v>去</x:v>
      </x:c>
      <x:c r="E1299" s="6" t="str">
        <x:v>honH (C)</x:v>
      </x:c>
      <x:c r="F1299" s="6" t="str">
        <x:v>1</x:v>
      </x:c>
      <x:c r="G1299" s="6" t="str"/>
      <x:c r="H1299" s="6" t="str">
        <x:f>IF(B1299="平","平",IF(B1299="","","仄"))</x:f>
        <x:v>仄</x:v>
      </x:c>
      <x:c r="I1299" s="6" t="str">
        <x:f>IF(D1291="","",IF(AND(ISNUMBER(SEARCH("平",D1291)),OR(ISNUMBER(SEARCH("上",D1291)),ISNUMBER(SEARCH("去",D1291)),ISNUMBER(SEARCH("入",D1291)))),"Ambiguous",IF(ISNUMBER(SEARCH("平",D1291)),"平","仄")))</x:f>
        <x:v>仄</x:v>
      </x:c>
      <x:c r="J1299" s="7" t="str"/>
    </x:row>
    <x:row r="1300">
      <x:c r="A1300" s="5" t="str">
        <x:v>恩</x:v>
      </x:c>
      <x:c r="B1300" s="6" t="str">
        <x:v>平</x:v>
      </x:c>
      <x:c r="C1300" s="6" t="str">
        <x:f>IF(B1300="","Needs decision","Ready")</x:f>
        <x:v>Ready</x:v>
      </x:c>
      <x:c r="D1300" s="6" t="str">
        <x:v>平</x:v>
      </x:c>
      <x:c r="E1300" s="6" t="str">
        <x:v>'on (A)</x:v>
      </x:c>
      <x:c r="F1300" s="6" t="str">
        <x:v>1</x:v>
      </x:c>
      <x:c r="G1300" s="6" t="str"/>
      <x:c r="H1300" s="6" t="str">
        <x:f>IF(B1300="平","平",IF(B1300="","","仄"))</x:f>
        <x:v>平</x:v>
      </x:c>
      <x:c r="I1300" s="6" t="str">
        <x:f>IF(D1292="","",IF(AND(ISNUMBER(SEARCH("平",D1292)),OR(ISNUMBER(SEARCH("上",D1292)),ISNUMBER(SEARCH("去",D1292)),ISNUMBER(SEARCH("入",D1292)))),"Ambiguous",IF(ISNUMBER(SEARCH("平",D1292)),"平","仄")))</x:f>
      </x:c>
      <x:c r="J1300" s="7" t="str"/>
    </x:row>
    <x:row r="1301">
      <x:c r="A1301" s="5" t="str">
        <x:v>恭</x:v>
      </x:c>
      <x:c r="B1301" s="6" t="str">
        <x:v>平</x:v>
      </x:c>
      <x:c r="C1301" s="6" t="str">
        <x:f>IF(B1301="","Needs decision","Ready")</x:f>
        <x:v>Ready</x:v>
      </x:c>
      <x:c r="D1301" s="6" t="str">
        <x:v>平</x:v>
      </x:c>
      <x:c r="E1301" s="6" t="str">
        <x:v>kjowng (A)</x:v>
      </x:c>
      <x:c r="F1301" s="6" t="str">
        <x:v>1</x:v>
      </x:c>
      <x:c r="G1301" s="6" t="str"/>
      <x:c r="H1301" s="6" t="str">
        <x:f>IF(B1301="平","平",IF(B1301="","","仄"))</x:f>
        <x:v>平</x:v>
      </x:c>
      <x:c r="I1301" s="6" t="str">
        <x:f>IF(D1293="","",IF(AND(ISNUMBER(SEARCH("平",D1293)),OR(ISNUMBER(SEARCH("上",D1293)),ISNUMBER(SEARCH("去",D1293)),ISNUMBER(SEARCH("入",D1293)))),"Ambiguous",IF(ISNUMBER(SEARCH("平",D1293)),"平","仄")))</x:f>
        <x:v>仄</x:v>
      </x:c>
      <x:c r="J1301" s="7" t="str"/>
    </x:row>
    <x:row r="1302">
      <x:c r="A1302" s="5" t="str">
        <x:v>息</x:v>
      </x:c>
      <x:c r="B1302" s="6" t="str">
        <x:v>入</x:v>
      </x:c>
      <x:c r="C1302" s="6" t="str">
        <x:f>IF(B1302="","Needs decision","Ready")</x:f>
        <x:v>Ready</x:v>
      </x:c>
      <x:c r="D1302" s="6" t="str">
        <x:v>入</x:v>
      </x:c>
      <x:c r="E1302" s="6" t="str">
        <x:v>sik (D)</x:v>
      </x:c>
      <x:c r="F1302" s="6" t="str">
        <x:v>1</x:v>
      </x:c>
      <x:c r="G1302" s="6" t="str"/>
      <x:c r="H1302" s="6" t="str">
        <x:f>IF(B1302="平","平",IF(B1302="","","仄"))</x:f>
        <x:v>仄</x:v>
      </x:c>
      <x:c r="I1302" s="6" t="str">
        <x:f>IF(D1294="","",IF(AND(ISNUMBER(SEARCH("平",D1294)),OR(ISNUMBER(SEARCH("上",D1294)),ISNUMBER(SEARCH("去",D1294)),ISNUMBER(SEARCH("入",D1294)))),"Ambiguous",IF(ISNUMBER(SEARCH("平",D1294)),"平","仄")))</x:f>
        <x:v>仄</x:v>
      </x:c>
      <x:c r="J1302" s="7" t="str"/>
    </x:row>
    <x:row r="1303">
      <x:c r="A1303" s="5" t="str">
        <x:v>悁</x:v>
      </x:c>
      <x:c r="B1303" s="6" t="str">
        <x:v>平</x:v>
      </x:c>
      <x:c r="C1303" s="6" t="str">
        <x:f>IF(B1303="","Needs decision","Ready")</x:f>
        <x:v>Ready</x:v>
      </x:c>
      <x:c r="D1303" s="6" t="str">
        <x:v>平</x:v>
      </x:c>
      <x:c r="E1303" s="6" t="str">
        <x:v>'jwien (A)</x:v>
      </x:c>
      <x:c r="F1303" s="6" t="str">
        <x:v>1</x:v>
      </x:c>
      <x:c r="G1303" s="6" t="str"/>
      <x:c r="H1303" s="6" t="str">
        <x:f>IF(B1303="平","平",IF(B1303="","","仄"))</x:f>
        <x:v>平</x:v>
      </x:c>
      <x:c r="I1303" s="6" t="str">
        <x:f>IF(D1295="","",IF(AND(ISNUMBER(SEARCH("平",D1295)),OR(ISNUMBER(SEARCH("上",D1295)),ISNUMBER(SEARCH("去",D1295)),ISNUMBER(SEARCH("入",D1295)))),"Ambiguous",IF(ISNUMBER(SEARCH("平",D1295)),"平","仄")))</x:f>
        <x:v>平</x:v>
      </x:c>
      <x:c r="J1303" s="7" t="str"/>
    </x:row>
    <x:row r="1304">
      <x:c r="A1304" s="5" t="str">
        <x:v>悄</x:v>
      </x:c>
      <x:c r="B1304" s="6" t="str">
        <x:v>上</x:v>
      </x:c>
      <x:c r="C1304" s="6" t="str">
        <x:f>IF(B1304="","Needs decision","Ready")</x:f>
        <x:v>Ready</x:v>
      </x:c>
      <x:c r="D1304" s="6" t="str">
        <x:v>上</x:v>
      </x:c>
      <x:c r="E1304" s="6" t="str">
        <x:v>tshjewX [tsʰjewʔ] (上)</x:v>
      </x:c>
      <x:c r="F1304" s="6" t="str">
        <x:v>1</x:v>
      </x:c>
      <x:c r="G1304" s="6" t="str">
        <x:v>Tang 300 gap; frequency 3; provisional from Xun Gong</x:v>
      </x:c>
      <x:c r="H1304" s="6" t="str">
        <x:f>IF(B1304="平","平",IF(B1304="","","仄"))</x:f>
        <x:v>仄</x:v>
      </x:c>
      <x:c r="I1304" s="6" t="str">
        <x:f>IF(D1296="","",IF(AND(ISNUMBER(SEARCH("平",D1296)),OR(ISNUMBER(SEARCH("上",D1296)),ISNUMBER(SEARCH("去",D1296)),ISNUMBER(SEARCH("入",D1296)))),"Ambiguous",IF(ISNUMBER(SEARCH("平",D1296)),"平","仄")))</x:f>
        <x:v>仄</x:v>
      </x:c>
      <x:c r="J1304" s="7" t="str">
        <x:v>Xun Gong, Tang 300 gap fill</x:v>
      </x:c>
    </x:row>
    <x:row r="1305">
      <x:c r="A1305" s="5" t="str">
        <x:v>悅</x:v>
      </x:c>
      <x:c r="B1305" s="6" t="str">
        <x:v>入</x:v>
      </x:c>
      <x:c r="C1305" s="6" t="str">
        <x:f>IF(B1305="","Needs decision","Ready")</x:f>
        <x:v>Ready</x:v>
      </x:c>
      <x:c r="D1305" s="6" t="str">
        <x:v>入</x:v>
      </x:c>
      <x:c r="E1305" s="6" t="str">
        <x:v>ywet [以合三仙入] jwet</x:v>
      </x:c>
      <x:c r="F1305" s="6" t="str">
        <x:v>1</x:v>
      </x:c>
      <x:c r="G1305" s="6" t="str">
        <x:v>Targeted preliminary fill from Xun Gong; review if uncertain</x:v>
      </x:c>
      <x:c r="H1305" s="6" t="str">
        <x:f>IF(B1305="平","平",IF(B1305="","","仄"))</x:f>
        <x:v>仄</x:v>
      </x:c>
      <x:c r="I1305" s="6" t="str">
        <x:f>IF(D1297="","",IF(AND(ISNUMBER(SEARCH("平",D1297)),OR(ISNUMBER(SEARCH("上",D1297)),ISNUMBER(SEARCH("去",D1297)),ISNUMBER(SEARCH("入",D1297)))),"Ambiguous",IF(ISNUMBER(SEARCH("平",D1297)),"平","仄")))</x:f>
        <x:v>仄</x:v>
      </x:c>
      <x:c r="J1305" s="7" t="str">
        <x:v>Xun Gong character-readings.csv</x:v>
      </x:c>
    </x:row>
    <x:row r="1306">
      <x:c r="A1306" s="5" t="str">
        <x:v>悉</x:v>
      </x:c>
      <x:c r="B1306" s="6" t="str">
        <x:v>入</x:v>
      </x:c>
      <x:c r="C1306" s="6" t="str">
        <x:f>IF(B1306="","Needs decision","Ready")</x:f>
        <x:v>Ready</x:v>
      </x:c>
      <x:c r="D1306" s="6" t="str">
        <x:v>入</x:v>
      </x:c>
      <x:c r="E1306" s="6" t="str">
        <x:v>sit (D)</x:v>
      </x:c>
      <x:c r="F1306" s="6" t="str">
        <x:v>1</x:v>
      </x:c>
      <x:c r="G1306" s="6" t="str"/>
      <x:c r="H1306" s="6" t="str">
        <x:f>IF(B1306="平","平",IF(B1306="","","仄"))</x:f>
        <x:v>仄</x:v>
      </x:c>
      <x:c r="I1306" s="6" t="str">
        <x:f>IF(D1298="","",IF(AND(ISNUMBER(SEARCH("平",D1298)),OR(ISNUMBER(SEARCH("上",D1298)),ISNUMBER(SEARCH("去",D1298)),ISNUMBER(SEARCH("入",D1298)))),"Ambiguous",IF(ISNUMBER(SEARCH("平",D1298)),"平","仄")))</x:f>
        <x:v>仄</x:v>
      </x:c>
      <x:c r="J1306" s="7" t="str"/>
    </x:row>
    <x:row r="1307">
      <x:c r="A1307" s="5" t="str">
        <x:v>悊</x:v>
      </x:c>
      <x:c r="B1307" s="6" t="str">
        <x:v>入</x:v>
      </x:c>
      <x:c r="C1307" s="6" t="str">
        <x:f>IF(B1307="","Needs decision","Ready")</x:f>
        <x:v>Ready</x:v>
      </x:c>
      <x:c r="D1307" s="6" t="str">
        <x:v>入</x:v>
      </x:c>
      <x:c r="E1307" s="6" t="str">
        <x:v>trjet (D)</x:v>
      </x:c>
      <x:c r="F1307" s="6" t="str">
        <x:v>1</x:v>
      </x:c>
      <x:c r="G1307" s="6" t="str"/>
      <x:c r="H1307" s="6" t="str">
        <x:f>IF(B1307="平","平",IF(B1307="","","仄"))</x:f>
        <x:v>仄</x:v>
      </x:c>
      <x:c r="I1307" s="6" t="str">
        <x:f>IF(D1299="","",IF(AND(ISNUMBER(SEARCH("平",D1299)),OR(ISNUMBER(SEARCH("上",D1299)),ISNUMBER(SEARCH("去",D1299)),ISNUMBER(SEARCH("入",D1299)))),"Ambiguous",IF(ISNUMBER(SEARCH("平",D1299)),"平","仄")))</x:f>
        <x:v>仄</x:v>
      </x:c>
      <x:c r="J1307" s="7" t="str"/>
    </x:row>
    <x:row r="1308">
      <x:c r="A1308" s="5" t="str">
        <x:v>悔</x:v>
      </x:c>
      <x:c r="B1308" s="6" t="str">
        <x:v>上</x:v>
      </x:c>
      <x:c r="C1308" s="6" t="str">
        <x:f>IF(B1308="","Needs decision","Ready")</x:f>
        <x:v>Ready</x:v>
      </x:c>
      <x:c r="D1308" s="6" t="str">
        <x:v>上</x:v>
      </x:c>
      <x:c r="E1308" s="6" t="str">
        <x:v>xwojX (B)</x:v>
      </x:c>
      <x:c r="F1308" s="6" t="str">
        <x:v>1</x:v>
      </x:c>
      <x:c r="G1308" s="6" t="str"/>
      <x:c r="H1308" s="6" t="str">
        <x:f>IF(B1308="平","平",IF(B1308="","","仄"))</x:f>
        <x:v>仄</x:v>
      </x:c>
      <x:c r="I1308" s="6" t="str">
        <x:f>IF(D1300="","",IF(AND(ISNUMBER(SEARCH("平",D1300)),OR(ISNUMBER(SEARCH("上",D1300)),ISNUMBER(SEARCH("去",D1300)),ISNUMBER(SEARCH("入",D1300)))),"Ambiguous",IF(ISNUMBER(SEARCH("平",D1300)),"平","仄")))</x:f>
        <x:v>平</x:v>
      </x:c>
      <x:c r="J1308" s="7" t="str"/>
    </x:row>
    <x:row r="1309">
      <x:c r="A1309" s="5" t="str">
        <x:v>悖</x:v>
      </x:c>
      <x:c r="B1309" s="6" t="str"/>
      <x:c r="C1309" s="6" t="str">
        <x:f>IF(B1309="","Needs decision","Ready")</x:f>
        <x:v>Needs decision</x:v>
      </x:c>
      <x:c r="D1309" s="6" t="str">
        <x:v>去/入</x:v>
      </x:c>
      <x:c r="E1309" s="6" t="str">
        <x:v>bwojH (C); bwot (D)</x:v>
      </x:c>
      <x:c r="F1309" s="6" t="str">
        <x:v>2</x:v>
      </x:c>
      <x:c r="G1309" s="6" t="str"/>
      <x:c r="H1309" s="6" t="str">
        <x:f>IF(B1309="平","平",IF(B1309="","","仄"))</x:f>
      </x:c>
      <x:c r="I1309" s="6" t="str">
        <x:f>IF(D1301="","",IF(AND(ISNUMBER(SEARCH("平",D1301)),OR(ISNUMBER(SEARCH("上",D1301)),ISNUMBER(SEARCH("去",D1301)),ISNUMBER(SEARCH("入",D1301)))),"Ambiguous",IF(ISNUMBER(SEARCH("平",D1301)),"平","仄")))</x:f>
        <x:v>平</x:v>
      </x:c>
      <x:c r="J1309" s="7" t="str"/>
    </x:row>
    <x:row r="1310">
      <x:c r="A1310" s="5" t="str">
        <x:v>悟</x:v>
      </x:c>
      <x:c r="B1310" s="6" t="str">
        <x:v>去</x:v>
      </x:c>
      <x:c r="C1310" s="6" t="str">
        <x:f>IF(B1310="","Needs decision","Ready")</x:f>
        <x:v>Ready</x:v>
      </x:c>
      <x:c r="D1310" s="6" t="str">
        <x:v>去</x:v>
      </x:c>
      <x:c r="E1310" s="6" t="str">
        <x:v>nguH (C)</x:v>
      </x:c>
      <x:c r="F1310" s="6" t="str">
        <x:v>1</x:v>
      </x:c>
      <x:c r="G1310" s="6" t="str"/>
      <x:c r="H1310" s="6" t="str">
        <x:f>IF(B1310="平","平",IF(B1310="","","仄"))</x:f>
        <x:v>仄</x:v>
      </x:c>
      <x:c r="I1310" s="6" t="str">
        <x:f>IF(D1302="","",IF(AND(ISNUMBER(SEARCH("平",D1302)),OR(ISNUMBER(SEARCH("上",D1302)),ISNUMBER(SEARCH("去",D1302)),ISNUMBER(SEARCH("入",D1302)))),"Ambiguous",IF(ISNUMBER(SEARCH("平",D1302)),"平","仄")))</x:f>
        <x:v>仄</x:v>
      </x:c>
      <x:c r="J1310" s="7" t="str"/>
    </x:row>
    <x:row r="1311">
      <x:c r="A1311" s="5" t="str">
        <x:v>悠</x:v>
      </x:c>
      <x:c r="B1311" s="6" t="str">
        <x:v>平</x:v>
      </x:c>
      <x:c r="C1311" s="6" t="str">
        <x:f>IF(B1311="","Needs decision","Ready")</x:f>
        <x:v>Ready</x:v>
      </x:c>
      <x:c r="D1311" s="6" t="str">
        <x:v>平</x:v>
      </x:c>
      <x:c r="E1311" s="6" t="str">
        <x:v>yuw (A)</x:v>
      </x:c>
      <x:c r="F1311" s="6" t="str">
        <x:v>1</x:v>
      </x:c>
      <x:c r="G1311" s="6" t="str"/>
      <x:c r="H1311" s="6" t="str">
        <x:f>IF(B1311="平","平",IF(B1311="","","仄"))</x:f>
        <x:v>平</x:v>
      </x:c>
      <x:c r="I1311" s="6" t="str">
        <x:f>IF(D1303="","",IF(AND(ISNUMBER(SEARCH("平",D1303)),OR(ISNUMBER(SEARCH("上",D1303)),ISNUMBER(SEARCH("去",D1303)),ISNUMBER(SEARCH("入",D1303)))),"Ambiguous",IF(ISNUMBER(SEARCH("平",D1303)),"平","仄")))</x:f>
        <x:v>平</x:v>
      </x:c>
      <x:c r="J1311" s="7" t="str"/>
    </x:row>
    <x:row r="1312">
      <x:c r="A1312" s="5" t="str">
        <x:v>患</x:v>
      </x:c>
      <x:c r="B1312" s="6" t="str">
        <x:v>去</x:v>
      </x:c>
      <x:c r="C1312" s="6" t="str">
        <x:f>IF(B1312="","Needs decision","Ready")</x:f>
        <x:v>Ready</x:v>
      </x:c>
      <x:c r="D1312" s="6" t="str">
        <x:v>去</x:v>
      </x:c>
      <x:c r="E1312" s="6" t="str">
        <x:v>hwaenH (C)</x:v>
      </x:c>
      <x:c r="F1312" s="6" t="str">
        <x:v>1</x:v>
      </x:c>
      <x:c r="G1312" s="6" t="str"/>
      <x:c r="H1312" s="6" t="str">
        <x:f>IF(B1312="平","平",IF(B1312="","","仄"))</x:f>
        <x:v>仄</x:v>
      </x:c>
      <x:c r="I1312" s="6" t="str">
        <x:f>IF(D1304="","",IF(AND(ISNUMBER(SEARCH("平",D1304)),OR(ISNUMBER(SEARCH("上",D1304)),ISNUMBER(SEARCH("去",D1304)),ISNUMBER(SEARCH("入",D1304)))),"Ambiguous",IF(ISNUMBER(SEARCH("平",D1304)),"平","仄")))</x:f>
        <x:v>仄</x:v>
      </x:c>
      <x:c r="J1312" s="7" t="str"/>
    </x:row>
    <x:row r="1313">
      <x:c r="A1313" s="5" t="str">
        <x:v>悦</x:v>
      </x:c>
      <x:c r="B1313" s="6" t="str">
        <x:v>入</x:v>
      </x:c>
      <x:c r="C1313" s="6" t="str">
        <x:f>IF(B1313="","Needs decision","Ready")</x:f>
        <x:v>Ready</x:v>
      </x:c>
      <x:c r="D1313" s="6" t="str">
        <x:v>入</x:v>
      </x:c>
      <x:c r="E1313" s="6" t="str">
        <x:v>ywet (D)</x:v>
      </x:c>
      <x:c r="F1313" s="6" t="str">
        <x:v>1</x:v>
      </x:c>
      <x:c r="G1313" s="6" t="str"/>
      <x:c r="H1313" s="6" t="str">
        <x:f>IF(B1313="平","平",IF(B1313="","","仄"))</x:f>
        <x:v>仄</x:v>
      </x:c>
      <x:c r="I1313" s="6" t="str">
        <x:f>IF(D1305="","",IF(AND(ISNUMBER(SEARCH("平",D1305)),OR(ISNUMBER(SEARCH("上",D1305)),ISNUMBER(SEARCH("去",D1305)),ISNUMBER(SEARCH("入",D1305)))),"Ambiguous",IF(ISNUMBER(SEARCH("平",D1305)),"平","仄")))</x:f>
        <x:v>仄</x:v>
      </x:c>
      <x:c r="J1313" s="7" t="str"/>
    </x:row>
    <x:row r="1314">
      <x:c r="A1314" s="5" t="str">
        <x:v>悲</x:v>
      </x:c>
      <x:c r="B1314" s="6" t="str">
        <x:v>平</x:v>
      </x:c>
      <x:c r="C1314" s="6" t="str">
        <x:f>IF(B1314="","Needs decision","Ready")</x:f>
        <x:v>Ready</x:v>
      </x:c>
      <x:c r="D1314" s="6" t="str">
        <x:v>平</x:v>
      </x:c>
      <x:c r="E1314" s="6" t="str">
        <x:v>pij (A)</x:v>
      </x:c>
      <x:c r="F1314" s="6" t="str">
        <x:v>1</x:v>
      </x:c>
      <x:c r="G1314" s="6" t="str"/>
      <x:c r="H1314" s="6" t="str">
        <x:f>IF(B1314="平","平",IF(B1314="","","仄"))</x:f>
        <x:v>平</x:v>
      </x:c>
      <x:c r="I1314" s="6" t="str">
        <x:f>IF(D1306="","",IF(AND(ISNUMBER(SEARCH("平",D1306)),OR(ISNUMBER(SEARCH("上",D1306)),ISNUMBER(SEARCH("去",D1306)),ISNUMBER(SEARCH("入",D1306)))),"Ambiguous",IF(ISNUMBER(SEARCH("平",D1306)),"平","仄")))</x:f>
        <x:v>仄</x:v>
      </x:c>
      <x:c r="J1314" s="7" t="str"/>
    </x:row>
    <x:row r="1315">
      <x:c r="A1315" s="5" t="str">
        <x:v>悴</x:v>
      </x:c>
      <x:c r="B1315" s="6" t="str">
        <x:v>去</x:v>
      </x:c>
      <x:c r="C1315" s="6" t="str">
        <x:f>IF(B1315="","Needs decision","Ready")</x:f>
        <x:v>Ready</x:v>
      </x:c>
      <x:c r="D1315" s="6" t="str">
        <x:v>去</x:v>
      </x:c>
      <x:c r="E1315" s="6" t="str">
        <x:v>dzwijH [dzjwih] (去)</x:v>
      </x:c>
      <x:c r="F1315" s="6" t="str">
        <x:v>1</x:v>
      </x:c>
      <x:c r="G1315" s="6" t="str">
        <x:v>Tang 300 gap; frequency 1; provisional from Xun Gong</x:v>
      </x:c>
      <x:c r="H1315" s="6" t="str">
        <x:f>IF(B1315="平","平",IF(B1315="","","仄"))</x:f>
        <x:v>仄</x:v>
      </x:c>
      <x:c r="I1315" s="6" t="str">
        <x:f>IF(D1307="","",IF(AND(ISNUMBER(SEARCH("平",D1307)),OR(ISNUMBER(SEARCH("上",D1307)),ISNUMBER(SEARCH("去",D1307)),ISNUMBER(SEARCH("入",D1307)))),"Ambiguous",IF(ISNUMBER(SEARCH("平",D1307)),"平","仄")))</x:f>
        <x:v>仄</x:v>
      </x:c>
      <x:c r="J1315" s="7" t="str">
        <x:v>Xun Gong, Tang 300 gap fill</x:v>
      </x:c>
    </x:row>
    <x:row r="1316">
      <x:c r="A1316" s="5" t="str">
        <x:v>悵</x:v>
      </x:c>
      <x:c r="B1316" s="6" t="str">
        <x:v>去</x:v>
      </x:c>
      <x:c r="C1316" s="6" t="str">
        <x:f>IF(B1316="","Needs decision","Ready")</x:f>
        <x:v>Ready</x:v>
      </x:c>
      <x:c r="D1316" s="6" t="str">
        <x:v>去</x:v>
      </x:c>
      <x:c r="E1316" s="6" t="str">
        <x:v>trhjangH (C)</x:v>
      </x:c>
      <x:c r="F1316" s="6" t="str">
        <x:v>1</x:v>
      </x:c>
      <x:c r="G1316" s="6" t="str"/>
      <x:c r="H1316" s="6" t="str">
        <x:f>IF(B1316="平","平",IF(B1316="","","仄"))</x:f>
        <x:v>仄</x:v>
      </x:c>
      <x:c r="I1316" s="6" t="str">
        <x:f>IF(D1308="","",IF(AND(ISNUMBER(SEARCH("平",D1308)),OR(ISNUMBER(SEARCH("上",D1308)),ISNUMBER(SEARCH("去",D1308)),ISNUMBER(SEARCH("入",D1308)))),"Ambiguous",IF(ISNUMBER(SEARCH("平",D1308)),"平","仄")))</x:f>
        <x:v>仄</x:v>
      </x:c>
      <x:c r="J1316" s="7" t="str"/>
    </x:row>
    <x:row r="1317">
      <x:c r="A1317" s="5" t="str">
        <x:v>悸</x:v>
      </x:c>
      <x:c r="B1317" s="6" t="str">
        <x:v>去</x:v>
      </x:c>
      <x:c r="C1317" s="6" t="str">
        <x:f>IF(B1317="","Needs decision","Ready")</x:f>
        <x:v>Ready</x:v>
      </x:c>
      <x:c r="D1317" s="6" t="str">
        <x:v>去</x:v>
      </x:c>
      <x:c r="E1317" s="6" t="str">
        <x:v>gjwijH (C)</x:v>
      </x:c>
      <x:c r="F1317" s="6" t="str">
        <x:v>1</x:v>
      </x:c>
      <x:c r="G1317" s="6" t="str"/>
      <x:c r="H1317" s="6" t="str">
        <x:f>IF(B1317="平","平",IF(B1317="","","仄"))</x:f>
        <x:v>仄</x:v>
      </x:c>
      <x:c r="I1317" s="6" t="str">
        <x:f>IF(D1309="","",IF(AND(ISNUMBER(SEARCH("平",D1309)),OR(ISNUMBER(SEARCH("上",D1309)),ISNUMBER(SEARCH("去",D1309)),ISNUMBER(SEARCH("入",D1309)))),"Ambiguous",IF(ISNUMBER(SEARCH("平",D1309)),"平","仄")))</x:f>
        <x:v>仄</x:v>
      </x:c>
      <x:c r="J1317" s="7" t="str"/>
    </x:row>
    <x:row r="1318">
      <x:c r="A1318" s="5" t="str">
        <x:v>悼</x:v>
      </x:c>
      <x:c r="B1318" s="6" t="str">
        <x:v>去</x:v>
      </x:c>
      <x:c r="C1318" s="6" t="str">
        <x:f>IF(B1318="","Needs decision","Ready")</x:f>
        <x:v>Ready</x:v>
      </x:c>
      <x:c r="D1318" s="6" t="str">
        <x:v>去</x:v>
      </x:c>
      <x:c r="E1318" s="6" t="str">
        <x:v>dawH (C)</x:v>
      </x:c>
      <x:c r="F1318" s="6" t="str">
        <x:v>1</x:v>
      </x:c>
      <x:c r="G1318" s="6" t="str"/>
      <x:c r="H1318" s="6" t="str">
        <x:f>IF(B1318="平","平",IF(B1318="","","仄"))</x:f>
        <x:v>仄</x:v>
      </x:c>
      <x:c r="I1318" s="6" t="str">
        <x:f>IF(D1310="","",IF(AND(ISNUMBER(SEARCH("平",D1310)),OR(ISNUMBER(SEARCH("上",D1310)),ISNUMBER(SEARCH("去",D1310)),ISNUMBER(SEARCH("入",D1310)))),"Ambiguous",IF(ISNUMBER(SEARCH("平",D1310)),"平","仄")))</x:f>
        <x:v>仄</x:v>
      </x:c>
      <x:c r="J1318" s="7" t="str"/>
    </x:row>
    <x:row r="1319">
      <x:c r="A1319" s="5" t="str">
        <x:v>悽</x:v>
      </x:c>
      <x:c r="B1319" s="6" t="str">
        <x:v>平</x:v>
      </x:c>
      <x:c r="C1319" s="6" t="str">
        <x:f>IF(B1319="","Needs decision","Ready")</x:f>
        <x:v>Ready</x:v>
      </x:c>
      <x:c r="D1319" s="6" t="str">
        <x:v>平</x:v>
      </x:c>
      <x:c r="E1319" s="6" t="str">
        <x:v>tshej [t̙s̙ʰej] (平)</x:v>
      </x:c>
      <x:c r="F1319" s="6" t="str">
        <x:v>1</x:v>
      </x:c>
      <x:c r="G1319" s="6" t="str">
        <x:v>Tang 300 gap; frequency 2; provisional from Xun Gong</x:v>
      </x:c>
      <x:c r="H1319" s="6" t="str">
        <x:f>IF(B1319="平","平",IF(B1319="","","仄"))</x:f>
        <x:v>平</x:v>
      </x:c>
      <x:c r="I1319" s="6" t="str">
        <x:f>IF(D1311="","",IF(AND(ISNUMBER(SEARCH("平",D1311)),OR(ISNUMBER(SEARCH("上",D1311)),ISNUMBER(SEARCH("去",D1311)),ISNUMBER(SEARCH("入",D1311)))),"Ambiguous",IF(ISNUMBER(SEARCH("平",D1311)),"平","仄")))</x:f>
        <x:v>平</x:v>
      </x:c>
      <x:c r="J1319" s="7" t="str">
        <x:v>Xun Gong, Tang 300 gap fill</x:v>
      </x:c>
    </x:row>
    <x:row r="1320">
      <x:c r="A1320" s="5" t="str">
        <x:v>情</x:v>
      </x:c>
      <x:c r="B1320" s="6" t="str">
        <x:v>平</x:v>
      </x:c>
      <x:c r="C1320" s="6" t="str">
        <x:f>IF(B1320="","Needs decision","Ready")</x:f>
        <x:v>Ready</x:v>
      </x:c>
      <x:c r="D1320" s="6" t="str">
        <x:v>平</x:v>
      </x:c>
      <x:c r="E1320" s="6" t="str">
        <x:v>dzjeng (A)</x:v>
      </x:c>
      <x:c r="F1320" s="6" t="str">
        <x:v>1</x:v>
      </x:c>
      <x:c r="G1320" s="6" t="str"/>
      <x:c r="H1320" s="6" t="str">
        <x:f>IF(B1320="平","平",IF(B1320="","","仄"))</x:f>
        <x:v>平</x:v>
      </x:c>
      <x:c r="I1320" s="6" t="str">
        <x:f>IF(D1312="","",IF(AND(ISNUMBER(SEARCH("平",D1312)),OR(ISNUMBER(SEARCH("上",D1312)),ISNUMBER(SEARCH("去",D1312)),ISNUMBER(SEARCH("入",D1312)))),"Ambiguous",IF(ISNUMBER(SEARCH("平",D1312)),"平","仄")))</x:f>
        <x:v>仄</x:v>
      </x:c>
      <x:c r="J1320" s="7" t="str"/>
    </x:row>
    <x:row r="1321">
      <x:c r="A1321" s="5" t="str">
        <x:v>惆</x:v>
      </x:c>
      <x:c r="B1321" s="6" t="str">
        <x:v>平</x:v>
      </x:c>
      <x:c r="C1321" s="6" t="str">
        <x:f>IF(B1321="","Needs decision","Ready")</x:f>
        <x:v>Ready</x:v>
      </x:c>
      <x:c r="D1321" s="6" t="str">
        <x:v>平</x:v>
      </x:c>
      <x:c r="E1321" s="6" t="str"/>
      <x:c r="F1321" s="6" t="str"/>
      <x:c r="G1321" s="6" t="str">
        <x:v>Manual user correction/addition</x:v>
      </x:c>
      <x:c r="H1321" s="6" t="str">
        <x:f>IF(B1321="平","平",IF(B1321="","","仄"))</x:f>
        <x:v>平</x:v>
      </x:c>
      <x:c r="I1321" s="6" t="str">
        <x:f>IF(D1313="","",IF(AND(ISNUMBER(SEARCH("平",D1313)),OR(ISNUMBER(SEARCH("上",D1313)),ISNUMBER(SEARCH("去",D1313)),ISNUMBER(SEARCH("入",D1313)))),"Ambiguous",IF(ISNUMBER(SEARCH("平",D1313)),"平","仄")))</x:f>
        <x:v>仄</x:v>
      </x:c>
      <x:c r="J1321" s="7" t="str">
        <x:v>manual user correction</x:v>
      </x:c>
    </x:row>
    <x:row r="1322">
      <x:c r="A1322" s="5" t="str">
        <x:v>惋</x:v>
      </x:c>
      <x:c r="B1322" s="6" t="str">
        <x:v>去</x:v>
      </x:c>
      <x:c r="C1322" s="6" t="str">
        <x:f>IF(B1322="","Needs decision","Ready")</x:f>
        <x:v>Ready</x:v>
      </x:c>
      <x:c r="D1322" s="6" t="str">
        <x:v>去</x:v>
      </x:c>
      <x:c r="E1322" s="6" t="str">
        <x:v>'wanH [ʔ̙wɑnh] (去)</x:v>
      </x:c>
      <x:c r="F1322" s="6" t="str">
        <x:v>1</x:v>
      </x:c>
      <x:c r="G1322" s="6" t="str">
        <x:v>Tang 300 gap; frequency 1; provisional from Xun Gong</x:v>
      </x:c>
      <x:c r="H1322" s="6" t="str">
        <x:f>IF(B1322="平","平",IF(B1322="","","仄"))</x:f>
        <x:v>仄</x:v>
      </x:c>
      <x:c r="I1322" s="6" t="str">
        <x:f>IF(D1314="","",IF(AND(ISNUMBER(SEARCH("平",D1314)),OR(ISNUMBER(SEARCH("上",D1314)),ISNUMBER(SEARCH("去",D1314)),ISNUMBER(SEARCH("入",D1314)))),"Ambiguous",IF(ISNUMBER(SEARCH("平",D1314)),"平","仄")))</x:f>
        <x:v>平</x:v>
      </x:c>
      <x:c r="J1322" s="7" t="str">
        <x:v>Xun Gong, Tang 300 gap fill</x:v>
      </x:c>
    </x:row>
    <x:row r="1323">
      <x:c r="A1323" s="5" t="str">
        <x:v>惑</x:v>
      </x:c>
      <x:c r="B1323" s="6" t="str">
        <x:v>入</x:v>
      </x:c>
      <x:c r="C1323" s="6" t="str">
        <x:f>IF(B1323="","Needs decision","Ready")</x:f>
        <x:v>Ready</x:v>
      </x:c>
      <x:c r="D1323" s="6" t="str">
        <x:v>入</x:v>
      </x:c>
      <x:c r="E1323" s="6" t="str">
        <x:v>hwok (D)</x:v>
      </x:c>
      <x:c r="F1323" s="6" t="str">
        <x:v>1</x:v>
      </x:c>
      <x:c r="G1323" s="6" t="str"/>
      <x:c r="H1323" s="6" t="str">
        <x:f>IF(B1323="平","平",IF(B1323="","","仄"))</x:f>
        <x:v>仄</x:v>
      </x:c>
      <x:c r="I1323" s="6" t="str">
        <x:f>IF(D1315="","",IF(AND(ISNUMBER(SEARCH("平",D1315)),OR(ISNUMBER(SEARCH("上",D1315)),ISNUMBER(SEARCH("去",D1315)),ISNUMBER(SEARCH("入",D1315)))),"Ambiguous",IF(ISNUMBER(SEARCH("平",D1315)),"平","仄")))</x:f>
        <x:v>仄</x:v>
      </x:c>
      <x:c r="J1323" s="7" t="str"/>
    </x:row>
    <x:row r="1324">
      <x:c r="A1324" s="5" t="str">
        <x:v>惕</x:v>
      </x:c>
      <x:c r="B1324" s="6" t="str">
        <x:v>入</x:v>
      </x:c>
      <x:c r="C1324" s="6" t="str">
        <x:f>IF(B1324="","Needs decision","Ready")</x:f>
        <x:v>Ready</x:v>
      </x:c>
      <x:c r="D1324" s="6" t="str">
        <x:v>入</x:v>
      </x:c>
      <x:c r="E1324" s="6" t="str">
        <x:v>thek (D)</x:v>
      </x:c>
      <x:c r="F1324" s="6" t="str">
        <x:v>1</x:v>
      </x:c>
      <x:c r="G1324" s="6" t="str"/>
      <x:c r="H1324" s="6" t="str">
        <x:f>IF(B1324="平","平",IF(B1324="","","仄"))</x:f>
        <x:v>仄</x:v>
      </x:c>
      <x:c r="I1324" s="6" t="str">
        <x:f>IF(D1316="","",IF(AND(ISNUMBER(SEARCH("平",D1316)),OR(ISNUMBER(SEARCH("上",D1316)),ISNUMBER(SEARCH("去",D1316)),ISNUMBER(SEARCH("入",D1316)))),"Ambiguous",IF(ISNUMBER(SEARCH("平",D1316)),"平","仄")))</x:f>
        <x:v>仄</x:v>
      </x:c>
      <x:c r="J1324" s="7" t="str"/>
    </x:row>
    <x:row r="1325">
      <x:c r="A1325" s="5" t="str">
        <x:v>惘</x:v>
      </x:c>
      <x:c r="B1325" s="6" t="str">
        <x:v>上</x:v>
      </x:c>
      <x:c r="C1325" s="6" t="str">
        <x:f>IF(B1325="","Needs decision","Ready")</x:f>
        <x:v>Ready</x:v>
      </x:c>
      <x:c r="D1325" s="6" t="str">
        <x:v>上</x:v>
      </x:c>
      <x:c r="E1325" s="6" t="str">
        <x:v>mjangX (B)</x:v>
      </x:c>
      <x:c r="F1325" s="6" t="str">
        <x:v>1</x:v>
      </x:c>
      <x:c r="G1325" s="6" t="str"/>
      <x:c r="H1325" s="6" t="str">
        <x:f>IF(B1325="平","平",IF(B1325="","","仄"))</x:f>
        <x:v>仄</x:v>
      </x:c>
      <x:c r="I1325" s="6" t="str">
        <x:f>IF(D1317="","",IF(AND(ISNUMBER(SEARCH("平",D1317)),OR(ISNUMBER(SEARCH("上",D1317)),ISNUMBER(SEARCH("去",D1317)),ISNUMBER(SEARCH("入",D1317)))),"Ambiguous",IF(ISNUMBER(SEARCH("平",D1317)),"平","仄")))</x:f>
        <x:v>仄</x:v>
      </x:c>
      <x:c r="J1325" s="7" t="str"/>
    </x:row>
    <x:row r="1326">
      <x:c r="A1326" s="5" t="str">
        <x:v>惚</x:v>
      </x:c>
      <x:c r="B1326" s="6" t="str">
        <x:v>入</x:v>
      </x:c>
      <x:c r="C1326" s="6" t="str">
        <x:f>IF(B1326="","Needs decision","Ready")</x:f>
        <x:v>Ready</x:v>
      </x:c>
      <x:c r="D1326" s="6" t="str">
        <x:v>入</x:v>
      </x:c>
      <x:c r="E1326" s="6" t="str">
        <x:v>xwot (D)</x:v>
      </x:c>
      <x:c r="F1326" s="6" t="str">
        <x:v>1</x:v>
      </x:c>
      <x:c r="G1326" s="6" t="str"/>
      <x:c r="H1326" s="6" t="str">
        <x:f>IF(B1326="平","平",IF(B1326="","","仄"))</x:f>
        <x:v>仄</x:v>
      </x:c>
      <x:c r="I1326" s="6" t="str">
        <x:f>IF(D1318="","",IF(AND(ISNUMBER(SEARCH("平",D1318)),OR(ISNUMBER(SEARCH("上",D1318)),ISNUMBER(SEARCH("去",D1318)),ISNUMBER(SEARCH("入",D1318)))),"Ambiguous",IF(ISNUMBER(SEARCH("平",D1318)),"平","仄")))</x:f>
        <x:v>仄</x:v>
      </x:c>
      <x:c r="J1326" s="7" t="str"/>
    </x:row>
    <x:row r="1327">
      <x:c r="A1327" s="5" t="str">
        <x:v>惜</x:v>
      </x:c>
      <x:c r="B1327" s="6" t="str">
        <x:v>入</x:v>
      </x:c>
      <x:c r="C1327" s="6" t="str">
        <x:f>IF(B1327="","Needs decision","Ready")</x:f>
        <x:v>Ready</x:v>
      </x:c>
      <x:c r="D1327" s="6" t="str">
        <x:v>入</x:v>
      </x:c>
      <x:c r="E1327" s="6" t="str">
        <x:v>sjek (D)</x:v>
      </x:c>
      <x:c r="F1327" s="6" t="str">
        <x:v>1</x:v>
      </x:c>
      <x:c r="G1327" s="6" t="str"/>
      <x:c r="H1327" s="6" t="str">
        <x:f>IF(B1327="平","平",IF(B1327="","","仄"))</x:f>
        <x:v>仄</x:v>
      </x:c>
      <x:c r="I1327" s="6" t="str">
        <x:f>IF(D1319="","",IF(AND(ISNUMBER(SEARCH("平",D1319)),OR(ISNUMBER(SEARCH("上",D1319)),ISNUMBER(SEARCH("去",D1319)),ISNUMBER(SEARCH("入",D1319)))),"Ambiguous",IF(ISNUMBER(SEARCH("平",D1319)),"平","仄")))</x:f>
        <x:v>平</x:v>
      </x:c>
      <x:c r="J1327" s="7" t="str"/>
    </x:row>
    <x:row r="1328">
      <x:c r="A1328" s="5" t="str">
        <x:v>惝</x:v>
      </x:c>
      <x:c r="B1328" s="6" t="str">
        <x:v>上</x:v>
      </x:c>
      <x:c r="C1328" s="6" t="str">
        <x:f>IF(B1328="","Needs decision","Ready")</x:f>
        <x:v>Ready</x:v>
      </x:c>
      <x:c r="D1328" s="6" t="str">
        <x:v>上</x:v>
      </x:c>
      <x:c r="E1328" s="6" t="str">
        <x:v>tsyhangX (B)</x:v>
      </x:c>
      <x:c r="F1328" s="6" t="str">
        <x:v>1</x:v>
      </x:c>
      <x:c r="G1328" s="6" t="str"/>
      <x:c r="H1328" s="6" t="str">
        <x:f>IF(B1328="平","平",IF(B1328="","","仄"))</x:f>
        <x:v>仄</x:v>
      </x:c>
      <x:c r="I1328" s="6" t="str">
        <x:f>IF(D1320="","",IF(AND(ISNUMBER(SEARCH("平",D1320)),OR(ISNUMBER(SEARCH("上",D1320)),ISNUMBER(SEARCH("去",D1320)),ISNUMBER(SEARCH("入",D1320)))),"Ambiguous",IF(ISNUMBER(SEARCH("平",D1320)),"平","仄")))</x:f>
        <x:v>平</x:v>
      </x:c>
      <x:c r="J1328" s="7" t="str"/>
    </x:row>
    <x:row r="1329">
      <x:c r="A1329" s="5" t="str">
        <x:v>惟</x:v>
      </x:c>
      <x:c r="B1329" s="6" t="str">
        <x:v>平</x:v>
      </x:c>
      <x:c r="C1329" s="6" t="str">
        <x:f>IF(B1329="","Needs decision","Ready")</x:f>
        <x:v>Ready</x:v>
      </x:c>
      <x:c r="D1329" s="6" t="str">
        <x:v>平</x:v>
      </x:c>
      <x:c r="E1329" s="6" t="str">
        <x:v>ywij (A)</x:v>
      </x:c>
      <x:c r="F1329" s="6" t="str">
        <x:v>1</x:v>
      </x:c>
      <x:c r="G1329" s="6" t="str"/>
      <x:c r="H1329" s="6" t="str">
        <x:f>IF(B1329="平","平",IF(B1329="","","仄"))</x:f>
        <x:v>平</x:v>
      </x:c>
      <x:c r="I1329" s="6" t="str">
        <x:f>IF(D1321="","",IF(AND(ISNUMBER(SEARCH("平",D1321)),OR(ISNUMBER(SEARCH("上",D1321)),ISNUMBER(SEARCH("去",D1321)),ISNUMBER(SEARCH("入",D1321)))),"Ambiguous",IF(ISNUMBER(SEARCH("平",D1321)),"平","仄")))</x:f>
        <x:v>平</x:v>
      </x:c>
      <x:c r="J1329" s="7" t="str"/>
    </x:row>
    <x:row r="1330">
      <x:c r="A1330" s="5" t="str">
        <x:v>惠</x:v>
      </x:c>
      <x:c r="B1330" s="6" t="str">
        <x:v>去</x:v>
      </x:c>
      <x:c r="C1330" s="6" t="str">
        <x:f>IF(B1330="","Needs decision","Ready")</x:f>
        <x:v>Ready</x:v>
      </x:c>
      <x:c r="D1330" s="6" t="str">
        <x:v>去</x:v>
      </x:c>
      <x:c r="E1330" s="6" t="str">
        <x:v>hwejH (C)</x:v>
      </x:c>
      <x:c r="F1330" s="6" t="str">
        <x:v>1</x:v>
      </x:c>
      <x:c r="G1330" s="6" t="str"/>
      <x:c r="H1330" s="6" t="str">
        <x:f>IF(B1330="平","平",IF(B1330="","","仄"))</x:f>
        <x:v>仄</x:v>
      </x:c>
      <x:c r="I1330" s="6" t="str">
        <x:f>IF(D1322="","",IF(AND(ISNUMBER(SEARCH("平",D1322)),OR(ISNUMBER(SEARCH("上",D1322)),ISNUMBER(SEARCH("去",D1322)),ISNUMBER(SEARCH("入",D1322)))),"Ambiguous",IF(ISNUMBER(SEARCH("平",D1322)),"平","仄")))</x:f>
        <x:v>仄</x:v>
      </x:c>
      <x:c r="J1330" s="7" t="str"/>
    </x:row>
    <x:row r="1331">
      <x:c r="A1331" s="5" t="str">
        <x:v>惡</x:v>
      </x:c>
      <x:c r="B1331" s="6" t="str"/>
      <x:c r="C1331" s="6" t="str">
        <x:f>IF(B1331="","Needs decision","Ready")</x:f>
        <x:v>Needs decision</x:v>
      </x:c>
      <x:c r="D1331" s="6" t="str">
        <x:v>入/去</x:v>
      </x:c>
      <x:c r="E1331" s="6" t="str">
        <x:v>'ak (D); 'uH (C)</x:v>
      </x:c>
      <x:c r="F1331" s="6" t="str">
        <x:v>2</x:v>
      </x:c>
      <x:c r="G1331" s="6" t="str"/>
      <x:c r="H1331" s="6" t="str">
        <x:f>IF(B1331="平","平",IF(B1331="","","仄"))</x:f>
      </x:c>
      <x:c r="I1331" s="6" t="str">
        <x:f>IF(D1323="","",IF(AND(ISNUMBER(SEARCH("平",D1323)),OR(ISNUMBER(SEARCH("上",D1323)),ISNUMBER(SEARCH("去",D1323)),ISNUMBER(SEARCH("入",D1323)))),"Ambiguous",IF(ISNUMBER(SEARCH("平",D1323)),"平","仄")))</x:f>
        <x:v>仄</x:v>
      </x:c>
      <x:c r="J1331" s="7" t="str"/>
    </x:row>
    <x:row r="1332">
      <x:c r="A1332" s="5" t="str">
        <x:v>惰</x:v>
      </x:c>
      <x:c r="B1332" s="6" t="str">
        <x:v>上</x:v>
      </x:c>
      <x:c r="C1332" s="6" t="str">
        <x:f>IF(B1332="","Needs decision","Ready")</x:f>
        <x:v>Ready</x:v>
      </x:c>
      <x:c r="D1332" s="6" t="str">
        <x:v>上</x:v>
      </x:c>
      <x:c r="E1332" s="6" t="str">
        <x:v>dwaX (B)</x:v>
      </x:c>
      <x:c r="F1332" s="6" t="str">
        <x:v>1</x:v>
      </x:c>
      <x:c r="G1332" s="6" t="str"/>
      <x:c r="H1332" s="6" t="str">
        <x:f>IF(B1332="平","平",IF(B1332="","","仄"))</x:f>
        <x:v>仄</x:v>
      </x:c>
      <x:c r="I1332" s="6" t="str">
        <x:f>IF(D1324="","",IF(AND(ISNUMBER(SEARCH("平",D1324)),OR(ISNUMBER(SEARCH("上",D1324)),ISNUMBER(SEARCH("去",D1324)),ISNUMBER(SEARCH("入",D1324)))),"Ambiguous",IF(ISNUMBER(SEARCH("平",D1324)),"平","仄")))</x:f>
        <x:v>仄</x:v>
      </x:c>
      <x:c r="J1332" s="7" t="str"/>
    </x:row>
    <x:row r="1333">
      <x:c r="A1333" s="5" t="str">
        <x:v>惱</x:v>
      </x:c>
      <x:c r="B1333" s="6" t="str">
        <x:v>上</x:v>
      </x:c>
      <x:c r="C1333" s="6" t="str">
        <x:f>IF(B1333="","Needs decision","Ready")</x:f>
        <x:v>Ready</x:v>
      </x:c>
      <x:c r="D1333" s="6" t="str"/>
      <x:c r="E1333" s="6" t="str"/>
      <x:c r="F1333" s="6" t="str"/>
      <x:c r="G1333" s="6" t="str"/>
      <x:c r="H1333" s="6" t="str">
        <x:f>IF(B1333="平","平",IF(B1333="","","仄"))</x:f>
        <x:v>仄</x:v>
      </x:c>
      <x:c r="I1333" s="6" t="str">
        <x:f>IF(D1325="","",IF(AND(ISNUMBER(SEARCH("平",D1325)),OR(ISNUMBER(SEARCH("上",D1325)),ISNUMBER(SEARCH("去",D1325)),ISNUMBER(SEARCH("入",D1325)))),"Ambiguous",IF(ISNUMBER(SEARCH("平",D1325)),"平","仄")))</x:f>
        <x:v>仄</x:v>
      </x:c>
      <x:c r="J1333" s="7" t="str"/>
    </x:row>
    <x:row r="1334">
      <x:c r="A1334" s="5" t="str">
        <x:v>想</x:v>
      </x:c>
      <x:c r="B1334" s="6" t="str">
        <x:v>上</x:v>
      </x:c>
      <x:c r="C1334" s="6" t="str">
        <x:f>IF(B1334="","Needs decision","Ready")</x:f>
        <x:v>Ready</x:v>
      </x:c>
      <x:c r="D1334" s="6" t="str">
        <x:v>上</x:v>
      </x:c>
      <x:c r="E1334" s="6" t="str">
        <x:v>sjangX (B)</x:v>
      </x:c>
      <x:c r="F1334" s="6" t="str">
        <x:v>1</x:v>
      </x:c>
      <x:c r="G1334" s="6" t="str"/>
      <x:c r="H1334" s="6" t="str">
        <x:f>IF(B1334="平","平",IF(B1334="","","仄"))</x:f>
        <x:v>仄</x:v>
      </x:c>
      <x:c r="I1334" s="6" t="str">
        <x:f>IF(D1326="","",IF(AND(ISNUMBER(SEARCH("平",D1326)),OR(ISNUMBER(SEARCH("上",D1326)),ISNUMBER(SEARCH("去",D1326)),ISNUMBER(SEARCH("入",D1326)))),"Ambiguous",IF(ISNUMBER(SEARCH("平",D1326)),"平","仄")))</x:f>
        <x:v>仄</x:v>
      </x:c>
      <x:c r="J1334" s="7" t="str"/>
    </x:row>
    <x:row r="1335">
      <x:c r="A1335" s="5" t="str">
        <x:v>惹</x:v>
      </x:c>
      <x:c r="B1335" s="6" t="str"/>
      <x:c r="C1335" s="6" t="str">
        <x:f>IF(B1335="","Needs decision","Ready")</x:f>
        <x:v>Needs decision</x:v>
      </x:c>
      <x:c r="D1335" s="6" t="str">
        <x:v>上/入</x:v>
      </x:c>
      <x:c r="E1335" s="6" t="str">
        <x:v>nyaeX [ɲaʔ] (上); nyak [ɲɑk] (入)</x:v>
      </x:c>
      <x:c r="F1335" s="6" t="str">
        <x:v>2</x:v>
      </x:c>
      <x:c r="G1335" s="6" t="str">
        <x:v>Tang 300 gap; frequency 1; ambiguous in Xun Gong</x:v>
      </x:c>
      <x:c r="H1335" s="6" t="str">
        <x:f>IF(B1335="平","平",IF(B1335="","","仄"))</x:f>
      </x:c>
      <x:c r="I1335" s="6" t="str">
        <x:f>IF(D1327="","",IF(AND(ISNUMBER(SEARCH("平",D1327)),OR(ISNUMBER(SEARCH("上",D1327)),ISNUMBER(SEARCH("去",D1327)),ISNUMBER(SEARCH("入",D1327)))),"Ambiguous",IF(ISNUMBER(SEARCH("平",D1327)),"平","仄")))</x:f>
        <x:v>仄</x:v>
      </x:c>
      <x:c r="J1335" s="7" t="str">
        <x:v>Xun Gong, Tang 300 gap fill</x:v>
      </x:c>
    </x:row>
    <x:row r="1336">
      <x:c r="A1336" s="5" t="str">
        <x:v>惻</x:v>
      </x:c>
      <x:c r="B1336" s="6" t="str">
        <x:v>入</x:v>
      </x:c>
      <x:c r="C1336" s="6" t="str">
        <x:f>IF(B1336="","Needs decision","Ready")</x:f>
        <x:v>Ready</x:v>
      </x:c>
      <x:c r="D1336" s="6" t="str">
        <x:v>入</x:v>
      </x:c>
      <x:c r="E1336" s="6" t="str">
        <x:v>tsrhik [tʂʰɨk] (入)</x:v>
      </x:c>
      <x:c r="F1336" s="6" t="str">
        <x:v>1</x:v>
      </x:c>
      <x:c r="G1336" s="6" t="str">
        <x:v>Tang 300 gap; frequency 2; provisional from Xun Gong</x:v>
      </x:c>
      <x:c r="H1336" s="6" t="str">
        <x:f>IF(B1336="平","平",IF(B1336="","","仄"))</x:f>
        <x:v>仄</x:v>
      </x:c>
      <x:c r="I1336" s="6" t="str">
        <x:f>IF(D1328="","",IF(AND(ISNUMBER(SEARCH("平",D1328)),OR(ISNUMBER(SEARCH("上",D1328)),ISNUMBER(SEARCH("去",D1328)),ISNUMBER(SEARCH("入",D1328)))),"Ambiguous",IF(ISNUMBER(SEARCH("平",D1328)),"平","仄")))</x:f>
        <x:v>仄</x:v>
      </x:c>
      <x:c r="J1336" s="7" t="str">
        <x:v>Xun Gong, Tang 300 gap fill</x:v>
      </x:c>
    </x:row>
    <x:row r="1337">
      <x:c r="A1337" s="5" t="str">
        <x:v>愁</x:v>
      </x:c>
      <x:c r="B1337" s="6" t="str">
        <x:v>平</x:v>
      </x:c>
      <x:c r="C1337" s="6" t="str">
        <x:f>IF(B1337="","Needs decision","Ready")</x:f>
        <x:v>Ready</x:v>
      </x:c>
      <x:c r="D1337" s="6" t="str">
        <x:v>平</x:v>
      </x:c>
      <x:c r="E1337" s="6" t="str">
        <x:v>dzrjuw (A)</x:v>
      </x:c>
      <x:c r="F1337" s="6" t="str">
        <x:v>1</x:v>
      </x:c>
      <x:c r="G1337" s="6" t="str"/>
      <x:c r="H1337" s="6" t="str">
        <x:f>IF(B1337="平","平",IF(B1337="","","仄"))</x:f>
        <x:v>平</x:v>
      </x:c>
      <x:c r="I1337" s="6" t="str">
        <x:f>IF(D1329="","",IF(AND(ISNUMBER(SEARCH("平",D1329)),OR(ISNUMBER(SEARCH("上",D1329)),ISNUMBER(SEARCH("去",D1329)),ISNUMBER(SEARCH("入",D1329)))),"Ambiguous",IF(ISNUMBER(SEARCH("平",D1329)),"平","仄")))</x:f>
        <x:v>平</x:v>
      </x:c>
      <x:c r="J1337" s="7" t="str"/>
    </x:row>
    <x:row r="1338">
      <x:c r="A1338" s="5" t="str">
        <x:v>愆</x:v>
      </x:c>
      <x:c r="B1338" s="6" t="str">
        <x:v>平</x:v>
      </x:c>
      <x:c r="C1338" s="6" t="str">
        <x:f>IF(B1338="","Needs decision","Ready")</x:f>
        <x:v>Ready</x:v>
      </x:c>
      <x:c r="D1338" s="6" t="str">
        <x:v>平</x:v>
      </x:c>
      <x:c r="E1338" s="6" t="str">
        <x:v>khjen (A)</x:v>
      </x:c>
      <x:c r="F1338" s="6" t="str">
        <x:v>1</x:v>
      </x:c>
      <x:c r="G1338" s="6" t="str"/>
      <x:c r="H1338" s="6" t="str">
        <x:f>IF(B1338="平","平",IF(B1338="","","仄"))</x:f>
        <x:v>平</x:v>
      </x:c>
      <x:c r="I1338" s="6" t="str">
        <x:f>IF(D1330="","",IF(AND(ISNUMBER(SEARCH("平",D1330)),OR(ISNUMBER(SEARCH("上",D1330)),ISNUMBER(SEARCH("去",D1330)),ISNUMBER(SEARCH("入",D1330)))),"Ambiguous",IF(ISNUMBER(SEARCH("平",D1330)),"平","仄")))</x:f>
        <x:v>仄</x:v>
      </x:c>
      <x:c r="J1338" s="7" t="str"/>
    </x:row>
    <x:row r="1339">
      <x:c r="A1339" s="5" t="str">
        <x:v>愈</x:v>
      </x:c>
      <x:c r="B1339" s="6" t="str">
        <x:v>上</x:v>
      </x:c>
      <x:c r="C1339" s="6" t="str">
        <x:f>IF(B1339="","Needs decision","Ready")</x:f>
        <x:v>Ready</x:v>
      </x:c>
      <x:c r="D1339" s="6" t="str">
        <x:v>上</x:v>
      </x:c>
      <x:c r="E1339" s="6" t="str">
        <x:v>yuX (B)</x:v>
      </x:c>
      <x:c r="F1339" s="6" t="str">
        <x:v>1</x:v>
      </x:c>
      <x:c r="G1339" s="6" t="str"/>
      <x:c r="H1339" s="6" t="str">
        <x:f>IF(B1339="平","平",IF(B1339="","","仄"))</x:f>
        <x:v>仄</x:v>
      </x:c>
      <x:c r="I1339" s="6" t="str">
        <x:f>IF(D1331="","",IF(AND(ISNUMBER(SEARCH("平",D1331)),OR(ISNUMBER(SEARCH("上",D1331)),ISNUMBER(SEARCH("去",D1331)),ISNUMBER(SEARCH("入",D1331)))),"Ambiguous",IF(ISNUMBER(SEARCH("平",D1331)),"平","仄")))</x:f>
        <x:v>仄</x:v>
      </x:c>
      <x:c r="J1339" s="7" t="str"/>
    </x:row>
    <x:row r="1340">
      <x:c r="A1340" s="5" t="str">
        <x:v>愉</x:v>
      </x:c>
      <x:c r="B1340" s="6" t="str">
        <x:v>平</x:v>
      </x:c>
      <x:c r="C1340" s="6" t="str">
        <x:f>IF(B1340="","Needs decision","Ready")</x:f>
        <x:v>Ready</x:v>
      </x:c>
      <x:c r="D1340" s="6" t="str">
        <x:v>平</x:v>
      </x:c>
      <x:c r="E1340" s="6" t="str">
        <x:v>yu (A)</x:v>
      </x:c>
      <x:c r="F1340" s="6" t="str">
        <x:v>1</x:v>
      </x:c>
      <x:c r="G1340" s="6" t="str"/>
      <x:c r="H1340" s="6" t="str">
        <x:f>IF(B1340="平","平",IF(B1340="","","仄"))</x:f>
        <x:v>平</x:v>
      </x:c>
      <x:c r="I1340" s="6" t="str">
        <x:f>IF(D1332="","",IF(AND(ISNUMBER(SEARCH("平",D1332)),OR(ISNUMBER(SEARCH("上",D1332)),ISNUMBER(SEARCH("去",D1332)),ISNUMBER(SEARCH("入",D1332)))),"Ambiguous",IF(ISNUMBER(SEARCH("平",D1332)),"平","仄")))</x:f>
        <x:v>仄</x:v>
      </x:c>
      <x:c r="J1340" s="7" t="str"/>
    </x:row>
    <x:row r="1341">
      <x:c r="A1341" s="5" t="str">
        <x:v>愍</x:v>
      </x:c>
      <x:c r="B1341" s="6" t="str">
        <x:v>上</x:v>
      </x:c>
      <x:c r="C1341" s="6" t="str">
        <x:f>IF(B1341="","Needs decision","Ready")</x:f>
        <x:v>Ready</x:v>
      </x:c>
      <x:c r="D1341" s="6" t="str">
        <x:v>上</x:v>
      </x:c>
      <x:c r="E1341" s="6" t="str">
        <x:v>minX [明三B真上] mɨ̯inʔ</x:v>
      </x:c>
      <x:c r="F1341" s="6" t="str">
        <x:v>1</x:v>
      </x:c>
      <x:c r="G1341" s="6" t="str">
        <x:v>Targeted preliminary fill from Xun Gong; review if uncertain</x:v>
      </x:c>
      <x:c r="H1341" s="6" t="str">
        <x:f>IF(B1341="平","平",IF(B1341="","","仄"))</x:f>
        <x:v>仄</x:v>
      </x:c>
      <x:c r="I1341" s="6" t="str">
        <x:f>IF(D1333="","",IF(AND(ISNUMBER(SEARCH("平",D1333)),OR(ISNUMBER(SEARCH("上",D1333)),ISNUMBER(SEARCH("去",D1333)),ISNUMBER(SEARCH("入",D1333)))),"Ambiguous",IF(ISNUMBER(SEARCH("平",D1333)),"平","仄")))</x:f>
      </x:c>
      <x:c r="J1341" s="7" t="str">
        <x:v>Xun Gong character-readings.csv</x:v>
      </x:c>
    </x:row>
    <x:row r="1342">
      <x:c r="A1342" s="5" t="str">
        <x:v>意</x:v>
      </x:c>
      <x:c r="B1342" s="6" t="str">
        <x:v>去</x:v>
      </x:c>
      <x:c r="C1342" s="6" t="str">
        <x:f>IF(B1342="","Needs decision","Ready")</x:f>
        <x:v>Ready</x:v>
      </x:c>
      <x:c r="D1342" s="6" t="str">
        <x:v>去</x:v>
      </x:c>
      <x:c r="E1342" s="6" t="str">
        <x:v>'iH (C)</x:v>
      </x:c>
      <x:c r="F1342" s="6" t="str">
        <x:v>1</x:v>
      </x:c>
      <x:c r="G1342" s="6" t="str"/>
      <x:c r="H1342" s="6" t="str">
        <x:f>IF(B1342="平","平",IF(B1342="","","仄"))</x:f>
        <x:v>仄</x:v>
      </x:c>
      <x:c r="I1342" s="6" t="str">
        <x:f>IF(D1334="","",IF(AND(ISNUMBER(SEARCH("平",D1334)),OR(ISNUMBER(SEARCH("上",D1334)),ISNUMBER(SEARCH("去",D1334)),ISNUMBER(SEARCH("入",D1334)))),"Ambiguous",IF(ISNUMBER(SEARCH("平",D1334)),"平","仄")))</x:f>
        <x:v>仄</x:v>
      </x:c>
      <x:c r="J1342" s="7" t="str"/>
    </x:row>
    <x:row r="1343">
      <x:c r="A1343" s="5" t="str">
        <x:v>愒</x:v>
      </x:c>
      <x:c r="B1343" s="6" t="str">
        <x:v>入</x:v>
      </x:c>
      <x:c r="C1343" s="6" t="str">
        <x:f>IF(B1343="","Needs decision","Ready")</x:f>
        <x:v>Ready</x:v>
      </x:c>
      <x:c r="D1343" s="6" t="str">
        <x:v>入</x:v>
      </x:c>
      <x:c r="E1343" s="6" t="str">
        <x:v>khjet (D)</x:v>
      </x:c>
      <x:c r="F1343" s="6" t="str">
        <x:v>1</x:v>
      </x:c>
      <x:c r="G1343" s="6" t="str"/>
      <x:c r="H1343" s="6" t="str">
        <x:f>IF(B1343="平","平",IF(B1343="","","仄"))</x:f>
        <x:v>仄</x:v>
      </x:c>
      <x:c r="I1343" s="6" t="str">
        <x:f>IF(D1335="","",IF(AND(ISNUMBER(SEARCH("平",D1335)),OR(ISNUMBER(SEARCH("上",D1335)),ISNUMBER(SEARCH("去",D1335)),ISNUMBER(SEARCH("入",D1335)))),"Ambiguous",IF(ISNUMBER(SEARCH("平",D1335)),"平","仄")))</x:f>
        <x:v>仄</x:v>
      </x:c>
      <x:c r="J1343" s="7" t="str"/>
    </x:row>
    <x:row r="1344">
      <x:c r="A1344" s="5" t="str">
        <x:v>愓</x:v>
      </x:c>
      <x:c r="B1344" s="6" t="str"/>
      <x:c r="C1344" s="6" t="str">
        <x:f>IF(B1344="","Needs decision","Ready")</x:f>
        <x:v>Needs decision</x:v>
      </x:c>
      <x:c r="D1344" s="6" t="str">
        <x:v>上/平</x:v>
      </x:c>
      <x:c r="E1344" s="6" t="str">
        <x:v>dangX (B); syang (A)</x:v>
      </x:c>
      <x:c r="F1344" s="6" t="str">
        <x:v>2</x:v>
      </x:c>
      <x:c r="G1344" s="6" t="str"/>
      <x:c r="H1344" s="6" t="str">
        <x:f>IF(B1344="平","平",IF(B1344="","","仄"))</x:f>
      </x:c>
      <x:c r="I1344" s="6" t="str">
        <x:f>IF(D1336="","",IF(AND(ISNUMBER(SEARCH("平",D1336)),OR(ISNUMBER(SEARCH("上",D1336)),ISNUMBER(SEARCH("去",D1336)),ISNUMBER(SEARCH("入",D1336)))),"Ambiguous",IF(ISNUMBER(SEARCH("平",D1336)),"平","仄")))</x:f>
        <x:v>仄</x:v>
      </x:c>
      <x:c r="J1344" s="7" t="str"/>
    </x:row>
    <x:row r="1345">
      <x:c r="A1345" s="5" t="str">
        <x:v>愔</x:v>
      </x:c>
      <x:c r="B1345" s="6" t="str">
        <x:v>平</x:v>
      </x:c>
      <x:c r="C1345" s="6" t="str">
        <x:f>IF(B1345="","Needs decision","Ready")</x:f>
        <x:v>Ready</x:v>
      </x:c>
      <x:c r="D1345" s="6" t="str">
        <x:v>平</x:v>
      </x:c>
      <x:c r="E1345" s="6" t="str">
        <x:v>'jim (A)</x:v>
      </x:c>
      <x:c r="F1345" s="6" t="str">
        <x:v>1</x:v>
      </x:c>
      <x:c r="G1345" s="6" t="str"/>
      <x:c r="H1345" s="6" t="str">
        <x:f>IF(B1345="平","平",IF(B1345="","","仄"))</x:f>
        <x:v>平</x:v>
      </x:c>
      <x:c r="I1345" s="6" t="str">
        <x:f>IF(D1337="","",IF(AND(ISNUMBER(SEARCH("平",D1337)),OR(ISNUMBER(SEARCH("上",D1337)),ISNUMBER(SEARCH("去",D1337)),ISNUMBER(SEARCH("入",D1337)))),"Ambiguous",IF(ISNUMBER(SEARCH("平",D1337)),"平","仄")))</x:f>
        <x:v>平</x:v>
      </x:c>
      <x:c r="J1345" s="7" t="str"/>
    </x:row>
    <x:row r="1346">
      <x:c r="A1346" s="5" t="str">
        <x:v>愕</x:v>
      </x:c>
      <x:c r="B1346" s="6" t="str">
        <x:v>入</x:v>
      </x:c>
      <x:c r="C1346" s="6" t="str">
        <x:f>IF(B1346="","Needs decision","Ready")</x:f>
        <x:v>Ready</x:v>
      </x:c>
      <x:c r="D1346" s="6" t="str">
        <x:v>入</x:v>
      </x:c>
      <x:c r="E1346" s="6" t="str">
        <x:v>ngak (D)</x:v>
      </x:c>
      <x:c r="F1346" s="6" t="str">
        <x:v>1</x:v>
      </x:c>
      <x:c r="G1346" s="6" t="str"/>
      <x:c r="H1346" s="6" t="str">
        <x:f>IF(B1346="平","平",IF(B1346="","","仄"))</x:f>
        <x:v>仄</x:v>
      </x:c>
      <x:c r="I1346" s="6" t="str">
        <x:f>IF(D1338="","",IF(AND(ISNUMBER(SEARCH("平",D1338)),OR(ISNUMBER(SEARCH("上",D1338)),ISNUMBER(SEARCH("去",D1338)),ISNUMBER(SEARCH("入",D1338)))),"Ambiguous",IF(ISNUMBER(SEARCH("平",D1338)),"平","仄")))</x:f>
        <x:v>平</x:v>
      </x:c>
      <x:c r="J1346" s="7" t="str"/>
    </x:row>
    <x:row r="1347">
      <x:c r="A1347" s="5" t="str">
        <x:v>愚</x:v>
      </x:c>
      <x:c r="B1347" s="6" t="str">
        <x:v>平</x:v>
      </x:c>
      <x:c r="C1347" s="6" t="str">
        <x:f>IF(B1347="","Needs decision","Ready")</x:f>
        <x:v>Ready</x:v>
      </x:c>
      <x:c r="D1347" s="6" t="str"/>
      <x:c r="E1347" s="6" t="str"/>
      <x:c r="F1347" s="6" t="str"/>
      <x:c r="G1347" s="6" t="str"/>
      <x:c r="H1347" s="6" t="str">
        <x:f>IF(B1347="平","平",IF(B1347="","","仄"))</x:f>
        <x:v>平</x:v>
      </x:c>
      <x:c r="I1347" s="6" t="str">
        <x:f>IF(D1339="","",IF(AND(ISNUMBER(SEARCH("平",D1339)),OR(ISNUMBER(SEARCH("上",D1339)),ISNUMBER(SEARCH("去",D1339)),ISNUMBER(SEARCH("入",D1339)))),"Ambiguous",IF(ISNUMBER(SEARCH("平",D1339)),"平","仄")))</x:f>
        <x:v>仄</x:v>
      </x:c>
      <x:c r="J1347" s="7" t="str"/>
    </x:row>
    <x:row r="1348">
      <x:c r="A1348" s="5" t="str">
        <x:v>愛</x:v>
      </x:c>
      <x:c r="B1348" s="6" t="str">
        <x:v>去</x:v>
      </x:c>
      <x:c r="C1348" s="6" t="str">
        <x:f>IF(B1348="","Needs decision","Ready")</x:f>
        <x:v>Ready</x:v>
      </x:c>
      <x:c r="D1348" s="6" t="str">
        <x:v>去</x:v>
      </x:c>
      <x:c r="E1348" s="6" t="str">
        <x:v>'ojH (C)</x:v>
      </x:c>
      <x:c r="F1348" s="6" t="str">
        <x:v>1</x:v>
      </x:c>
      <x:c r="G1348" s="6" t="str"/>
      <x:c r="H1348" s="6" t="str">
        <x:f>IF(B1348="平","平",IF(B1348="","","仄"))</x:f>
        <x:v>仄</x:v>
      </x:c>
      <x:c r="I1348" s="6" t="str">
        <x:f>IF(D1340="","",IF(AND(ISNUMBER(SEARCH("平",D1340)),OR(ISNUMBER(SEARCH("上",D1340)),ISNUMBER(SEARCH("去",D1340)),ISNUMBER(SEARCH("入",D1340)))),"Ambiguous",IF(ISNUMBER(SEARCH("平",D1340)),"平","仄")))</x:f>
        <x:v>平</x:v>
      </x:c>
      <x:c r="J1348" s="7" t="str"/>
    </x:row>
    <x:row r="1349">
      <x:c r="A1349" s="5" t="str">
        <x:v>感</x:v>
      </x:c>
      <x:c r="B1349" s="6" t="str">
        <x:v>上</x:v>
      </x:c>
      <x:c r="C1349" s="6" t="str">
        <x:f>IF(B1349="","Needs decision","Ready")</x:f>
        <x:v>Ready</x:v>
      </x:c>
      <x:c r="D1349" s="6" t="str">
        <x:v>上</x:v>
      </x:c>
      <x:c r="E1349" s="6" t="str">
        <x:v>komX (B)</x:v>
      </x:c>
      <x:c r="F1349" s="6" t="str">
        <x:v>1</x:v>
      </x:c>
      <x:c r="G1349" s="6" t="str"/>
      <x:c r="H1349" s="6" t="str">
        <x:f>IF(B1349="平","平",IF(B1349="","","仄"))</x:f>
        <x:v>仄</x:v>
      </x:c>
      <x:c r="I1349" s="6" t="str">
        <x:f>IF(D1341="","",IF(AND(ISNUMBER(SEARCH("平",D1341)),OR(ISNUMBER(SEARCH("上",D1341)),ISNUMBER(SEARCH("去",D1341)),ISNUMBER(SEARCH("入",D1341)))),"Ambiguous",IF(ISNUMBER(SEARCH("平",D1341)),"平","仄")))</x:f>
        <x:v>仄</x:v>
      </x:c>
      <x:c r="J1349" s="7" t="str"/>
    </x:row>
    <x:row r="1350">
      <x:c r="A1350" s="5" t="str">
        <x:v>愠</x:v>
      </x:c>
      <x:c r="B1350" s="6" t="str">
        <x:v>去</x:v>
      </x:c>
      <x:c r="C1350" s="6" t="str">
        <x:f>IF(B1350="","Needs decision","Ready")</x:f>
        <x:v>Ready</x:v>
      </x:c>
      <x:c r="D1350" s="6" t="str">
        <x:v>去</x:v>
      </x:c>
      <x:c r="E1350" s="6" t="str">
        <x:v>'junH (C)</x:v>
      </x:c>
      <x:c r="F1350" s="6" t="str">
        <x:v>1</x:v>
      </x:c>
      <x:c r="G1350" s="6" t="str"/>
      <x:c r="H1350" s="6" t="str">
        <x:f>IF(B1350="平","平",IF(B1350="","","仄"))</x:f>
        <x:v>仄</x:v>
      </x:c>
      <x:c r="I1350" s="6" t="str">
        <x:f>IF(D1342="","",IF(AND(ISNUMBER(SEARCH("平",D1342)),OR(ISNUMBER(SEARCH("上",D1342)),ISNUMBER(SEARCH("去",D1342)),ISNUMBER(SEARCH("入",D1342)))),"Ambiguous",IF(ISNUMBER(SEARCH("平",D1342)),"平","仄")))</x:f>
        <x:v>仄</x:v>
      </x:c>
      <x:c r="J1350" s="7" t="str"/>
    </x:row>
    <x:row r="1351">
      <x:c r="A1351" s="5" t="str">
        <x:v>愧</x:v>
      </x:c>
      <x:c r="B1351" s="6" t="str">
        <x:v>去</x:v>
      </x:c>
      <x:c r="C1351" s="6" t="str">
        <x:f>IF(B1351="","Needs decision","Ready")</x:f>
        <x:v>Ready</x:v>
      </x:c>
      <x:c r="D1351" s="6" t="str">
        <x:v>去</x:v>
      </x:c>
      <x:c r="E1351" s="6" t="str">
        <x:v>kwijH (C)</x:v>
      </x:c>
      <x:c r="F1351" s="6" t="str">
        <x:v>1</x:v>
      </x:c>
      <x:c r="G1351" s="6" t="str"/>
      <x:c r="H1351" s="6" t="str">
        <x:f>IF(B1351="平","平",IF(B1351="","","仄"))</x:f>
        <x:v>仄</x:v>
      </x:c>
      <x:c r="I1351" s="6" t="str">
        <x:f>IF(D1343="","",IF(AND(ISNUMBER(SEARCH("平",D1343)),OR(ISNUMBER(SEARCH("上",D1343)),ISNUMBER(SEARCH("去",D1343)),ISNUMBER(SEARCH("入",D1343)))),"Ambiguous",IF(ISNUMBER(SEARCH("平",D1343)),"平","仄")))</x:f>
        <x:v>仄</x:v>
      </x:c>
      <x:c r="J1351" s="7" t="str"/>
    </x:row>
    <x:row r="1352">
      <x:c r="A1352" s="5" t="str">
        <x:v>愬</x:v>
      </x:c>
      <x:c r="B1352" s="6" t="str">
        <x:v>去</x:v>
      </x:c>
      <x:c r="C1352" s="6" t="str">
        <x:f>IF(B1352="","Needs decision","Ready")</x:f>
        <x:v>Ready</x:v>
      </x:c>
      <x:c r="D1352" s="6" t="str">
        <x:v>去</x:v>
      </x:c>
      <x:c r="E1352" s="6" t="str">
        <x:v>suH (C)</x:v>
      </x:c>
      <x:c r="F1352" s="6" t="str">
        <x:v>1</x:v>
      </x:c>
      <x:c r="G1352" s="6" t="str"/>
      <x:c r="H1352" s="6" t="str">
        <x:f>IF(B1352="平","平",IF(B1352="","","仄"))</x:f>
        <x:v>仄</x:v>
      </x:c>
      <x:c r="I1352" s="6" t="str">
        <x:f>IF(D1344="","",IF(AND(ISNUMBER(SEARCH("平",D1344)),OR(ISNUMBER(SEARCH("上",D1344)),ISNUMBER(SEARCH("去",D1344)),ISNUMBER(SEARCH("入",D1344)))),"Ambiguous",IF(ISNUMBER(SEARCH("平",D1344)),"平","仄")))</x:f>
        <x:v>Ambiguous</x:v>
      </x:c>
      <x:c r="J1352" s="7" t="str"/>
    </x:row>
    <x:row r="1353">
      <x:c r="A1353" s="5" t="str">
        <x:v>愴</x:v>
      </x:c>
      <x:c r="B1353" s="6" t="str"/>
      <x:c r="C1353" s="6" t="str">
        <x:f>IF(B1353="","Needs decision","Ready")</x:f>
        <x:v>Needs decision</x:v>
      </x:c>
      <x:c r="D1353" s="6" t="str">
        <x:v>上/去</x:v>
      </x:c>
      <x:c r="E1353" s="6" t="str">
        <x:v>tsrhjangH [tʂʰɨ̯ɑŋh] (去); tsrhjangX [tʂʰɨ̯ɑŋʔ] (上)</x:v>
      </x:c>
      <x:c r="F1353" s="6" t="str">
        <x:v>2</x:v>
      </x:c>
      <x:c r="G1353" s="6" t="str">
        <x:v>Tang 300 gap; frequency 1; ambiguous in Xun Gong</x:v>
      </x:c>
      <x:c r="H1353" s="6" t="str">
        <x:f>IF(B1353="平","平",IF(B1353="","","仄"))</x:f>
      </x:c>
      <x:c r="I1353" s="6" t="str">
        <x:f>IF(D1345="","",IF(AND(ISNUMBER(SEARCH("平",D1345)),OR(ISNUMBER(SEARCH("上",D1345)),ISNUMBER(SEARCH("去",D1345)),ISNUMBER(SEARCH("入",D1345)))),"Ambiguous",IF(ISNUMBER(SEARCH("平",D1345)),"平","仄")))</x:f>
        <x:v>平</x:v>
      </x:c>
      <x:c r="J1353" s="7" t="str">
        <x:v>Xun Gong, Tang 300 gap fill</x:v>
      </x:c>
    </x:row>
    <x:row r="1354">
      <x:c r="A1354" s="5" t="str">
        <x:v>愷</x:v>
      </x:c>
      <x:c r="B1354" s="6" t="str">
        <x:v>上</x:v>
      </x:c>
      <x:c r="C1354" s="6" t="str">
        <x:f>IF(B1354="","Needs decision","Ready")</x:f>
        <x:v>Ready</x:v>
      </x:c>
      <x:c r="D1354" s="6" t="str">
        <x:v>上</x:v>
      </x:c>
      <x:c r="E1354" s="6" t="str">
        <x:v>khojX (B)</x:v>
      </x:c>
      <x:c r="F1354" s="6" t="str">
        <x:v>1</x:v>
      </x:c>
      <x:c r="G1354" s="6" t="str"/>
      <x:c r="H1354" s="6" t="str">
        <x:f>IF(B1354="平","平",IF(B1354="","","仄"))</x:f>
        <x:v>仄</x:v>
      </x:c>
      <x:c r="I1354" s="6" t="str">
        <x:f>IF(D1346="","",IF(AND(ISNUMBER(SEARCH("平",D1346)),OR(ISNUMBER(SEARCH("上",D1346)),ISNUMBER(SEARCH("去",D1346)),ISNUMBER(SEARCH("入",D1346)))),"Ambiguous",IF(ISNUMBER(SEARCH("平",D1346)),"平","仄")))</x:f>
        <x:v>仄</x:v>
      </x:c>
      <x:c r="J1354" s="7" t="str"/>
    </x:row>
    <x:row r="1355">
      <x:c r="A1355" s="5" t="str">
        <x:v>愾</x:v>
      </x:c>
      <x:c r="B1355" s="6" t="str">
        <x:v>去</x:v>
      </x:c>
      <x:c r="C1355" s="6" t="str">
        <x:f>IF(B1355="","Needs decision","Ready")</x:f>
        <x:v>Ready</x:v>
      </x:c>
      <x:c r="D1355" s="6" t="str">
        <x:v>去</x:v>
      </x:c>
      <x:c r="E1355" s="6" t="str">
        <x:v>xj+jH (C)</x:v>
      </x:c>
      <x:c r="F1355" s="6" t="str">
        <x:v>1</x:v>
      </x:c>
      <x:c r="G1355" s="6" t="str"/>
      <x:c r="H1355" s="6" t="str">
        <x:f>IF(B1355="平","平",IF(B1355="","","仄"))</x:f>
        <x:v>仄</x:v>
      </x:c>
      <x:c r="I1355" s="6" t="str">
        <x:f>IF(D1347="","",IF(AND(ISNUMBER(SEARCH("平",D1347)),OR(ISNUMBER(SEARCH("上",D1347)),ISNUMBER(SEARCH("去",D1347)),ISNUMBER(SEARCH("入",D1347)))),"Ambiguous",IF(ISNUMBER(SEARCH("平",D1347)),"平","仄")))</x:f>
      </x:c>
      <x:c r="J1355" s="7" t="str"/>
    </x:row>
    <x:row r="1356">
      <x:c r="A1356" s="5" t="str">
        <x:v>慄</x:v>
      </x:c>
      <x:c r="B1356" s="6" t="str">
        <x:v>入</x:v>
      </x:c>
      <x:c r="C1356" s="6" t="str">
        <x:f>IF(B1356="","Needs decision","Ready")</x:f>
        <x:v>Ready</x:v>
      </x:c>
      <x:c r="D1356" s="6" t="str">
        <x:v>入</x:v>
      </x:c>
      <x:c r="E1356" s="6" t="str"/>
      <x:c r="F1356" s="6" t="str"/>
      <x:c r="G1356" s="6" t="str">
        <x:v>Manual user correction/addition</x:v>
      </x:c>
      <x:c r="H1356" s="6" t="str">
        <x:f>IF(B1356="平","平",IF(B1356="","","仄"))</x:f>
        <x:v>仄</x:v>
      </x:c>
      <x:c r="I1356" s="6" t="str">
        <x:f>IF(D1348="","",IF(AND(ISNUMBER(SEARCH("平",D1348)),OR(ISNUMBER(SEARCH("上",D1348)),ISNUMBER(SEARCH("去",D1348)),ISNUMBER(SEARCH("入",D1348)))),"Ambiguous",IF(ISNUMBER(SEARCH("平",D1348)),"平","仄")))</x:f>
        <x:v>仄</x:v>
      </x:c>
      <x:c r="J1356" s="7" t="str">
        <x:v>manual user correction</x:v>
      </x:c>
    </x:row>
    <x:row r="1357">
      <x:c r="A1357" s="5" t="str">
        <x:v>慇</x:v>
      </x:c>
      <x:c r="B1357" s="6" t="str">
        <x:v>平</x:v>
      </x:c>
      <x:c r="C1357" s="6" t="str">
        <x:f>IF(B1357="","Needs decision","Ready")</x:f>
        <x:v>Ready</x:v>
      </x:c>
      <x:c r="D1357" s="6" t="str">
        <x:v>平</x:v>
      </x:c>
      <x:c r="E1357" s="6" t="str">
        <x:v>'j+n (A)</x:v>
      </x:c>
      <x:c r="F1357" s="6" t="str">
        <x:v>1</x:v>
      </x:c>
      <x:c r="G1357" s="6" t="str"/>
      <x:c r="H1357" s="6" t="str">
        <x:f>IF(B1357="平","平",IF(B1357="","","仄"))</x:f>
        <x:v>平</x:v>
      </x:c>
      <x:c r="I1357" s="6" t="str">
        <x:f>IF(D1349="","",IF(AND(ISNUMBER(SEARCH("平",D1349)),OR(ISNUMBER(SEARCH("上",D1349)),ISNUMBER(SEARCH("去",D1349)),ISNUMBER(SEARCH("入",D1349)))),"Ambiguous",IF(ISNUMBER(SEARCH("平",D1349)),"平","仄")))</x:f>
        <x:v>仄</x:v>
      </x:c>
      <x:c r="J1357" s="7" t="str"/>
    </x:row>
    <x:row r="1358">
      <x:c r="A1358" s="5" t="str">
        <x:v>慈</x:v>
      </x:c>
      <x:c r="B1358" s="6" t="str">
        <x:v>平</x:v>
      </x:c>
      <x:c r="C1358" s="6" t="str">
        <x:f>IF(B1358="","Needs decision","Ready")</x:f>
        <x:v>Ready</x:v>
      </x:c>
      <x:c r="D1358" s="6" t="str">
        <x:v>平</x:v>
      </x:c>
      <x:c r="E1358" s="6" t="str">
        <x:v>dzi (A)</x:v>
      </x:c>
      <x:c r="F1358" s="6" t="str">
        <x:v>1</x:v>
      </x:c>
      <x:c r="G1358" s="6" t="str"/>
      <x:c r="H1358" s="6" t="str">
        <x:f>IF(B1358="平","平",IF(B1358="","","仄"))</x:f>
        <x:v>平</x:v>
      </x:c>
      <x:c r="I1358" s="6" t="str">
        <x:f>IF(D1350="","",IF(AND(ISNUMBER(SEARCH("平",D1350)),OR(ISNUMBER(SEARCH("上",D1350)),ISNUMBER(SEARCH("去",D1350)),ISNUMBER(SEARCH("入",D1350)))),"Ambiguous",IF(ISNUMBER(SEARCH("平",D1350)),"平","仄")))</x:f>
        <x:v>仄</x:v>
      </x:c>
      <x:c r="J1358" s="7" t="str"/>
    </x:row>
    <x:row r="1359">
      <x:c r="A1359" s="5" t="str">
        <x:v>慉</x:v>
      </x:c>
      <x:c r="B1359" s="6" t="str">
        <x:v>入</x:v>
      </x:c>
      <x:c r="C1359" s="6" t="str">
        <x:f>IF(B1359="","Needs decision","Ready")</x:f>
        <x:v>Ready</x:v>
      </x:c>
      <x:c r="D1359" s="6" t="str">
        <x:v>入</x:v>
      </x:c>
      <x:c r="E1359" s="6" t="str">
        <x:v>xjuwk (D)</x:v>
      </x:c>
      <x:c r="F1359" s="6" t="str">
        <x:v>1</x:v>
      </x:c>
      <x:c r="G1359" s="6" t="str"/>
      <x:c r="H1359" s="6" t="str">
        <x:f>IF(B1359="平","平",IF(B1359="","","仄"))</x:f>
        <x:v>仄</x:v>
      </x:c>
      <x:c r="I1359" s="6" t="str">
        <x:f>IF(D1351="","",IF(AND(ISNUMBER(SEARCH("平",D1351)),OR(ISNUMBER(SEARCH("上",D1351)),ISNUMBER(SEARCH("去",D1351)),ISNUMBER(SEARCH("入",D1351)))),"Ambiguous",IF(ISNUMBER(SEARCH("平",D1351)),"平","仄")))</x:f>
        <x:v>仄</x:v>
      </x:c>
      <x:c r="J1359" s="7" t="str"/>
    </x:row>
    <x:row r="1360">
      <x:c r="A1360" s="5" t="str">
        <x:v>態</x:v>
      </x:c>
      <x:c r="B1360" s="6" t="str">
        <x:v>去</x:v>
      </x:c>
      <x:c r="C1360" s="6" t="str">
        <x:f>IF(B1360="","Needs decision","Ready")</x:f>
        <x:v>Ready</x:v>
      </x:c>
      <x:c r="D1360" s="6" t="str">
        <x:v>去</x:v>
      </x:c>
      <x:c r="E1360" s="6" t="str">
        <x:v>thojH (C)</x:v>
      </x:c>
      <x:c r="F1360" s="6" t="str">
        <x:v>1</x:v>
      </x:c>
      <x:c r="G1360" s="6" t="str"/>
      <x:c r="H1360" s="6" t="str">
        <x:f>IF(B1360="平","平",IF(B1360="","","仄"))</x:f>
        <x:v>仄</x:v>
      </x:c>
      <x:c r="I1360" s="6" t="str">
        <x:f>IF(D1352="","",IF(AND(ISNUMBER(SEARCH("平",D1352)),OR(ISNUMBER(SEARCH("上",D1352)),ISNUMBER(SEARCH("去",D1352)),ISNUMBER(SEARCH("入",D1352)))),"Ambiguous",IF(ISNUMBER(SEARCH("平",D1352)),"平","仄")))</x:f>
        <x:v>仄</x:v>
      </x:c>
      <x:c r="J1360" s="7" t="str"/>
    </x:row>
    <x:row r="1361">
      <x:c r="A1361" s="5" t="str">
        <x:v>慌</x:v>
      </x:c>
      <x:c r="B1361" s="6" t="str">
        <x:v>上</x:v>
      </x:c>
      <x:c r="C1361" s="6" t="str">
        <x:f>IF(B1361="","Needs decision","Ready")</x:f>
        <x:v>Ready</x:v>
      </x:c>
      <x:c r="D1361" s="6" t="str">
        <x:v>上</x:v>
      </x:c>
      <x:c r="E1361" s="6" t="str">
        <x:v>xwangX (B)</x:v>
      </x:c>
      <x:c r="F1361" s="6" t="str">
        <x:v>1</x:v>
      </x:c>
      <x:c r="G1361" s="6" t="str"/>
      <x:c r="H1361" s="6" t="str">
        <x:f>IF(B1361="平","平",IF(B1361="","","仄"))</x:f>
        <x:v>仄</x:v>
      </x:c>
      <x:c r="I1361" s="6" t="str">
        <x:f>IF(D1353="","",IF(AND(ISNUMBER(SEARCH("平",D1353)),OR(ISNUMBER(SEARCH("上",D1353)),ISNUMBER(SEARCH("去",D1353)),ISNUMBER(SEARCH("入",D1353)))),"Ambiguous",IF(ISNUMBER(SEARCH("平",D1353)),"平","仄")))</x:f>
        <x:v>仄</x:v>
      </x:c>
      <x:c r="J1361" s="7" t="str"/>
    </x:row>
    <x:row r="1362">
      <x:c r="A1362" s="5" t="str">
        <x:v>慎</x:v>
      </x:c>
      <x:c r="B1362" s="6" t="str">
        <x:v>去</x:v>
      </x:c>
      <x:c r="C1362" s="6" t="str">
        <x:f>IF(B1362="","Needs decision","Ready")</x:f>
        <x:v>Ready</x:v>
      </x:c>
      <x:c r="D1362" s="6" t="str">
        <x:v>去</x:v>
      </x:c>
      <x:c r="E1362" s="6" t="str">
        <x:v>dzyinH (C)</x:v>
      </x:c>
      <x:c r="F1362" s="6" t="str">
        <x:v>1</x:v>
      </x:c>
      <x:c r="G1362" s="6" t="str"/>
      <x:c r="H1362" s="6" t="str">
        <x:f>IF(B1362="平","平",IF(B1362="","","仄"))</x:f>
        <x:v>仄</x:v>
      </x:c>
      <x:c r="I1362" s="6" t="str">
        <x:f>IF(D1354="","",IF(AND(ISNUMBER(SEARCH("平",D1354)),OR(ISNUMBER(SEARCH("上",D1354)),ISNUMBER(SEARCH("去",D1354)),ISNUMBER(SEARCH("入",D1354)))),"Ambiguous",IF(ISNUMBER(SEARCH("平",D1354)),"平","仄")))</x:f>
        <x:v>仄</x:v>
      </x:c>
      <x:c r="J1362" s="7" t="str"/>
    </x:row>
    <x:row r="1363">
      <x:c r="A1363" s="5" t="str">
        <x:v>慕</x:v>
      </x:c>
      <x:c r="B1363" s="6" t="str">
        <x:v>去</x:v>
      </x:c>
      <x:c r="C1363" s="6" t="str">
        <x:f>IF(B1363="","Needs decision","Ready")</x:f>
        <x:v>Ready</x:v>
      </x:c>
      <x:c r="D1363" s="6" t="str">
        <x:v>去</x:v>
      </x:c>
      <x:c r="E1363" s="6" t="str">
        <x:v>muH (C)</x:v>
      </x:c>
      <x:c r="F1363" s="6" t="str">
        <x:v>1</x:v>
      </x:c>
      <x:c r="G1363" s="6" t="str"/>
      <x:c r="H1363" s="6" t="str">
        <x:f>IF(B1363="平","平",IF(B1363="","","仄"))</x:f>
        <x:v>仄</x:v>
      </x:c>
      <x:c r="I1363" s="6" t="str">
        <x:f>IF(D1355="","",IF(AND(ISNUMBER(SEARCH("平",D1355)),OR(ISNUMBER(SEARCH("上",D1355)),ISNUMBER(SEARCH("去",D1355)),ISNUMBER(SEARCH("入",D1355)))),"Ambiguous",IF(ISNUMBER(SEARCH("平",D1355)),"平","仄")))</x:f>
        <x:v>仄</x:v>
      </x:c>
      <x:c r="J1363" s="7" t="str"/>
    </x:row>
    <x:row r="1364">
      <x:c r="A1364" s="5" t="str">
        <x:v>慘</x:v>
      </x:c>
      <x:c r="B1364" s="6" t="str">
        <x:v>上</x:v>
      </x:c>
      <x:c r="C1364" s="6" t="str">
        <x:f>IF(B1364="","Needs decision","Ready")</x:f>
        <x:v>Ready</x:v>
      </x:c>
      <x:c r="D1364" s="6" t="str">
        <x:v>上</x:v>
      </x:c>
      <x:c r="E1364" s="6" t="str">
        <x:v>tshomX [t̙s̙ʰəmʔ] (上)</x:v>
      </x:c>
      <x:c r="F1364" s="6" t="str">
        <x:v>1</x:v>
      </x:c>
      <x:c r="G1364" s="6" t="str">
        <x:v>Tang 300 gap; frequency 5; provisional from Xun Gong</x:v>
      </x:c>
      <x:c r="H1364" s="6" t="str">
        <x:f>IF(B1364="平","平",IF(B1364="","","仄"))</x:f>
        <x:v>仄</x:v>
      </x:c>
      <x:c r="I1364" s="6" t="str">
        <x:f>IF(D1356="","",IF(AND(ISNUMBER(SEARCH("平",D1356)),OR(ISNUMBER(SEARCH("上",D1356)),ISNUMBER(SEARCH("去",D1356)),ISNUMBER(SEARCH("入",D1356)))),"Ambiguous",IF(ISNUMBER(SEARCH("平",D1356)),"平","仄")))</x:f>
        <x:v>仄</x:v>
      </x:c>
      <x:c r="J1364" s="7" t="str">
        <x:v>Xun Gong, Tang 300 gap fill</x:v>
      </x:c>
    </x:row>
    <x:row r="1365">
      <x:c r="A1365" s="5" t="str">
        <x:v>慙</x:v>
      </x:c>
      <x:c r="B1365" s="6" t="str">
        <x:v>平</x:v>
      </x:c>
      <x:c r="C1365" s="6" t="str">
        <x:f>IF(B1365="","Needs decision","Ready")</x:f>
        <x:v>Ready</x:v>
      </x:c>
      <x:c r="D1365" s="6" t="str">
        <x:v>平</x:v>
      </x:c>
      <x:c r="E1365" s="6" t="str">
        <x:v>dzam (A)</x:v>
      </x:c>
      <x:c r="F1365" s="6" t="str">
        <x:v>1</x:v>
      </x:c>
      <x:c r="G1365" s="6" t="str"/>
      <x:c r="H1365" s="6" t="str">
        <x:f>IF(B1365="平","平",IF(B1365="","","仄"))</x:f>
        <x:v>平</x:v>
      </x:c>
      <x:c r="I1365" s="6" t="str">
        <x:f>IF(D1357="","",IF(AND(ISNUMBER(SEARCH("平",D1357)),OR(ISNUMBER(SEARCH("上",D1357)),ISNUMBER(SEARCH("去",D1357)),ISNUMBER(SEARCH("入",D1357)))),"Ambiguous",IF(ISNUMBER(SEARCH("平",D1357)),"平","仄")))</x:f>
        <x:v>平</x:v>
      </x:c>
      <x:c r="J1365" s="7" t="str"/>
    </x:row>
    <x:row r="1366">
      <x:c r="A1366" s="5" t="str">
        <x:v>慚</x:v>
      </x:c>
      <x:c r="B1366" s="6" t="str">
        <x:v>平</x:v>
      </x:c>
      <x:c r="C1366" s="6" t="str">
        <x:f>IF(B1366="","Needs decision","Ready")</x:f>
        <x:v>Ready</x:v>
      </x:c>
      <x:c r="D1366" s="6" t="str">
        <x:v>平</x:v>
      </x:c>
      <x:c r="E1366" s="6" t="str">
        <x:v>dzam (A)</x:v>
      </x:c>
      <x:c r="F1366" s="6" t="str">
        <x:v>1</x:v>
      </x:c>
      <x:c r="G1366" s="6" t="str"/>
      <x:c r="H1366" s="6" t="str">
        <x:f>IF(B1366="平","平",IF(B1366="","","仄"))</x:f>
        <x:v>平</x:v>
      </x:c>
      <x:c r="I1366" s="6" t="str">
        <x:f>IF(D1358="","",IF(AND(ISNUMBER(SEARCH("平",D1358)),OR(ISNUMBER(SEARCH("上",D1358)),ISNUMBER(SEARCH("去",D1358)),ISNUMBER(SEARCH("入",D1358)))),"Ambiguous",IF(ISNUMBER(SEARCH("平",D1358)),"平","仄")))</x:f>
        <x:v>平</x:v>
      </x:c>
      <x:c r="J1366" s="7" t="str"/>
    </x:row>
    <x:row r="1367">
      <x:c r="A1367" s="5" t="str">
        <x:v>慝</x:v>
      </x:c>
      <x:c r="B1367" s="6" t="str">
        <x:v>入</x:v>
      </x:c>
      <x:c r="C1367" s="6" t="str">
        <x:f>IF(B1367="","Needs decision","Ready")</x:f>
        <x:v>Ready</x:v>
      </x:c>
      <x:c r="D1367" s="6" t="str">
        <x:v>入</x:v>
      </x:c>
      <x:c r="E1367" s="6" t="str">
        <x:v>thok (D)</x:v>
      </x:c>
      <x:c r="F1367" s="6" t="str">
        <x:v>1</x:v>
      </x:c>
      <x:c r="G1367" s="6" t="str"/>
      <x:c r="H1367" s="6" t="str">
        <x:f>IF(B1367="平","平",IF(B1367="","","仄"))</x:f>
        <x:v>仄</x:v>
      </x:c>
      <x:c r="I1367" s="6" t="str">
        <x:f>IF(D1359="","",IF(AND(ISNUMBER(SEARCH("平",D1359)),OR(ISNUMBER(SEARCH("上",D1359)),ISNUMBER(SEARCH("去",D1359)),ISNUMBER(SEARCH("入",D1359)))),"Ambiguous",IF(ISNUMBER(SEARCH("平",D1359)),"平","仄")))</x:f>
        <x:v>仄</x:v>
      </x:c>
      <x:c r="J1367" s="7" t="str"/>
    </x:row>
    <x:row r="1368">
      <x:c r="A1368" s="5" t="str">
        <x:v>慟</x:v>
      </x:c>
      <x:c r="B1368" s="6" t="str">
        <x:v>去</x:v>
      </x:c>
      <x:c r="C1368" s="6" t="str">
        <x:f>IF(B1368="","Needs decision","Ready")</x:f>
        <x:v>Ready</x:v>
      </x:c>
      <x:c r="D1368" s="6" t="str">
        <x:v>去</x:v>
      </x:c>
      <x:c r="E1368" s="6" t="str">
        <x:v>duwngH (C)</x:v>
      </x:c>
      <x:c r="F1368" s="6" t="str">
        <x:v>1</x:v>
      </x:c>
      <x:c r="G1368" s="6" t="str"/>
      <x:c r="H1368" s="6" t="str">
        <x:f>IF(B1368="平","平",IF(B1368="","","仄"))</x:f>
        <x:v>仄</x:v>
      </x:c>
      <x:c r="I1368" s="6" t="str">
        <x:f>IF(D1360="","",IF(AND(ISNUMBER(SEARCH("平",D1360)),OR(ISNUMBER(SEARCH("上",D1360)),ISNUMBER(SEARCH("去",D1360)),ISNUMBER(SEARCH("入",D1360)))),"Ambiguous",IF(ISNUMBER(SEARCH("平",D1360)),"平","仄")))</x:f>
        <x:v>仄</x:v>
      </x:c>
      <x:c r="J1368" s="7" t="str"/>
    </x:row>
    <x:row r="1369">
      <x:c r="A1369" s="5" t="str">
        <x:v>慢</x:v>
      </x:c>
      <x:c r="B1369" s="6" t="str">
        <x:v>去</x:v>
      </x:c>
      <x:c r="C1369" s="6" t="str">
        <x:f>IF(B1369="","Needs decision","Ready")</x:f>
        <x:v>Ready</x:v>
      </x:c>
      <x:c r="D1369" s="6" t="str">
        <x:v>去</x:v>
      </x:c>
      <x:c r="E1369" s="6" t="str">
        <x:v>maenH (C)</x:v>
      </x:c>
      <x:c r="F1369" s="6" t="str">
        <x:v>1</x:v>
      </x:c>
      <x:c r="G1369" s="6" t="str"/>
      <x:c r="H1369" s="6" t="str">
        <x:f>IF(B1369="平","平",IF(B1369="","","仄"))</x:f>
        <x:v>仄</x:v>
      </x:c>
      <x:c r="I1369" s="6" t="str">
        <x:f>IF(D1361="","",IF(AND(ISNUMBER(SEARCH("平",D1361)),OR(ISNUMBER(SEARCH("上",D1361)),ISNUMBER(SEARCH("去",D1361)),ISNUMBER(SEARCH("入",D1361)))),"Ambiguous",IF(ISNUMBER(SEARCH("平",D1361)),"平","仄")))</x:f>
        <x:v>仄</x:v>
      </x:c>
      <x:c r="J1369" s="7" t="str"/>
    </x:row>
    <x:row r="1370">
      <x:c r="A1370" s="5" t="str">
        <x:v>慣</x:v>
      </x:c>
      <x:c r="B1370" s="6" t="str">
        <x:v>去</x:v>
      </x:c>
      <x:c r="C1370" s="6" t="str">
        <x:f>IF(B1370="","Needs decision","Ready")</x:f>
        <x:v>Ready</x:v>
      </x:c>
      <x:c r="D1370" s="6" t="str">
        <x:v>去</x:v>
      </x:c>
      <x:c r="E1370" s="6" t="str">
        <x:v>kwaenH (C)</x:v>
      </x:c>
      <x:c r="F1370" s="6" t="str">
        <x:v>1</x:v>
      </x:c>
      <x:c r="G1370" s="6" t="str"/>
      <x:c r="H1370" s="6" t="str">
        <x:f>IF(B1370="平","平",IF(B1370="","","仄"))</x:f>
        <x:v>仄</x:v>
      </x:c>
      <x:c r="I1370" s="6" t="str">
        <x:f>IF(D1362="","",IF(AND(ISNUMBER(SEARCH("平",D1362)),OR(ISNUMBER(SEARCH("上",D1362)),ISNUMBER(SEARCH("去",D1362)),ISNUMBER(SEARCH("入",D1362)))),"Ambiguous",IF(ISNUMBER(SEARCH("平",D1362)),"平","仄")))</x:f>
        <x:v>仄</x:v>
      </x:c>
      <x:c r="J1370" s="7" t="str"/>
    </x:row>
    <x:row r="1371">
      <x:c r="A1371" s="5" t="str">
        <x:v>慧</x:v>
      </x:c>
      <x:c r="B1371" s="6" t="str">
        <x:v>去</x:v>
      </x:c>
      <x:c r="C1371" s="6" t="str">
        <x:f>IF(B1371="","Needs decision","Ready")</x:f>
        <x:v>Ready</x:v>
      </x:c>
      <x:c r="D1371" s="6" t="str">
        <x:v>去</x:v>
      </x:c>
      <x:c r="E1371" s="6" t="str">
        <x:v>hwejH (C)</x:v>
      </x:c>
      <x:c r="F1371" s="6" t="str">
        <x:v>1</x:v>
      </x:c>
      <x:c r="G1371" s="6" t="str"/>
      <x:c r="H1371" s="6" t="str">
        <x:f>IF(B1371="平","平",IF(B1371="","","仄"))</x:f>
        <x:v>仄</x:v>
      </x:c>
      <x:c r="I1371" s="6" t="str">
        <x:f>IF(D1363="","",IF(AND(ISNUMBER(SEARCH("平",D1363)),OR(ISNUMBER(SEARCH("上",D1363)),ISNUMBER(SEARCH("去",D1363)),ISNUMBER(SEARCH("入",D1363)))),"Ambiguous",IF(ISNUMBER(SEARCH("平",D1363)),"平","仄")))</x:f>
        <x:v>仄</x:v>
      </x:c>
      <x:c r="J1371" s="7" t="str"/>
    </x:row>
    <x:row r="1372">
      <x:c r="A1372" s="5" t="str">
        <x:v>慨</x:v>
      </x:c>
      <x:c r="B1372" s="6" t="str">
        <x:v>去</x:v>
      </x:c>
      <x:c r="C1372" s="6" t="str">
        <x:f>IF(B1372="","Needs decision","Ready")</x:f>
        <x:v>Ready</x:v>
      </x:c>
      <x:c r="D1372" s="6" t="str">
        <x:v>去</x:v>
      </x:c>
      <x:c r="E1372" s="6" t="str">
        <x:v>khojH (C)</x:v>
      </x:c>
      <x:c r="F1372" s="6" t="str">
        <x:v>1</x:v>
      </x:c>
      <x:c r="G1372" s="6" t="str"/>
      <x:c r="H1372" s="6" t="str">
        <x:f>IF(B1372="平","平",IF(B1372="","","仄"))</x:f>
        <x:v>仄</x:v>
      </x:c>
      <x:c r="I1372" s="6" t="str">
        <x:f>IF(D1364="","",IF(AND(ISNUMBER(SEARCH("平",D1364)),OR(ISNUMBER(SEARCH("上",D1364)),ISNUMBER(SEARCH("去",D1364)),ISNUMBER(SEARCH("入",D1364)))),"Ambiguous",IF(ISNUMBER(SEARCH("平",D1364)),"平","仄")))</x:f>
        <x:v>仄</x:v>
      </x:c>
      <x:c r="J1372" s="7" t="str"/>
    </x:row>
    <x:row r="1373">
      <x:c r="A1373" s="5" t="str">
        <x:v>慬</x:v>
      </x:c>
      <x:c r="B1373" s="6" t="str">
        <x:v>平</x:v>
      </x:c>
      <x:c r="C1373" s="6" t="str">
        <x:f>IF(B1373="","Needs decision","Ready")</x:f>
        <x:v>Ready</x:v>
      </x:c>
      <x:c r="D1373" s="6" t="str">
        <x:v>平</x:v>
      </x:c>
      <x:c r="E1373" s="6" t="str">
        <x:v>gj+n (A)</x:v>
      </x:c>
      <x:c r="F1373" s="6" t="str">
        <x:v>1</x:v>
      </x:c>
      <x:c r="G1373" s="6" t="str"/>
      <x:c r="H1373" s="6" t="str">
        <x:f>IF(B1373="平","平",IF(B1373="","","仄"))</x:f>
        <x:v>平</x:v>
      </x:c>
      <x:c r="I1373" s="6" t="str">
        <x:f>IF(D1365="","",IF(AND(ISNUMBER(SEARCH("平",D1365)),OR(ISNUMBER(SEARCH("上",D1365)),ISNUMBER(SEARCH("去",D1365)),ISNUMBER(SEARCH("入",D1365)))),"Ambiguous",IF(ISNUMBER(SEARCH("平",D1365)),"平","仄")))</x:f>
        <x:v>平</x:v>
      </x:c>
      <x:c r="J1373" s="7" t="str"/>
    </x:row>
    <x:row r="1374">
      <x:c r="A1374" s="5" t="str">
        <x:v>慮</x:v>
      </x:c>
      <x:c r="B1374" s="6" t="str">
        <x:v>去</x:v>
      </x:c>
      <x:c r="C1374" s="6" t="str">
        <x:f>IF(B1374="","Needs decision","Ready")</x:f>
        <x:v>Ready</x:v>
      </x:c>
      <x:c r="D1374" s="6" t="str">
        <x:v>去</x:v>
      </x:c>
      <x:c r="E1374" s="6" t="str">
        <x:v>ljoH (C)</x:v>
      </x:c>
      <x:c r="F1374" s="6" t="str">
        <x:v>1</x:v>
      </x:c>
      <x:c r="G1374" s="6" t="str"/>
      <x:c r="H1374" s="6" t="str">
        <x:f>IF(B1374="平","平",IF(B1374="","","仄"))</x:f>
        <x:v>仄</x:v>
      </x:c>
      <x:c r="I1374" s="6" t="str">
        <x:f>IF(D1366="","",IF(AND(ISNUMBER(SEARCH("平",D1366)),OR(ISNUMBER(SEARCH("上",D1366)),ISNUMBER(SEARCH("去",D1366)),ISNUMBER(SEARCH("入",D1366)))),"Ambiguous",IF(ISNUMBER(SEARCH("平",D1366)),"平","仄")))</x:f>
        <x:v>平</x:v>
      </x:c>
      <x:c r="J1374" s="7" t="str"/>
    </x:row>
    <x:row r="1375">
      <x:c r="A1375" s="5" t="str">
        <x:v>慰</x:v>
      </x:c>
      <x:c r="B1375" s="6" t="str">
        <x:v>去</x:v>
      </x:c>
      <x:c r="C1375" s="6" t="str">
        <x:f>IF(B1375="","Needs decision","Ready")</x:f>
        <x:v>Ready</x:v>
      </x:c>
      <x:c r="D1375" s="6" t="str">
        <x:v>去</x:v>
      </x:c>
      <x:c r="E1375" s="6" t="str">
        <x:v>'jw+jH (C)</x:v>
      </x:c>
      <x:c r="F1375" s="6" t="str">
        <x:v>1</x:v>
      </x:c>
      <x:c r="G1375" s="6" t="str"/>
      <x:c r="H1375" s="6" t="str">
        <x:f>IF(B1375="平","平",IF(B1375="","","仄"))</x:f>
        <x:v>仄</x:v>
      </x:c>
      <x:c r="I1375" s="6" t="str">
        <x:f>IF(D1367="","",IF(AND(ISNUMBER(SEARCH("平",D1367)),OR(ISNUMBER(SEARCH("上",D1367)),ISNUMBER(SEARCH("去",D1367)),ISNUMBER(SEARCH("入",D1367)))),"Ambiguous",IF(ISNUMBER(SEARCH("平",D1367)),"平","仄")))</x:f>
        <x:v>仄</x:v>
      </x:c>
      <x:c r="J1375" s="7" t="str"/>
    </x:row>
    <x:row r="1376">
      <x:c r="A1376" s="5" t="str">
        <x:v>慵</x:v>
      </x:c>
      <x:c r="B1376" s="6" t="str">
        <x:v>平</x:v>
      </x:c>
      <x:c r="C1376" s="6" t="str">
        <x:f>IF(B1376="","Needs decision","Ready")</x:f>
        <x:v>Ready</x:v>
      </x:c>
      <x:c r="D1376" s="6" t="str">
        <x:v>平</x:v>
      </x:c>
      <x:c r="E1376" s="6" t="str">
        <x:v>dzyowng [dʑoŋ] (平)</x:v>
      </x:c>
      <x:c r="F1376" s="6" t="str">
        <x:v>1</x:v>
      </x:c>
      <x:c r="G1376" s="6" t="str">
        <x:v>Tang 300 gap; frequency 1; provisional from Xun Gong</x:v>
      </x:c>
      <x:c r="H1376" s="6" t="str">
        <x:f>IF(B1376="平","平",IF(B1376="","","仄"))</x:f>
        <x:v>平</x:v>
      </x:c>
      <x:c r="I1376" s="6" t="str">
        <x:f>IF(D1368="","",IF(AND(ISNUMBER(SEARCH("平",D1368)),OR(ISNUMBER(SEARCH("上",D1368)),ISNUMBER(SEARCH("去",D1368)),ISNUMBER(SEARCH("入",D1368)))),"Ambiguous",IF(ISNUMBER(SEARCH("平",D1368)),"平","仄")))</x:f>
        <x:v>仄</x:v>
      </x:c>
      <x:c r="J1376" s="7" t="str">
        <x:v>Xun Gong, Tang 300 gap fill</x:v>
      </x:c>
    </x:row>
    <x:row r="1377">
      <x:c r="A1377" s="5" t="str">
        <x:v>慶</x:v>
      </x:c>
      <x:c r="B1377" s="6" t="str">
        <x:v>去</x:v>
      </x:c>
      <x:c r="C1377" s="6" t="str">
        <x:f>IF(B1377="","Needs decision","Ready")</x:f>
        <x:v>Ready</x:v>
      </x:c>
      <x:c r="D1377" s="6" t="str">
        <x:v>去</x:v>
      </x:c>
      <x:c r="E1377" s="6" t="str">
        <x:v>khjaengH (C)</x:v>
      </x:c>
      <x:c r="F1377" s="6" t="str">
        <x:v>1</x:v>
      </x:c>
      <x:c r="G1377" s="6" t="str"/>
      <x:c r="H1377" s="6" t="str">
        <x:f>IF(B1377="平","平",IF(B1377="","","仄"))</x:f>
        <x:v>仄</x:v>
      </x:c>
      <x:c r="I1377" s="6" t="str">
        <x:f>IF(D1369="","",IF(AND(ISNUMBER(SEARCH("平",D1369)),OR(ISNUMBER(SEARCH("上",D1369)),ISNUMBER(SEARCH("去",D1369)),ISNUMBER(SEARCH("入",D1369)))),"Ambiguous",IF(ISNUMBER(SEARCH("平",D1369)),"平","仄")))</x:f>
        <x:v>仄</x:v>
      </x:c>
      <x:c r="J1377" s="7" t="str"/>
    </x:row>
    <x:row r="1378">
      <x:c r="A1378" s="5" t="str">
        <x:v>慹</x:v>
      </x:c>
      <x:c r="B1378" s="6" t="str">
        <x:v>入</x:v>
      </x:c>
      <x:c r="C1378" s="6" t="str">
        <x:f>IF(B1378="","Needs decision","Ready")</x:f>
        <x:v>Ready</x:v>
      </x:c>
      <x:c r="D1378" s="6" t="str">
        <x:v>入</x:v>
      </x:c>
      <x:c r="E1378" s="6" t="str">
        <x:v>nep (D); tsyep (D); tsyip (D)</x:v>
      </x:c>
      <x:c r="F1378" s="6" t="str">
        <x:v>3</x:v>
      </x:c>
      <x:c r="G1378" s="6" t="str"/>
      <x:c r="H1378" s="6" t="str">
        <x:f>IF(B1378="平","平",IF(B1378="","","仄"))</x:f>
        <x:v>仄</x:v>
      </x:c>
      <x:c r="I1378" s="6" t="str">
        <x:f>IF(D1370="","",IF(AND(ISNUMBER(SEARCH("平",D1370)),OR(ISNUMBER(SEARCH("上",D1370)),ISNUMBER(SEARCH("去",D1370)),ISNUMBER(SEARCH("入",D1370)))),"Ambiguous",IF(ISNUMBER(SEARCH("平",D1370)),"平","仄")))</x:f>
        <x:v>仄</x:v>
      </x:c>
      <x:c r="J1378" s="7" t="str"/>
    </x:row>
    <x:row r="1379">
      <x:c r="A1379" s="5" t="str">
        <x:v>慼</x:v>
      </x:c>
      <x:c r="B1379" s="6" t="str">
        <x:v>入</x:v>
      </x:c>
      <x:c r="C1379" s="6" t="str">
        <x:f>IF(B1379="","Needs decision","Ready")</x:f>
        <x:v>Ready</x:v>
      </x:c>
      <x:c r="D1379" s="6" t="str">
        <x:v>入</x:v>
      </x:c>
      <x:c r="E1379" s="6" t="str">
        <x:v>tshek (D)</x:v>
      </x:c>
      <x:c r="F1379" s="6" t="str">
        <x:v>1</x:v>
      </x:c>
      <x:c r="G1379" s="6" t="str"/>
      <x:c r="H1379" s="6" t="str">
        <x:f>IF(B1379="平","平",IF(B1379="","","仄"))</x:f>
        <x:v>仄</x:v>
      </x:c>
      <x:c r="I1379" s="6" t="str">
        <x:f>IF(D1371="","",IF(AND(ISNUMBER(SEARCH("平",D1371)),OR(ISNUMBER(SEARCH("上",D1371)),ISNUMBER(SEARCH("去",D1371)),ISNUMBER(SEARCH("入",D1371)))),"Ambiguous",IF(ISNUMBER(SEARCH("平",D1371)),"平","仄")))</x:f>
        <x:v>仄</x:v>
      </x:c>
      <x:c r="J1379" s="7" t="str"/>
    </x:row>
    <x:row r="1380">
      <x:c r="A1380" s="5" t="str">
        <x:v>憂</x:v>
      </x:c>
      <x:c r="B1380" s="6" t="str">
        <x:v>平</x:v>
      </x:c>
      <x:c r="C1380" s="6" t="str">
        <x:f>IF(B1380="","Needs decision","Ready")</x:f>
        <x:v>Ready</x:v>
      </x:c>
      <x:c r="D1380" s="6" t="str">
        <x:v>平</x:v>
      </x:c>
      <x:c r="E1380" s="6" t="str">
        <x:v>'juw (A)</x:v>
      </x:c>
      <x:c r="F1380" s="6" t="str">
        <x:v>1</x:v>
      </x:c>
      <x:c r="G1380" s="6" t="str"/>
      <x:c r="H1380" s="6" t="str">
        <x:f>IF(B1380="平","平",IF(B1380="","","仄"))</x:f>
        <x:v>平</x:v>
      </x:c>
      <x:c r="I1380" s="6" t="str">
        <x:f>IF(D1372="","",IF(AND(ISNUMBER(SEARCH("平",D1372)),OR(ISNUMBER(SEARCH("上",D1372)),ISNUMBER(SEARCH("去",D1372)),ISNUMBER(SEARCH("入",D1372)))),"Ambiguous",IF(ISNUMBER(SEARCH("平",D1372)),"平","仄")))</x:f>
        <x:v>仄</x:v>
      </x:c>
      <x:c r="J1380" s="7" t="str"/>
    </x:row>
    <x:row r="1381">
      <x:c r="A1381" s="5" t="str">
        <x:v>憃</x:v>
      </x:c>
      <x:c r="B1381" s="6" t="str">
        <x:v>平</x:v>
      </x:c>
      <x:c r="C1381" s="6" t="str">
        <x:f>IF(B1381="","Needs decision","Ready")</x:f>
        <x:v>Ready</x:v>
      </x:c>
      <x:c r="D1381" s="6" t="str">
        <x:v>平</x:v>
      </x:c>
      <x:c r="E1381" s="6" t="str">
        <x:v>syowng (A); trhaewng (A)</x:v>
      </x:c>
      <x:c r="F1381" s="6" t="str">
        <x:v>2</x:v>
      </x:c>
      <x:c r="G1381" s="6" t="str"/>
      <x:c r="H1381" s="6" t="str">
        <x:f>IF(B1381="平","平",IF(B1381="","","仄"))</x:f>
        <x:v>平</x:v>
      </x:c>
      <x:c r="I1381" s="6" t="str">
        <x:f>IF(D1373="","",IF(AND(ISNUMBER(SEARCH("平",D1373)),OR(ISNUMBER(SEARCH("上",D1373)),ISNUMBER(SEARCH("去",D1373)),ISNUMBER(SEARCH("入",D1373)))),"Ambiguous",IF(ISNUMBER(SEARCH("平",D1373)),"平","仄")))</x:f>
        <x:v>平</x:v>
      </x:c>
      <x:c r="J1381" s="7" t="str"/>
    </x:row>
    <x:row r="1382">
      <x:c r="A1382" s="5" t="str">
        <x:v>憍</x:v>
      </x:c>
      <x:c r="B1382" s="6" t="str">
        <x:v>平</x:v>
      </x:c>
      <x:c r="C1382" s="6" t="str">
        <x:f>IF(B1382="","Needs decision","Ready")</x:f>
        <x:v>Ready</x:v>
      </x:c>
      <x:c r="D1382" s="6" t="str">
        <x:v>平</x:v>
      </x:c>
      <x:c r="E1382" s="6" t="str">
        <x:v>kjew [見開三B宵平] kɨ̯ew</x:v>
      </x:c>
      <x:c r="F1382" s="6" t="str">
        <x:v>1</x:v>
      </x:c>
      <x:c r="G1382" s="6" t="str">
        <x:v>Targeted preliminary fill from Xun Gong; review if uncertain</x:v>
      </x:c>
      <x:c r="H1382" s="6" t="str">
        <x:f>IF(B1382="平","平",IF(B1382="","","仄"))</x:f>
        <x:v>平</x:v>
      </x:c>
      <x:c r="I1382" s="6" t="str">
        <x:f>IF(D1374="","",IF(AND(ISNUMBER(SEARCH("平",D1374)),OR(ISNUMBER(SEARCH("上",D1374)),ISNUMBER(SEARCH("去",D1374)),ISNUMBER(SEARCH("入",D1374)))),"Ambiguous",IF(ISNUMBER(SEARCH("平",D1374)),"平","仄")))</x:f>
        <x:v>仄</x:v>
      </x:c>
      <x:c r="J1382" s="7" t="str">
        <x:v>Xun Gong character-readings.csv</x:v>
      </x:c>
    </x:row>
    <x:row r="1383">
      <x:c r="A1383" s="5" t="str">
        <x:v>憎</x:v>
      </x:c>
      <x:c r="B1383" s="6" t="str">
        <x:v>平</x:v>
      </x:c>
      <x:c r="C1383" s="6" t="str">
        <x:f>IF(B1383="","Needs decision","Ready")</x:f>
        <x:v>Ready</x:v>
      </x:c>
      <x:c r="D1383" s="6" t="str">
        <x:v>平</x:v>
      </x:c>
      <x:c r="E1383" s="6" t="str">
        <x:v>tsong (A)</x:v>
      </x:c>
      <x:c r="F1383" s="6" t="str">
        <x:v>1</x:v>
      </x:c>
      <x:c r="G1383" s="6" t="str"/>
      <x:c r="H1383" s="6" t="str">
        <x:f>IF(B1383="平","平",IF(B1383="","","仄"))</x:f>
        <x:v>平</x:v>
      </x:c>
      <x:c r="I1383" s="6" t="str">
        <x:f>IF(D1375="","",IF(AND(ISNUMBER(SEARCH("平",D1375)),OR(ISNUMBER(SEARCH("上",D1375)),ISNUMBER(SEARCH("去",D1375)),ISNUMBER(SEARCH("入",D1375)))),"Ambiguous",IF(ISNUMBER(SEARCH("平",D1375)),"平","仄")))</x:f>
        <x:v>仄</x:v>
      </x:c>
      <x:c r="J1383" s="7" t="str"/>
    </x:row>
    <x:row r="1384">
      <x:c r="A1384" s="5" t="str">
        <x:v>憐</x:v>
      </x:c>
      <x:c r="B1384" s="6" t="str">
        <x:v>平</x:v>
      </x:c>
      <x:c r="C1384" s="6" t="str">
        <x:f>IF(B1384="","Needs decision","Ready")</x:f>
        <x:v>Ready</x:v>
      </x:c>
      <x:c r="D1384" s="6" t="str">
        <x:v>平</x:v>
      </x:c>
      <x:c r="E1384" s="6" t="str">
        <x:v>len (A)</x:v>
      </x:c>
      <x:c r="F1384" s="6" t="str">
        <x:v>1</x:v>
      </x:c>
      <x:c r="G1384" s="6" t="str"/>
      <x:c r="H1384" s="6" t="str">
        <x:f>IF(B1384="平","平",IF(B1384="","","仄"))</x:f>
        <x:v>平</x:v>
      </x:c>
      <x:c r="I1384" s="6" t="str">
        <x:f>IF(D1376="","",IF(AND(ISNUMBER(SEARCH("平",D1376)),OR(ISNUMBER(SEARCH("上",D1376)),ISNUMBER(SEARCH("去",D1376)),ISNUMBER(SEARCH("入",D1376)))),"Ambiguous",IF(ISNUMBER(SEARCH("平",D1376)),"平","仄")))</x:f>
        <x:v>平</x:v>
      </x:c>
      <x:c r="J1384" s="7" t="str"/>
    </x:row>
    <x:row r="1385">
      <x:c r="A1385" s="5" t="str">
        <x:v>憑</x:v>
      </x:c>
      <x:c r="B1385" s="6" t="str">
        <x:v>平</x:v>
      </x:c>
      <x:c r="C1385" s="6" t="str">
        <x:f>IF(B1385="","Needs decision","Ready")</x:f>
        <x:v>Ready</x:v>
      </x:c>
      <x:c r="D1385" s="6" t="str">
        <x:v>平</x:v>
      </x:c>
      <x:c r="E1385" s="6" t="str">
        <x:v>bing (A)</x:v>
      </x:c>
      <x:c r="F1385" s="6" t="str">
        <x:v>1</x:v>
      </x:c>
      <x:c r="G1385" s="6" t="str"/>
      <x:c r="H1385" s="6" t="str">
        <x:f>IF(B1385="平","平",IF(B1385="","","仄"))</x:f>
        <x:v>平</x:v>
      </x:c>
      <x:c r="I1385" s="6" t="str">
        <x:f>IF(D1377="","",IF(AND(ISNUMBER(SEARCH("平",D1377)),OR(ISNUMBER(SEARCH("上",D1377)),ISNUMBER(SEARCH("去",D1377)),ISNUMBER(SEARCH("入",D1377)))),"Ambiguous",IF(ISNUMBER(SEARCH("平",D1377)),"平","仄")))</x:f>
        <x:v>仄</x:v>
      </x:c>
      <x:c r="J1385" s="7" t="str"/>
    </x:row>
    <x:row r="1386">
      <x:c r="A1386" s="5" t="str">
        <x:v>憔</x:v>
      </x:c>
      <x:c r="B1386" s="6" t="str">
        <x:v>平</x:v>
      </x:c>
      <x:c r="C1386" s="6" t="str">
        <x:f>IF(B1386="","Needs decision","Ready")</x:f>
        <x:v>Ready</x:v>
      </x:c>
      <x:c r="D1386" s="6" t="str">
        <x:v>平</x:v>
      </x:c>
      <x:c r="E1386" s="6" t="str">
        <x:v>dzjew [dzjew] (平)</x:v>
      </x:c>
      <x:c r="F1386" s="6" t="str">
        <x:v>1</x:v>
      </x:c>
      <x:c r="G1386" s="6" t="str">
        <x:v>Tang 300 gap; frequency 1; provisional from Xun Gong</x:v>
      </x:c>
      <x:c r="H1386" s="6" t="str">
        <x:f>IF(B1386="平","平",IF(B1386="","","仄"))</x:f>
        <x:v>平</x:v>
      </x:c>
      <x:c r="I1386" s="6" t="str">
        <x:f>IF(D1378="","",IF(AND(ISNUMBER(SEARCH("平",D1378)),OR(ISNUMBER(SEARCH("上",D1378)),ISNUMBER(SEARCH("去",D1378)),ISNUMBER(SEARCH("入",D1378)))),"Ambiguous",IF(ISNUMBER(SEARCH("平",D1378)),"平","仄")))</x:f>
        <x:v>仄</x:v>
      </x:c>
      <x:c r="J1386" s="7" t="str">
        <x:v>Xun Gong, Tang 300 gap fill</x:v>
      </x:c>
    </x:row>
    <x:row r="1387">
      <x:c r="A1387" s="5" t="str">
        <x:v>憤</x:v>
      </x:c>
      <x:c r="B1387" s="6" t="str">
        <x:v>上</x:v>
      </x:c>
      <x:c r="C1387" s="6" t="str">
        <x:f>IF(B1387="","Needs decision","Ready")</x:f>
        <x:v>Ready</x:v>
      </x:c>
      <x:c r="D1387" s="6" t="str">
        <x:v>上</x:v>
      </x:c>
      <x:c r="E1387" s="6" t="str">
        <x:v>bjunX (B)</x:v>
      </x:c>
      <x:c r="F1387" s="6" t="str">
        <x:v>1</x:v>
      </x:c>
      <x:c r="G1387" s="6" t="str"/>
      <x:c r="H1387" s="6" t="str">
        <x:f>IF(B1387="平","平",IF(B1387="","","仄"))</x:f>
        <x:v>仄</x:v>
      </x:c>
      <x:c r="I1387" s="6" t="str">
        <x:f>IF(D1379="","",IF(AND(ISNUMBER(SEARCH("平",D1379)),OR(ISNUMBER(SEARCH("上",D1379)),ISNUMBER(SEARCH("去",D1379)),ISNUMBER(SEARCH("入",D1379)))),"Ambiguous",IF(ISNUMBER(SEARCH("平",D1379)),"平","仄")))</x:f>
        <x:v>仄</x:v>
      </x:c>
      <x:c r="J1387" s="7" t="str"/>
    </x:row>
    <x:row r="1388">
      <x:c r="A1388" s="5" t="str">
        <x:v>憩</x:v>
      </x:c>
      <x:c r="B1388" s="6" t="str">
        <x:v>去</x:v>
      </x:c>
      <x:c r="C1388" s="6" t="str">
        <x:f>IF(B1388="","Needs decision","Ready")</x:f>
        <x:v>Ready</x:v>
      </x:c>
      <x:c r="D1388" s="6" t="str">
        <x:v>去</x:v>
      </x:c>
      <x:c r="E1388" s="6" t="str">
        <x:v>khjejH (C)</x:v>
      </x:c>
      <x:c r="F1388" s="6" t="str">
        <x:v>1</x:v>
      </x:c>
      <x:c r="G1388" s="6" t="str"/>
      <x:c r="H1388" s="6" t="str">
        <x:f>IF(B1388="平","平",IF(B1388="","","仄"))</x:f>
        <x:v>仄</x:v>
      </x:c>
      <x:c r="I1388" s="6" t="str">
        <x:f>IF(D1380="","",IF(AND(ISNUMBER(SEARCH("平",D1380)),OR(ISNUMBER(SEARCH("上",D1380)),ISNUMBER(SEARCH("去",D1380)),ISNUMBER(SEARCH("入",D1380)))),"Ambiguous",IF(ISNUMBER(SEARCH("平",D1380)),"平","仄")))</x:f>
        <x:v>平</x:v>
      </x:c>
      <x:c r="J1388" s="7" t="str"/>
    </x:row>
    <x:row r="1389">
      <x:c r="A1389" s="5" t="str">
        <x:v>憫</x:v>
      </x:c>
      <x:c r="B1389" s="6" t="str">
        <x:v>上</x:v>
      </x:c>
      <x:c r="C1389" s="6" t="str">
        <x:f>IF(B1389="","Needs decision","Ready")</x:f>
        <x:v>Ready</x:v>
      </x:c>
      <x:c r="D1389" s="6" t="str">
        <x:v>上</x:v>
      </x:c>
      <x:c r="E1389" s="6" t="str">
        <x:v>minX (B)</x:v>
      </x:c>
      <x:c r="F1389" s="6" t="str">
        <x:v>1</x:v>
      </x:c>
      <x:c r="G1389" s="6" t="str"/>
      <x:c r="H1389" s="6" t="str">
        <x:f>IF(B1389="平","平",IF(B1389="","","仄"))</x:f>
        <x:v>仄</x:v>
      </x:c>
      <x:c r="I1389" s="6" t="str">
        <x:f>IF(D1381="","",IF(AND(ISNUMBER(SEARCH("平",D1381)),OR(ISNUMBER(SEARCH("上",D1381)),ISNUMBER(SEARCH("去",D1381)),ISNUMBER(SEARCH("入",D1381)))),"Ambiguous",IF(ISNUMBER(SEARCH("平",D1381)),"平","仄")))</x:f>
        <x:v>平</x:v>
      </x:c>
      <x:c r="J1389" s="7" t="str"/>
    </x:row>
    <x:row r="1390">
      <x:c r="A1390" s="5" t="str">
        <x:v>憯</x:v>
      </x:c>
      <x:c r="B1390" s="6" t="str">
        <x:v>上</x:v>
      </x:c>
      <x:c r="C1390" s="6" t="str">
        <x:f>IF(B1390="","Needs decision","Ready")</x:f>
        <x:v>Ready</x:v>
      </x:c>
      <x:c r="D1390" s="6" t="str">
        <x:v>上</x:v>
      </x:c>
      <x:c r="E1390" s="6" t="str"/>
      <x:c r="F1390" s="6" t="str"/>
      <x:c r="G1390" s="6" t="str">
        <x:v>Manual user correction/addition</x:v>
      </x:c>
      <x:c r="H1390" s="6" t="str">
        <x:f>IF(B1390="平","平",IF(B1390="","","仄"))</x:f>
        <x:v>仄</x:v>
      </x:c>
      <x:c r="I1390" s="6" t="str">
        <x:f>IF(D1382="","",IF(AND(ISNUMBER(SEARCH("平",D1382)),OR(ISNUMBER(SEARCH("上",D1382)),ISNUMBER(SEARCH("去",D1382)),ISNUMBER(SEARCH("入",D1382)))),"Ambiguous",IF(ISNUMBER(SEARCH("平",D1382)),"平","仄")))</x:f>
        <x:v>平</x:v>
      </x:c>
      <x:c r="J1390" s="7" t="str">
        <x:v>manual user correction</x:v>
      </x:c>
    </x:row>
    <x:row r="1391">
      <x:c r="A1391" s="5" t="str">
        <x:v>憲</x:v>
      </x:c>
      <x:c r="B1391" s="6" t="str">
        <x:v>去</x:v>
      </x:c>
      <x:c r="C1391" s="6" t="str">
        <x:f>IF(B1391="","Needs decision","Ready")</x:f>
        <x:v>Ready</x:v>
      </x:c>
      <x:c r="D1391" s="6" t="str">
        <x:v>去</x:v>
      </x:c>
      <x:c r="E1391" s="6" t="str">
        <x:v>xjonH (C)</x:v>
      </x:c>
      <x:c r="F1391" s="6" t="str">
        <x:v>1</x:v>
      </x:c>
      <x:c r="G1391" s="6" t="str"/>
      <x:c r="H1391" s="6" t="str">
        <x:f>IF(B1391="平","平",IF(B1391="","","仄"))</x:f>
        <x:v>仄</x:v>
      </x:c>
      <x:c r="I1391" s="6" t="str">
        <x:f>IF(D1383="","",IF(AND(ISNUMBER(SEARCH("平",D1383)),OR(ISNUMBER(SEARCH("上",D1383)),ISNUMBER(SEARCH("去",D1383)),ISNUMBER(SEARCH("入",D1383)))),"Ambiguous",IF(ISNUMBER(SEARCH("平",D1383)),"平","仄")))</x:f>
        <x:v>平</x:v>
      </x:c>
      <x:c r="J1391" s="7" t="str"/>
    </x:row>
    <x:row r="1392">
      <x:c r="A1392" s="5" t="str">
        <x:v>憶</x:v>
      </x:c>
      <x:c r="B1392" s="6" t="str">
        <x:v>入</x:v>
      </x:c>
      <x:c r="C1392" s="6" t="str">
        <x:f>IF(B1392="","Needs decision","Ready")</x:f>
        <x:v>Ready</x:v>
      </x:c>
      <x:c r="D1392" s="6" t="str">
        <x:v>入</x:v>
      </x:c>
      <x:c r="E1392" s="6" t="str">
        <x:v>'ik (D)</x:v>
      </x:c>
      <x:c r="F1392" s="6" t="str">
        <x:v>1</x:v>
      </x:c>
      <x:c r="G1392" s="6" t="str"/>
      <x:c r="H1392" s="6" t="str">
        <x:f>IF(B1392="平","平",IF(B1392="","","仄"))</x:f>
        <x:v>仄</x:v>
      </x:c>
      <x:c r="I1392" s="6" t="str">
        <x:f>IF(D1384="","",IF(AND(ISNUMBER(SEARCH("平",D1384)),OR(ISNUMBER(SEARCH("上",D1384)),ISNUMBER(SEARCH("去",D1384)),ISNUMBER(SEARCH("入",D1384)))),"Ambiguous",IF(ISNUMBER(SEARCH("平",D1384)),"平","仄")))</x:f>
        <x:v>平</x:v>
      </x:c>
      <x:c r="J1392" s="7" t="str"/>
    </x:row>
    <x:row r="1393">
      <x:c r="A1393" s="5" t="str">
        <x:v>憺</x:v>
      </x:c>
      <x:c r="B1393" s="6" t="str">
        <x:v>上</x:v>
      </x:c>
      <x:c r="C1393" s="6" t="str">
        <x:f>IF(B1393="","Needs decision","Ready")</x:f>
        <x:v>Ready</x:v>
      </x:c>
      <x:c r="D1393" s="6" t="str">
        <x:v>上</x:v>
      </x:c>
      <x:c r="E1393" s="6" t="str">
        <x:v>damX (B)</x:v>
      </x:c>
      <x:c r="F1393" s="6" t="str">
        <x:v>1</x:v>
      </x:c>
      <x:c r="G1393" s="6" t="str"/>
      <x:c r="H1393" s="6" t="str">
        <x:f>IF(B1393="平","平",IF(B1393="","","仄"))</x:f>
        <x:v>仄</x:v>
      </x:c>
      <x:c r="I1393" s="6" t="str">
        <x:f>IF(D1385="","",IF(AND(ISNUMBER(SEARCH("平",D1385)),OR(ISNUMBER(SEARCH("上",D1385)),ISNUMBER(SEARCH("去",D1385)),ISNUMBER(SEARCH("入",D1385)))),"Ambiguous",IF(ISNUMBER(SEARCH("平",D1385)),"平","仄")))</x:f>
        <x:v>平</x:v>
      </x:c>
      <x:c r="J1393" s="7" t="str"/>
    </x:row>
    <x:row r="1394">
      <x:c r="A1394" s="5" t="str">
        <x:v>憾</x:v>
      </x:c>
      <x:c r="B1394" s="6" t="str">
        <x:v>去</x:v>
      </x:c>
      <x:c r="C1394" s="6" t="str">
        <x:f>IF(B1394="","Needs decision","Ready")</x:f>
        <x:v>Ready</x:v>
      </x:c>
      <x:c r="D1394" s="6" t="str">
        <x:v>去</x:v>
      </x:c>
      <x:c r="E1394" s="6" t="str">
        <x:v>homH (C)</x:v>
      </x:c>
      <x:c r="F1394" s="6" t="str">
        <x:v>1</x:v>
      </x:c>
      <x:c r="G1394" s="6" t="str"/>
      <x:c r="H1394" s="6" t="str">
        <x:f>IF(B1394="平","平",IF(B1394="","","仄"))</x:f>
        <x:v>仄</x:v>
      </x:c>
      <x:c r="I1394" s="6" t="str">
        <x:f>IF(D1386="","",IF(AND(ISNUMBER(SEARCH("平",D1386)),OR(ISNUMBER(SEARCH("上",D1386)),ISNUMBER(SEARCH("去",D1386)),ISNUMBER(SEARCH("入",D1386)))),"Ambiguous",IF(ISNUMBER(SEARCH("平",D1386)),"平","仄")))</x:f>
        <x:v>平</x:v>
      </x:c>
      <x:c r="J1394" s="7" t="str"/>
    </x:row>
    <x:row r="1395">
      <x:c r="A1395" s="5" t="str">
        <x:v>懃</x:v>
      </x:c>
      <x:c r="B1395" s="6" t="str">
        <x:v>平</x:v>
      </x:c>
      <x:c r="C1395" s="6" t="str">
        <x:f>IF(B1395="","Needs decision","Ready")</x:f>
        <x:v>Ready</x:v>
      </x:c>
      <x:c r="D1395" s="6" t="str">
        <x:v>平</x:v>
      </x:c>
      <x:c r="E1395" s="6" t="str">
        <x:v>gj+n (A)</x:v>
      </x:c>
      <x:c r="F1395" s="6" t="str">
        <x:v>1</x:v>
      </x:c>
      <x:c r="G1395" s="6" t="str"/>
      <x:c r="H1395" s="6" t="str">
        <x:f>IF(B1395="平","平",IF(B1395="","","仄"))</x:f>
        <x:v>平</x:v>
      </x:c>
      <x:c r="I1395" s="6" t="str">
        <x:f>IF(D1387="","",IF(AND(ISNUMBER(SEARCH("平",D1387)),OR(ISNUMBER(SEARCH("上",D1387)),ISNUMBER(SEARCH("去",D1387)),ISNUMBER(SEARCH("入",D1387)))),"Ambiguous",IF(ISNUMBER(SEARCH("平",D1387)),"平","仄")))</x:f>
        <x:v>仄</x:v>
      </x:c>
      <x:c r="J1395" s="7" t="str"/>
    </x:row>
    <x:row r="1396">
      <x:c r="A1396" s="5" t="str">
        <x:v>懈</x:v>
      </x:c>
      <x:c r="B1396" s="6" t="str">
        <x:v>去</x:v>
      </x:c>
      <x:c r="C1396" s="6" t="str">
        <x:f>IF(B1396="","Needs decision","Ready")</x:f>
        <x:v>Ready</x:v>
      </x:c>
      <x:c r="D1396" s="6" t="str">
        <x:v>去</x:v>
      </x:c>
      <x:c r="E1396" s="6" t="str">
        <x:v>keaH [見開二佳去] qeˤh</x:v>
      </x:c>
      <x:c r="F1396" s="6" t="str">
        <x:v>1</x:v>
      </x:c>
      <x:c r="G1396" s="6" t="str">
        <x:v>Targeted preliminary fill from Xun Gong; review if uncertain</x:v>
      </x:c>
      <x:c r="H1396" s="6" t="str">
        <x:f>IF(B1396="平","平",IF(B1396="","","仄"))</x:f>
        <x:v>仄</x:v>
      </x:c>
      <x:c r="I1396" s="6" t="str">
        <x:f>IF(D1388="","",IF(AND(ISNUMBER(SEARCH("平",D1388)),OR(ISNUMBER(SEARCH("上",D1388)),ISNUMBER(SEARCH("去",D1388)),ISNUMBER(SEARCH("入",D1388)))),"Ambiguous",IF(ISNUMBER(SEARCH("平",D1388)),"平","仄")))</x:f>
        <x:v>仄</x:v>
      </x:c>
      <x:c r="J1396" s="7" t="str">
        <x:v>Xun Gong character-readings.csv</x:v>
      </x:c>
    </x:row>
    <x:row r="1397">
      <x:c r="A1397" s="5" t="str">
        <x:v>應</x:v>
      </x:c>
      <x:c r="B1397" s="6" t="str">
        <x:v>平</x:v>
      </x:c>
      <x:c r="C1397" s="6" t="str">
        <x:f>IF(B1397="","Needs decision","Ready")</x:f>
        <x:v>Ready</x:v>
      </x:c>
      <x:c r="D1397" s="6" t="str">
        <x:v>平</x:v>
      </x:c>
      <x:c r="E1397" s="6" t="str">
        <x:v>'ing (A)</x:v>
      </x:c>
      <x:c r="F1397" s="6" t="str">
        <x:v>1</x:v>
      </x:c>
      <x:c r="G1397" s="6" t="str"/>
      <x:c r="H1397" s="6" t="str">
        <x:f>IF(B1397="平","平",IF(B1397="","","仄"))</x:f>
        <x:v>平</x:v>
      </x:c>
      <x:c r="I1397" s="6" t="str">
        <x:f>IF(D1389="","",IF(AND(ISNUMBER(SEARCH("平",D1389)),OR(ISNUMBER(SEARCH("上",D1389)),ISNUMBER(SEARCH("去",D1389)),ISNUMBER(SEARCH("入",D1389)))),"Ambiguous",IF(ISNUMBER(SEARCH("平",D1389)),"平","仄")))</x:f>
        <x:v>仄</x:v>
      </x:c>
      <x:c r="J1397" s="7" t="str"/>
    </x:row>
    <x:row r="1398">
      <x:c r="A1398" s="5" t="str">
        <x:v>懟</x:v>
      </x:c>
      <x:c r="B1398" s="6" t="str">
        <x:v>去</x:v>
      </x:c>
      <x:c r="C1398" s="6" t="str">
        <x:f>IF(B1398="","Needs decision","Ready")</x:f>
        <x:v>Ready</x:v>
      </x:c>
      <x:c r="D1398" s="6" t="str">
        <x:v>去</x:v>
      </x:c>
      <x:c r="E1398" s="6" t="str">
        <x:v>drwijH (C)</x:v>
      </x:c>
      <x:c r="F1398" s="6" t="str">
        <x:v>1</x:v>
      </x:c>
      <x:c r="G1398" s="6" t="str"/>
      <x:c r="H1398" s="6" t="str">
        <x:f>IF(B1398="平","平",IF(B1398="","","仄"))</x:f>
        <x:v>仄</x:v>
      </x:c>
      <x:c r="I1398" s="6" t="str">
        <x:f>IF(D1390="","",IF(AND(ISNUMBER(SEARCH("平",D1390)),OR(ISNUMBER(SEARCH("上",D1390)),ISNUMBER(SEARCH("去",D1390)),ISNUMBER(SEARCH("入",D1390)))),"Ambiguous",IF(ISNUMBER(SEARCH("平",D1390)),"平","仄")))</x:f>
        <x:v>仄</x:v>
      </x:c>
      <x:c r="J1398" s="7" t="str"/>
    </x:row>
    <x:row r="1399">
      <x:c r="A1399" s="5" t="str">
        <x:v>懠</x:v>
      </x:c>
      <x:c r="B1399" s="6" t="str"/>
      <x:c r="C1399" s="6" t="str">
        <x:f>IF(B1399="","Needs decision","Ready")</x:f>
        <x:v>Needs decision</x:v>
      </x:c>
      <x:c r="D1399" s="6" t="str">
        <x:v>平/去</x:v>
      </x:c>
      <x:c r="E1399" s="6" t="str">
        <x:v>dzej (A); dzejH (C)</x:v>
      </x:c>
      <x:c r="F1399" s="6" t="str">
        <x:v>2</x:v>
      </x:c>
      <x:c r="G1399" s="6" t="str"/>
      <x:c r="H1399" s="6" t="str">
        <x:f>IF(B1399="平","平",IF(B1399="","","仄"))</x:f>
      </x:c>
      <x:c r="I1399" s="6" t="str">
        <x:f>IF(D1391="","",IF(AND(ISNUMBER(SEARCH("平",D1391)),OR(ISNUMBER(SEARCH("上",D1391)),ISNUMBER(SEARCH("去",D1391)),ISNUMBER(SEARCH("入",D1391)))),"Ambiguous",IF(ISNUMBER(SEARCH("平",D1391)),"平","仄")))</x:f>
        <x:v>仄</x:v>
      </x:c>
      <x:c r="J1399" s="7" t="str"/>
    </x:row>
    <x:row r="1400">
      <x:c r="A1400" s="5" t="str">
        <x:v>懣</x:v>
      </x:c>
      <x:c r="B1400" s="6" t="str">
        <x:v>上</x:v>
      </x:c>
      <x:c r="C1400" s="6" t="str">
        <x:f>IF(B1400="","Needs decision","Ready")</x:f>
        <x:v>Ready</x:v>
      </x:c>
      <x:c r="D1400" s="6" t="str">
        <x:v>上</x:v>
      </x:c>
      <x:c r="E1400" s="6" t="str">
        <x:v>manX (B)</x:v>
      </x:c>
      <x:c r="F1400" s="6" t="str">
        <x:v>1</x:v>
      </x:c>
      <x:c r="G1400" s="6" t="str"/>
      <x:c r="H1400" s="6" t="str">
        <x:f>IF(B1400="平","平",IF(B1400="","","仄"))</x:f>
        <x:v>仄</x:v>
      </x:c>
      <x:c r="I1400" s="6" t="str">
        <x:f>IF(D1392="","",IF(AND(ISNUMBER(SEARCH("平",D1392)),OR(ISNUMBER(SEARCH("上",D1392)),ISNUMBER(SEARCH("去",D1392)),ISNUMBER(SEARCH("入",D1392)))),"Ambiguous",IF(ISNUMBER(SEARCH("平",D1392)),"平","仄")))</x:f>
        <x:v>仄</x:v>
      </x:c>
      <x:c r="J1400" s="7" t="str"/>
    </x:row>
    <x:row r="1401">
      <x:c r="A1401" s="5" t="str">
        <x:v>懲</x:v>
      </x:c>
      <x:c r="B1401" s="6" t="str">
        <x:v>平</x:v>
      </x:c>
      <x:c r="C1401" s="6" t="str">
        <x:f>IF(B1401="","Needs decision","Ready")</x:f>
        <x:v>Ready</x:v>
      </x:c>
      <x:c r="D1401" s="6" t="str">
        <x:v>平</x:v>
      </x:c>
      <x:c r="E1401" s="6" t="str">
        <x:v>dring (A)</x:v>
      </x:c>
      <x:c r="F1401" s="6" t="str">
        <x:v>1</x:v>
      </x:c>
      <x:c r="G1401" s="6" t="str"/>
      <x:c r="H1401" s="6" t="str">
        <x:f>IF(B1401="平","平",IF(B1401="","","仄"))</x:f>
        <x:v>平</x:v>
      </x:c>
      <x:c r="I1401" s="6" t="str">
        <x:f>IF(D1393="","",IF(AND(ISNUMBER(SEARCH("平",D1393)),OR(ISNUMBER(SEARCH("上",D1393)),ISNUMBER(SEARCH("去",D1393)),ISNUMBER(SEARCH("入",D1393)))),"Ambiguous",IF(ISNUMBER(SEARCH("平",D1393)),"平","仄")))</x:f>
        <x:v>仄</x:v>
      </x:c>
      <x:c r="J1401" s="7" t="str"/>
    </x:row>
    <x:row r="1402">
      <x:c r="A1402" s="5" t="str">
        <x:v>懶</x:v>
      </x:c>
      <x:c r="B1402" s="6" t="str">
        <x:v>上</x:v>
      </x:c>
      <x:c r="C1402" s="6" t="str">
        <x:f>IF(B1402="","Needs decision","Ready")</x:f>
        <x:v>Ready</x:v>
      </x:c>
      <x:c r="D1402" s="6" t="str">
        <x:v>上</x:v>
      </x:c>
      <x:c r="E1402" s="6" t="str">
        <x:v>lanX (B)</x:v>
      </x:c>
      <x:c r="F1402" s="6" t="str">
        <x:v>1</x:v>
      </x:c>
      <x:c r="G1402" s="6" t="str"/>
      <x:c r="H1402" s="6" t="str">
        <x:f>IF(B1402="平","平",IF(B1402="","","仄"))</x:f>
        <x:v>仄</x:v>
      </x:c>
      <x:c r="I1402" s="6" t="str">
        <x:f>IF(D1394="","",IF(AND(ISNUMBER(SEARCH("平",D1394)),OR(ISNUMBER(SEARCH("上",D1394)),ISNUMBER(SEARCH("去",D1394)),ISNUMBER(SEARCH("入",D1394)))),"Ambiguous",IF(ISNUMBER(SEARCH("平",D1394)),"平","仄")))</x:f>
        <x:v>仄</x:v>
      </x:c>
      <x:c r="J1402" s="7" t="str"/>
    </x:row>
    <x:row r="1403">
      <x:c r="A1403" s="5" t="str">
        <x:v>懷</x:v>
      </x:c>
      <x:c r="B1403" s="6" t="str">
        <x:v>平</x:v>
      </x:c>
      <x:c r="C1403" s="6" t="str">
        <x:f>IF(B1403="","Needs decision","Ready")</x:f>
        <x:v>Ready</x:v>
      </x:c>
      <x:c r="D1403" s="6" t="str">
        <x:v>平</x:v>
      </x:c>
      <x:c r="E1403" s="6" t="str">
        <x:v>hweaj (A)</x:v>
      </x:c>
      <x:c r="F1403" s="6" t="str">
        <x:v>1</x:v>
      </x:c>
      <x:c r="G1403" s="6" t="str"/>
      <x:c r="H1403" s="6" t="str">
        <x:f>IF(B1403="平","平",IF(B1403="","","仄"))</x:f>
        <x:v>平</x:v>
      </x:c>
      <x:c r="I1403" s="6" t="str">
        <x:f>IF(D1395="","",IF(AND(ISNUMBER(SEARCH("平",D1395)),OR(ISNUMBER(SEARCH("上",D1395)),ISNUMBER(SEARCH("去",D1395)),ISNUMBER(SEARCH("入",D1395)))),"Ambiguous",IF(ISNUMBER(SEARCH("平",D1395)),"平","仄")))</x:f>
        <x:v>平</x:v>
      </x:c>
      <x:c r="J1403" s="7" t="str"/>
    </x:row>
    <x:row r="1404">
      <x:c r="A1404" s="5" t="str">
        <x:v>懸</x:v>
      </x:c>
      <x:c r="B1404" s="6" t="str">
        <x:v>平</x:v>
      </x:c>
      <x:c r="C1404" s="6" t="str">
        <x:f>IF(B1404="","Needs decision","Ready")</x:f>
        <x:v>Ready</x:v>
      </x:c>
      <x:c r="D1404" s="6" t="str">
        <x:v>平</x:v>
      </x:c>
      <x:c r="E1404" s="6" t="str">
        <x:v>hwen (A)</x:v>
      </x:c>
      <x:c r="F1404" s="6" t="str">
        <x:v>1</x:v>
      </x:c>
      <x:c r="G1404" s="6" t="str"/>
      <x:c r="H1404" s="6" t="str">
        <x:f>IF(B1404="平","平",IF(B1404="","","仄"))</x:f>
        <x:v>平</x:v>
      </x:c>
      <x:c r="I1404" s="6" t="str">
        <x:f>IF(D1396="","",IF(AND(ISNUMBER(SEARCH("平",D1396)),OR(ISNUMBER(SEARCH("上",D1396)),ISNUMBER(SEARCH("去",D1396)),ISNUMBER(SEARCH("入",D1396)))),"Ambiguous",IF(ISNUMBER(SEARCH("平",D1396)),"平","仄")))</x:f>
        <x:v>仄</x:v>
      </x:c>
      <x:c r="J1404" s="7" t="str"/>
    </x:row>
    <x:row r="1405">
      <x:c r="A1405" s="5" t="str">
        <x:v>懼</x:v>
      </x:c>
      <x:c r="B1405" s="6" t="str">
        <x:v>去</x:v>
      </x:c>
      <x:c r="C1405" s="6" t="str">
        <x:f>IF(B1405="","Needs decision","Ready")</x:f>
        <x:v>Ready</x:v>
      </x:c>
      <x:c r="D1405" s="6" t="str">
        <x:v>去</x:v>
      </x:c>
      <x:c r="E1405" s="6" t="str">
        <x:v>gjuH (C)</x:v>
      </x:c>
      <x:c r="F1405" s="6" t="str">
        <x:v>1</x:v>
      </x:c>
      <x:c r="G1405" s="6" t="str"/>
      <x:c r="H1405" s="6" t="str">
        <x:f>IF(B1405="平","平",IF(B1405="","","仄"))</x:f>
        <x:v>仄</x:v>
      </x:c>
      <x:c r="I1405" s="6" t="str">
        <x:f>IF(D1397="","",IF(AND(ISNUMBER(SEARCH("平",D1397)),OR(ISNUMBER(SEARCH("上",D1397)),ISNUMBER(SEARCH("去",D1397)),ISNUMBER(SEARCH("入",D1397)))),"Ambiguous",IF(ISNUMBER(SEARCH("平",D1397)),"平","仄")))</x:f>
        <x:v>平</x:v>
      </x:c>
      <x:c r="J1405" s="7" t="str"/>
    </x:row>
    <x:row r="1406">
      <x:c r="A1406" s="5" t="str">
        <x:v>懽</x:v>
      </x:c>
      <x:c r="B1406" s="6" t="str">
        <x:v>平</x:v>
      </x:c>
      <x:c r="C1406" s="6" t="str">
        <x:f>IF(B1406="","Needs decision","Ready")</x:f>
        <x:v>Ready</x:v>
      </x:c>
      <x:c r="D1406" s="6" t="str">
        <x:v>平</x:v>
      </x:c>
      <x:c r="E1406" s="6" t="str">
        <x:v>xwan (A)</x:v>
      </x:c>
      <x:c r="F1406" s="6" t="str">
        <x:v>1</x:v>
      </x:c>
      <x:c r="G1406" s="6" t="str"/>
      <x:c r="H1406" s="6" t="str">
        <x:f>IF(B1406="平","平",IF(B1406="","","仄"))</x:f>
        <x:v>平</x:v>
      </x:c>
      <x:c r="I1406" s="6" t="str">
        <x:f>IF(D1398="","",IF(AND(ISNUMBER(SEARCH("平",D1398)),OR(ISNUMBER(SEARCH("上",D1398)),ISNUMBER(SEARCH("去",D1398)),ISNUMBER(SEARCH("入",D1398)))),"Ambiguous",IF(ISNUMBER(SEARCH("平",D1398)),"平","仄")))</x:f>
        <x:v>仄</x:v>
      </x:c>
      <x:c r="J1406" s="7" t="str"/>
    </x:row>
    <x:row r="1407">
      <x:c r="A1407" s="5" t="str">
        <x:v>懾</x:v>
      </x:c>
      <x:c r="B1407" s="6" t="str">
        <x:v>入</x:v>
      </x:c>
      <x:c r="C1407" s="6" t="str">
        <x:f>IF(B1407="","Needs decision","Ready")</x:f>
        <x:v>Ready</x:v>
      </x:c>
      <x:c r="D1407" s="6" t="str">
        <x:v>入</x:v>
      </x:c>
      <x:c r="E1407" s="6" t="str">
        <x:v>tsyep (D)</x:v>
      </x:c>
      <x:c r="F1407" s="6" t="str">
        <x:v>1</x:v>
      </x:c>
      <x:c r="G1407" s="6" t="str"/>
      <x:c r="H1407" s="6" t="str">
        <x:f>IF(B1407="平","平",IF(B1407="","","仄"))</x:f>
        <x:v>仄</x:v>
      </x:c>
      <x:c r="I1407" s="6" t="str">
        <x:f>IF(D1399="","",IF(AND(ISNUMBER(SEARCH("平",D1399)),OR(ISNUMBER(SEARCH("上",D1399)),ISNUMBER(SEARCH("去",D1399)),ISNUMBER(SEARCH("入",D1399)))),"Ambiguous",IF(ISNUMBER(SEARCH("平",D1399)),"平","仄")))</x:f>
        <x:v>Ambiguous</x:v>
      </x:c>
      <x:c r="J1407" s="7" t="str"/>
    </x:row>
    <x:row r="1408">
      <x:c r="A1408" s="5" t="str">
        <x:v>懿</x:v>
      </x:c>
      <x:c r="B1408" s="6" t="str">
        <x:v>去</x:v>
      </x:c>
      <x:c r="C1408" s="6" t="str">
        <x:f>IF(B1408="","Needs decision","Ready")</x:f>
        <x:v>Ready</x:v>
      </x:c>
      <x:c r="D1408" s="6" t="str">
        <x:v>去</x:v>
      </x:c>
      <x:c r="E1408" s="6" t="str">
        <x:v>'ijH (C)</x:v>
      </x:c>
      <x:c r="F1408" s="6" t="str">
        <x:v>1</x:v>
      </x:c>
      <x:c r="G1408" s="6" t="str"/>
      <x:c r="H1408" s="6" t="str">
        <x:f>IF(B1408="平","平",IF(B1408="","","仄"))</x:f>
        <x:v>仄</x:v>
      </x:c>
      <x:c r="I1408" s="6" t="str">
        <x:f>IF(D1400="","",IF(AND(ISNUMBER(SEARCH("平",D1400)),OR(ISNUMBER(SEARCH("上",D1400)),ISNUMBER(SEARCH("去",D1400)),ISNUMBER(SEARCH("入",D1400)))),"Ambiguous",IF(ISNUMBER(SEARCH("平",D1400)),"平","仄")))</x:f>
        <x:v>仄</x:v>
      </x:c>
      <x:c r="J1408" s="7" t="str"/>
    </x:row>
    <x:row r="1409">
      <x:c r="A1409" s="5" t="str">
        <x:v>戀</x:v>
      </x:c>
      <x:c r="B1409" s="6" t="str">
        <x:v>去</x:v>
      </x:c>
      <x:c r="C1409" s="6" t="str">
        <x:f>IF(B1409="","Needs decision","Ready")</x:f>
        <x:v>Ready</x:v>
      </x:c>
      <x:c r="D1409" s="6" t="str">
        <x:v>去</x:v>
      </x:c>
      <x:c r="E1409" s="6" t="str">
        <x:v>ljwenH (C)</x:v>
      </x:c>
      <x:c r="F1409" s="6" t="str">
        <x:v>1</x:v>
      </x:c>
      <x:c r="G1409" s="6" t="str"/>
      <x:c r="H1409" s="6" t="str">
        <x:f>IF(B1409="平","平",IF(B1409="","","仄"))</x:f>
        <x:v>仄</x:v>
      </x:c>
      <x:c r="I1409" s="6" t="str">
        <x:f>IF(D1401="","",IF(AND(ISNUMBER(SEARCH("平",D1401)),OR(ISNUMBER(SEARCH("上",D1401)),ISNUMBER(SEARCH("去",D1401)),ISNUMBER(SEARCH("入",D1401)))),"Ambiguous",IF(ISNUMBER(SEARCH("平",D1401)),"平","仄")))</x:f>
        <x:v>平</x:v>
      </x:c>
      <x:c r="J1409" s="7" t="str"/>
    </x:row>
    <x:row r="1410">
      <x:c r="A1410" s="5" t="str">
        <x:v>戁</x:v>
      </x:c>
      <x:c r="B1410" s="6" t="str">
        <x:v>上</x:v>
      </x:c>
      <x:c r="C1410" s="6" t="str">
        <x:f>IF(B1410="","Needs decision","Ready")</x:f>
        <x:v>Ready</x:v>
      </x:c>
      <x:c r="D1410" s="6" t="str">
        <x:v>上</x:v>
      </x:c>
      <x:c r="E1410" s="6" t="str">
        <x:v>nraenX (B)</x:v>
      </x:c>
      <x:c r="F1410" s="6" t="str">
        <x:v>1</x:v>
      </x:c>
      <x:c r="G1410" s="6" t="str"/>
      <x:c r="H1410" s="6" t="str">
        <x:f>IF(B1410="平","平",IF(B1410="","","仄"))</x:f>
        <x:v>仄</x:v>
      </x:c>
      <x:c r="I1410" s="6" t="str">
        <x:f>IF(D1402="","",IF(AND(ISNUMBER(SEARCH("平",D1402)),OR(ISNUMBER(SEARCH("上",D1402)),ISNUMBER(SEARCH("去",D1402)),ISNUMBER(SEARCH("入",D1402)))),"Ambiguous",IF(ISNUMBER(SEARCH("平",D1402)),"平","仄")))</x:f>
        <x:v>仄</x:v>
      </x:c>
      <x:c r="J1410" s="7" t="str"/>
    </x:row>
    <x:row r="1411">
      <x:c r="A1411" s="5" t="str">
        <x:v>戈</x:v>
      </x:c>
      <x:c r="B1411" s="6" t="str">
        <x:v>平</x:v>
      </x:c>
      <x:c r="C1411" s="6" t="str">
        <x:f>IF(B1411="","Needs decision","Ready")</x:f>
        <x:v>Ready</x:v>
      </x:c>
      <x:c r="D1411" s="6" t="str">
        <x:v>平</x:v>
      </x:c>
      <x:c r="E1411" s="6" t="str">
        <x:v>kwa (A)</x:v>
      </x:c>
      <x:c r="F1411" s="6" t="str">
        <x:v>1</x:v>
      </x:c>
      <x:c r="G1411" s="6" t="str"/>
      <x:c r="H1411" s="6" t="str">
        <x:f>IF(B1411="平","平",IF(B1411="","","仄"))</x:f>
        <x:v>平</x:v>
      </x:c>
      <x:c r="I1411" s="6" t="str">
        <x:f>IF(D1403="","",IF(AND(ISNUMBER(SEARCH("平",D1403)),OR(ISNUMBER(SEARCH("上",D1403)),ISNUMBER(SEARCH("去",D1403)),ISNUMBER(SEARCH("入",D1403)))),"Ambiguous",IF(ISNUMBER(SEARCH("平",D1403)),"平","仄")))</x:f>
        <x:v>平</x:v>
      </x:c>
      <x:c r="J1411" s="7" t="str"/>
    </x:row>
    <x:row r="1412">
      <x:c r="A1412" s="5" t="str">
        <x:v>戉</x:v>
      </x:c>
      <x:c r="B1412" s="6" t="str">
        <x:v>入</x:v>
      </x:c>
      <x:c r="C1412" s="6" t="str">
        <x:f>IF(B1412="","Needs decision","Ready")</x:f>
        <x:v>Ready</x:v>
      </x:c>
      <x:c r="D1412" s="6" t="str">
        <x:v>入</x:v>
      </x:c>
      <x:c r="E1412" s="6" t="str">
        <x:v>hjwot (D)</x:v>
      </x:c>
      <x:c r="F1412" s="6" t="str">
        <x:v>1</x:v>
      </x:c>
      <x:c r="G1412" s="6" t="str"/>
      <x:c r="H1412" s="6" t="str">
        <x:f>IF(B1412="平","平",IF(B1412="","","仄"))</x:f>
        <x:v>仄</x:v>
      </x:c>
      <x:c r="I1412" s="6" t="str">
        <x:f>IF(D1404="","",IF(AND(ISNUMBER(SEARCH("平",D1404)),OR(ISNUMBER(SEARCH("上",D1404)),ISNUMBER(SEARCH("去",D1404)),ISNUMBER(SEARCH("入",D1404)))),"Ambiguous",IF(ISNUMBER(SEARCH("平",D1404)),"平","仄")))</x:f>
        <x:v>平</x:v>
      </x:c>
      <x:c r="J1412" s="7" t="str"/>
    </x:row>
    <x:row r="1413">
      <x:c r="A1413" s="5" t="str">
        <x:v>戊</x:v>
      </x:c>
      <x:c r="B1413" s="6" t="str">
        <x:v>去</x:v>
      </x:c>
      <x:c r="C1413" s="6" t="str">
        <x:f>IF(B1413="","Needs decision","Ready")</x:f>
        <x:v>Ready</x:v>
      </x:c>
      <x:c r="D1413" s="6" t="str">
        <x:v>去</x:v>
      </x:c>
      <x:c r="E1413" s="6" t="str">
        <x:v>muwH (C)</x:v>
      </x:c>
      <x:c r="F1413" s="6" t="str">
        <x:v>1</x:v>
      </x:c>
      <x:c r="G1413" s="6" t="str"/>
      <x:c r="H1413" s="6" t="str">
        <x:f>IF(B1413="平","平",IF(B1413="","","仄"))</x:f>
        <x:v>仄</x:v>
      </x:c>
      <x:c r="I1413" s="6" t="str">
        <x:f>IF(D1405="","",IF(AND(ISNUMBER(SEARCH("平",D1405)),OR(ISNUMBER(SEARCH("上",D1405)),ISNUMBER(SEARCH("去",D1405)),ISNUMBER(SEARCH("入",D1405)))),"Ambiguous",IF(ISNUMBER(SEARCH("平",D1405)),"平","仄")))</x:f>
        <x:v>仄</x:v>
      </x:c>
      <x:c r="J1413" s="7" t="str"/>
    </x:row>
    <x:row r="1414">
      <x:c r="A1414" s="5" t="str">
        <x:v>戌</x:v>
      </x:c>
      <x:c r="B1414" s="6" t="str">
        <x:v>入</x:v>
      </x:c>
      <x:c r="C1414" s="6" t="str">
        <x:f>IF(B1414="","Needs decision","Ready")</x:f>
        <x:v>Ready</x:v>
      </x:c>
      <x:c r="D1414" s="6" t="str">
        <x:v>入</x:v>
      </x:c>
      <x:c r="E1414" s="6" t="str">
        <x:v>swit (D)</x:v>
      </x:c>
      <x:c r="F1414" s="6" t="str">
        <x:v>1</x:v>
      </x:c>
      <x:c r="G1414" s="6" t="str"/>
      <x:c r="H1414" s="6" t="str">
        <x:f>IF(B1414="平","平",IF(B1414="","","仄"))</x:f>
        <x:v>仄</x:v>
      </x:c>
      <x:c r="I1414" s="6" t="str">
        <x:f>IF(D1406="","",IF(AND(ISNUMBER(SEARCH("平",D1406)),OR(ISNUMBER(SEARCH("上",D1406)),ISNUMBER(SEARCH("去",D1406)),ISNUMBER(SEARCH("入",D1406)))),"Ambiguous",IF(ISNUMBER(SEARCH("平",D1406)),"平","仄")))</x:f>
        <x:v>平</x:v>
      </x:c>
      <x:c r="J1414" s="7" t="str"/>
    </x:row>
    <x:row r="1415">
      <x:c r="A1415" s="5" t="str">
        <x:v>戍</x:v>
      </x:c>
      <x:c r="B1415" s="6" t="str">
        <x:v>去</x:v>
      </x:c>
      <x:c r="C1415" s="6" t="str">
        <x:f>IF(B1415="","Needs decision","Ready")</x:f>
        <x:v>Ready</x:v>
      </x:c>
      <x:c r="D1415" s="6" t="str">
        <x:v>去</x:v>
      </x:c>
      <x:c r="E1415" s="6" t="str">
        <x:v>syuH (C)</x:v>
      </x:c>
      <x:c r="F1415" s="6" t="str">
        <x:v>1</x:v>
      </x:c>
      <x:c r="G1415" s="6" t="str"/>
      <x:c r="H1415" s="6" t="str">
        <x:f>IF(B1415="平","平",IF(B1415="","","仄"))</x:f>
        <x:v>仄</x:v>
      </x:c>
      <x:c r="I1415" s="6" t="str">
        <x:f>IF(D1407="","",IF(AND(ISNUMBER(SEARCH("平",D1407)),OR(ISNUMBER(SEARCH("上",D1407)),ISNUMBER(SEARCH("去",D1407)),ISNUMBER(SEARCH("入",D1407)))),"Ambiguous",IF(ISNUMBER(SEARCH("平",D1407)),"平","仄")))</x:f>
        <x:v>仄</x:v>
      </x:c>
      <x:c r="J1415" s="7" t="str"/>
    </x:row>
    <x:row r="1416">
      <x:c r="A1416" s="5" t="str">
        <x:v>戎</x:v>
      </x:c>
      <x:c r="B1416" s="6" t="str">
        <x:v>平</x:v>
      </x:c>
      <x:c r="C1416" s="6" t="str">
        <x:f>IF(B1416="","Needs decision","Ready")</x:f>
        <x:v>Ready</x:v>
      </x:c>
      <x:c r="D1416" s="6" t="str">
        <x:v>平</x:v>
      </x:c>
      <x:c r="E1416" s="6" t="str">
        <x:v>nyuwng (A)</x:v>
      </x:c>
      <x:c r="F1416" s="6" t="str">
        <x:v>1</x:v>
      </x:c>
      <x:c r="G1416" s="6" t="str"/>
      <x:c r="H1416" s="6" t="str">
        <x:f>IF(B1416="平","平",IF(B1416="","","仄"))</x:f>
        <x:v>平</x:v>
      </x:c>
      <x:c r="I1416" s="6" t="str">
        <x:f>IF(D1408="","",IF(AND(ISNUMBER(SEARCH("平",D1408)),OR(ISNUMBER(SEARCH("上",D1408)),ISNUMBER(SEARCH("去",D1408)),ISNUMBER(SEARCH("入",D1408)))),"Ambiguous",IF(ISNUMBER(SEARCH("平",D1408)),"平","仄")))</x:f>
        <x:v>仄</x:v>
      </x:c>
      <x:c r="J1416" s="7" t="str"/>
    </x:row>
    <x:row r="1417">
      <x:c r="A1417" s="5" t="str">
        <x:v>成</x:v>
      </x:c>
      <x:c r="B1417" s="6" t="str">
        <x:v>平</x:v>
      </x:c>
      <x:c r="C1417" s="6" t="str">
        <x:f>IF(B1417="","Needs decision","Ready")</x:f>
        <x:v>Ready</x:v>
      </x:c>
      <x:c r="D1417" s="6" t="str">
        <x:v>平</x:v>
      </x:c>
      <x:c r="E1417" s="6" t="str">
        <x:v>dzyeng (A)</x:v>
      </x:c>
      <x:c r="F1417" s="6" t="str">
        <x:v>1</x:v>
      </x:c>
      <x:c r="G1417" s="6" t="str"/>
      <x:c r="H1417" s="6" t="str">
        <x:f>IF(B1417="平","平",IF(B1417="","","仄"))</x:f>
        <x:v>平</x:v>
      </x:c>
      <x:c r="I1417" s="6" t="str">
        <x:f>IF(D1409="","",IF(AND(ISNUMBER(SEARCH("平",D1409)),OR(ISNUMBER(SEARCH("上",D1409)),ISNUMBER(SEARCH("去",D1409)),ISNUMBER(SEARCH("入",D1409)))),"Ambiguous",IF(ISNUMBER(SEARCH("平",D1409)),"平","仄")))</x:f>
        <x:v>仄</x:v>
      </x:c>
      <x:c r="J1417" s="7" t="str"/>
    </x:row>
    <x:row r="1418">
      <x:c r="A1418" s="5" t="str">
        <x:v>我</x:v>
      </x:c>
      <x:c r="B1418" s="6" t="str">
        <x:v>上</x:v>
      </x:c>
      <x:c r="C1418" s="6" t="str">
        <x:f>IF(B1418="","Needs decision","Ready")</x:f>
        <x:v>Ready</x:v>
      </x:c>
      <x:c r="D1418" s="6" t="str">
        <x:v>上</x:v>
      </x:c>
      <x:c r="E1418" s="6" t="str">
        <x:v>ngaX (B)</x:v>
      </x:c>
      <x:c r="F1418" s="6" t="str">
        <x:v>1</x:v>
      </x:c>
      <x:c r="G1418" s="6" t="str"/>
      <x:c r="H1418" s="6" t="str">
        <x:f>IF(B1418="平","平",IF(B1418="","","仄"))</x:f>
        <x:v>仄</x:v>
      </x:c>
      <x:c r="I1418" s="6" t="str">
        <x:f>IF(D1410="","",IF(AND(ISNUMBER(SEARCH("平",D1410)),OR(ISNUMBER(SEARCH("上",D1410)),ISNUMBER(SEARCH("去",D1410)),ISNUMBER(SEARCH("入",D1410)))),"Ambiguous",IF(ISNUMBER(SEARCH("平",D1410)),"平","仄")))</x:f>
        <x:v>仄</x:v>
      </x:c>
      <x:c r="J1418" s="7" t="str"/>
    </x:row>
    <x:row r="1419">
      <x:c r="A1419" s="5" t="str">
        <x:v>戒</x:v>
      </x:c>
      <x:c r="B1419" s="6" t="str">
        <x:v>去</x:v>
      </x:c>
      <x:c r="C1419" s="6" t="str">
        <x:f>IF(B1419="","Needs decision","Ready")</x:f>
        <x:v>Ready</x:v>
      </x:c>
      <x:c r="D1419" s="6" t="str">
        <x:v>去</x:v>
      </x:c>
      <x:c r="E1419" s="6" t="str">
        <x:v>keajH (C)</x:v>
      </x:c>
      <x:c r="F1419" s="6" t="str">
        <x:v>1</x:v>
      </x:c>
      <x:c r="G1419" s="6" t="str"/>
      <x:c r="H1419" s="6" t="str">
        <x:f>IF(B1419="平","平",IF(B1419="","","仄"))</x:f>
        <x:v>仄</x:v>
      </x:c>
      <x:c r="I1419" s="6" t="str">
        <x:f>IF(D1411="","",IF(AND(ISNUMBER(SEARCH("平",D1411)),OR(ISNUMBER(SEARCH("上",D1411)),ISNUMBER(SEARCH("去",D1411)),ISNUMBER(SEARCH("入",D1411)))),"Ambiguous",IF(ISNUMBER(SEARCH("平",D1411)),"平","仄")))</x:f>
        <x:v>平</x:v>
      </x:c>
      <x:c r="J1419" s="7" t="str"/>
    </x:row>
    <x:row r="1420">
      <x:c r="A1420" s="5" t="str">
        <x:v>戔</x:v>
      </x:c>
      <x:c r="B1420" s="6" t="str">
        <x:v>平</x:v>
      </x:c>
      <x:c r="C1420" s="6" t="str">
        <x:f>IF(B1420="","Needs decision","Ready")</x:f>
        <x:v>Ready</x:v>
      </x:c>
      <x:c r="D1420" s="6" t="str">
        <x:v>平</x:v>
      </x:c>
      <x:c r="E1420" s="6" t="str">
        <x:v>dzan (A)</x:v>
      </x:c>
      <x:c r="F1420" s="6" t="str">
        <x:v>1</x:v>
      </x:c>
      <x:c r="G1420" s="6" t="str"/>
      <x:c r="H1420" s="6" t="str">
        <x:f>IF(B1420="平","平",IF(B1420="","","仄"))</x:f>
        <x:v>平</x:v>
      </x:c>
      <x:c r="I1420" s="6" t="str">
        <x:f>IF(D1412="","",IF(AND(ISNUMBER(SEARCH("平",D1412)),OR(ISNUMBER(SEARCH("上",D1412)),ISNUMBER(SEARCH("去",D1412)),ISNUMBER(SEARCH("入",D1412)))),"Ambiguous",IF(ISNUMBER(SEARCH("平",D1412)),"平","仄")))</x:f>
        <x:v>仄</x:v>
      </x:c>
      <x:c r="J1420" s="7" t="str"/>
    </x:row>
    <x:row r="1421">
      <x:c r="A1421" s="5" t="str">
        <x:v>或</x:v>
      </x:c>
      <x:c r="B1421" s="6" t="str">
        <x:v>入</x:v>
      </x:c>
      <x:c r="C1421" s="6" t="str">
        <x:f>IF(B1421="","Needs decision","Ready")</x:f>
        <x:v>Ready</x:v>
      </x:c>
      <x:c r="D1421" s="6" t="str">
        <x:v>入</x:v>
      </x:c>
      <x:c r="E1421" s="6" t="str">
        <x:v>hwok (D); hwik (D)</x:v>
      </x:c>
      <x:c r="F1421" s="6" t="str">
        <x:v>2</x:v>
      </x:c>
      <x:c r="G1421" s="6" t="str"/>
      <x:c r="H1421" s="6" t="str">
        <x:f>IF(B1421="平","平",IF(B1421="","","仄"))</x:f>
        <x:v>仄</x:v>
      </x:c>
      <x:c r="I1421" s="6" t="str">
        <x:f>IF(D1413="","",IF(AND(ISNUMBER(SEARCH("平",D1413)),OR(ISNUMBER(SEARCH("上",D1413)),ISNUMBER(SEARCH("去",D1413)),ISNUMBER(SEARCH("入",D1413)))),"Ambiguous",IF(ISNUMBER(SEARCH("平",D1413)),"平","仄")))</x:f>
        <x:v>仄</x:v>
      </x:c>
      <x:c r="J1421" s="7" t="str"/>
    </x:row>
    <x:row r="1422">
      <x:c r="A1422" s="5" t="str">
        <x:v>戚</x:v>
      </x:c>
      <x:c r="B1422" s="6" t="str">
        <x:v>入</x:v>
      </x:c>
      <x:c r="C1422" s="6" t="str">
        <x:f>IF(B1422="","Needs decision","Ready")</x:f>
        <x:v>Ready</x:v>
      </x:c>
      <x:c r="D1422" s="6" t="str">
        <x:v>入</x:v>
      </x:c>
      <x:c r="E1422" s="6" t="str">
        <x:v>tshek (D)</x:v>
      </x:c>
      <x:c r="F1422" s="6" t="str">
        <x:v>1</x:v>
      </x:c>
      <x:c r="G1422" s="6" t="str"/>
      <x:c r="H1422" s="6" t="str">
        <x:f>IF(B1422="平","平",IF(B1422="","","仄"))</x:f>
        <x:v>仄</x:v>
      </x:c>
      <x:c r="I1422" s="6" t="str">
        <x:f>IF(D1414="","",IF(AND(ISNUMBER(SEARCH("平",D1414)),OR(ISNUMBER(SEARCH("上",D1414)),ISNUMBER(SEARCH("去",D1414)),ISNUMBER(SEARCH("入",D1414)))),"Ambiguous",IF(ISNUMBER(SEARCH("平",D1414)),"平","仄")))</x:f>
        <x:v>仄</x:v>
      </x:c>
      <x:c r="J1422" s="7" t="str"/>
    </x:row>
    <x:row r="1423">
      <x:c r="A1423" s="5" t="str">
        <x:v>戛</x:v>
      </x:c>
      <x:c r="B1423" s="6" t="str">
        <x:v>入</x:v>
      </x:c>
      <x:c r="C1423" s="6" t="str">
        <x:f>IF(B1423="","Needs decision","Ready")</x:f>
        <x:v>Ready</x:v>
      </x:c>
      <x:c r="D1423" s="6" t="str">
        <x:v>入</x:v>
      </x:c>
      <x:c r="E1423" s="6" t="str">
        <x:v>keat (D)</x:v>
      </x:c>
      <x:c r="F1423" s="6" t="str">
        <x:v>1</x:v>
      </x:c>
      <x:c r="G1423" s="6" t="str"/>
      <x:c r="H1423" s="6" t="str">
        <x:f>IF(B1423="平","平",IF(B1423="","","仄"))</x:f>
        <x:v>仄</x:v>
      </x:c>
      <x:c r="I1423" s="6" t="str">
        <x:f>IF(D1415="","",IF(AND(ISNUMBER(SEARCH("平",D1415)),OR(ISNUMBER(SEARCH("上",D1415)),ISNUMBER(SEARCH("去",D1415)),ISNUMBER(SEARCH("入",D1415)))),"Ambiguous",IF(ISNUMBER(SEARCH("平",D1415)),"平","仄")))</x:f>
        <x:v>仄</x:v>
      </x:c>
      <x:c r="J1423" s="7" t="str"/>
    </x:row>
    <x:row r="1424">
      <x:c r="A1424" s="5" t="str">
        <x:v>戟</x:v>
      </x:c>
      <x:c r="B1424" s="6" t="str">
        <x:v>入</x:v>
      </x:c>
      <x:c r="C1424" s="6" t="str">
        <x:f>IF(B1424="","Needs decision","Ready")</x:f>
        <x:v>Ready</x:v>
      </x:c>
      <x:c r="D1424" s="6" t="str">
        <x:v>入</x:v>
      </x:c>
      <x:c r="E1424" s="6" t="str">
        <x:v>kjaek (D)</x:v>
      </x:c>
      <x:c r="F1424" s="6" t="str">
        <x:v>1</x:v>
      </x:c>
      <x:c r="G1424" s="6" t="str"/>
      <x:c r="H1424" s="6" t="str">
        <x:f>IF(B1424="平","平",IF(B1424="","","仄"))</x:f>
        <x:v>仄</x:v>
      </x:c>
      <x:c r="I1424" s="6" t="str">
        <x:f>IF(D1416="","",IF(AND(ISNUMBER(SEARCH("平",D1416)),OR(ISNUMBER(SEARCH("上",D1416)),ISNUMBER(SEARCH("去",D1416)),ISNUMBER(SEARCH("入",D1416)))),"Ambiguous",IF(ISNUMBER(SEARCH("平",D1416)),"平","仄")))</x:f>
        <x:v>平</x:v>
      </x:c>
      <x:c r="J1424" s="7" t="str"/>
    </x:row>
    <x:row r="1425">
      <x:c r="A1425" s="5" t="str">
        <x:v>戠</x:v>
      </x:c>
      <x:c r="B1425" s="6" t="str">
        <x:v>入</x:v>
      </x:c>
      <x:c r="C1425" s="6" t="str">
        <x:f>IF(B1425="","Needs decision","Ready")</x:f>
        <x:v>Ready</x:v>
      </x:c>
      <x:c r="D1425" s="6" t="str">
        <x:v>入</x:v>
      </x:c>
      <x:c r="E1425" s="6" t="str">
        <x:v>tsyik (D)</x:v>
      </x:c>
      <x:c r="F1425" s="6" t="str">
        <x:v>1</x:v>
      </x:c>
      <x:c r="G1425" s="6" t="str"/>
      <x:c r="H1425" s="6" t="str">
        <x:f>IF(B1425="平","平",IF(B1425="","","仄"))</x:f>
        <x:v>仄</x:v>
      </x:c>
      <x:c r="I1425" s="6" t="str">
        <x:f>IF(D1417="","",IF(AND(ISNUMBER(SEARCH("平",D1417)),OR(ISNUMBER(SEARCH("上",D1417)),ISNUMBER(SEARCH("去",D1417)),ISNUMBER(SEARCH("入",D1417)))),"Ambiguous",IF(ISNUMBER(SEARCH("平",D1417)),"平","仄")))</x:f>
        <x:v>平</x:v>
      </x:c>
      <x:c r="J1425" s="7" t="str"/>
    </x:row>
    <x:row r="1426">
      <x:c r="A1426" s="5" t="str">
        <x:v>戡</x:v>
      </x:c>
      <x:c r="B1426" s="6" t="str">
        <x:v>平</x:v>
      </x:c>
      <x:c r="C1426" s="6" t="str">
        <x:f>IF(B1426="","Needs decision","Ready")</x:f>
        <x:v>Ready</x:v>
      </x:c>
      <x:c r="D1426" s="6" t="str">
        <x:v>平</x:v>
      </x:c>
      <x:c r="E1426" s="6" t="str">
        <x:v>khom (A)</x:v>
      </x:c>
      <x:c r="F1426" s="6" t="str">
        <x:v>1</x:v>
      </x:c>
      <x:c r="G1426" s="6" t="str"/>
      <x:c r="H1426" s="6" t="str">
        <x:f>IF(B1426="平","平",IF(B1426="","","仄"))</x:f>
        <x:v>平</x:v>
      </x:c>
      <x:c r="I1426" s="6" t="str">
        <x:f>IF(D1418="","",IF(AND(ISNUMBER(SEARCH("平",D1418)),OR(ISNUMBER(SEARCH("上",D1418)),ISNUMBER(SEARCH("去",D1418)),ISNUMBER(SEARCH("入",D1418)))),"Ambiguous",IF(ISNUMBER(SEARCH("平",D1418)),"平","仄")))</x:f>
        <x:v>仄</x:v>
      </x:c>
      <x:c r="J1426" s="7" t="str"/>
    </x:row>
    <x:row r="1427">
      <x:c r="A1427" s="5" t="str">
        <x:v>戣</x:v>
      </x:c>
      <x:c r="B1427" s="6" t="str">
        <x:v>平</x:v>
      </x:c>
      <x:c r="C1427" s="6" t="str">
        <x:f>IF(B1427="","Needs decision","Ready")</x:f>
        <x:v>Ready</x:v>
      </x:c>
      <x:c r="D1427" s="6" t="str">
        <x:v>平</x:v>
      </x:c>
      <x:c r="E1427" s="6" t="str">
        <x:v>gwij (A)</x:v>
      </x:c>
      <x:c r="F1427" s="6" t="str">
        <x:v>1</x:v>
      </x:c>
      <x:c r="G1427" s="6" t="str"/>
      <x:c r="H1427" s="6" t="str">
        <x:f>IF(B1427="平","平",IF(B1427="","","仄"))</x:f>
        <x:v>平</x:v>
      </x:c>
      <x:c r="I1427" s="6" t="str">
        <x:f>IF(D1419="","",IF(AND(ISNUMBER(SEARCH("平",D1419)),OR(ISNUMBER(SEARCH("上",D1419)),ISNUMBER(SEARCH("去",D1419)),ISNUMBER(SEARCH("入",D1419)))),"Ambiguous",IF(ISNUMBER(SEARCH("平",D1419)),"平","仄")))</x:f>
        <x:v>仄</x:v>
      </x:c>
      <x:c r="J1427" s="7" t="str"/>
    </x:row>
    <x:row r="1428">
      <x:c r="A1428" s="5" t="str">
        <x:v>截</x:v>
      </x:c>
      <x:c r="B1428" s="6" t="str">
        <x:v>入</x:v>
      </x:c>
      <x:c r="C1428" s="6" t="str">
        <x:f>IF(B1428="","Needs decision","Ready")</x:f>
        <x:v>Ready</x:v>
      </x:c>
      <x:c r="D1428" s="6" t="str">
        <x:v>入</x:v>
      </x:c>
      <x:c r="E1428" s="6" t="str">
        <x:v>dzet (D)</x:v>
      </x:c>
      <x:c r="F1428" s="6" t="str">
        <x:v>1</x:v>
      </x:c>
      <x:c r="G1428" s="6" t="str"/>
      <x:c r="H1428" s="6" t="str">
        <x:f>IF(B1428="平","平",IF(B1428="","","仄"))</x:f>
        <x:v>仄</x:v>
      </x:c>
      <x:c r="I1428" s="6" t="str">
        <x:f>IF(D1420="","",IF(AND(ISNUMBER(SEARCH("平",D1420)),OR(ISNUMBER(SEARCH("上",D1420)),ISNUMBER(SEARCH("去",D1420)),ISNUMBER(SEARCH("入",D1420)))),"Ambiguous",IF(ISNUMBER(SEARCH("平",D1420)),"平","仄")))</x:f>
        <x:v>平</x:v>
      </x:c>
      <x:c r="J1428" s="7" t="str"/>
    </x:row>
    <x:row r="1429">
      <x:c r="A1429" s="5" t="str">
        <x:v>戮</x:v>
      </x:c>
      <x:c r="B1429" s="6" t="str">
        <x:v>入</x:v>
      </x:c>
      <x:c r="C1429" s="6" t="str">
        <x:f>IF(B1429="","Needs decision","Ready")</x:f>
        <x:v>Ready</x:v>
      </x:c>
      <x:c r="D1429" s="6" t="str">
        <x:v>入</x:v>
      </x:c>
      <x:c r="E1429" s="6" t="str">
        <x:v>ljuwk (D)</x:v>
      </x:c>
      <x:c r="F1429" s="6" t="str">
        <x:v>1</x:v>
      </x:c>
      <x:c r="G1429" s="6" t="str"/>
      <x:c r="H1429" s="6" t="str">
        <x:f>IF(B1429="平","平",IF(B1429="","","仄"))</x:f>
        <x:v>仄</x:v>
      </x:c>
      <x:c r="I1429" s="6" t="str">
        <x:f>IF(D1421="","",IF(AND(ISNUMBER(SEARCH("平",D1421)),OR(ISNUMBER(SEARCH("上",D1421)),ISNUMBER(SEARCH("去",D1421)),ISNUMBER(SEARCH("入",D1421)))),"Ambiguous",IF(ISNUMBER(SEARCH("平",D1421)),"平","仄")))</x:f>
        <x:v>仄</x:v>
      </x:c>
      <x:c r="J1429" s="7" t="str"/>
    </x:row>
    <x:row r="1430">
      <x:c r="A1430" s="5" t="str">
        <x:v>戰</x:v>
      </x:c>
      <x:c r="B1430" s="6" t="str">
        <x:v>去</x:v>
      </x:c>
      <x:c r="C1430" s="6" t="str">
        <x:f>IF(B1430="","Needs decision","Ready")</x:f>
        <x:v>Ready</x:v>
      </x:c>
      <x:c r="D1430" s="6" t="str">
        <x:v>去</x:v>
      </x:c>
      <x:c r="E1430" s="6" t="str">
        <x:v>tsyenH (C)</x:v>
      </x:c>
      <x:c r="F1430" s="6" t="str">
        <x:v>1</x:v>
      </x:c>
      <x:c r="G1430" s="6" t="str"/>
      <x:c r="H1430" s="6" t="str">
        <x:f>IF(B1430="平","平",IF(B1430="","","仄"))</x:f>
        <x:v>仄</x:v>
      </x:c>
      <x:c r="I1430" s="6" t="str">
        <x:f>IF(D1422="","",IF(AND(ISNUMBER(SEARCH("平",D1422)),OR(ISNUMBER(SEARCH("上",D1422)),ISNUMBER(SEARCH("去",D1422)),ISNUMBER(SEARCH("入",D1422)))),"Ambiguous",IF(ISNUMBER(SEARCH("平",D1422)),"平","仄")))</x:f>
        <x:v>仄</x:v>
      </x:c>
      <x:c r="J1430" s="7" t="str"/>
    </x:row>
    <x:row r="1431">
      <x:c r="A1431" s="5" t="str">
        <x:v>戲</x:v>
      </x:c>
      <x:c r="B1431" s="6" t="str">
        <x:v>去</x:v>
      </x:c>
      <x:c r="C1431" s="6" t="str">
        <x:f>IF(B1431="","Needs decision","Ready")</x:f>
        <x:v>Ready</x:v>
      </x:c>
      <x:c r="D1431" s="6" t="str">
        <x:v>去</x:v>
      </x:c>
      <x:c r="E1431" s="6" t="str">
        <x:v>xjeH (C)</x:v>
      </x:c>
      <x:c r="F1431" s="6" t="str">
        <x:v>1</x:v>
      </x:c>
      <x:c r="G1431" s="6" t="str"/>
      <x:c r="H1431" s="6" t="str">
        <x:f>IF(B1431="平","平",IF(B1431="","","仄"))</x:f>
        <x:v>仄</x:v>
      </x:c>
      <x:c r="I1431" s="6" t="str">
        <x:f>IF(D1423="","",IF(AND(ISNUMBER(SEARCH("平",D1423)),OR(ISNUMBER(SEARCH("上",D1423)),ISNUMBER(SEARCH("去",D1423)),ISNUMBER(SEARCH("入",D1423)))),"Ambiguous",IF(ISNUMBER(SEARCH("平",D1423)),"平","仄")))</x:f>
        <x:v>仄</x:v>
      </x:c>
      <x:c r="J1431" s="7" t="str"/>
    </x:row>
    <x:row r="1432">
      <x:c r="A1432" s="5" t="str">
        <x:v>戴</x:v>
      </x:c>
      <x:c r="B1432" s="6" t="str">
        <x:v>去</x:v>
      </x:c>
      <x:c r="C1432" s="6" t="str">
        <x:f>IF(B1432="","Needs decision","Ready")</x:f>
        <x:v>Ready</x:v>
      </x:c>
      <x:c r="D1432" s="6" t="str">
        <x:v>去</x:v>
      </x:c>
      <x:c r="E1432" s="6" t="str">
        <x:v>tojH (C)</x:v>
      </x:c>
      <x:c r="F1432" s="6" t="str">
        <x:v>1</x:v>
      </x:c>
      <x:c r="G1432" s="6" t="str"/>
      <x:c r="H1432" s="6" t="str">
        <x:f>IF(B1432="平","平",IF(B1432="","","仄"))</x:f>
        <x:v>仄</x:v>
      </x:c>
      <x:c r="I1432" s="6" t="str">
        <x:f>IF(D1424="","",IF(AND(ISNUMBER(SEARCH("平",D1424)),OR(ISNUMBER(SEARCH("上",D1424)),ISNUMBER(SEARCH("去",D1424)),ISNUMBER(SEARCH("入",D1424)))),"Ambiguous",IF(ISNUMBER(SEARCH("平",D1424)),"平","仄")))</x:f>
        <x:v>仄</x:v>
      </x:c>
      <x:c r="J1432" s="7" t="str"/>
    </x:row>
    <x:row r="1433">
      <x:c r="A1433" s="5" t="str">
        <x:v>戶</x:v>
      </x:c>
      <x:c r="B1433" s="6" t="str">
        <x:v>上</x:v>
      </x:c>
      <x:c r="C1433" s="6" t="str">
        <x:f>IF(B1433="","Needs decision","Ready")</x:f>
        <x:v>Ready</x:v>
      </x:c>
      <x:c r="D1433" s="6" t="str">
        <x:v>上</x:v>
      </x:c>
      <x:c r="E1433" s="6" t="str">
        <x:v>huX (B)</x:v>
      </x:c>
      <x:c r="F1433" s="6" t="str">
        <x:v>1</x:v>
      </x:c>
      <x:c r="G1433" s="6" t="str"/>
      <x:c r="H1433" s="6" t="str">
        <x:f>IF(B1433="平","平",IF(B1433="","","仄"))</x:f>
        <x:v>仄</x:v>
      </x:c>
      <x:c r="I1433" s="6" t="str">
        <x:f>IF(D1425="","",IF(AND(ISNUMBER(SEARCH("平",D1425)),OR(ISNUMBER(SEARCH("上",D1425)),ISNUMBER(SEARCH("去",D1425)),ISNUMBER(SEARCH("入",D1425)))),"Ambiguous",IF(ISNUMBER(SEARCH("平",D1425)),"平","仄")))</x:f>
        <x:v>仄</x:v>
      </x:c>
      <x:c r="J1433" s="7" t="str"/>
    </x:row>
    <x:row r="1434">
      <x:c r="A1434" s="5" t="str">
        <x:v>戹</x:v>
      </x:c>
      <x:c r="B1434" s="6" t="str">
        <x:v>入</x:v>
      </x:c>
      <x:c r="C1434" s="6" t="str">
        <x:f>IF(B1434="","Needs decision","Ready")</x:f>
        <x:v>Ready</x:v>
      </x:c>
      <x:c r="D1434" s="6" t="str">
        <x:v>入</x:v>
      </x:c>
      <x:c r="E1434" s="6" t="str">
        <x:v>'eak (D)</x:v>
      </x:c>
      <x:c r="F1434" s="6" t="str">
        <x:v>1</x:v>
      </x:c>
      <x:c r="G1434" s="6" t="str"/>
      <x:c r="H1434" s="6" t="str">
        <x:f>IF(B1434="平","平",IF(B1434="","","仄"))</x:f>
        <x:v>仄</x:v>
      </x:c>
      <x:c r="I1434" s="6" t="str">
        <x:f>IF(D1426="","",IF(AND(ISNUMBER(SEARCH("平",D1426)),OR(ISNUMBER(SEARCH("上",D1426)),ISNUMBER(SEARCH("去",D1426)),ISNUMBER(SEARCH("入",D1426)))),"Ambiguous",IF(ISNUMBER(SEARCH("平",D1426)),"平","仄")))</x:f>
        <x:v>平</x:v>
      </x:c>
      <x:c r="J1434" s="7" t="str"/>
    </x:row>
    <x:row r="1435">
      <x:c r="A1435" s="5" t="str">
        <x:v>戾</x:v>
      </x:c>
      <x:c r="B1435" s="6" t="str">
        <x:v>去</x:v>
      </x:c>
      <x:c r="C1435" s="6" t="str">
        <x:f>IF(B1435="","Needs decision","Ready")</x:f>
        <x:v>Ready</x:v>
      </x:c>
      <x:c r="D1435" s="6" t="str">
        <x:v>去</x:v>
      </x:c>
      <x:c r="E1435" s="6" t="str">
        <x:v>lejH (C)</x:v>
      </x:c>
      <x:c r="F1435" s="6" t="str">
        <x:v>1</x:v>
      </x:c>
      <x:c r="G1435" s="6" t="str"/>
      <x:c r="H1435" s="6" t="str">
        <x:f>IF(B1435="平","平",IF(B1435="","","仄"))</x:f>
        <x:v>仄</x:v>
      </x:c>
      <x:c r="I1435" s="6" t="str">
        <x:f>IF(D1427="","",IF(AND(ISNUMBER(SEARCH("平",D1427)),OR(ISNUMBER(SEARCH("上",D1427)),ISNUMBER(SEARCH("去",D1427)),ISNUMBER(SEARCH("入",D1427)))),"Ambiguous",IF(ISNUMBER(SEARCH("平",D1427)),"平","仄")))</x:f>
        <x:v>平</x:v>
      </x:c>
      <x:c r="J1435" s="7" t="str"/>
    </x:row>
    <x:row r="1436">
      <x:c r="A1436" s="5" t="str">
        <x:v>房</x:v>
      </x:c>
      <x:c r="B1436" s="6" t="str">
        <x:v>平</x:v>
      </x:c>
      <x:c r="C1436" s="6" t="str">
        <x:f>IF(B1436="","Needs decision","Ready")</x:f>
        <x:v>Ready</x:v>
      </x:c>
      <x:c r="D1436" s="6" t="str">
        <x:v>平</x:v>
      </x:c>
      <x:c r="E1436" s="6" t="str">
        <x:v>bjang (A)</x:v>
      </x:c>
      <x:c r="F1436" s="6" t="str">
        <x:v>1</x:v>
      </x:c>
      <x:c r="G1436" s="6" t="str"/>
      <x:c r="H1436" s="6" t="str">
        <x:f>IF(B1436="平","平",IF(B1436="","","仄"))</x:f>
        <x:v>平</x:v>
      </x:c>
      <x:c r="I1436" s="6" t="str">
        <x:f>IF(D1428="","",IF(AND(ISNUMBER(SEARCH("平",D1428)),OR(ISNUMBER(SEARCH("上",D1428)),ISNUMBER(SEARCH("去",D1428)),ISNUMBER(SEARCH("入",D1428)))),"Ambiguous",IF(ISNUMBER(SEARCH("平",D1428)),"平","仄")))</x:f>
        <x:v>仄</x:v>
      </x:c>
      <x:c r="J1436" s="7" t="str"/>
    </x:row>
    <x:row r="1437">
      <x:c r="A1437" s="5" t="str">
        <x:v>所</x:v>
      </x:c>
      <x:c r="B1437" s="6" t="str">
        <x:v>上</x:v>
      </x:c>
      <x:c r="C1437" s="6" t="str">
        <x:f>IF(B1437="","Needs decision","Ready")</x:f>
        <x:v>Ready</x:v>
      </x:c>
      <x:c r="D1437" s="6" t="str">
        <x:v>上</x:v>
      </x:c>
      <x:c r="E1437" s="6" t="str">
        <x:v>srjoX (B); xuX (B)</x:v>
      </x:c>
      <x:c r="F1437" s="6" t="str">
        <x:v>2</x:v>
      </x:c>
      <x:c r="G1437" s="6" t="str"/>
      <x:c r="H1437" s="6" t="str">
        <x:f>IF(B1437="平","平",IF(B1437="","","仄"))</x:f>
        <x:v>仄</x:v>
      </x:c>
      <x:c r="I1437" s="6" t="str">
        <x:f>IF(D1429="","",IF(AND(ISNUMBER(SEARCH("平",D1429)),OR(ISNUMBER(SEARCH("上",D1429)),ISNUMBER(SEARCH("去",D1429)),ISNUMBER(SEARCH("入",D1429)))),"Ambiguous",IF(ISNUMBER(SEARCH("平",D1429)),"平","仄")))</x:f>
        <x:v>仄</x:v>
      </x:c>
      <x:c r="J1437" s="7" t="str"/>
    </x:row>
    <x:row r="1438">
      <x:c r="A1438" s="5" t="str">
        <x:v>扁</x:v>
      </x:c>
      <x:c r="B1438" s="6" t="str">
        <x:v>上</x:v>
      </x:c>
      <x:c r="C1438" s="6" t="str">
        <x:f>IF(B1438="","Needs decision","Ready")</x:f>
        <x:v>Ready</x:v>
      </x:c>
      <x:c r="D1438" s="6" t="str">
        <x:v>上</x:v>
      </x:c>
      <x:c r="E1438" s="6" t="str">
        <x:v>penX (B)</x:v>
      </x:c>
      <x:c r="F1438" s="6" t="str">
        <x:v>1</x:v>
      </x:c>
      <x:c r="G1438" s="6" t="str"/>
      <x:c r="H1438" s="6" t="str">
        <x:f>IF(B1438="平","平",IF(B1438="","","仄"))</x:f>
        <x:v>仄</x:v>
      </x:c>
      <x:c r="I1438" s="6" t="str">
        <x:f>IF(D1430="","",IF(AND(ISNUMBER(SEARCH("平",D1430)),OR(ISNUMBER(SEARCH("上",D1430)),ISNUMBER(SEARCH("去",D1430)),ISNUMBER(SEARCH("入",D1430)))),"Ambiguous",IF(ISNUMBER(SEARCH("平",D1430)),"平","仄")))</x:f>
        <x:v>仄</x:v>
      </x:c>
      <x:c r="J1438" s="7" t="str"/>
    </x:row>
    <x:row r="1439">
      <x:c r="A1439" s="5" t="str">
        <x:v>扃</x:v>
      </x:c>
      <x:c r="B1439" s="6" t="str">
        <x:v>平</x:v>
      </x:c>
      <x:c r="C1439" s="6" t="str">
        <x:f>IF(B1439="","Needs decision","Ready")</x:f>
        <x:v>Ready</x:v>
      </x:c>
      <x:c r="D1439" s="6" t="str">
        <x:v>平</x:v>
      </x:c>
      <x:c r="E1439" s="6" t="str">
        <x:v>kweng (A)</x:v>
      </x:c>
      <x:c r="F1439" s="6" t="str">
        <x:v>1</x:v>
      </x:c>
      <x:c r="G1439" s="6" t="str"/>
      <x:c r="H1439" s="6" t="str">
        <x:f>IF(B1439="平","平",IF(B1439="","","仄"))</x:f>
        <x:v>平</x:v>
      </x:c>
      <x:c r="I1439" s="6" t="str">
        <x:f>IF(D1431="","",IF(AND(ISNUMBER(SEARCH("平",D1431)),OR(ISNUMBER(SEARCH("上",D1431)),ISNUMBER(SEARCH("去",D1431)),ISNUMBER(SEARCH("入",D1431)))),"Ambiguous",IF(ISNUMBER(SEARCH("平",D1431)),"平","仄")))</x:f>
        <x:v>仄</x:v>
      </x:c>
      <x:c r="J1439" s="7" t="str"/>
    </x:row>
    <x:row r="1440">
      <x:c r="A1440" s="5" t="str">
        <x:v>扇</x:v>
      </x:c>
      <x:c r="B1440" s="6" t="str">
        <x:v>去</x:v>
      </x:c>
      <x:c r="C1440" s="6" t="str">
        <x:f>IF(B1440="","Needs decision","Ready")</x:f>
        <x:v>Ready</x:v>
      </x:c>
      <x:c r="D1440" s="6" t="str">
        <x:v>去</x:v>
      </x:c>
      <x:c r="E1440" s="6" t="str">
        <x:v>syenH (C)</x:v>
      </x:c>
      <x:c r="F1440" s="6" t="str">
        <x:v>1</x:v>
      </x:c>
      <x:c r="G1440" s="6" t="str"/>
      <x:c r="H1440" s="6" t="str">
        <x:f>IF(B1440="平","平",IF(B1440="","","仄"))</x:f>
        <x:v>仄</x:v>
      </x:c>
      <x:c r="I1440" s="6" t="str">
        <x:f>IF(D1432="","",IF(AND(ISNUMBER(SEARCH("平",D1432)),OR(ISNUMBER(SEARCH("上",D1432)),ISNUMBER(SEARCH("去",D1432)),ISNUMBER(SEARCH("入",D1432)))),"Ambiguous",IF(ISNUMBER(SEARCH("平",D1432)),"平","仄")))</x:f>
        <x:v>仄</x:v>
      </x:c>
      <x:c r="J1440" s="7" t="str"/>
    </x:row>
    <x:row r="1441">
      <x:c r="A1441" s="5" t="str">
        <x:v>扈</x:v>
      </x:c>
      <x:c r="B1441" s="6" t="str">
        <x:v>上</x:v>
      </x:c>
      <x:c r="C1441" s="6" t="str">
        <x:f>IF(B1441="","Needs decision","Ready")</x:f>
        <x:v>Ready</x:v>
      </x:c>
      <x:c r="D1441" s="6" t="str">
        <x:v>上</x:v>
      </x:c>
      <x:c r="E1441" s="6" t="str">
        <x:v>huX (B)</x:v>
      </x:c>
      <x:c r="F1441" s="6" t="str">
        <x:v>1</x:v>
      </x:c>
      <x:c r="G1441" s="6" t="str"/>
      <x:c r="H1441" s="6" t="str">
        <x:f>IF(B1441="平","平",IF(B1441="","","仄"))</x:f>
        <x:v>仄</x:v>
      </x:c>
      <x:c r="I1441" s="6" t="str">
        <x:f>IF(D1433="","",IF(AND(ISNUMBER(SEARCH("平",D1433)),OR(ISNUMBER(SEARCH("上",D1433)),ISNUMBER(SEARCH("去",D1433)),ISNUMBER(SEARCH("入",D1433)))),"Ambiguous",IF(ISNUMBER(SEARCH("平",D1433)),"平","仄")))</x:f>
        <x:v>仄</x:v>
      </x:c>
      <x:c r="J1441" s="7" t="str"/>
    </x:row>
    <x:row r="1442">
      <x:c r="A1442" s="5" t="str">
        <x:v>扉</x:v>
      </x:c>
      <x:c r="B1442" s="6" t="str">
        <x:v>平</x:v>
      </x:c>
      <x:c r="C1442" s="6" t="str">
        <x:f>IF(B1442="","Needs decision","Ready")</x:f>
        <x:v>Ready</x:v>
      </x:c>
      <x:c r="D1442" s="6" t="str">
        <x:v>平</x:v>
      </x:c>
      <x:c r="E1442" s="6" t="str">
        <x:v>pj+j (A)</x:v>
      </x:c>
      <x:c r="F1442" s="6" t="str">
        <x:v>1</x:v>
      </x:c>
      <x:c r="G1442" s="6" t="str"/>
      <x:c r="H1442" s="6" t="str">
        <x:f>IF(B1442="平","平",IF(B1442="","","仄"))</x:f>
        <x:v>平</x:v>
      </x:c>
      <x:c r="I1442" s="6" t="str">
        <x:f>IF(D1434="","",IF(AND(ISNUMBER(SEARCH("平",D1434)),OR(ISNUMBER(SEARCH("上",D1434)),ISNUMBER(SEARCH("去",D1434)),ISNUMBER(SEARCH("入",D1434)))),"Ambiguous",IF(ISNUMBER(SEARCH("平",D1434)),"平","仄")))</x:f>
        <x:v>仄</x:v>
      </x:c>
      <x:c r="J1442" s="7" t="str"/>
    </x:row>
    <x:row r="1443">
      <x:c r="A1443" s="5" t="str">
        <x:v>手</x:v>
      </x:c>
      <x:c r="B1443" s="6" t="str">
        <x:v>上</x:v>
      </x:c>
      <x:c r="C1443" s="6" t="str">
        <x:f>IF(B1443="","Needs decision","Ready")</x:f>
        <x:v>Ready</x:v>
      </x:c>
      <x:c r="D1443" s="6" t="str">
        <x:v>上</x:v>
      </x:c>
      <x:c r="E1443" s="6" t="str">
        <x:v>syuwX (B)</x:v>
      </x:c>
      <x:c r="F1443" s="6" t="str">
        <x:v>1</x:v>
      </x:c>
      <x:c r="G1443" s="6" t="str"/>
      <x:c r="H1443" s="6" t="str">
        <x:f>IF(B1443="平","平",IF(B1443="","","仄"))</x:f>
        <x:v>仄</x:v>
      </x:c>
      <x:c r="I1443" s="6" t="str">
        <x:f>IF(D1435="","",IF(AND(ISNUMBER(SEARCH("平",D1435)),OR(ISNUMBER(SEARCH("上",D1435)),ISNUMBER(SEARCH("去",D1435)),ISNUMBER(SEARCH("入",D1435)))),"Ambiguous",IF(ISNUMBER(SEARCH("平",D1435)),"平","仄")))</x:f>
        <x:v>仄</x:v>
      </x:c>
      <x:c r="J1443" s="7" t="str"/>
    </x:row>
    <x:row r="1444">
      <x:c r="A1444" s="5" t="str">
        <x:v>才</x:v>
      </x:c>
      <x:c r="B1444" s="6" t="str">
        <x:v>平</x:v>
      </x:c>
      <x:c r="C1444" s="6" t="str">
        <x:f>IF(B1444="","Needs decision","Ready")</x:f>
        <x:v>Ready</x:v>
      </x:c>
      <x:c r="D1444" s="6" t="str">
        <x:v>平</x:v>
      </x:c>
      <x:c r="E1444" s="6" t="str">
        <x:v>dzoj (A)</x:v>
      </x:c>
      <x:c r="F1444" s="6" t="str">
        <x:v>1</x:v>
      </x:c>
      <x:c r="G1444" s="6" t="str"/>
      <x:c r="H1444" s="6" t="str">
        <x:f>IF(B1444="平","平",IF(B1444="","","仄"))</x:f>
        <x:v>平</x:v>
      </x:c>
      <x:c r="I1444" s="6" t="str">
        <x:f>IF(D1436="","",IF(AND(ISNUMBER(SEARCH("平",D1436)),OR(ISNUMBER(SEARCH("上",D1436)),ISNUMBER(SEARCH("去",D1436)),ISNUMBER(SEARCH("入",D1436)))),"Ambiguous",IF(ISNUMBER(SEARCH("平",D1436)),"平","仄")))</x:f>
        <x:v>平</x:v>
      </x:c>
      <x:c r="J1444" s="7" t="str"/>
    </x:row>
    <x:row r="1445">
      <x:c r="A1445" s="5" t="str">
        <x:v>打</x:v>
      </x:c>
      <x:c r="B1445" s="6" t="str">
        <x:v>上</x:v>
      </x:c>
      <x:c r="C1445" s="6" t="str">
        <x:f>IF(B1445="","Needs decision","Ready")</x:f>
        <x:v>Ready</x:v>
      </x:c>
      <x:c r="D1445" s="6" t="str">
        <x:v>上</x:v>
      </x:c>
      <x:c r="E1445" s="6" t="str">
        <x:v>taengX [t̙aˤŋʔ] (上); tengX [t̙eŋʔ] (上)</x:v>
      </x:c>
      <x:c r="F1445" s="6" t="str">
        <x:v>2</x:v>
      </x:c>
      <x:c r="G1445" s="6" t="str">
        <x:v>Tang 300 gap; frequency 1; provisional from Xun Gong</x:v>
      </x:c>
      <x:c r="H1445" s="6" t="str">
        <x:f>IF(B1445="平","平",IF(B1445="","","仄"))</x:f>
        <x:v>仄</x:v>
      </x:c>
      <x:c r="I1445" s="6" t="str">
        <x:f>IF(D1437="","",IF(AND(ISNUMBER(SEARCH("平",D1437)),OR(ISNUMBER(SEARCH("上",D1437)),ISNUMBER(SEARCH("去",D1437)),ISNUMBER(SEARCH("入",D1437)))),"Ambiguous",IF(ISNUMBER(SEARCH("平",D1437)),"平","仄")))</x:f>
        <x:v>仄</x:v>
      </x:c>
      <x:c r="J1445" s="7" t="str">
        <x:v>Xun Gong, Tang 300 gap fill</x:v>
      </x:c>
    </x:row>
    <x:row r="1446">
      <x:c r="A1446" s="5" t="str">
        <x:v>扞</x:v>
      </x:c>
      <x:c r="B1446" s="6" t="str">
        <x:v>去</x:v>
      </x:c>
      <x:c r="C1446" s="6" t="str">
        <x:f>IF(B1446="","Needs decision","Ready")</x:f>
        <x:v>Ready</x:v>
      </x:c>
      <x:c r="D1446" s="6" t="str">
        <x:v>去</x:v>
      </x:c>
      <x:c r="E1446" s="6" t="str">
        <x:v>hanH (C)</x:v>
      </x:c>
      <x:c r="F1446" s="6" t="str">
        <x:v>1</x:v>
      </x:c>
      <x:c r="G1446" s="6" t="str"/>
      <x:c r="H1446" s="6" t="str">
        <x:f>IF(B1446="平","平",IF(B1446="","","仄"))</x:f>
        <x:v>仄</x:v>
      </x:c>
      <x:c r="I1446" s="6" t="str">
        <x:f>IF(D1438="","",IF(AND(ISNUMBER(SEARCH("平",D1438)),OR(ISNUMBER(SEARCH("上",D1438)),ISNUMBER(SEARCH("去",D1438)),ISNUMBER(SEARCH("入",D1438)))),"Ambiguous",IF(ISNUMBER(SEARCH("平",D1438)),"平","仄")))</x:f>
        <x:v>仄</x:v>
      </x:c>
      <x:c r="J1446" s="7" t="str"/>
    </x:row>
    <x:row r="1447">
      <x:c r="A1447" s="5" t="str">
        <x:v>扱</x:v>
      </x:c>
      <x:c r="B1447" s="6" t="str">
        <x:v>入</x:v>
      </x:c>
      <x:c r="C1447" s="6" t="str">
        <x:f>IF(B1447="","Needs decision","Ready")</x:f>
        <x:v>Ready</x:v>
      </x:c>
      <x:c r="D1447" s="6" t="str">
        <x:v>入</x:v>
      </x:c>
      <x:c r="E1447" s="6" t="str">
        <x:v>tsrheap (D)</x:v>
      </x:c>
      <x:c r="F1447" s="6" t="str">
        <x:v>1</x:v>
      </x:c>
      <x:c r="G1447" s="6" t="str"/>
      <x:c r="H1447" s="6" t="str">
        <x:f>IF(B1447="平","平",IF(B1447="","","仄"))</x:f>
        <x:v>仄</x:v>
      </x:c>
      <x:c r="I1447" s="6" t="str">
        <x:f>IF(D1439="","",IF(AND(ISNUMBER(SEARCH("平",D1439)),OR(ISNUMBER(SEARCH("上",D1439)),ISNUMBER(SEARCH("去",D1439)),ISNUMBER(SEARCH("入",D1439)))),"Ambiguous",IF(ISNUMBER(SEARCH("平",D1439)),"平","仄")))</x:f>
        <x:v>平</x:v>
      </x:c>
      <x:c r="J1447" s="7" t="str"/>
    </x:row>
    <x:row r="1448">
      <x:c r="A1448" s="5" t="str">
        <x:v>扳</x:v>
      </x:c>
      <x:c r="B1448" s="6" t="str">
        <x:v>平</x:v>
      </x:c>
      <x:c r="C1448" s="6" t="str">
        <x:f>IF(B1448="","Needs decision","Ready")</x:f>
        <x:v>Ready</x:v>
      </x:c>
      <x:c r="D1448" s="6" t="str">
        <x:v>平</x:v>
      </x:c>
      <x:c r="E1448" s="6" t="str">
        <x:v>paen (A)</x:v>
      </x:c>
      <x:c r="F1448" s="6" t="str">
        <x:v>1</x:v>
      </x:c>
      <x:c r="G1448" s="6" t="str"/>
      <x:c r="H1448" s="6" t="str">
        <x:f>IF(B1448="平","平",IF(B1448="","","仄"))</x:f>
        <x:v>平</x:v>
      </x:c>
      <x:c r="I1448" s="6" t="str">
        <x:f>IF(D1440="","",IF(AND(ISNUMBER(SEARCH("平",D1440)),OR(ISNUMBER(SEARCH("上",D1440)),ISNUMBER(SEARCH("去",D1440)),ISNUMBER(SEARCH("入",D1440)))),"Ambiguous",IF(ISNUMBER(SEARCH("平",D1440)),"平","仄")))</x:f>
        <x:v>仄</x:v>
      </x:c>
      <x:c r="J1448" s="7" t="str"/>
    </x:row>
    <x:row r="1449">
      <x:c r="A1449" s="5" t="str">
        <x:v>扶</x:v>
      </x:c>
      <x:c r="B1449" s="6" t="str">
        <x:v>平</x:v>
      </x:c>
      <x:c r="C1449" s="6" t="str">
        <x:f>IF(B1449="","Needs decision","Ready")</x:f>
        <x:v>Ready</x:v>
      </x:c>
      <x:c r="D1449" s="6" t="str">
        <x:v>平</x:v>
      </x:c>
      <x:c r="E1449" s="6" t="str">
        <x:v>bju (A)</x:v>
      </x:c>
      <x:c r="F1449" s="6" t="str">
        <x:v>1</x:v>
      </x:c>
      <x:c r="G1449" s="6" t="str"/>
      <x:c r="H1449" s="6" t="str">
        <x:f>IF(B1449="平","平",IF(B1449="","","仄"))</x:f>
        <x:v>平</x:v>
      </x:c>
      <x:c r="I1449" s="6" t="str">
        <x:f>IF(D1441="","",IF(AND(ISNUMBER(SEARCH("平",D1441)),OR(ISNUMBER(SEARCH("上",D1441)),ISNUMBER(SEARCH("去",D1441)),ISNUMBER(SEARCH("入",D1441)))),"Ambiguous",IF(ISNUMBER(SEARCH("平",D1441)),"平","仄")))</x:f>
        <x:v>仄</x:v>
      </x:c>
      <x:c r="J1449" s="7" t="str"/>
    </x:row>
    <x:row r="1450">
      <x:c r="A1450" s="5" t="str">
        <x:v>承</x:v>
      </x:c>
      <x:c r="B1450" s="6" t="str">
        <x:v>平</x:v>
      </x:c>
      <x:c r="C1450" s="6" t="str">
        <x:f>IF(B1450="","Needs decision","Ready")</x:f>
        <x:v>Ready</x:v>
      </x:c>
      <x:c r="D1450" s="6" t="str">
        <x:v>平</x:v>
      </x:c>
      <x:c r="E1450" s="6" t="str">
        <x:v>dzying (A)</x:v>
      </x:c>
      <x:c r="F1450" s="6" t="str">
        <x:v>1</x:v>
      </x:c>
      <x:c r="G1450" s="6" t="str"/>
      <x:c r="H1450" s="6" t="str">
        <x:f>IF(B1450="平","平",IF(B1450="","","仄"))</x:f>
        <x:v>平</x:v>
      </x:c>
      <x:c r="I1450" s="6" t="str">
        <x:f>IF(D1442="","",IF(AND(ISNUMBER(SEARCH("平",D1442)),OR(ISNUMBER(SEARCH("上",D1442)),ISNUMBER(SEARCH("去",D1442)),ISNUMBER(SEARCH("入",D1442)))),"Ambiguous",IF(ISNUMBER(SEARCH("平",D1442)),"平","仄")))</x:f>
        <x:v>平</x:v>
      </x:c>
      <x:c r="J1450" s="7" t="str"/>
    </x:row>
    <x:row r="1451">
      <x:c r="A1451" s="5" t="str">
        <x:v>技</x:v>
      </x:c>
      <x:c r="B1451" s="6" t="str">
        <x:v>上</x:v>
      </x:c>
      <x:c r="C1451" s="6" t="str">
        <x:f>IF(B1451="","Needs decision","Ready")</x:f>
        <x:v>Ready</x:v>
      </x:c>
      <x:c r="D1451" s="6" t="str">
        <x:v>上</x:v>
      </x:c>
      <x:c r="E1451" s="6" t="str">
        <x:v>gjeX (B)</x:v>
      </x:c>
      <x:c r="F1451" s="6" t="str">
        <x:v>1</x:v>
      </x:c>
      <x:c r="G1451" s="6" t="str"/>
      <x:c r="H1451" s="6" t="str">
        <x:f>IF(B1451="平","平",IF(B1451="","","仄"))</x:f>
        <x:v>仄</x:v>
      </x:c>
      <x:c r="I1451" s="6" t="str">
        <x:f>IF(D1443="","",IF(AND(ISNUMBER(SEARCH("平",D1443)),OR(ISNUMBER(SEARCH("上",D1443)),ISNUMBER(SEARCH("去",D1443)),ISNUMBER(SEARCH("入",D1443)))),"Ambiguous",IF(ISNUMBER(SEARCH("平",D1443)),"平","仄")))</x:f>
        <x:v>仄</x:v>
      </x:c>
      <x:c r="J1451" s="7" t="str"/>
    </x:row>
    <x:row r="1452">
      <x:c r="A1452" s="5" t="str">
        <x:v>把</x:v>
      </x:c>
      <x:c r="B1452" s="6" t="str">
        <x:v>上</x:v>
      </x:c>
      <x:c r="C1452" s="6" t="str">
        <x:f>IF(B1452="","Needs decision","Ready")</x:f>
        <x:v>Ready</x:v>
      </x:c>
      <x:c r="D1452" s="6" t="str">
        <x:v>上</x:v>
      </x:c>
      <x:c r="E1452" s="6" t="str">
        <x:v>paeX (B)</x:v>
      </x:c>
      <x:c r="F1452" s="6" t="str">
        <x:v>1</x:v>
      </x:c>
      <x:c r="G1452" s="6" t="str"/>
      <x:c r="H1452" s="6" t="str">
        <x:f>IF(B1452="平","平",IF(B1452="","","仄"))</x:f>
        <x:v>仄</x:v>
      </x:c>
      <x:c r="I1452" s="6" t="str">
        <x:f>IF(D1444="","",IF(AND(ISNUMBER(SEARCH("平",D1444)),OR(ISNUMBER(SEARCH("上",D1444)),ISNUMBER(SEARCH("去",D1444)),ISNUMBER(SEARCH("入",D1444)))),"Ambiguous",IF(ISNUMBER(SEARCH("平",D1444)),"平","仄")))</x:f>
        <x:v>平</x:v>
      </x:c>
      <x:c r="J1452" s="7" t="str"/>
    </x:row>
    <x:row r="1453">
      <x:c r="A1453" s="5" t="str">
        <x:v>抍</x:v>
      </x:c>
      <x:c r="B1453" s="6" t="str">
        <x:v>上</x:v>
      </x:c>
      <x:c r="C1453" s="6" t="str">
        <x:f>IF(B1453="","Needs decision","Ready")</x:f>
        <x:v>Ready</x:v>
      </x:c>
      <x:c r="D1453" s="6" t="str">
        <x:v>上</x:v>
      </x:c>
      <x:c r="E1453" s="6" t="str">
        <x:v>tsyingX (B)</x:v>
      </x:c>
      <x:c r="F1453" s="6" t="str">
        <x:v>1</x:v>
      </x:c>
      <x:c r="G1453" s="6" t="str"/>
      <x:c r="H1453" s="6" t="str">
        <x:f>IF(B1453="平","平",IF(B1453="","","仄"))</x:f>
        <x:v>仄</x:v>
      </x:c>
      <x:c r="I1453" s="6" t="str">
        <x:f>IF(D1445="","",IF(AND(ISNUMBER(SEARCH("平",D1445)),OR(ISNUMBER(SEARCH("上",D1445)),ISNUMBER(SEARCH("去",D1445)),ISNUMBER(SEARCH("入",D1445)))),"Ambiguous",IF(ISNUMBER(SEARCH("平",D1445)),"平","仄")))</x:f>
        <x:v>仄</x:v>
      </x:c>
      <x:c r="J1453" s="7" t="str"/>
    </x:row>
    <x:row r="1454">
      <x:c r="A1454" s="5" t="str">
        <x:v>抑</x:v>
      </x:c>
      <x:c r="B1454" s="6" t="str">
        <x:v>入</x:v>
      </x:c>
      <x:c r="C1454" s="6" t="str">
        <x:f>IF(B1454="","Needs decision","Ready")</x:f>
        <x:v>Ready</x:v>
      </x:c>
      <x:c r="D1454" s="6" t="str">
        <x:v>入</x:v>
      </x:c>
      <x:c r="E1454" s="6" t="str">
        <x:v>'ik (D)</x:v>
      </x:c>
      <x:c r="F1454" s="6" t="str">
        <x:v>1</x:v>
      </x:c>
      <x:c r="G1454" s="6" t="str"/>
      <x:c r="H1454" s="6" t="str">
        <x:f>IF(B1454="平","平",IF(B1454="","","仄"))</x:f>
        <x:v>仄</x:v>
      </x:c>
      <x:c r="I1454" s="6" t="str">
        <x:f>IF(D1446="","",IF(AND(ISNUMBER(SEARCH("平",D1446)),OR(ISNUMBER(SEARCH("上",D1446)),ISNUMBER(SEARCH("去",D1446)),ISNUMBER(SEARCH("入",D1446)))),"Ambiguous",IF(ISNUMBER(SEARCH("平",D1446)),"平","仄")))</x:f>
        <x:v>仄</x:v>
      </x:c>
      <x:c r="J1454" s="7" t="str"/>
    </x:row>
    <x:row r="1455">
      <x:c r="A1455" s="5" t="str">
        <x:v>抒</x:v>
      </x:c>
      <x:c r="B1455" s="6" t="str">
        <x:v>上</x:v>
      </x:c>
      <x:c r="C1455" s="6" t="str">
        <x:f>IF(B1455="","Needs decision","Ready")</x:f>
        <x:v>Ready</x:v>
      </x:c>
      <x:c r="D1455" s="6" t="str">
        <x:v>上</x:v>
      </x:c>
      <x:c r="E1455" s="6" t="str">
        <x:v>zyoX (B)</x:v>
      </x:c>
      <x:c r="F1455" s="6" t="str">
        <x:v>1</x:v>
      </x:c>
      <x:c r="G1455" s="6" t="str"/>
      <x:c r="H1455" s="6" t="str">
        <x:f>IF(B1455="平","平",IF(B1455="","","仄"))</x:f>
        <x:v>仄</x:v>
      </x:c>
      <x:c r="I1455" s="6" t="str">
        <x:f>IF(D1447="","",IF(AND(ISNUMBER(SEARCH("平",D1447)),OR(ISNUMBER(SEARCH("上",D1447)),ISNUMBER(SEARCH("去",D1447)),ISNUMBER(SEARCH("入",D1447)))),"Ambiguous",IF(ISNUMBER(SEARCH("平",D1447)),"平","仄")))</x:f>
        <x:v>仄</x:v>
      </x:c>
      <x:c r="J1455" s="7" t="str"/>
    </x:row>
    <x:row r="1456">
      <x:c r="A1456" s="5" t="str">
        <x:v>抓</x:v>
      </x:c>
      <x:c r="B1456" s="6" t="str">
        <x:v>平</x:v>
      </x:c>
      <x:c r="C1456" s="6" t="str">
        <x:f>IF(B1456="","Needs decision","Ready")</x:f>
        <x:v>Ready</x:v>
      </x:c>
      <x:c r="D1456" s="6" t="str">
        <x:v>平/上</x:v>
      </x:c>
      <x:c r="E1456" s="6" t="str">
        <x:v>tsraew (A); tsraewX (B)</x:v>
      </x:c>
      <x:c r="F1456" s="6" t="str">
        <x:v>2</x:v>
      </x:c>
      <x:c r="G1456" s="6" t="str"/>
      <x:c r="H1456" s="6" t="str">
        <x:f>IF(B1456="平","平",IF(B1456="","","仄"))</x:f>
        <x:v>平</x:v>
      </x:c>
      <x:c r="I1456" s="6" t="str">
        <x:f>IF(D1448="","",IF(AND(ISNUMBER(SEARCH("平",D1448)),OR(ISNUMBER(SEARCH("上",D1448)),ISNUMBER(SEARCH("去",D1448)),ISNUMBER(SEARCH("入",D1448)))),"Ambiguous",IF(ISNUMBER(SEARCH("平",D1448)),"平","仄")))</x:f>
        <x:v>平</x:v>
      </x:c>
      <x:c r="J1456" s="7" t="str"/>
    </x:row>
    <x:row r="1457">
      <x:c r="A1457" s="5" t="str">
        <x:v>投</x:v>
      </x:c>
      <x:c r="B1457" s="6" t="str">
        <x:v>平</x:v>
      </x:c>
      <x:c r="C1457" s="6" t="str">
        <x:f>IF(B1457="","Needs decision","Ready")</x:f>
        <x:v>Ready</x:v>
      </x:c>
      <x:c r="D1457" s="6" t="str">
        <x:v>平</x:v>
      </x:c>
      <x:c r="E1457" s="6" t="str">
        <x:v>duw (A)</x:v>
      </x:c>
      <x:c r="F1457" s="6" t="str">
        <x:v>1</x:v>
      </x:c>
      <x:c r="G1457" s="6" t="str"/>
      <x:c r="H1457" s="6" t="str">
        <x:f>IF(B1457="平","平",IF(B1457="","","仄"))</x:f>
        <x:v>平</x:v>
      </x:c>
      <x:c r="I1457" s="6" t="str">
        <x:f>IF(D1449="","",IF(AND(ISNUMBER(SEARCH("平",D1449)),OR(ISNUMBER(SEARCH("上",D1449)),ISNUMBER(SEARCH("去",D1449)),ISNUMBER(SEARCH("入",D1449)))),"Ambiguous",IF(ISNUMBER(SEARCH("平",D1449)),"平","仄")))</x:f>
        <x:v>平</x:v>
      </x:c>
      <x:c r="J1457" s="7" t="str"/>
    </x:row>
    <x:row r="1458">
      <x:c r="A1458" s="5" t="str">
        <x:v>抗</x:v>
      </x:c>
      <x:c r="B1458" s="6" t="str">
        <x:v>去</x:v>
      </x:c>
      <x:c r="C1458" s="6" t="str">
        <x:f>IF(B1458="","Needs decision","Ready")</x:f>
        <x:v>Ready</x:v>
      </x:c>
      <x:c r="D1458" s="6" t="str">
        <x:v>去</x:v>
      </x:c>
      <x:c r="E1458" s="6" t="str">
        <x:v>khangH (C)</x:v>
      </x:c>
      <x:c r="F1458" s="6" t="str">
        <x:v>1</x:v>
      </x:c>
      <x:c r="G1458" s="6" t="str"/>
      <x:c r="H1458" s="6" t="str">
        <x:f>IF(B1458="平","平",IF(B1458="","","仄"))</x:f>
        <x:v>仄</x:v>
      </x:c>
      <x:c r="I1458" s="6" t="str">
        <x:f>IF(D1450="","",IF(AND(ISNUMBER(SEARCH("平",D1450)),OR(ISNUMBER(SEARCH("上",D1450)),ISNUMBER(SEARCH("去",D1450)),ISNUMBER(SEARCH("入",D1450)))),"Ambiguous",IF(ISNUMBER(SEARCH("平",D1450)),"平","仄")))</x:f>
        <x:v>平</x:v>
      </x:c>
      <x:c r="J1458" s="7" t="str"/>
    </x:row>
    <x:row r="1459">
      <x:c r="A1459" s="5" t="str">
        <x:v>折</x:v>
      </x:c>
      <x:c r="B1459" s="6" t="str">
        <x:v>入</x:v>
      </x:c>
      <x:c r="C1459" s="6" t="str">
        <x:f>IF(B1459="","Needs decision","Ready")</x:f>
        <x:v>Ready</x:v>
      </x:c>
      <x:c r="D1459" s="6" t="str">
        <x:v>去/入</x:v>
      </x:c>
      <x:c r="E1459" s="6" t="str">
        <x:v>dejH (C); dzyet (D); tsyet (D)</x:v>
      </x:c>
      <x:c r="F1459" s="6" t="str">
        <x:v>3</x:v>
      </x:c>
      <x:c r="G1459" s="6" t="str"/>
      <x:c r="H1459" s="6" t="str">
        <x:f>IF(B1459="平","平",IF(B1459="","","仄"))</x:f>
        <x:v>仄</x:v>
      </x:c>
      <x:c r="I1459" s="6" t="str">
        <x:f>IF(D1451="","",IF(AND(ISNUMBER(SEARCH("平",D1451)),OR(ISNUMBER(SEARCH("上",D1451)),ISNUMBER(SEARCH("去",D1451)),ISNUMBER(SEARCH("入",D1451)))),"Ambiguous",IF(ISNUMBER(SEARCH("平",D1451)),"平","仄")))</x:f>
        <x:v>仄</x:v>
      </x:c>
      <x:c r="J1459" s="7" t="str"/>
    </x:row>
    <x:row r="1460">
      <x:c r="A1460" s="5" t="str">
        <x:v>披</x:v>
      </x:c>
      <x:c r="B1460" s="6" t="str">
        <x:v>平</x:v>
      </x:c>
      <x:c r="C1460" s="6" t="str">
        <x:f>IF(B1460="","Needs decision","Ready")</x:f>
        <x:v>Ready</x:v>
      </x:c>
      <x:c r="D1460" s="6" t="str">
        <x:v>平</x:v>
      </x:c>
      <x:c r="E1460" s="6" t="str">
        <x:v>phje (A)</x:v>
      </x:c>
      <x:c r="F1460" s="6" t="str">
        <x:v>1</x:v>
      </x:c>
      <x:c r="G1460" s="6" t="str"/>
      <x:c r="H1460" s="6" t="str">
        <x:f>IF(B1460="平","平",IF(B1460="","","仄"))</x:f>
        <x:v>平</x:v>
      </x:c>
      <x:c r="I1460" s="6" t="str">
        <x:f>IF(D1452="","",IF(AND(ISNUMBER(SEARCH("平",D1452)),OR(ISNUMBER(SEARCH("上",D1452)),ISNUMBER(SEARCH("去",D1452)),ISNUMBER(SEARCH("入",D1452)))),"Ambiguous",IF(ISNUMBER(SEARCH("平",D1452)),"平","仄")))</x:f>
        <x:v>仄</x:v>
      </x:c>
      <x:c r="J1460" s="7" t="str"/>
    </x:row>
    <x:row r="1461">
      <x:c r="A1461" s="5" t="str">
        <x:v>抱</x:v>
      </x:c>
      <x:c r="B1461" s="6" t="str">
        <x:v>上</x:v>
      </x:c>
      <x:c r="C1461" s="6" t="str">
        <x:f>IF(B1461="","Needs decision","Ready")</x:f>
        <x:v>Ready</x:v>
      </x:c>
      <x:c r="D1461" s="6" t="str">
        <x:v>上</x:v>
      </x:c>
      <x:c r="E1461" s="6" t="str">
        <x:v>bawX (B)</x:v>
      </x:c>
      <x:c r="F1461" s="6" t="str">
        <x:v>1</x:v>
      </x:c>
      <x:c r="G1461" s="6" t="str"/>
      <x:c r="H1461" s="6" t="str">
        <x:f>IF(B1461="平","平",IF(B1461="","","仄"))</x:f>
        <x:v>仄</x:v>
      </x:c>
      <x:c r="I1461" s="6" t="str">
        <x:f>IF(D1453="","",IF(AND(ISNUMBER(SEARCH("平",D1453)),OR(ISNUMBER(SEARCH("上",D1453)),ISNUMBER(SEARCH("去",D1453)),ISNUMBER(SEARCH("入",D1453)))),"Ambiguous",IF(ISNUMBER(SEARCH("平",D1453)),"平","仄")))</x:f>
        <x:v>仄</x:v>
      </x:c>
      <x:c r="J1461" s="7" t="str"/>
    </x:row>
    <x:row r="1462">
      <x:c r="A1462" s="5" t="str">
        <x:v>抴</x:v>
      </x:c>
      <x:c r="B1462" s="6" t="str">
        <x:v>入</x:v>
      </x:c>
      <x:c r="C1462" s="6" t="str">
        <x:f>IF(B1462="","Needs decision","Ready")</x:f>
        <x:v>Ready</x:v>
      </x:c>
      <x:c r="D1462" s="6" t="str">
        <x:v>入</x:v>
      </x:c>
      <x:c r="E1462" s="6" t="str">
        <x:v>yet (D)</x:v>
      </x:c>
      <x:c r="F1462" s="6" t="str">
        <x:v>1</x:v>
      </x:c>
      <x:c r="G1462" s="6" t="str"/>
      <x:c r="H1462" s="6" t="str">
        <x:f>IF(B1462="平","平",IF(B1462="","","仄"))</x:f>
        <x:v>仄</x:v>
      </x:c>
      <x:c r="I1462" s="6" t="str">
        <x:f>IF(D1454="","",IF(AND(ISNUMBER(SEARCH("平",D1454)),OR(ISNUMBER(SEARCH("上",D1454)),ISNUMBER(SEARCH("去",D1454)),ISNUMBER(SEARCH("入",D1454)))),"Ambiguous",IF(ISNUMBER(SEARCH("平",D1454)),"平","仄")))</x:f>
        <x:v>仄</x:v>
      </x:c>
      <x:c r="J1462" s="7" t="str"/>
    </x:row>
    <x:row r="1463">
      <x:c r="A1463" s="5" t="str">
        <x:v>抵</x:v>
      </x:c>
      <x:c r="B1463" s="6" t="str">
        <x:v>上</x:v>
      </x:c>
      <x:c r="C1463" s="6" t="str">
        <x:f>IF(B1463="","Needs decision","Ready")</x:f>
        <x:v>Ready</x:v>
      </x:c>
      <x:c r="D1463" s="6" t="str">
        <x:v>上</x:v>
      </x:c>
      <x:c r="E1463" s="6" t="str">
        <x:v>tejX (B)</x:v>
      </x:c>
      <x:c r="F1463" s="6" t="str">
        <x:v>1</x:v>
      </x:c>
      <x:c r="G1463" s="6" t="str"/>
      <x:c r="H1463" s="6" t="str">
        <x:f>IF(B1463="平","平",IF(B1463="","","仄"))</x:f>
        <x:v>仄</x:v>
      </x:c>
      <x:c r="I1463" s="6" t="str">
        <x:f>IF(D1455="","",IF(AND(ISNUMBER(SEARCH("平",D1455)),OR(ISNUMBER(SEARCH("上",D1455)),ISNUMBER(SEARCH("去",D1455)),ISNUMBER(SEARCH("入",D1455)))),"Ambiguous",IF(ISNUMBER(SEARCH("平",D1455)),"平","仄")))</x:f>
        <x:v>仄</x:v>
      </x:c>
      <x:c r="J1463" s="7" t="str"/>
    </x:row>
    <x:row r="1464">
      <x:c r="A1464" s="5" t="str">
        <x:v>抹</x:v>
      </x:c>
      <x:c r="B1464" s="6" t="str">
        <x:v>入</x:v>
      </x:c>
      <x:c r="C1464" s="6" t="str">
        <x:f>IF(B1464="","Needs decision","Ready")</x:f>
        <x:v>Ready</x:v>
      </x:c>
      <x:c r="D1464" s="6" t="str">
        <x:v>入</x:v>
      </x:c>
      <x:c r="E1464" s="6" t="str">
        <x:v>mat [m̙ɑt] (入)</x:v>
      </x:c>
      <x:c r="F1464" s="6" t="str">
        <x:v>1</x:v>
      </x:c>
      <x:c r="G1464" s="6" t="str">
        <x:v>Tang 300 gap; frequency 1; provisional from Xun Gong</x:v>
      </x:c>
      <x:c r="H1464" s="6" t="str">
        <x:f>IF(B1464="平","平",IF(B1464="","","仄"))</x:f>
        <x:v>仄</x:v>
      </x:c>
      <x:c r="I1464" s="6" t="str">
        <x:f>IF(D1456="","",IF(AND(ISNUMBER(SEARCH("平",D1456)),OR(ISNUMBER(SEARCH("上",D1456)),ISNUMBER(SEARCH("去",D1456)),ISNUMBER(SEARCH("入",D1456)))),"Ambiguous",IF(ISNUMBER(SEARCH("平",D1456)),"平","仄")))</x:f>
        <x:v>Ambiguous</x:v>
      </x:c>
      <x:c r="J1464" s="7" t="str">
        <x:v>Xun Gong, Tang 300 gap fill</x:v>
      </x:c>
    </x:row>
    <x:row r="1465">
      <x:c r="A1465" s="5" t="str">
        <x:v>押</x:v>
      </x:c>
      <x:c r="B1465" s="6" t="str">
        <x:v>入</x:v>
      </x:c>
      <x:c r="C1465" s="6" t="str">
        <x:f>IF(B1465="","Needs decision","Ready")</x:f>
        <x:v>Ready</x:v>
      </x:c>
      <x:c r="D1465" s="6" t="str">
        <x:v>入</x:v>
      </x:c>
      <x:c r="E1465" s="6" t="str">
        <x:v>'aep (D)</x:v>
      </x:c>
      <x:c r="F1465" s="6" t="str">
        <x:v>1</x:v>
      </x:c>
      <x:c r="G1465" s="6" t="str"/>
      <x:c r="H1465" s="6" t="str">
        <x:f>IF(B1465="平","平",IF(B1465="","","仄"))</x:f>
        <x:v>仄</x:v>
      </x:c>
      <x:c r="I1465" s="6" t="str">
        <x:f>IF(D1457="","",IF(AND(ISNUMBER(SEARCH("平",D1457)),OR(ISNUMBER(SEARCH("上",D1457)),ISNUMBER(SEARCH("去",D1457)),ISNUMBER(SEARCH("入",D1457)))),"Ambiguous",IF(ISNUMBER(SEARCH("平",D1457)),"平","仄")))</x:f>
        <x:v>平</x:v>
      </x:c>
      <x:c r="J1465" s="7" t="str"/>
    </x:row>
    <x:row r="1466">
      <x:c r="A1466" s="5" t="str">
        <x:v>抽</x:v>
      </x:c>
      <x:c r="B1466" s="6" t="str">
        <x:v>平</x:v>
      </x:c>
      <x:c r="C1466" s="6" t="str">
        <x:f>IF(B1466="","Needs decision","Ready")</x:f>
        <x:v>Ready</x:v>
      </x:c>
      <x:c r="D1466" s="6" t="str">
        <x:v>平</x:v>
      </x:c>
      <x:c r="E1466" s="6" t="str">
        <x:v>trhjuw (A)</x:v>
      </x:c>
      <x:c r="F1466" s="6" t="str">
        <x:v>1</x:v>
      </x:c>
      <x:c r="G1466" s="6" t="str"/>
      <x:c r="H1466" s="6" t="str">
        <x:f>IF(B1466="平","平",IF(B1466="","","仄"))</x:f>
        <x:v>平</x:v>
      </x:c>
      <x:c r="I1466" s="6" t="str">
        <x:f>IF(D1458="","",IF(AND(ISNUMBER(SEARCH("平",D1458)),OR(ISNUMBER(SEARCH("上",D1458)),ISNUMBER(SEARCH("去",D1458)),ISNUMBER(SEARCH("入",D1458)))),"Ambiguous",IF(ISNUMBER(SEARCH("平",D1458)),"平","仄")))</x:f>
        <x:v>仄</x:v>
      </x:c>
      <x:c r="J1466" s="7" t="str"/>
    </x:row>
    <x:row r="1467">
      <x:c r="A1467" s="5" t="str">
        <x:v>拂</x:v>
      </x:c>
      <x:c r="B1467" s="6" t="str">
        <x:v>入</x:v>
      </x:c>
      <x:c r="C1467" s="6" t="str">
        <x:f>IF(B1467="","Needs decision","Ready")</x:f>
        <x:v>Ready</x:v>
      </x:c>
      <x:c r="D1467" s="6" t="str">
        <x:v>入</x:v>
      </x:c>
      <x:c r="E1467" s="6" t="str">
        <x:v>phjut (D)</x:v>
      </x:c>
      <x:c r="F1467" s="6" t="str">
        <x:v>1</x:v>
      </x:c>
      <x:c r="G1467" s="6" t="str"/>
      <x:c r="H1467" s="6" t="str">
        <x:f>IF(B1467="平","平",IF(B1467="","","仄"))</x:f>
        <x:v>仄</x:v>
      </x:c>
      <x:c r="I1467" s="6" t="str">
        <x:f>IF(D1459="","",IF(AND(ISNUMBER(SEARCH("平",D1459)),OR(ISNUMBER(SEARCH("上",D1459)),ISNUMBER(SEARCH("去",D1459)),ISNUMBER(SEARCH("入",D1459)))),"Ambiguous",IF(ISNUMBER(SEARCH("平",D1459)),"平","仄")))</x:f>
        <x:v>仄</x:v>
      </x:c>
      <x:c r="J1467" s="7" t="str"/>
    </x:row>
    <x:row r="1468">
      <x:c r="A1468" s="5" t="str">
        <x:v>拄</x:v>
      </x:c>
      <x:c r="B1468" s="6" t="str">
        <x:v>上</x:v>
      </x:c>
      <x:c r="C1468" s="6" t="str">
        <x:f>IF(B1468="","Needs decision","Ready")</x:f>
        <x:v>Ready</x:v>
      </x:c>
      <x:c r="D1468" s="6" t="str">
        <x:v>上</x:v>
      </x:c>
      <x:c r="E1468" s="6" t="str">
        <x:v>trjuX (B)</x:v>
      </x:c>
      <x:c r="F1468" s="6" t="str">
        <x:v>1</x:v>
      </x:c>
      <x:c r="G1468" s="6" t="str"/>
      <x:c r="H1468" s="6" t="str">
        <x:f>IF(B1468="平","平",IF(B1468="","","仄"))</x:f>
        <x:v>仄</x:v>
      </x:c>
      <x:c r="I1468" s="6" t="str">
        <x:f>IF(D1460="","",IF(AND(ISNUMBER(SEARCH("平",D1460)),OR(ISNUMBER(SEARCH("上",D1460)),ISNUMBER(SEARCH("去",D1460)),ISNUMBER(SEARCH("入",D1460)))),"Ambiguous",IF(ISNUMBER(SEARCH("平",D1460)),"平","仄")))</x:f>
        <x:v>平</x:v>
      </x:c>
      <x:c r="J1468" s="7" t="str"/>
    </x:row>
    <x:row r="1469">
      <x:c r="A1469" s="5" t="str">
        <x:v>拆</x:v>
      </x:c>
      <x:c r="B1469" s="6" t="str">
        <x:v>入</x:v>
      </x:c>
      <x:c r="C1469" s="6" t="str">
        <x:f>IF(B1469="","Needs decision","Ready")</x:f>
        <x:v>Ready</x:v>
      </x:c>
      <x:c r="D1469" s="6" t="str">
        <x:v>入</x:v>
      </x:c>
      <x:c r="E1469" s="6" t="str">
        <x:v>trhaek (D)</x:v>
      </x:c>
      <x:c r="F1469" s="6" t="str">
        <x:v>1</x:v>
      </x:c>
      <x:c r="G1469" s="6" t="str"/>
      <x:c r="H1469" s="6" t="str">
        <x:f>IF(B1469="平","平",IF(B1469="","","仄"))</x:f>
        <x:v>仄</x:v>
      </x:c>
      <x:c r="I1469" s="6" t="str">
        <x:f>IF(D1461="","",IF(AND(ISNUMBER(SEARCH("平",D1461)),OR(ISNUMBER(SEARCH("上",D1461)),ISNUMBER(SEARCH("去",D1461)),ISNUMBER(SEARCH("入",D1461)))),"Ambiguous",IF(ISNUMBER(SEARCH("平",D1461)),"平","仄")))</x:f>
        <x:v>仄</x:v>
      </x:c>
      <x:c r="J1469" s="7" t="str"/>
    </x:row>
    <x:row r="1470">
      <x:c r="A1470" s="5" t="str">
        <x:v>拉</x:v>
      </x:c>
      <x:c r="B1470" s="6" t="str">
        <x:v>入</x:v>
      </x:c>
      <x:c r="C1470" s="6" t="str">
        <x:f>IF(B1470="","Needs decision","Ready")</x:f>
        <x:v>Ready</x:v>
      </x:c>
      <x:c r="D1470" s="6" t="str">
        <x:v>入</x:v>
      </x:c>
      <x:c r="E1470" s="6" t="str">
        <x:v>lop (D)</x:v>
      </x:c>
      <x:c r="F1470" s="6" t="str">
        <x:v>1</x:v>
      </x:c>
      <x:c r="G1470" s="6" t="str"/>
      <x:c r="H1470" s="6" t="str">
        <x:f>IF(B1470="平","平",IF(B1470="","","仄"))</x:f>
        <x:v>仄</x:v>
      </x:c>
      <x:c r="I1470" s="6" t="str">
        <x:f>IF(D1462="","",IF(AND(ISNUMBER(SEARCH("平",D1462)),OR(ISNUMBER(SEARCH("上",D1462)),ISNUMBER(SEARCH("去",D1462)),ISNUMBER(SEARCH("入",D1462)))),"Ambiguous",IF(ISNUMBER(SEARCH("平",D1462)),"平","仄")))</x:f>
        <x:v>仄</x:v>
      </x:c>
      <x:c r="J1470" s="7" t="str"/>
    </x:row>
    <x:row r="1471">
      <x:c r="A1471" s="5" t="str">
        <x:v>拍</x:v>
      </x:c>
      <x:c r="B1471" s="6" t="str">
        <x:v>入</x:v>
      </x:c>
      <x:c r="C1471" s="6" t="str">
        <x:f>IF(B1471="","Needs decision","Ready")</x:f>
        <x:v>Ready</x:v>
      </x:c>
      <x:c r="D1471" s="6" t="str">
        <x:v>入</x:v>
      </x:c>
      <x:c r="E1471" s="6" t="str">
        <x:v>phaek (D)</x:v>
      </x:c>
      <x:c r="F1471" s="6" t="str">
        <x:v>1</x:v>
      </x:c>
      <x:c r="G1471" s="6" t="str"/>
      <x:c r="H1471" s="6" t="str">
        <x:f>IF(B1471="平","平",IF(B1471="","","仄"))</x:f>
        <x:v>仄</x:v>
      </x:c>
      <x:c r="I1471" s="6" t="str">
        <x:f>IF(D1463="","",IF(AND(ISNUMBER(SEARCH("平",D1463)),OR(ISNUMBER(SEARCH("上",D1463)),ISNUMBER(SEARCH("去",D1463)),ISNUMBER(SEARCH("入",D1463)))),"Ambiguous",IF(ISNUMBER(SEARCH("平",D1463)),"平","仄")))</x:f>
        <x:v>仄</x:v>
      </x:c>
      <x:c r="J1471" s="7" t="str"/>
    </x:row>
    <x:row r="1472">
      <x:c r="A1472" s="5" t="str">
        <x:v>拏</x:v>
      </x:c>
      <x:c r="B1472" s="6" t="str">
        <x:v>平</x:v>
      </x:c>
      <x:c r="C1472" s="6" t="str">
        <x:f>IF(B1472="","Needs decision","Ready")</x:f>
        <x:v>Ready</x:v>
      </x:c>
      <x:c r="D1472" s="6" t="str">
        <x:v>平</x:v>
      </x:c>
      <x:c r="E1472" s="6" t="str">
        <x:v>nrae (A)</x:v>
      </x:c>
      <x:c r="F1472" s="6" t="str">
        <x:v>1</x:v>
      </x:c>
      <x:c r="G1472" s="6" t="str"/>
      <x:c r="H1472" s="6" t="str">
        <x:f>IF(B1472="平","平",IF(B1472="","","仄"))</x:f>
        <x:v>平</x:v>
      </x:c>
      <x:c r="I1472" s="6" t="str">
        <x:f>IF(D1464="","",IF(AND(ISNUMBER(SEARCH("平",D1464)),OR(ISNUMBER(SEARCH("上",D1464)),ISNUMBER(SEARCH("去",D1464)),ISNUMBER(SEARCH("入",D1464)))),"Ambiguous",IF(ISNUMBER(SEARCH("平",D1464)),"平","仄")))</x:f>
        <x:v>仄</x:v>
      </x:c>
      <x:c r="J1472" s="7" t="str"/>
    </x:row>
    <x:row r="1473">
      <x:c r="A1473" s="5" t="str">
        <x:v>拔</x:v>
      </x:c>
      <x:c r="B1473" s="6" t="str"/>
      <x:c r="C1473" s="6" t="str">
        <x:f>IF(B1473="","Needs decision","Ready")</x:f>
        <x:v>Needs decision</x:v>
      </x:c>
      <x:c r="D1473" s="6" t="str">
        <x:v>入/去</x:v>
      </x:c>
      <x:c r="E1473" s="6" t="str">
        <x:v>beat (D); bajH (C)</x:v>
      </x:c>
      <x:c r="F1473" s="6" t="str">
        <x:v>2</x:v>
      </x:c>
      <x:c r="G1473" s="6" t="str"/>
      <x:c r="H1473" s="6" t="str">
        <x:f>IF(B1473="平","平",IF(B1473="","","仄"))</x:f>
      </x:c>
      <x:c r="I1473" s="6" t="str">
        <x:f>IF(D1465="","",IF(AND(ISNUMBER(SEARCH("平",D1465)),OR(ISNUMBER(SEARCH("上",D1465)),ISNUMBER(SEARCH("去",D1465)),ISNUMBER(SEARCH("入",D1465)))),"Ambiguous",IF(ISNUMBER(SEARCH("平",D1465)),"平","仄")))</x:f>
        <x:v>仄</x:v>
      </x:c>
      <x:c r="J1473" s="7" t="str"/>
    </x:row>
    <x:row r="1474">
      <x:c r="A1474" s="5" t="str">
        <x:v>拖</x:v>
      </x:c>
      <x:c r="B1474" s="6" t="str">
        <x:v>平</x:v>
      </x:c>
      <x:c r="C1474" s="6" t="str">
        <x:f>IF(B1474="","Needs decision","Ready")</x:f>
        <x:v>Ready</x:v>
      </x:c>
      <x:c r="D1474" s="6" t="str">
        <x:v>平</x:v>
      </x:c>
      <x:c r="E1474" s="6" t="str">
        <x:v>tha (A)</x:v>
      </x:c>
      <x:c r="F1474" s="6" t="str">
        <x:v>1</x:v>
      </x:c>
      <x:c r="G1474" s="6" t="str"/>
      <x:c r="H1474" s="6" t="str">
        <x:f>IF(B1474="平","平",IF(B1474="","","仄"))</x:f>
        <x:v>平</x:v>
      </x:c>
      <x:c r="I1474" s="6" t="str">
        <x:f>IF(D1466="","",IF(AND(ISNUMBER(SEARCH("平",D1466)),OR(ISNUMBER(SEARCH("上",D1466)),ISNUMBER(SEARCH("去",D1466)),ISNUMBER(SEARCH("入",D1466)))),"Ambiguous",IF(ISNUMBER(SEARCH("平",D1466)),"平","仄")))</x:f>
        <x:v>平</x:v>
      </x:c>
      <x:c r="J1474" s="7" t="str"/>
    </x:row>
    <x:row r="1475">
      <x:c r="A1475" s="5" t="str">
        <x:v>拙</x:v>
      </x:c>
      <x:c r="B1475" s="6" t="str">
        <x:v>入</x:v>
      </x:c>
      <x:c r="C1475" s="6" t="str">
        <x:f>IF(B1475="","Needs decision","Ready")</x:f>
        <x:v>Ready</x:v>
      </x:c>
      <x:c r="D1475" s="6" t="str">
        <x:v>入</x:v>
      </x:c>
      <x:c r="E1475" s="6" t="str">
        <x:v>tsywet (D)</x:v>
      </x:c>
      <x:c r="F1475" s="6" t="str">
        <x:v>1</x:v>
      </x:c>
      <x:c r="G1475" s="6" t="str"/>
      <x:c r="H1475" s="6" t="str">
        <x:f>IF(B1475="平","平",IF(B1475="","","仄"))</x:f>
        <x:v>仄</x:v>
      </x:c>
      <x:c r="I1475" s="6" t="str">
        <x:f>IF(D1467="","",IF(AND(ISNUMBER(SEARCH("平",D1467)),OR(ISNUMBER(SEARCH("上",D1467)),ISNUMBER(SEARCH("去",D1467)),ISNUMBER(SEARCH("入",D1467)))),"Ambiguous",IF(ISNUMBER(SEARCH("平",D1467)),"平","仄")))</x:f>
        <x:v>仄</x:v>
      </x:c>
      <x:c r="J1475" s="7" t="str"/>
    </x:row>
    <x:row r="1476">
      <x:c r="A1476" s="5" t="str">
        <x:v>招</x:v>
      </x:c>
      <x:c r="B1476" s="6" t="str">
        <x:v>平</x:v>
      </x:c>
      <x:c r="C1476" s="6" t="str">
        <x:f>IF(B1476="","Needs decision","Ready")</x:f>
        <x:v>Ready</x:v>
      </x:c>
      <x:c r="D1476" s="6" t="str">
        <x:v>平</x:v>
      </x:c>
      <x:c r="E1476" s="6" t="str"/>
      <x:c r="F1476" s="6" t="str"/>
      <x:c r="G1476" s="6" t="str">
        <x:v>Manual user correction/addition</x:v>
      </x:c>
      <x:c r="H1476" s="6" t="str">
        <x:f>IF(B1476="平","平",IF(B1476="","","仄"))</x:f>
        <x:v>平</x:v>
      </x:c>
      <x:c r="I1476" s="6" t="str">
        <x:f>IF(D1468="","",IF(AND(ISNUMBER(SEARCH("平",D1468)),OR(ISNUMBER(SEARCH("上",D1468)),ISNUMBER(SEARCH("去",D1468)),ISNUMBER(SEARCH("入",D1468)))),"Ambiguous",IF(ISNUMBER(SEARCH("平",D1468)),"平","仄")))</x:f>
        <x:v>仄</x:v>
      </x:c>
      <x:c r="J1476" s="7" t="str">
        <x:v>manual user correction</x:v>
      </x:c>
    </x:row>
    <x:row r="1477">
      <x:c r="A1477" s="5" t="str">
        <x:v>拜</x:v>
      </x:c>
      <x:c r="B1477" s="6" t="str">
        <x:v>去</x:v>
      </x:c>
      <x:c r="C1477" s="6" t="str">
        <x:f>IF(B1477="","Needs decision","Ready")</x:f>
        <x:v>Ready</x:v>
      </x:c>
      <x:c r="D1477" s="6" t="str">
        <x:v>去</x:v>
      </x:c>
      <x:c r="E1477" s="6" t="str">
        <x:v>peajH (C)</x:v>
      </x:c>
      <x:c r="F1477" s="6" t="str">
        <x:v>1</x:v>
      </x:c>
      <x:c r="G1477" s="6" t="str"/>
      <x:c r="H1477" s="6" t="str">
        <x:f>IF(B1477="平","平",IF(B1477="","","仄"))</x:f>
        <x:v>仄</x:v>
      </x:c>
      <x:c r="I1477" s="6" t="str">
        <x:f>IF(D1469="","",IF(AND(ISNUMBER(SEARCH("平",D1469)),OR(ISNUMBER(SEARCH("上",D1469)),ISNUMBER(SEARCH("去",D1469)),ISNUMBER(SEARCH("入",D1469)))),"Ambiguous",IF(ISNUMBER(SEARCH("平",D1469)),"平","仄")))</x:f>
        <x:v>仄</x:v>
      </x:c>
      <x:c r="J1477" s="7" t="str"/>
    </x:row>
    <x:row r="1478">
      <x:c r="A1478" s="5" t="str">
        <x:v>拭</x:v>
      </x:c>
      <x:c r="B1478" s="6" t="str">
        <x:v>入</x:v>
      </x:c>
      <x:c r="C1478" s="6" t="str">
        <x:f>IF(B1478="","Needs decision","Ready")</x:f>
        <x:v>Ready</x:v>
      </x:c>
      <x:c r="D1478" s="6" t="str">
        <x:v>入</x:v>
      </x:c>
      <x:c r="E1478" s="6" t="str">
        <x:v>syik (D)</x:v>
      </x:c>
      <x:c r="F1478" s="6" t="str">
        <x:v>1</x:v>
      </x:c>
      <x:c r="G1478" s="6" t="str"/>
      <x:c r="H1478" s="6" t="str">
        <x:f>IF(B1478="平","平",IF(B1478="","","仄"))</x:f>
        <x:v>仄</x:v>
      </x:c>
      <x:c r="I1478" s="6" t="str">
        <x:f>IF(D1470="","",IF(AND(ISNUMBER(SEARCH("平",D1470)),OR(ISNUMBER(SEARCH("上",D1470)),ISNUMBER(SEARCH("去",D1470)),ISNUMBER(SEARCH("入",D1470)))),"Ambiguous",IF(ISNUMBER(SEARCH("平",D1470)),"平","仄")))</x:f>
        <x:v>仄</x:v>
      </x:c>
      <x:c r="J1478" s="7" t="str"/>
    </x:row>
    <x:row r="1479">
      <x:c r="A1479" s="5" t="str">
        <x:v>拮</x:v>
      </x:c>
      <x:c r="B1479" s="6" t="str">
        <x:v>入</x:v>
      </x:c>
      <x:c r="C1479" s="6" t="str">
        <x:f>IF(B1479="","Needs decision","Ready")</x:f>
        <x:v>Ready</x:v>
      </x:c>
      <x:c r="D1479" s="6" t="str">
        <x:v>入</x:v>
      </x:c>
      <x:c r="E1479" s="6" t="str">
        <x:v>ket (D)</x:v>
      </x:c>
      <x:c r="F1479" s="6" t="str">
        <x:v>1</x:v>
      </x:c>
      <x:c r="G1479" s="6" t="str"/>
      <x:c r="H1479" s="6" t="str">
        <x:f>IF(B1479="平","平",IF(B1479="","","仄"))</x:f>
        <x:v>仄</x:v>
      </x:c>
      <x:c r="I1479" s="6" t="str">
        <x:f>IF(D1471="","",IF(AND(ISNUMBER(SEARCH("平",D1471)),OR(ISNUMBER(SEARCH("上",D1471)),ISNUMBER(SEARCH("去",D1471)),ISNUMBER(SEARCH("入",D1471)))),"Ambiguous",IF(ISNUMBER(SEARCH("平",D1471)),"平","仄")))</x:f>
        <x:v>仄</x:v>
      </x:c>
      <x:c r="J1479" s="7" t="str"/>
    </x:row>
    <x:row r="1480">
      <x:c r="A1480" s="5" t="str">
        <x:v>拯</x:v>
      </x:c>
      <x:c r="B1480" s="6" t="str">
        <x:v>上</x:v>
      </x:c>
      <x:c r="C1480" s="6" t="str">
        <x:f>IF(B1480="","Needs decision","Ready")</x:f>
        <x:v>Ready</x:v>
      </x:c>
      <x:c r="D1480" s="6" t="str">
        <x:v>上</x:v>
      </x:c>
      <x:c r="E1480" s="6" t="str">
        <x:v>tsyingX (B)</x:v>
      </x:c>
      <x:c r="F1480" s="6" t="str">
        <x:v>1</x:v>
      </x:c>
      <x:c r="G1480" s="6" t="str"/>
      <x:c r="H1480" s="6" t="str">
        <x:f>IF(B1480="平","平",IF(B1480="","","仄"))</x:f>
        <x:v>仄</x:v>
      </x:c>
      <x:c r="I1480" s="6" t="str">
        <x:f>IF(D1472="","",IF(AND(ISNUMBER(SEARCH("平",D1472)),OR(ISNUMBER(SEARCH("上",D1472)),ISNUMBER(SEARCH("去",D1472)),ISNUMBER(SEARCH("入",D1472)))),"Ambiguous",IF(ISNUMBER(SEARCH("平",D1472)),"平","仄")))</x:f>
        <x:v>平</x:v>
      </x:c>
      <x:c r="J1480" s="7" t="str"/>
    </x:row>
    <x:row r="1481">
      <x:c r="A1481" s="5" t="str">
        <x:v>拱</x:v>
      </x:c>
      <x:c r="B1481" s="6" t="str">
        <x:v>上</x:v>
      </x:c>
      <x:c r="C1481" s="6" t="str">
        <x:f>IF(B1481="","Needs decision","Ready")</x:f>
        <x:v>Ready</x:v>
      </x:c>
      <x:c r="D1481" s="6" t="str">
        <x:v>上</x:v>
      </x:c>
      <x:c r="E1481" s="6" t="str">
        <x:v>kjowngX (B)</x:v>
      </x:c>
      <x:c r="F1481" s="6" t="str">
        <x:v>1</x:v>
      </x:c>
      <x:c r="G1481" s="6" t="str"/>
      <x:c r="H1481" s="6" t="str">
        <x:f>IF(B1481="平","平",IF(B1481="","","仄"))</x:f>
        <x:v>仄</x:v>
      </x:c>
      <x:c r="I1481" s="6" t="str">
        <x:f>IF(D1473="","",IF(AND(ISNUMBER(SEARCH("平",D1473)),OR(ISNUMBER(SEARCH("上",D1473)),ISNUMBER(SEARCH("去",D1473)),ISNUMBER(SEARCH("入",D1473)))),"Ambiguous",IF(ISNUMBER(SEARCH("平",D1473)),"平","仄")))</x:f>
        <x:v>仄</x:v>
      </x:c>
      <x:c r="J1481" s="7" t="str"/>
    </x:row>
    <x:row r="1482">
      <x:c r="A1482" s="5" t="str">
        <x:v>拲</x:v>
      </x:c>
      <x:c r="B1482" s="6" t="str">
        <x:v>上</x:v>
      </x:c>
      <x:c r="C1482" s="6" t="str">
        <x:f>IF(B1482="","Needs decision","Ready")</x:f>
        <x:v>Ready</x:v>
      </x:c>
      <x:c r="D1482" s="6" t="str">
        <x:v>上</x:v>
      </x:c>
      <x:c r="E1482" s="6" t="str">
        <x:v>kjowngX (B)</x:v>
      </x:c>
      <x:c r="F1482" s="6" t="str">
        <x:v>1</x:v>
      </x:c>
      <x:c r="G1482" s="6" t="str"/>
      <x:c r="H1482" s="6" t="str">
        <x:f>IF(B1482="平","平",IF(B1482="","","仄"))</x:f>
        <x:v>仄</x:v>
      </x:c>
      <x:c r="I1482" s="6" t="str">
        <x:f>IF(D1474="","",IF(AND(ISNUMBER(SEARCH("平",D1474)),OR(ISNUMBER(SEARCH("上",D1474)),ISNUMBER(SEARCH("去",D1474)),ISNUMBER(SEARCH("入",D1474)))),"Ambiguous",IF(ISNUMBER(SEARCH("平",D1474)),"平","仄")))</x:f>
        <x:v>平</x:v>
      </x:c>
      <x:c r="J1482" s="7" t="str"/>
    </x:row>
    <x:row r="1483">
      <x:c r="A1483" s="5" t="str">
        <x:v>拳</x:v>
      </x:c>
      <x:c r="B1483" s="6" t="str">
        <x:v>平</x:v>
      </x:c>
      <x:c r="C1483" s="6" t="str">
        <x:f>IF(B1483="","Needs decision","Ready")</x:f>
        <x:v>Ready</x:v>
      </x:c>
      <x:c r="D1483" s="6" t="str">
        <x:v>平</x:v>
      </x:c>
      <x:c r="E1483" s="6" t="str">
        <x:v>gjwen (A)</x:v>
      </x:c>
      <x:c r="F1483" s="6" t="str">
        <x:v>1</x:v>
      </x:c>
      <x:c r="G1483" s="6" t="str"/>
      <x:c r="H1483" s="6" t="str">
        <x:f>IF(B1483="平","平",IF(B1483="","","仄"))</x:f>
        <x:v>平</x:v>
      </x:c>
      <x:c r="I1483" s="6" t="str">
        <x:f>IF(D1475="","",IF(AND(ISNUMBER(SEARCH("平",D1475)),OR(ISNUMBER(SEARCH("上",D1475)),ISNUMBER(SEARCH("去",D1475)),ISNUMBER(SEARCH("入",D1475)))),"Ambiguous",IF(ISNUMBER(SEARCH("平",D1475)),"平","仄")))</x:f>
        <x:v>仄</x:v>
      </x:c>
      <x:c r="J1483" s="7" t="str"/>
    </x:row>
    <x:row r="1484">
      <x:c r="A1484" s="5" t="str">
        <x:v>拾</x:v>
      </x:c>
      <x:c r="B1484" s="6" t="str">
        <x:v>入</x:v>
      </x:c>
      <x:c r="C1484" s="6" t="str">
        <x:f>IF(B1484="","Needs decision","Ready")</x:f>
        <x:v>Ready</x:v>
      </x:c>
      <x:c r="D1484" s="6" t="str">
        <x:v>入</x:v>
      </x:c>
      <x:c r="E1484" s="6" t="str">
        <x:v>dzyip (D)</x:v>
      </x:c>
      <x:c r="F1484" s="6" t="str">
        <x:v>1</x:v>
      </x:c>
      <x:c r="G1484" s="6" t="str"/>
      <x:c r="H1484" s="6" t="str">
        <x:f>IF(B1484="平","平",IF(B1484="","","仄"))</x:f>
        <x:v>仄</x:v>
      </x:c>
      <x:c r="I1484" s="6" t="str">
        <x:f>IF(D1476="","",IF(AND(ISNUMBER(SEARCH("平",D1476)),OR(ISNUMBER(SEARCH("上",D1476)),ISNUMBER(SEARCH("去",D1476)),ISNUMBER(SEARCH("入",D1476)))),"Ambiguous",IF(ISNUMBER(SEARCH("平",D1476)),"平","仄")))</x:f>
        <x:v>平</x:v>
      </x:c>
      <x:c r="J1484" s="7" t="str"/>
    </x:row>
    <x:row r="1485">
      <x:c r="A1485" s="5" t="str">
        <x:v>持</x:v>
      </x:c>
      <x:c r="B1485" s="6" t="str">
        <x:v>平</x:v>
      </x:c>
      <x:c r="C1485" s="6" t="str">
        <x:f>IF(B1485="","Needs decision","Ready")</x:f>
        <x:v>Ready</x:v>
      </x:c>
      <x:c r="D1485" s="6" t="str">
        <x:v>平</x:v>
      </x:c>
      <x:c r="E1485" s="6" t="str">
        <x:v>dri (A)</x:v>
      </x:c>
      <x:c r="F1485" s="6" t="str">
        <x:v>1</x:v>
      </x:c>
      <x:c r="G1485" s="6" t="str"/>
      <x:c r="H1485" s="6" t="str">
        <x:f>IF(B1485="平","平",IF(B1485="","","仄"))</x:f>
        <x:v>平</x:v>
      </x:c>
      <x:c r="I1485" s="6" t="str">
        <x:f>IF(D1477="","",IF(AND(ISNUMBER(SEARCH("平",D1477)),OR(ISNUMBER(SEARCH("上",D1477)),ISNUMBER(SEARCH("去",D1477)),ISNUMBER(SEARCH("入",D1477)))),"Ambiguous",IF(ISNUMBER(SEARCH("平",D1477)),"平","仄")))</x:f>
        <x:v>仄</x:v>
      </x:c>
      <x:c r="J1485" s="7" t="str"/>
    </x:row>
    <x:row r="1486">
      <x:c r="A1486" s="5" t="str">
        <x:v>挂</x:v>
      </x:c>
      <x:c r="B1486" s="6" t="str">
        <x:v>去</x:v>
      </x:c>
      <x:c r="C1486" s="6" t="str">
        <x:f>IF(B1486="","Needs decision","Ready")</x:f>
        <x:v>Ready</x:v>
      </x:c>
      <x:c r="D1486" s="6" t="str">
        <x:v>去</x:v>
      </x:c>
      <x:c r="E1486" s="6" t="str">
        <x:v>kweaH (C)</x:v>
      </x:c>
      <x:c r="F1486" s="6" t="str">
        <x:v>1</x:v>
      </x:c>
      <x:c r="G1486" s="6" t="str"/>
      <x:c r="H1486" s="6" t="str">
        <x:f>IF(B1486="平","平",IF(B1486="","","仄"))</x:f>
        <x:v>仄</x:v>
      </x:c>
      <x:c r="I1486" s="6" t="str">
        <x:f>IF(D1478="","",IF(AND(ISNUMBER(SEARCH("平",D1478)),OR(ISNUMBER(SEARCH("上",D1478)),ISNUMBER(SEARCH("去",D1478)),ISNUMBER(SEARCH("入",D1478)))),"Ambiguous",IF(ISNUMBER(SEARCH("平",D1478)),"平","仄")))</x:f>
        <x:v>仄</x:v>
      </x:c>
      <x:c r="J1486" s="7" t="str"/>
    </x:row>
    <x:row r="1487">
      <x:c r="A1487" s="5" t="str">
        <x:v>指</x:v>
      </x:c>
      <x:c r="B1487" s="6" t="str">
        <x:v>上</x:v>
      </x:c>
      <x:c r="C1487" s="6" t="str">
        <x:f>IF(B1487="","Needs decision","Ready")</x:f>
        <x:v>Ready</x:v>
      </x:c>
      <x:c r="D1487" s="6" t="str">
        <x:v>上</x:v>
      </x:c>
      <x:c r="E1487" s="6" t="str">
        <x:v>tsyijX (B)</x:v>
      </x:c>
      <x:c r="F1487" s="6" t="str">
        <x:v>1</x:v>
      </x:c>
      <x:c r="G1487" s="6" t="str"/>
      <x:c r="H1487" s="6" t="str">
        <x:f>IF(B1487="平","平",IF(B1487="","","仄"))</x:f>
        <x:v>仄</x:v>
      </x:c>
      <x:c r="I1487" s="6" t="str">
        <x:f>IF(D1479="","",IF(AND(ISNUMBER(SEARCH("平",D1479)),OR(ISNUMBER(SEARCH("上",D1479)),ISNUMBER(SEARCH("去",D1479)),ISNUMBER(SEARCH("入",D1479)))),"Ambiguous",IF(ISNUMBER(SEARCH("平",D1479)),"平","仄")))</x:f>
        <x:v>仄</x:v>
      </x:c>
      <x:c r="J1487" s="7" t="str"/>
    </x:row>
    <x:row r="1488">
      <x:c r="A1488" s="5" t="str">
        <x:v>按</x:v>
      </x:c>
      <x:c r="B1488" s="6" t="str">
        <x:v>去</x:v>
      </x:c>
      <x:c r="C1488" s="6" t="str">
        <x:f>IF(B1488="","Needs decision","Ready")</x:f>
        <x:v>Ready</x:v>
      </x:c>
      <x:c r="D1488" s="6" t="str">
        <x:v>去</x:v>
      </x:c>
      <x:c r="E1488" s="6" t="str">
        <x:v>'anH (C)</x:v>
      </x:c>
      <x:c r="F1488" s="6" t="str">
        <x:v>1</x:v>
      </x:c>
      <x:c r="G1488" s="6" t="str"/>
      <x:c r="H1488" s="6" t="str">
        <x:f>IF(B1488="平","平",IF(B1488="","","仄"))</x:f>
        <x:v>仄</x:v>
      </x:c>
      <x:c r="I1488" s="6" t="str">
        <x:f>IF(D1480="","",IF(AND(ISNUMBER(SEARCH("平",D1480)),OR(ISNUMBER(SEARCH("上",D1480)),ISNUMBER(SEARCH("去",D1480)),ISNUMBER(SEARCH("入",D1480)))),"Ambiguous",IF(ISNUMBER(SEARCH("平",D1480)),"平","仄")))</x:f>
        <x:v>仄</x:v>
      </x:c>
      <x:c r="J1488" s="7" t="str"/>
    </x:row>
    <x:row r="1489">
      <x:c r="A1489" s="5" t="str">
        <x:v>挐</x:v>
      </x:c>
      <x:c r="B1489" s="6" t="str">
        <x:v>平</x:v>
      </x:c>
      <x:c r="C1489" s="6" t="str">
        <x:f>IF(B1489="","Needs decision","Ready")</x:f>
        <x:v>Ready</x:v>
      </x:c>
      <x:c r="D1489" s="6" t="str">
        <x:v>平</x:v>
      </x:c>
      <x:c r="E1489" s="6" t="str">
        <x:v>nrae (A)</x:v>
      </x:c>
      <x:c r="F1489" s="6" t="str">
        <x:v>1</x:v>
      </x:c>
      <x:c r="G1489" s="6" t="str"/>
      <x:c r="H1489" s="6" t="str">
        <x:f>IF(B1489="平","平",IF(B1489="","","仄"))</x:f>
        <x:v>平</x:v>
      </x:c>
      <x:c r="I1489" s="6" t="str">
        <x:f>IF(D1481="","",IF(AND(ISNUMBER(SEARCH("平",D1481)),OR(ISNUMBER(SEARCH("上",D1481)),ISNUMBER(SEARCH("去",D1481)),ISNUMBER(SEARCH("入",D1481)))),"Ambiguous",IF(ISNUMBER(SEARCH("平",D1481)),"平","仄")))</x:f>
        <x:v>仄</x:v>
      </x:c>
      <x:c r="J1489" s="7" t="str"/>
    </x:row>
    <x:row r="1490">
      <x:c r="A1490" s="5" t="str">
        <x:v>挑</x:v>
      </x:c>
      <x:c r="B1490" s="6" t="str">
        <x:v>上</x:v>
      </x:c>
      <x:c r="C1490" s="6" t="str">
        <x:f>IF(B1490="","Needs decision","Ready")</x:f>
        <x:v>Ready</x:v>
      </x:c>
      <x:c r="D1490" s="6" t="str">
        <x:v>平/上</x:v>
      </x:c>
      <x:c r="E1490" s="6" t="str">
        <x:v>thew (A); dewX (B)</x:v>
      </x:c>
      <x:c r="F1490" s="6" t="str">
        <x:v>2</x:v>
      </x:c>
      <x:c r="G1490" s="6" t="str"/>
      <x:c r="H1490" s="6" t="str">
        <x:f>IF(B1490="平","平",IF(B1490="","","仄"))</x:f>
        <x:v>仄</x:v>
      </x:c>
      <x:c r="I1490" s="6" t="str">
        <x:f>IF(D1482="","",IF(AND(ISNUMBER(SEARCH("平",D1482)),OR(ISNUMBER(SEARCH("上",D1482)),ISNUMBER(SEARCH("去",D1482)),ISNUMBER(SEARCH("入",D1482)))),"Ambiguous",IF(ISNUMBER(SEARCH("平",D1482)),"平","仄")))</x:f>
        <x:v>仄</x:v>
      </x:c>
      <x:c r="J1490" s="7" t="str"/>
    </x:row>
    <x:row r="1491">
      <x:c r="A1491" s="5" t="str">
        <x:v>振</x:v>
      </x:c>
      <x:c r="B1491" s="6" t="str">
        <x:v>去</x:v>
      </x:c>
      <x:c r="C1491" s="6" t="str">
        <x:f>IF(B1491="","Needs decision","Ready")</x:f>
        <x:v>Ready</x:v>
      </x:c>
      <x:c r="D1491" s="6" t="str">
        <x:v>平/去</x:v>
      </x:c>
      <x:c r="E1491" s="6" t="str">
        <x:v>tsyin (A); tsyinH (C)</x:v>
      </x:c>
      <x:c r="F1491" s="6" t="str">
        <x:v>2</x:v>
      </x:c>
      <x:c r="G1491" s="6" t="str"/>
      <x:c r="H1491" s="6" t="str">
        <x:f>IF(B1491="平","平",IF(B1491="","","仄"))</x:f>
        <x:v>仄</x:v>
      </x:c>
      <x:c r="I1491" s="6" t="str">
        <x:f>IF(D1483="","",IF(AND(ISNUMBER(SEARCH("平",D1483)),OR(ISNUMBER(SEARCH("上",D1483)),ISNUMBER(SEARCH("去",D1483)),ISNUMBER(SEARCH("入",D1483)))),"Ambiguous",IF(ISNUMBER(SEARCH("平",D1483)),"平","仄")))</x:f>
        <x:v>平</x:v>
      </x:c>
      <x:c r="J1491" s="7" t="str"/>
    </x:row>
    <x:row r="1492">
      <x:c r="A1492" s="5" t="str">
        <x:v>挲</x:v>
      </x:c>
      <x:c r="B1492" s="6" t="str">
        <x:v>平</x:v>
      </x:c>
      <x:c r="C1492" s="6" t="str">
        <x:f>IF(B1492="","Needs decision","Ready")</x:f>
        <x:v>Ready</x:v>
      </x:c>
      <x:c r="D1492" s="6" t="str">
        <x:v>平</x:v>
      </x:c>
      <x:c r="E1492" s="6" t="str">
        <x:v>sa [s̙ɑ] (平)</x:v>
      </x:c>
      <x:c r="F1492" s="6" t="str">
        <x:v>1</x:v>
      </x:c>
      <x:c r="G1492" s="6" t="str">
        <x:v>Tang 300 gap; frequency 1; provisional from Xun Gong</x:v>
      </x:c>
      <x:c r="H1492" s="6" t="str">
        <x:f>IF(B1492="平","平",IF(B1492="","","仄"))</x:f>
        <x:v>平</x:v>
      </x:c>
      <x:c r="I1492" s="6" t="str">
        <x:f>IF(D1484="","",IF(AND(ISNUMBER(SEARCH("平",D1484)),OR(ISNUMBER(SEARCH("上",D1484)),ISNUMBER(SEARCH("去",D1484)),ISNUMBER(SEARCH("入",D1484)))),"Ambiguous",IF(ISNUMBER(SEARCH("平",D1484)),"平","仄")))</x:f>
        <x:v>仄</x:v>
      </x:c>
      <x:c r="J1492" s="7" t="str">
        <x:v>Xun Gong, Tang 300 gap fill</x:v>
      </x:c>
    </x:row>
    <x:row r="1493">
      <x:c r="A1493" s="5" t="str">
        <x:v>挹</x:v>
      </x:c>
      <x:c r="B1493" s="6" t="str">
        <x:v>入</x:v>
      </x:c>
      <x:c r="C1493" s="6" t="str">
        <x:f>IF(B1493="","Needs decision","Ready")</x:f>
        <x:v>Ready</x:v>
      </x:c>
      <x:c r="D1493" s="6" t="str">
        <x:v>入</x:v>
      </x:c>
      <x:c r="E1493" s="6" t="str">
        <x:v>'jip (D)</x:v>
      </x:c>
      <x:c r="F1493" s="6" t="str">
        <x:v>1</x:v>
      </x:c>
      <x:c r="G1493" s="6" t="str"/>
      <x:c r="H1493" s="6" t="str">
        <x:f>IF(B1493="平","平",IF(B1493="","","仄"))</x:f>
        <x:v>仄</x:v>
      </x:c>
      <x:c r="I1493" s="6" t="str">
        <x:f>IF(D1485="","",IF(AND(ISNUMBER(SEARCH("平",D1485)),OR(ISNUMBER(SEARCH("上",D1485)),ISNUMBER(SEARCH("去",D1485)),ISNUMBER(SEARCH("入",D1485)))),"Ambiguous",IF(ISNUMBER(SEARCH("平",D1485)),"平","仄")))</x:f>
        <x:v>平</x:v>
      </x:c>
      <x:c r="J1493" s="7" t="str"/>
    </x:row>
    <x:row r="1494">
      <x:c r="A1494" s="5" t="str">
        <x:v>挺</x:v>
      </x:c>
      <x:c r="B1494" s="6" t="str">
        <x:v>上</x:v>
      </x:c>
      <x:c r="C1494" s="6" t="str">
        <x:f>IF(B1494="","Needs decision","Ready")</x:f>
        <x:v>Ready</x:v>
      </x:c>
      <x:c r="D1494" s="6" t="str">
        <x:v>上</x:v>
      </x:c>
      <x:c r="E1494" s="6" t="str">
        <x:v>thengX (B)</x:v>
      </x:c>
      <x:c r="F1494" s="6" t="str">
        <x:v>1</x:v>
      </x:c>
      <x:c r="G1494" s="6" t="str"/>
      <x:c r="H1494" s="6" t="str">
        <x:f>IF(B1494="平","平",IF(B1494="","","仄"))</x:f>
        <x:v>仄</x:v>
      </x:c>
      <x:c r="I1494" s="6" t="str">
        <x:f>IF(D1486="","",IF(AND(ISNUMBER(SEARCH("平",D1486)),OR(ISNUMBER(SEARCH("上",D1486)),ISNUMBER(SEARCH("去",D1486)),ISNUMBER(SEARCH("入",D1486)))),"Ambiguous",IF(ISNUMBER(SEARCH("平",D1486)),"平","仄")))</x:f>
        <x:v>仄</x:v>
      </x:c>
      <x:c r="J1494" s="7" t="str"/>
    </x:row>
    <x:row r="1495">
      <x:c r="A1495" s="5" t="str">
        <x:v>挽</x:v>
      </x:c>
      <x:c r="B1495" s="6" t="str">
        <x:v>上</x:v>
      </x:c>
      <x:c r="C1495" s="6" t="str">
        <x:f>IF(B1495="","Needs decision","Ready")</x:f>
        <x:v>Ready</x:v>
      </x:c>
      <x:c r="D1495" s="6" t="str">
        <x:v>上</x:v>
      </x:c>
      <x:c r="E1495" s="6" t="str"/>
      <x:c r="F1495" s="6" t="str"/>
      <x:c r="G1495" s="6" t="str">
        <x:v>Manual user correction/addition</x:v>
      </x:c>
      <x:c r="H1495" s="6" t="str">
        <x:f>IF(B1495="平","平",IF(B1495="","","仄"))</x:f>
        <x:v>仄</x:v>
      </x:c>
      <x:c r="I1495" s="6" t="str">
        <x:f>IF(D1487="","",IF(AND(ISNUMBER(SEARCH("平",D1487)),OR(ISNUMBER(SEARCH("上",D1487)),ISNUMBER(SEARCH("去",D1487)),ISNUMBER(SEARCH("入",D1487)))),"Ambiguous",IF(ISNUMBER(SEARCH("平",D1487)),"平","仄")))</x:f>
        <x:v>仄</x:v>
      </x:c>
      <x:c r="J1495" s="7" t="str">
        <x:v>manual user correction</x:v>
      </x:c>
    </x:row>
    <x:row r="1496">
      <x:c r="A1496" s="5" t="str">
        <x:v>挾</x:v>
      </x:c>
      <x:c r="B1496" s="6" t="str">
        <x:v>入</x:v>
      </x:c>
      <x:c r="C1496" s="6" t="str">
        <x:f>IF(B1496="","Needs decision","Ready")</x:f>
        <x:v>Ready</x:v>
      </x:c>
      <x:c r="D1496" s="6" t="str">
        <x:v>入</x:v>
      </x:c>
      <x:c r="E1496" s="6" t="str">
        <x:v>hep (D); tsep (D)</x:v>
      </x:c>
      <x:c r="F1496" s="6" t="str">
        <x:v>2</x:v>
      </x:c>
      <x:c r="G1496" s="6" t="str"/>
      <x:c r="H1496" s="6" t="str">
        <x:f>IF(B1496="平","平",IF(B1496="","","仄"))</x:f>
        <x:v>仄</x:v>
      </x:c>
      <x:c r="I1496" s="6" t="str">
        <x:f>IF(D1488="","",IF(AND(ISNUMBER(SEARCH("平",D1488)),OR(ISNUMBER(SEARCH("上",D1488)),ISNUMBER(SEARCH("去",D1488)),ISNUMBER(SEARCH("入",D1488)))),"Ambiguous",IF(ISNUMBER(SEARCH("平",D1488)),"平","仄")))</x:f>
        <x:v>仄</x:v>
      </x:c>
      <x:c r="J1496" s="7" t="str"/>
    </x:row>
    <x:row r="1497">
      <x:c r="A1497" s="5" t="str">
        <x:v>捉</x:v>
      </x:c>
      <x:c r="B1497" s="6" t="str">
        <x:v>入</x:v>
      </x:c>
      <x:c r="C1497" s="6" t="str">
        <x:f>IF(B1497="","Needs decision","Ready")</x:f>
        <x:v>Ready</x:v>
      </x:c>
      <x:c r="D1497" s="6" t="str">
        <x:v>入</x:v>
      </x:c>
      <x:c r="E1497" s="6" t="str">
        <x:v>tsraewk (D)</x:v>
      </x:c>
      <x:c r="F1497" s="6" t="str">
        <x:v>1</x:v>
      </x:c>
      <x:c r="G1497" s="6" t="str"/>
      <x:c r="H1497" s="6" t="str">
        <x:f>IF(B1497="平","平",IF(B1497="","","仄"))</x:f>
        <x:v>仄</x:v>
      </x:c>
      <x:c r="I1497" s="6" t="str">
        <x:f>IF(D1489="","",IF(AND(ISNUMBER(SEARCH("平",D1489)),OR(ISNUMBER(SEARCH("上",D1489)),ISNUMBER(SEARCH("去",D1489)),ISNUMBER(SEARCH("入",D1489)))),"Ambiguous",IF(ISNUMBER(SEARCH("平",D1489)),"平","仄")))</x:f>
        <x:v>平</x:v>
      </x:c>
      <x:c r="J1497" s="7" t="str"/>
    </x:row>
    <x:row r="1498">
      <x:c r="A1498" s="5" t="str">
        <x:v>捋</x:v>
      </x:c>
      <x:c r="B1498" s="6" t="str">
        <x:v>入</x:v>
      </x:c>
      <x:c r="C1498" s="6" t="str">
        <x:f>IF(B1498="","Needs decision","Ready")</x:f>
        <x:v>Ready</x:v>
      </x:c>
      <x:c r="D1498" s="6" t="str">
        <x:v>入</x:v>
      </x:c>
      <x:c r="E1498" s="6" t="str">
        <x:v>lwat (D)</x:v>
      </x:c>
      <x:c r="F1498" s="6" t="str">
        <x:v>1</x:v>
      </x:c>
      <x:c r="G1498" s="6" t="str"/>
      <x:c r="H1498" s="6" t="str">
        <x:f>IF(B1498="平","平",IF(B1498="","","仄"))</x:f>
        <x:v>仄</x:v>
      </x:c>
      <x:c r="I1498" s="6" t="str">
        <x:f>IF(D1490="","",IF(AND(ISNUMBER(SEARCH("平",D1490)),OR(ISNUMBER(SEARCH("上",D1490)),ISNUMBER(SEARCH("去",D1490)),ISNUMBER(SEARCH("入",D1490)))),"Ambiguous",IF(ISNUMBER(SEARCH("平",D1490)),"平","仄")))</x:f>
        <x:v>Ambiguous</x:v>
      </x:c>
      <x:c r="J1498" s="7" t="str"/>
    </x:row>
    <x:row r="1499">
      <x:c r="A1499" s="5" t="str">
        <x:v>捍</x:v>
      </x:c>
      <x:c r="B1499" s="6" t="str">
        <x:v>去</x:v>
      </x:c>
      <x:c r="C1499" s="6" t="str">
        <x:f>IF(B1499="","Needs decision","Ready")</x:f>
        <x:v>Ready</x:v>
      </x:c>
      <x:c r="D1499" s="6" t="str">
        <x:v>去</x:v>
      </x:c>
      <x:c r="E1499" s="6" t="str">
        <x:v>hanH (C)</x:v>
      </x:c>
      <x:c r="F1499" s="6" t="str">
        <x:v>1</x:v>
      </x:c>
      <x:c r="G1499" s="6" t="str"/>
      <x:c r="H1499" s="6" t="str">
        <x:f>IF(B1499="平","平",IF(B1499="","","仄"))</x:f>
        <x:v>仄</x:v>
      </x:c>
      <x:c r="I1499" s="6" t="str">
        <x:f>IF(D1491="","",IF(AND(ISNUMBER(SEARCH("平",D1491)),OR(ISNUMBER(SEARCH("上",D1491)),ISNUMBER(SEARCH("去",D1491)),ISNUMBER(SEARCH("入",D1491)))),"Ambiguous",IF(ISNUMBER(SEARCH("平",D1491)),"平","仄")))</x:f>
        <x:v>Ambiguous</x:v>
      </x:c>
      <x:c r="J1499" s="7" t="str"/>
    </x:row>
    <x:row r="1500">
      <x:c r="A1500" s="5" t="str">
        <x:v>捎</x:v>
      </x:c>
      <x:c r="B1500" s="6" t="str">
        <x:v>平</x:v>
      </x:c>
      <x:c r="C1500" s="6" t="str">
        <x:f>IF(B1500="","Needs decision","Ready")</x:f>
        <x:v>Ready</x:v>
      </x:c>
      <x:c r="D1500" s="6" t="str">
        <x:v>平</x:v>
      </x:c>
      <x:c r="E1500" s="6" t="str">
        <x:v>sew (A)</x:v>
      </x:c>
      <x:c r="F1500" s="6" t="str">
        <x:v>1</x:v>
      </x:c>
      <x:c r="G1500" s="6" t="str"/>
      <x:c r="H1500" s="6" t="str">
        <x:f>IF(B1500="平","平",IF(B1500="","","仄"))</x:f>
        <x:v>平</x:v>
      </x:c>
      <x:c r="I1500" s="6" t="str">
        <x:f>IF(D1492="","",IF(AND(ISNUMBER(SEARCH("平",D1492)),OR(ISNUMBER(SEARCH("上",D1492)),ISNUMBER(SEARCH("去",D1492)),ISNUMBER(SEARCH("入",D1492)))),"Ambiguous",IF(ISNUMBER(SEARCH("平",D1492)),"平","仄")))</x:f>
        <x:v>平</x:v>
      </x:c>
      <x:c r="J1500" s="7" t="str"/>
    </x:row>
    <x:row r="1501">
      <x:c r="A1501" s="5" t="str">
        <x:v>捐</x:v>
      </x:c>
      <x:c r="B1501" s="6" t="str">
        <x:v>平</x:v>
      </x:c>
      <x:c r="C1501" s="6" t="str">
        <x:f>IF(B1501="","Needs decision","Ready")</x:f>
        <x:v>Ready</x:v>
      </x:c>
      <x:c r="D1501" s="6" t="str">
        <x:v>平</x:v>
      </x:c>
      <x:c r="E1501" s="6" t="str">
        <x:v>ywen (A)</x:v>
      </x:c>
      <x:c r="F1501" s="6" t="str">
        <x:v>1</x:v>
      </x:c>
      <x:c r="G1501" s="6" t="str"/>
      <x:c r="H1501" s="6" t="str">
        <x:f>IF(B1501="平","平",IF(B1501="","","仄"))</x:f>
        <x:v>平</x:v>
      </x:c>
      <x:c r="I1501" s="6" t="str">
        <x:f>IF(D1493="","",IF(AND(ISNUMBER(SEARCH("平",D1493)),OR(ISNUMBER(SEARCH("上",D1493)),ISNUMBER(SEARCH("去",D1493)),ISNUMBER(SEARCH("入",D1493)))),"Ambiguous",IF(ISNUMBER(SEARCH("平",D1493)),"平","仄")))</x:f>
        <x:v>仄</x:v>
      </x:c>
      <x:c r="J1501" s="7" t="str"/>
    </x:row>
    <x:row r="1502">
      <x:c r="A1502" s="5" t="str">
        <x:v>捝</x:v>
      </x:c>
      <x:c r="B1502" s="6" t="str">
        <x:v>入</x:v>
      </x:c>
      <x:c r="C1502" s="6" t="str">
        <x:f>IF(B1502="","Needs decision","Ready")</x:f>
        <x:v>Ready</x:v>
      </x:c>
      <x:c r="D1502" s="6" t="str">
        <x:v>入</x:v>
      </x:c>
      <x:c r="E1502" s="6" t="str">
        <x:v>thwat (D)</x:v>
      </x:c>
      <x:c r="F1502" s="6" t="str">
        <x:v>1</x:v>
      </x:c>
      <x:c r="G1502" s="6" t="str"/>
      <x:c r="H1502" s="6" t="str">
        <x:f>IF(B1502="平","平",IF(B1502="","","仄"))</x:f>
        <x:v>仄</x:v>
      </x:c>
      <x:c r="I1502" s="6" t="str">
        <x:f>IF(D1494="","",IF(AND(ISNUMBER(SEARCH("平",D1494)),OR(ISNUMBER(SEARCH("上",D1494)),ISNUMBER(SEARCH("去",D1494)),ISNUMBER(SEARCH("入",D1494)))),"Ambiguous",IF(ISNUMBER(SEARCH("平",D1494)),"平","仄")))</x:f>
        <x:v>仄</x:v>
      </x:c>
      <x:c r="J1502" s="7" t="str"/>
    </x:row>
    <x:row r="1503">
      <x:c r="A1503" s="5" t="str">
        <x:v>捧</x:v>
      </x:c>
      <x:c r="B1503" s="6" t="str">
        <x:v>上</x:v>
      </x:c>
      <x:c r="C1503" s="6" t="str">
        <x:f>IF(B1503="","Needs decision","Ready")</x:f>
        <x:v>Ready</x:v>
      </x:c>
      <x:c r="D1503" s="6" t="str">
        <x:v>上</x:v>
      </x:c>
      <x:c r="E1503" s="6" t="str">
        <x:v>phjowngX [pʰɨ̯oŋʔ] (上)</x:v>
      </x:c>
      <x:c r="F1503" s="6" t="str">
        <x:v>1</x:v>
      </x:c>
      <x:c r="G1503" s="6" t="str">
        <x:v>Tang 300 gap; frequency 1; provisional from Xun Gong</x:v>
      </x:c>
      <x:c r="H1503" s="6" t="str">
        <x:f>IF(B1503="平","平",IF(B1503="","","仄"))</x:f>
        <x:v>仄</x:v>
      </x:c>
      <x:c r="I1503" s="6" t="str">
        <x:f>IF(D1495="","",IF(AND(ISNUMBER(SEARCH("平",D1495)),OR(ISNUMBER(SEARCH("上",D1495)),ISNUMBER(SEARCH("去",D1495)),ISNUMBER(SEARCH("入",D1495)))),"Ambiguous",IF(ISNUMBER(SEARCH("平",D1495)),"平","仄")))</x:f>
        <x:v>仄</x:v>
      </x:c>
      <x:c r="J1503" s="7" t="str">
        <x:v>Xun Gong, Tang 300 gap fill</x:v>
      </x:c>
    </x:row>
    <x:row r="1504">
      <x:c r="A1504" s="5" t="str">
        <x:v>捨</x:v>
      </x:c>
      <x:c r="B1504" s="6" t="str">
        <x:v>上</x:v>
      </x:c>
      <x:c r="C1504" s="6" t="str">
        <x:f>IF(B1504="","Needs decision","Ready")</x:f>
        <x:v>Ready</x:v>
      </x:c>
      <x:c r="D1504" s="6" t="str">
        <x:v>上</x:v>
      </x:c>
      <x:c r="E1504" s="6" t="str">
        <x:v>syaeX (B)</x:v>
      </x:c>
      <x:c r="F1504" s="6" t="str">
        <x:v>1</x:v>
      </x:c>
      <x:c r="G1504" s="6" t="str"/>
      <x:c r="H1504" s="6" t="str">
        <x:f>IF(B1504="平","平",IF(B1504="","","仄"))</x:f>
        <x:v>仄</x:v>
      </x:c>
      <x:c r="I1504" s="6" t="str">
        <x:f>IF(D1496="","",IF(AND(ISNUMBER(SEARCH("平",D1496)),OR(ISNUMBER(SEARCH("上",D1496)),ISNUMBER(SEARCH("去",D1496)),ISNUMBER(SEARCH("入",D1496)))),"Ambiguous",IF(ISNUMBER(SEARCH("平",D1496)),"平","仄")))</x:f>
        <x:v>仄</x:v>
      </x:c>
      <x:c r="J1504" s="7" t="str"/>
    </x:row>
    <x:row r="1505">
      <x:c r="A1505" s="5" t="str">
        <x:v>捫</x:v>
      </x:c>
      <x:c r="B1505" s="6" t="str">
        <x:v>平</x:v>
      </x:c>
      <x:c r="C1505" s="6" t="str">
        <x:f>IF(B1505="","Needs decision","Ready")</x:f>
        <x:v>Ready</x:v>
      </x:c>
      <x:c r="D1505" s="6" t="str">
        <x:v>平</x:v>
      </x:c>
      <x:c r="E1505" s="6" t="str">
        <x:v>mwon (A)</x:v>
      </x:c>
      <x:c r="F1505" s="6" t="str">
        <x:v>1</x:v>
      </x:c>
      <x:c r="G1505" s="6" t="str"/>
      <x:c r="H1505" s="6" t="str">
        <x:f>IF(B1505="平","平",IF(B1505="","","仄"))</x:f>
        <x:v>平</x:v>
      </x:c>
      <x:c r="I1505" s="6" t="str">
        <x:f>IF(D1497="","",IF(AND(ISNUMBER(SEARCH("平",D1497)),OR(ISNUMBER(SEARCH("上",D1497)),ISNUMBER(SEARCH("去",D1497)),ISNUMBER(SEARCH("入",D1497)))),"Ambiguous",IF(ISNUMBER(SEARCH("平",D1497)),"平","仄")))</x:f>
        <x:v>仄</x:v>
      </x:c>
      <x:c r="J1505" s="7" t="str"/>
    </x:row>
    <x:row r="1506">
      <x:c r="A1506" s="5" t="str">
        <x:v>捲</x:v>
      </x:c>
      <x:c r="B1506" s="6" t="str"/>
      <x:c r="C1506" s="6" t="str">
        <x:f>IF(B1506="","Needs decision","Ready")</x:f>
        <x:v>Needs decision</x:v>
      </x:c>
      <x:c r="D1506" s="6" t="str">
        <x:v>平/上/去</x:v>
      </x:c>
      <x:c r="E1506" s="6" t="str">
        <x:v>gjwen [ɡwɨ̯en] (平); kjwenH [kwɨ̯enh] (去); kjwenX [kwɨ̯enʔ] (上)</x:v>
      </x:c>
      <x:c r="F1506" s="6" t="str">
        <x:v>3</x:v>
      </x:c>
      <x:c r="G1506" s="6" t="str">
        <x:v>Tang 300 gap; frequency 5; ambiguous in Xun Gong</x:v>
      </x:c>
      <x:c r="H1506" s="6" t="str">
        <x:f>IF(B1506="平","平",IF(B1506="","","仄"))</x:f>
      </x:c>
      <x:c r="I1506" s="6" t="str">
        <x:f>IF(D1498="","",IF(AND(ISNUMBER(SEARCH("平",D1498)),OR(ISNUMBER(SEARCH("上",D1498)),ISNUMBER(SEARCH("去",D1498)),ISNUMBER(SEARCH("入",D1498)))),"Ambiguous",IF(ISNUMBER(SEARCH("平",D1498)),"平","仄")))</x:f>
        <x:v>仄</x:v>
      </x:c>
      <x:c r="J1506" s="7" t="str">
        <x:v>Xun Gong, Tang 300 gap fill</x:v>
      </x:c>
    </x:row>
    <x:row r="1507">
      <x:c r="A1507" s="5" t="str">
        <x:v>捶</x:v>
      </x:c>
      <x:c r="B1507" s="6" t="str">
        <x:v>上</x:v>
      </x:c>
      <x:c r="C1507" s="6" t="str">
        <x:f>IF(B1507="","Needs decision","Ready")</x:f>
        <x:v>Ready</x:v>
      </x:c>
      <x:c r="D1507" s="6" t="str">
        <x:v>上</x:v>
      </x:c>
      <x:c r="E1507" s="6" t="str">
        <x:v>tsyweX (B)</x:v>
      </x:c>
      <x:c r="F1507" s="6" t="str">
        <x:v>1</x:v>
      </x:c>
      <x:c r="G1507" s="6" t="str"/>
      <x:c r="H1507" s="6" t="str">
        <x:f>IF(B1507="平","平",IF(B1507="","","仄"))</x:f>
        <x:v>仄</x:v>
      </x:c>
      <x:c r="I1507" s="6" t="str">
        <x:f>IF(D1499="","",IF(AND(ISNUMBER(SEARCH("平",D1499)),OR(ISNUMBER(SEARCH("上",D1499)),ISNUMBER(SEARCH("去",D1499)),ISNUMBER(SEARCH("入",D1499)))),"Ambiguous",IF(ISNUMBER(SEARCH("平",D1499)),"平","仄")))</x:f>
        <x:v>仄</x:v>
      </x:c>
      <x:c r="J1507" s="7" t="str"/>
    </x:row>
    <x:row r="1508">
      <x:c r="A1508" s="5" t="str">
        <x:v>捷</x:v>
      </x:c>
      <x:c r="B1508" s="6" t="str">
        <x:v>入</x:v>
      </x:c>
      <x:c r="C1508" s="6" t="str">
        <x:f>IF(B1508="","Needs decision","Ready")</x:f>
        <x:v>Ready</x:v>
      </x:c>
      <x:c r="D1508" s="6" t="str">
        <x:v>入</x:v>
      </x:c>
      <x:c r="E1508" s="6" t="str">
        <x:v>dzjep (D)</x:v>
      </x:c>
      <x:c r="F1508" s="6" t="str">
        <x:v>1</x:v>
      </x:c>
      <x:c r="G1508" s="6" t="str"/>
      <x:c r="H1508" s="6" t="str">
        <x:f>IF(B1508="平","平",IF(B1508="","","仄"))</x:f>
        <x:v>仄</x:v>
      </x:c>
      <x:c r="I1508" s="6" t="str">
        <x:f>IF(D1500="","",IF(AND(ISNUMBER(SEARCH("平",D1500)),OR(ISNUMBER(SEARCH("上",D1500)),ISNUMBER(SEARCH("去",D1500)),ISNUMBER(SEARCH("入",D1500)))),"Ambiguous",IF(ISNUMBER(SEARCH("平",D1500)),"平","仄")))</x:f>
        <x:v>平</x:v>
      </x:c>
      <x:c r="J1508" s="7" t="str"/>
    </x:row>
    <x:row r="1509">
      <x:c r="A1509" s="5" t="str">
        <x:v>掃</x:v>
      </x:c>
      <x:c r="B1509" s="6" t="str">
        <x:v>上</x:v>
      </x:c>
      <x:c r="C1509" s="6" t="str">
        <x:f>IF(B1509="","Needs decision","Ready")</x:f>
        <x:v>Ready</x:v>
      </x:c>
      <x:c r="D1509" s="6" t="str">
        <x:v>上</x:v>
      </x:c>
      <x:c r="E1509" s="6" t="str"/>
      <x:c r="F1509" s="6" t="str"/>
      <x:c r="G1509" s="6" t="str">
        <x:v>Manual user correction/addition</x:v>
      </x:c>
      <x:c r="H1509" s="6" t="str">
        <x:f>IF(B1509="平","平",IF(B1509="","","仄"))</x:f>
        <x:v>仄</x:v>
      </x:c>
      <x:c r="I1509" s="6" t="str">
        <x:f>IF(D1501="","",IF(AND(ISNUMBER(SEARCH("平",D1501)),OR(ISNUMBER(SEARCH("上",D1501)),ISNUMBER(SEARCH("去",D1501)),ISNUMBER(SEARCH("入",D1501)))),"Ambiguous",IF(ISNUMBER(SEARCH("平",D1501)),"平","仄")))</x:f>
        <x:v>平</x:v>
      </x:c>
      <x:c r="J1509" s="7" t="str">
        <x:v>manual user correction</x:v>
      </x:c>
    </x:row>
    <x:row r="1510">
      <x:c r="A1510" s="5" t="str">
        <x:v>掇</x:v>
      </x:c>
      <x:c r="B1510" s="6" t="str">
        <x:v>入</x:v>
      </x:c>
      <x:c r="C1510" s="6" t="str">
        <x:f>IF(B1510="","Needs decision","Ready")</x:f>
        <x:v>Ready</x:v>
      </x:c>
      <x:c r="D1510" s="6" t="str">
        <x:v>入</x:v>
      </x:c>
      <x:c r="E1510" s="6" t="str">
        <x:v>trjwet (D); twat (D)</x:v>
      </x:c>
      <x:c r="F1510" s="6" t="str">
        <x:v>2</x:v>
      </x:c>
      <x:c r="G1510" s="6" t="str"/>
      <x:c r="H1510" s="6" t="str">
        <x:f>IF(B1510="平","平",IF(B1510="","","仄"))</x:f>
        <x:v>仄</x:v>
      </x:c>
      <x:c r="I1510" s="6" t="str">
        <x:f>IF(D1502="","",IF(AND(ISNUMBER(SEARCH("平",D1502)),OR(ISNUMBER(SEARCH("上",D1502)),ISNUMBER(SEARCH("去",D1502)),ISNUMBER(SEARCH("入",D1502)))),"Ambiguous",IF(ISNUMBER(SEARCH("平",D1502)),"平","仄")))</x:f>
        <x:v>仄</x:v>
      </x:c>
      <x:c r="J1510" s="7" t="str"/>
    </x:row>
    <x:row r="1511">
      <x:c r="A1511" s="5" t="str">
        <x:v>授</x:v>
      </x:c>
      <x:c r="B1511" s="6" t="str">
        <x:v>去</x:v>
      </x:c>
      <x:c r="C1511" s="6" t="str">
        <x:f>IF(B1511="","Needs decision","Ready")</x:f>
        <x:v>Ready</x:v>
      </x:c>
      <x:c r="D1511" s="6" t="str">
        <x:v>去</x:v>
      </x:c>
      <x:c r="E1511" s="6" t="str">
        <x:v>dzyuwH (C)</x:v>
      </x:c>
      <x:c r="F1511" s="6" t="str">
        <x:v>1</x:v>
      </x:c>
      <x:c r="G1511" s="6" t="str"/>
      <x:c r="H1511" s="6" t="str">
        <x:f>IF(B1511="平","平",IF(B1511="","","仄"))</x:f>
        <x:v>仄</x:v>
      </x:c>
      <x:c r="I1511" s="6" t="str">
        <x:f>IF(D1503="","",IF(AND(ISNUMBER(SEARCH("平",D1503)),OR(ISNUMBER(SEARCH("上",D1503)),ISNUMBER(SEARCH("去",D1503)),ISNUMBER(SEARCH("入",D1503)))),"Ambiguous",IF(ISNUMBER(SEARCH("平",D1503)),"平","仄")))</x:f>
        <x:v>仄</x:v>
      </x:c>
      <x:c r="J1511" s="7" t="str"/>
    </x:row>
    <x:row r="1512">
      <x:c r="A1512" s="5" t="str">
        <x:v>掌</x:v>
      </x:c>
      <x:c r="B1512" s="6" t="str">
        <x:v>上</x:v>
      </x:c>
      <x:c r="C1512" s="6" t="str">
        <x:f>IF(B1512="","Needs decision","Ready")</x:f>
        <x:v>Ready</x:v>
      </x:c>
      <x:c r="D1512" s="6" t="str">
        <x:v>上</x:v>
      </x:c>
      <x:c r="E1512" s="6" t="str">
        <x:v>tsyangX (B)</x:v>
      </x:c>
      <x:c r="F1512" s="6" t="str">
        <x:v>1</x:v>
      </x:c>
      <x:c r="G1512" s="6" t="str"/>
      <x:c r="H1512" s="6" t="str">
        <x:f>IF(B1512="平","平",IF(B1512="","","仄"))</x:f>
        <x:v>仄</x:v>
      </x:c>
      <x:c r="I1512" s="6" t="str">
        <x:f>IF(D1504="","",IF(AND(ISNUMBER(SEARCH("平",D1504)),OR(ISNUMBER(SEARCH("上",D1504)),ISNUMBER(SEARCH("去",D1504)),ISNUMBER(SEARCH("入",D1504)))),"Ambiguous",IF(ISNUMBER(SEARCH("平",D1504)),"平","仄")))</x:f>
        <x:v>仄</x:v>
      </x:c>
      <x:c r="J1512" s="7" t="str"/>
    </x:row>
    <x:row r="1513">
      <x:c r="A1513" s="5" t="str">
        <x:v>掎</x:v>
      </x:c>
      <x:c r="B1513" s="6" t="str"/>
      <x:c r="C1513" s="6" t="str">
        <x:f>IF(B1513="","Needs decision","Ready")</x:f>
        <x:v>Needs decision</x:v>
      </x:c>
      <x:c r="D1513" s="6" t="str">
        <x:v>平/上/去</x:v>
      </x:c>
      <x:c r="E1513" s="6" t="str">
        <x:v>khjeH [kʰɨ̯ieh] (去); kje [kɨ̯ie] (平); kjeX [kɨ̯ieʔ] (上)</x:v>
      </x:c>
      <x:c r="F1513" s="6" t="str">
        <x:v>3</x:v>
      </x:c>
      <x:c r="G1513" s="6" t="str">
        <x:v>Tang 300 gap; frequency 1; ambiguous in Xun Gong</x:v>
      </x:c>
      <x:c r="H1513" s="6" t="str">
        <x:f>IF(B1513="平","平",IF(B1513="","","仄"))</x:f>
      </x:c>
      <x:c r="I1513" s="6" t="str">
        <x:f>IF(D1505="","",IF(AND(ISNUMBER(SEARCH("平",D1505)),OR(ISNUMBER(SEARCH("上",D1505)),ISNUMBER(SEARCH("去",D1505)),ISNUMBER(SEARCH("入",D1505)))),"Ambiguous",IF(ISNUMBER(SEARCH("平",D1505)),"平","仄")))</x:f>
        <x:v>平</x:v>
      </x:c>
      <x:c r="J1513" s="7" t="str">
        <x:v>Xun Gong, Tang 300 gap fill</x:v>
      </x:c>
    </x:row>
    <x:row r="1514">
      <x:c r="A1514" s="5" t="str">
        <x:v>排</x:v>
      </x:c>
      <x:c r="B1514" s="6" t="str">
        <x:v>平</x:v>
      </x:c>
      <x:c r="C1514" s="6" t="str">
        <x:f>IF(B1514="","Needs decision","Ready")</x:f>
        <x:v>Ready</x:v>
      </x:c>
      <x:c r="D1514" s="6" t="str">
        <x:v>平</x:v>
      </x:c>
      <x:c r="E1514" s="6" t="str">
        <x:v>beaj (A)</x:v>
      </x:c>
      <x:c r="F1514" s="6" t="str">
        <x:v>1</x:v>
      </x:c>
      <x:c r="G1514" s="6" t="str"/>
      <x:c r="H1514" s="6" t="str">
        <x:f>IF(B1514="平","平",IF(B1514="","","仄"))</x:f>
        <x:v>平</x:v>
      </x:c>
      <x:c r="I1514" s="6" t="str">
        <x:f>IF(D1506="","",IF(AND(ISNUMBER(SEARCH("平",D1506)),OR(ISNUMBER(SEARCH("上",D1506)),ISNUMBER(SEARCH("去",D1506)),ISNUMBER(SEARCH("入",D1506)))),"Ambiguous",IF(ISNUMBER(SEARCH("平",D1506)),"平","仄")))</x:f>
        <x:v>Ambiguous</x:v>
      </x:c>
      <x:c r="J1514" s="7" t="str"/>
    </x:row>
    <x:row r="1515">
      <x:c r="A1515" s="5" t="str">
        <x:v>掖</x:v>
      </x:c>
      <x:c r="B1515" s="6" t="str">
        <x:v>入</x:v>
      </x:c>
      <x:c r="C1515" s="6" t="str">
        <x:f>IF(B1515="","Needs decision","Ready")</x:f>
        <x:v>Ready</x:v>
      </x:c>
      <x:c r="D1515" s="6" t="str">
        <x:v>入</x:v>
      </x:c>
      <x:c r="E1515" s="6" t="str">
        <x:v>yek (D)</x:v>
      </x:c>
      <x:c r="F1515" s="6" t="str">
        <x:v>1</x:v>
      </x:c>
      <x:c r="G1515" s="6" t="str"/>
      <x:c r="H1515" s="6" t="str">
        <x:f>IF(B1515="平","平",IF(B1515="","","仄"))</x:f>
        <x:v>仄</x:v>
      </x:c>
      <x:c r="I1515" s="6" t="str">
        <x:f>IF(D1507="","",IF(AND(ISNUMBER(SEARCH("平",D1507)),OR(ISNUMBER(SEARCH("上",D1507)),ISNUMBER(SEARCH("去",D1507)),ISNUMBER(SEARCH("入",D1507)))),"Ambiguous",IF(ISNUMBER(SEARCH("平",D1507)),"平","仄")))</x:f>
        <x:v>仄</x:v>
      </x:c>
      <x:c r="J1515" s="7" t="str"/>
    </x:row>
    <x:row r="1516">
      <x:c r="A1516" s="5" t="str">
        <x:v>掘</x:v>
      </x:c>
      <x:c r="B1516" s="6" t="str">
        <x:v>入</x:v>
      </x:c>
      <x:c r="C1516" s="6" t="str">
        <x:f>IF(B1516="","Needs decision","Ready")</x:f>
        <x:v>Ready</x:v>
      </x:c>
      <x:c r="D1516" s="6" t="str">
        <x:v>入</x:v>
      </x:c>
      <x:c r="E1516" s="6" t="str">
        <x:v>gjut (D); gjwot (D)</x:v>
      </x:c>
      <x:c r="F1516" s="6" t="str">
        <x:v>2</x:v>
      </x:c>
      <x:c r="G1516" s="6" t="str"/>
      <x:c r="H1516" s="6" t="str">
        <x:f>IF(B1516="平","平",IF(B1516="","","仄"))</x:f>
        <x:v>仄</x:v>
      </x:c>
      <x:c r="I1516" s="6" t="str">
        <x:f>IF(D1508="","",IF(AND(ISNUMBER(SEARCH("平",D1508)),OR(ISNUMBER(SEARCH("上",D1508)),ISNUMBER(SEARCH("去",D1508)),ISNUMBER(SEARCH("入",D1508)))),"Ambiguous",IF(ISNUMBER(SEARCH("平",D1508)),"平","仄")))</x:f>
        <x:v>仄</x:v>
      </x:c>
      <x:c r="J1516" s="7" t="str"/>
    </x:row>
    <x:row r="1517">
      <x:c r="A1517" s="5" t="str">
        <x:v>掛</x:v>
      </x:c>
      <x:c r="B1517" s="6" t="str">
        <x:v>去</x:v>
      </x:c>
      <x:c r="C1517" s="6" t="str">
        <x:f>IF(B1517="","Needs decision","Ready")</x:f>
        <x:v>Ready</x:v>
      </x:c>
      <x:c r="D1517" s="6" t="str">
        <x:v>去</x:v>
      </x:c>
      <x:c r="E1517" s="6" t="str">
        <x:v>kweaH [qweˤh] (去)</x:v>
      </x:c>
      <x:c r="F1517" s="6" t="str">
        <x:v>1</x:v>
      </x:c>
      <x:c r="G1517" s="6" t="str">
        <x:v>Tang 300 gap; frequency 1; provisional from Xun Gong</x:v>
      </x:c>
      <x:c r="H1517" s="6" t="str">
        <x:f>IF(B1517="平","平",IF(B1517="","","仄"))</x:f>
        <x:v>仄</x:v>
      </x:c>
      <x:c r="I1517" s="6" t="str">
        <x:f>IF(D1509="","",IF(AND(ISNUMBER(SEARCH("平",D1509)),OR(ISNUMBER(SEARCH("上",D1509)),ISNUMBER(SEARCH("去",D1509)),ISNUMBER(SEARCH("入",D1509)))),"Ambiguous",IF(ISNUMBER(SEARCH("平",D1509)),"平","仄")))</x:f>
        <x:v>仄</x:v>
      </x:c>
      <x:c r="J1517" s="7" t="str">
        <x:v>Xun Gong, Tang 300 gap fill</x:v>
      </x:c>
    </x:row>
    <x:row r="1518">
      <x:c r="A1518" s="5" t="str">
        <x:v>採</x:v>
      </x:c>
      <x:c r="B1518" s="6" t="str">
        <x:v>上</x:v>
      </x:c>
      <x:c r="C1518" s="6" t="str">
        <x:f>IF(B1518="","Needs decision","Ready")</x:f>
        <x:v>Ready</x:v>
      </x:c>
      <x:c r="D1518" s="6" t="str">
        <x:v>上</x:v>
      </x:c>
      <x:c r="E1518" s="6" t="str">
        <x:v>tshojX (B)</x:v>
      </x:c>
      <x:c r="F1518" s="6" t="str">
        <x:v>1</x:v>
      </x:c>
      <x:c r="G1518" s="6" t="str"/>
      <x:c r="H1518" s="6" t="str">
        <x:f>IF(B1518="平","平",IF(B1518="","","仄"))</x:f>
        <x:v>仄</x:v>
      </x:c>
      <x:c r="I1518" s="6" t="str">
        <x:f>IF(D1510="","",IF(AND(ISNUMBER(SEARCH("平",D1510)),OR(ISNUMBER(SEARCH("上",D1510)),ISNUMBER(SEARCH("去",D1510)),ISNUMBER(SEARCH("入",D1510)))),"Ambiguous",IF(ISNUMBER(SEARCH("平",D1510)),"平","仄")))</x:f>
        <x:v>仄</x:v>
      </x:c>
      <x:c r="J1518" s="7" t="str"/>
    </x:row>
    <x:row r="1519">
      <x:c r="A1519" s="5" t="str">
        <x:v>探</x:v>
      </x:c>
      <x:c r="B1519" s="6" t="str">
        <x:v>平</x:v>
      </x:c>
      <x:c r="C1519" s="6" t="str">
        <x:f>IF(B1519="","Needs decision","Ready")</x:f>
        <x:v>Ready</x:v>
      </x:c>
      <x:c r="D1519" s="6" t="str">
        <x:v>平</x:v>
      </x:c>
      <x:c r="E1519" s="6" t="str">
        <x:v>thom (A)</x:v>
      </x:c>
      <x:c r="F1519" s="6" t="str">
        <x:v>1</x:v>
      </x:c>
      <x:c r="G1519" s="6" t="str"/>
      <x:c r="H1519" s="6" t="str">
        <x:f>IF(B1519="平","平",IF(B1519="","","仄"))</x:f>
        <x:v>平</x:v>
      </x:c>
      <x:c r="I1519" s="6" t="str">
        <x:f>IF(D1511="","",IF(AND(ISNUMBER(SEARCH("平",D1511)),OR(ISNUMBER(SEARCH("上",D1511)),ISNUMBER(SEARCH("去",D1511)),ISNUMBER(SEARCH("入",D1511)))),"Ambiguous",IF(ISNUMBER(SEARCH("平",D1511)),"平","仄")))</x:f>
        <x:v>仄</x:v>
      </x:c>
      <x:c r="J1519" s="7" t="str"/>
    </x:row>
    <x:row r="1520">
      <x:c r="A1520" s="5" t="str">
        <x:v>掣</x:v>
      </x:c>
      <x:c r="B1520" s="6" t="str"/>
      <x:c r="C1520" s="6" t="str">
        <x:f>IF(B1520="","Needs decision","Ready")</x:f>
        <x:v>Needs decision</x:v>
      </x:c>
      <x:c r="D1520" s="6" t="str">
        <x:v>去/入</x:v>
      </x:c>
      <x:c r="E1520" s="6" t="str">
        <x:v>tsyhejH [tɕʰejh] (去); tsyhet [tɕʰet] (入)</x:v>
      </x:c>
      <x:c r="F1520" s="6" t="str">
        <x:v>2</x:v>
      </x:c>
      <x:c r="G1520" s="6" t="str">
        <x:v>Tang 300 gap; frequency 1; ambiguous in Xun Gong</x:v>
      </x:c>
      <x:c r="H1520" s="6" t="str">
        <x:f>IF(B1520="平","平",IF(B1520="","","仄"))</x:f>
      </x:c>
      <x:c r="I1520" s="6" t="str">
        <x:f>IF(D1512="","",IF(AND(ISNUMBER(SEARCH("平",D1512)),OR(ISNUMBER(SEARCH("上",D1512)),ISNUMBER(SEARCH("去",D1512)),ISNUMBER(SEARCH("入",D1512)))),"Ambiguous",IF(ISNUMBER(SEARCH("平",D1512)),"平","仄")))</x:f>
        <x:v>仄</x:v>
      </x:c>
      <x:c r="J1520" s="7" t="str">
        <x:v>Xun Gong, Tang 300 gap fill</x:v>
      </x:c>
    </x:row>
    <x:row r="1521">
      <x:c r="A1521" s="5" t="str">
        <x:v>接</x:v>
      </x:c>
      <x:c r="B1521" s="6" t="str">
        <x:v>入</x:v>
      </x:c>
      <x:c r="C1521" s="6" t="str">
        <x:f>IF(B1521="","Needs decision","Ready")</x:f>
        <x:v>Ready</x:v>
      </x:c>
      <x:c r="D1521" s="6" t="str">
        <x:v>入</x:v>
      </x:c>
      <x:c r="E1521" s="6" t="str">
        <x:v>tsjep (D)</x:v>
      </x:c>
      <x:c r="F1521" s="6" t="str">
        <x:v>1</x:v>
      </x:c>
      <x:c r="G1521" s="6" t="str"/>
      <x:c r="H1521" s="6" t="str">
        <x:f>IF(B1521="平","平",IF(B1521="","","仄"))</x:f>
        <x:v>仄</x:v>
      </x:c>
      <x:c r="I1521" s="6" t="str">
        <x:f>IF(D1513="","",IF(AND(ISNUMBER(SEARCH("平",D1513)),OR(ISNUMBER(SEARCH("上",D1513)),ISNUMBER(SEARCH("去",D1513)),ISNUMBER(SEARCH("入",D1513)))),"Ambiguous",IF(ISNUMBER(SEARCH("平",D1513)),"平","仄")))</x:f>
        <x:v>Ambiguous</x:v>
      </x:c>
      <x:c r="J1521" s="7" t="str"/>
    </x:row>
    <x:row r="1522">
      <x:c r="A1522" s="5" t="str">
        <x:v>控</x:v>
      </x:c>
      <x:c r="B1522" s="6" t="str">
        <x:v>去</x:v>
      </x:c>
      <x:c r="C1522" s="6" t="str">
        <x:f>IF(B1522="","Needs decision","Ready")</x:f>
        <x:v>Ready</x:v>
      </x:c>
      <x:c r="D1522" s="6" t="str">
        <x:v>去</x:v>
      </x:c>
      <x:c r="E1522" s="6" t="str">
        <x:v>khuwngH (C)</x:v>
      </x:c>
      <x:c r="F1522" s="6" t="str">
        <x:v>1</x:v>
      </x:c>
      <x:c r="G1522" s="6" t="str"/>
      <x:c r="H1522" s="6" t="str">
        <x:f>IF(B1522="平","平",IF(B1522="","","仄"))</x:f>
        <x:v>仄</x:v>
      </x:c>
      <x:c r="I1522" s="6" t="str">
        <x:f>IF(D1514="","",IF(AND(ISNUMBER(SEARCH("平",D1514)),OR(ISNUMBER(SEARCH("上",D1514)),ISNUMBER(SEARCH("去",D1514)),ISNUMBER(SEARCH("入",D1514)))),"Ambiguous",IF(ISNUMBER(SEARCH("平",D1514)),"平","仄")))</x:f>
        <x:v>平</x:v>
      </x:c>
      <x:c r="J1522" s="7" t="str"/>
    </x:row>
    <x:row r="1523">
      <x:c r="A1523" s="5" t="str">
        <x:v>推</x:v>
      </x:c>
      <x:c r="B1523" s="6" t="str">
        <x:v>平</x:v>
      </x:c>
      <x:c r="C1523" s="6" t="str">
        <x:f>IF(B1523="","Needs decision","Ready")</x:f>
        <x:v>Ready</x:v>
      </x:c>
      <x:c r="D1523" s="6" t="str">
        <x:v>平</x:v>
      </x:c>
      <x:c r="E1523" s="6" t="str">
        <x:v>thwoj (A)</x:v>
      </x:c>
      <x:c r="F1523" s="6" t="str">
        <x:v>1</x:v>
      </x:c>
      <x:c r="G1523" s="6" t="str"/>
      <x:c r="H1523" s="6" t="str">
        <x:f>IF(B1523="平","平",IF(B1523="","","仄"))</x:f>
        <x:v>平</x:v>
      </x:c>
      <x:c r="I1523" s="6" t="str">
        <x:f>IF(D1515="","",IF(AND(ISNUMBER(SEARCH("平",D1515)),OR(ISNUMBER(SEARCH("上",D1515)),ISNUMBER(SEARCH("去",D1515)),ISNUMBER(SEARCH("入",D1515)))),"Ambiguous",IF(ISNUMBER(SEARCH("平",D1515)),"平","仄")))</x:f>
        <x:v>仄</x:v>
      </x:c>
      <x:c r="J1523" s="7" t="str"/>
    </x:row>
    <x:row r="1524">
      <x:c r="A1524" s="5" t="str">
        <x:v>掩</x:v>
      </x:c>
      <x:c r="B1524" s="6" t="str">
        <x:v>上</x:v>
      </x:c>
      <x:c r="C1524" s="6" t="str">
        <x:f>IF(B1524="","Needs decision","Ready")</x:f>
        <x:v>Ready</x:v>
      </x:c>
      <x:c r="D1524" s="6" t="str">
        <x:v>上</x:v>
      </x:c>
      <x:c r="E1524" s="6" t="str"/>
      <x:c r="F1524" s="6" t="str"/>
      <x:c r="G1524" s="6" t="str">
        <x:v>Manual user correction/addition</x:v>
      </x:c>
      <x:c r="H1524" s="6" t="str">
        <x:f>IF(B1524="平","平",IF(B1524="","","仄"))</x:f>
        <x:v>仄</x:v>
      </x:c>
      <x:c r="I1524" s="6" t="str">
        <x:f>IF(D1516="","",IF(AND(ISNUMBER(SEARCH("平",D1516)),OR(ISNUMBER(SEARCH("上",D1516)),ISNUMBER(SEARCH("去",D1516)),ISNUMBER(SEARCH("入",D1516)))),"Ambiguous",IF(ISNUMBER(SEARCH("平",D1516)),"平","仄")))</x:f>
        <x:v>仄</x:v>
      </x:c>
      <x:c r="J1524" s="7" t="str">
        <x:v>manual user correction</x:v>
      </x:c>
    </x:row>
    <x:row r="1525">
      <x:c r="A1525" s="5" t="str">
        <x:v>措</x:v>
      </x:c>
      <x:c r="B1525" s="6" t="str">
        <x:v>去</x:v>
      </x:c>
      <x:c r="C1525" s="6" t="str">
        <x:f>IF(B1525="","Needs decision","Ready")</x:f>
        <x:v>Ready</x:v>
      </x:c>
      <x:c r="D1525" s="6" t="str">
        <x:v>去</x:v>
      </x:c>
      <x:c r="E1525" s="6" t="str">
        <x:v>tshuH (C)</x:v>
      </x:c>
      <x:c r="F1525" s="6" t="str">
        <x:v>1</x:v>
      </x:c>
      <x:c r="G1525" s="6" t="str"/>
      <x:c r="H1525" s="6" t="str">
        <x:f>IF(B1525="平","平",IF(B1525="","","仄"))</x:f>
        <x:v>仄</x:v>
      </x:c>
      <x:c r="I1525" s="6" t="str">
        <x:f>IF(D1517="","",IF(AND(ISNUMBER(SEARCH("平",D1517)),OR(ISNUMBER(SEARCH("上",D1517)),ISNUMBER(SEARCH("去",D1517)),ISNUMBER(SEARCH("入",D1517)))),"Ambiguous",IF(ISNUMBER(SEARCH("平",D1517)),"平","仄")))</x:f>
        <x:v>仄</x:v>
      </x:c>
      <x:c r="J1525" s="7" t="str"/>
    </x:row>
    <x:row r="1526">
      <x:c r="A1526" s="5" t="str">
        <x:v>掫</x:v>
      </x:c>
      <x:c r="B1526" s="6" t="str"/>
      <x:c r="C1526" s="6" t="str">
        <x:f>IF(B1526="","Needs decision","Ready")</x:f>
        <x:v>Needs decision</x:v>
      </x:c>
      <x:c r="D1526" s="6" t="str">
        <x:v>平/上</x:v>
      </x:c>
      <x:c r="E1526" s="6" t="str">
        <x:v>tsju (A); tsrjuw (A); tsrjuwX (B)</x:v>
      </x:c>
      <x:c r="F1526" s="6" t="str">
        <x:v>3</x:v>
      </x:c>
      <x:c r="G1526" s="6" t="str"/>
      <x:c r="H1526" s="6" t="str">
        <x:f>IF(B1526="平","平",IF(B1526="","","仄"))</x:f>
      </x:c>
      <x:c r="I1526" s="6" t="str">
        <x:f>IF(D1518="","",IF(AND(ISNUMBER(SEARCH("平",D1518)),OR(ISNUMBER(SEARCH("上",D1518)),ISNUMBER(SEARCH("去",D1518)),ISNUMBER(SEARCH("入",D1518)))),"Ambiguous",IF(ISNUMBER(SEARCH("平",D1518)),"平","仄")))</x:f>
        <x:v>仄</x:v>
      </x:c>
      <x:c r="J1526" s="7" t="str"/>
    </x:row>
    <x:row r="1527">
      <x:c r="A1527" s="5" t="str">
        <x:v>掬</x:v>
      </x:c>
      <x:c r="B1527" s="6" t="str">
        <x:v>入</x:v>
      </x:c>
      <x:c r="C1527" s="6" t="str">
        <x:f>IF(B1527="","Needs decision","Ready")</x:f>
        <x:v>Ready</x:v>
      </x:c>
      <x:c r="D1527" s="6" t="str">
        <x:v>入</x:v>
      </x:c>
      <x:c r="E1527" s="6" t="str">
        <x:v>kjuwk [kɨ̯uk] (入)</x:v>
      </x:c>
      <x:c r="F1527" s="6" t="str">
        <x:v>1</x:v>
      </x:c>
      <x:c r="G1527" s="6" t="str">
        <x:v>Tang 300 gap; frequency 1; provisional from Xun Gong</x:v>
      </x:c>
      <x:c r="H1527" s="6" t="str">
        <x:f>IF(B1527="平","平",IF(B1527="","","仄"))</x:f>
        <x:v>仄</x:v>
      </x:c>
      <x:c r="I1527" s="6" t="str">
        <x:f>IF(D1519="","",IF(AND(ISNUMBER(SEARCH("平",D1519)),OR(ISNUMBER(SEARCH("上",D1519)),ISNUMBER(SEARCH("去",D1519)),ISNUMBER(SEARCH("入",D1519)))),"Ambiguous",IF(ISNUMBER(SEARCH("平",D1519)),"平","仄")))</x:f>
        <x:v>平</x:v>
      </x:c>
      <x:c r="J1527" s="7" t="str">
        <x:v>Xun Gong, Tang 300 gap fill</x:v>
      </x:c>
    </x:row>
    <x:row r="1528">
      <x:c r="A1528" s="5" t="str">
        <x:v>掾</x:v>
      </x:c>
      <x:c r="B1528" s="6" t="str">
        <x:v>去</x:v>
      </x:c>
      <x:c r="C1528" s="6" t="str">
        <x:f>IF(B1528="","Needs decision","Ready")</x:f>
        <x:v>Ready</x:v>
      </x:c>
      <x:c r="D1528" s="6" t="str">
        <x:v>去</x:v>
      </x:c>
      <x:c r="E1528" s="6" t="str">
        <x:v>ywenH [jwenh] (去)</x:v>
      </x:c>
      <x:c r="F1528" s="6" t="str">
        <x:v>1</x:v>
      </x:c>
      <x:c r="G1528" s="6" t="str">
        <x:v>Tang 300 gap; frequency 1; provisional from Xun Gong</x:v>
      </x:c>
      <x:c r="H1528" s="6" t="str">
        <x:f>IF(B1528="平","平",IF(B1528="","","仄"))</x:f>
        <x:v>仄</x:v>
      </x:c>
      <x:c r="I1528" s="6" t="str">
        <x:f>IF(D1520="","",IF(AND(ISNUMBER(SEARCH("平",D1520)),OR(ISNUMBER(SEARCH("上",D1520)),ISNUMBER(SEARCH("去",D1520)),ISNUMBER(SEARCH("入",D1520)))),"Ambiguous",IF(ISNUMBER(SEARCH("平",D1520)),"平","仄")))</x:f>
        <x:v>仄</x:v>
      </x:c>
      <x:c r="J1528" s="7" t="str">
        <x:v>Xun Gong, Tang 300 gap fill</x:v>
      </x:c>
    </x:row>
    <x:row r="1529">
      <x:c r="A1529" s="5" t="str">
        <x:v>揀</x:v>
      </x:c>
      <x:c r="B1529" s="6" t="str">
        <x:v>上</x:v>
      </x:c>
      <x:c r="C1529" s="6" t="str">
        <x:f>IF(B1529="","Needs decision","Ready")</x:f>
        <x:v>Ready</x:v>
      </x:c>
      <x:c r="D1529" s="6" t="str">
        <x:v>上</x:v>
      </x:c>
      <x:c r="E1529" s="6" t="str">
        <x:v>keanX (B)</x:v>
      </x:c>
      <x:c r="F1529" s="6" t="str">
        <x:v>1</x:v>
      </x:c>
      <x:c r="G1529" s="6" t="str"/>
      <x:c r="H1529" s="6" t="str">
        <x:f>IF(B1529="平","平",IF(B1529="","","仄"))</x:f>
        <x:v>仄</x:v>
      </x:c>
      <x:c r="I1529" s="6" t="str">
        <x:f>IF(D1521="","",IF(AND(ISNUMBER(SEARCH("平",D1521)),OR(ISNUMBER(SEARCH("上",D1521)),ISNUMBER(SEARCH("去",D1521)),ISNUMBER(SEARCH("入",D1521)))),"Ambiguous",IF(ISNUMBER(SEARCH("平",D1521)),"平","仄")))</x:f>
        <x:v>仄</x:v>
      </x:c>
      <x:c r="J1529" s="7" t="str"/>
    </x:row>
    <x:row r="1530">
      <x:c r="A1530" s="5" t="str">
        <x:v>揆</x:v>
      </x:c>
      <x:c r="B1530" s="6" t="str">
        <x:v>上</x:v>
      </x:c>
      <x:c r="C1530" s="6" t="str">
        <x:f>IF(B1530="","Needs decision","Ready")</x:f>
        <x:v>Ready</x:v>
      </x:c>
      <x:c r="D1530" s="6" t="str">
        <x:v>上</x:v>
      </x:c>
      <x:c r="E1530" s="6" t="str">
        <x:v>gjwijX (B)</x:v>
      </x:c>
      <x:c r="F1530" s="6" t="str">
        <x:v>1</x:v>
      </x:c>
      <x:c r="G1530" s="6" t="str"/>
      <x:c r="H1530" s="6" t="str">
        <x:f>IF(B1530="平","平",IF(B1530="","","仄"))</x:f>
        <x:v>仄</x:v>
      </x:c>
      <x:c r="I1530" s="6" t="str">
        <x:f>IF(D1522="","",IF(AND(ISNUMBER(SEARCH("平",D1522)),OR(ISNUMBER(SEARCH("上",D1522)),ISNUMBER(SEARCH("去",D1522)),ISNUMBER(SEARCH("入",D1522)))),"Ambiguous",IF(ISNUMBER(SEARCH("平",D1522)),"平","仄")))</x:f>
        <x:v>仄</x:v>
      </x:c>
      <x:c r="J1530" s="7" t="str"/>
    </x:row>
    <x:row r="1531">
      <x:c r="A1531" s="5" t="str">
        <x:v>提</x:v>
      </x:c>
      <x:c r="B1531" s="6" t="str">
        <x:v>平</x:v>
      </x:c>
      <x:c r="C1531" s="6" t="str">
        <x:f>IF(B1531="","Needs decision","Ready")</x:f>
        <x:v>Ready</x:v>
      </x:c>
      <x:c r="D1531" s="6" t="str">
        <x:v>平</x:v>
      </x:c>
      <x:c r="E1531" s="6" t="str">
        <x:v>dej (A)</x:v>
      </x:c>
      <x:c r="F1531" s="6" t="str">
        <x:v>1</x:v>
      </x:c>
      <x:c r="G1531" s="6" t="str"/>
      <x:c r="H1531" s="6" t="str">
        <x:f>IF(B1531="平","平",IF(B1531="","","仄"))</x:f>
        <x:v>平</x:v>
      </x:c>
      <x:c r="I1531" s="6" t="str">
        <x:f>IF(D1523="","",IF(AND(ISNUMBER(SEARCH("平",D1523)),OR(ISNUMBER(SEARCH("上",D1523)),ISNUMBER(SEARCH("去",D1523)),ISNUMBER(SEARCH("入",D1523)))),"Ambiguous",IF(ISNUMBER(SEARCH("平",D1523)),"平","仄")))</x:f>
        <x:v>平</x:v>
      </x:c>
      <x:c r="J1531" s="7" t="str"/>
    </x:row>
    <x:row r="1532">
      <x:c r="A1532" s="5" t="str">
        <x:v>插</x:v>
      </x:c>
      <x:c r="B1532" s="6" t="str">
        <x:v>入</x:v>
      </x:c>
      <x:c r="C1532" s="6" t="str">
        <x:f>IF(B1532="","Needs decision","Ready")</x:f>
        <x:v>Ready</x:v>
      </x:c>
      <x:c r="D1532" s="6" t="str">
        <x:v>入</x:v>
      </x:c>
      <x:c r="E1532" s="6" t="str">
        <x:v>tsrheap (D)</x:v>
      </x:c>
      <x:c r="F1532" s="6" t="str">
        <x:v>1</x:v>
      </x:c>
      <x:c r="G1532" s="6" t="str"/>
      <x:c r="H1532" s="6" t="str">
        <x:f>IF(B1532="平","平",IF(B1532="","","仄"))</x:f>
        <x:v>仄</x:v>
      </x:c>
      <x:c r="I1532" s="6" t="str">
        <x:f>IF(D1524="","",IF(AND(ISNUMBER(SEARCH("平",D1524)),OR(ISNUMBER(SEARCH("上",D1524)),ISNUMBER(SEARCH("去",D1524)),ISNUMBER(SEARCH("入",D1524)))),"Ambiguous",IF(ISNUMBER(SEARCH("平",D1524)),"平","仄")))</x:f>
        <x:v>仄</x:v>
      </x:c>
      <x:c r="J1532" s="7" t="str"/>
    </x:row>
    <x:row r="1533">
      <x:c r="A1533" s="5" t="str">
        <x:v>揔</x:v>
      </x:c>
      <x:c r="B1533" s="6" t="str"/>
      <x:c r="C1533" s="6" t="str">
        <x:f>IF(B1533="","Needs decision","Ready")</x:f>
        <x:v>Needs decision</x:v>
      </x:c>
      <x:c r="D1533" s="6" t="str">
        <x:v>平/上</x:v>
      </x:c>
      <x:c r="E1533" s="6" t="str">
        <x:v>tsuwng (A); tsuwngX (B)</x:v>
      </x:c>
      <x:c r="F1533" s="6" t="str">
        <x:v>2</x:v>
      </x:c>
      <x:c r="G1533" s="6" t="str"/>
      <x:c r="H1533" s="6" t="str">
        <x:f>IF(B1533="平","平",IF(B1533="","","仄"))</x:f>
      </x:c>
      <x:c r="I1533" s="6" t="str">
        <x:f>IF(D1525="","",IF(AND(ISNUMBER(SEARCH("平",D1525)),OR(ISNUMBER(SEARCH("上",D1525)),ISNUMBER(SEARCH("去",D1525)),ISNUMBER(SEARCH("入",D1525)))),"Ambiguous",IF(ISNUMBER(SEARCH("平",D1525)),"平","仄")))</x:f>
        <x:v>仄</x:v>
      </x:c>
      <x:c r="J1533" s="7" t="str"/>
    </x:row>
    <x:row r="1534">
      <x:c r="A1534" s="5" t="str">
        <x:v>揖</x:v>
      </x:c>
      <x:c r="B1534" s="6" t="str">
        <x:v>入</x:v>
      </x:c>
      <x:c r="C1534" s="6" t="str">
        <x:f>IF(B1534="","Needs decision","Ready")</x:f>
        <x:v>Ready</x:v>
      </x:c>
      <x:c r="D1534" s="6" t="str">
        <x:v>入</x:v>
      </x:c>
      <x:c r="E1534" s="6" t="str">
        <x:v>tsip (D); 'jip (D)</x:v>
      </x:c>
      <x:c r="F1534" s="6" t="str">
        <x:v>2</x:v>
      </x:c>
      <x:c r="G1534" s="6" t="str"/>
      <x:c r="H1534" s="6" t="str">
        <x:f>IF(B1534="平","平",IF(B1534="","","仄"))</x:f>
        <x:v>仄</x:v>
      </x:c>
      <x:c r="I1534" s="6" t="str">
        <x:f>IF(D1526="","",IF(AND(ISNUMBER(SEARCH("平",D1526)),OR(ISNUMBER(SEARCH("上",D1526)),ISNUMBER(SEARCH("去",D1526)),ISNUMBER(SEARCH("入",D1526)))),"Ambiguous",IF(ISNUMBER(SEARCH("平",D1526)),"平","仄")))</x:f>
        <x:v>Ambiguous</x:v>
      </x:c>
      <x:c r="J1534" s="7" t="str"/>
    </x:row>
    <x:row r="1535">
      <x:c r="A1535" s="5" t="str">
        <x:v>揚</x:v>
      </x:c>
      <x:c r="B1535" s="6" t="str">
        <x:v>平</x:v>
      </x:c>
      <x:c r="C1535" s="6" t="str">
        <x:f>IF(B1535="","Needs decision","Ready")</x:f>
        <x:v>Ready</x:v>
      </x:c>
      <x:c r="D1535" s="6" t="str">
        <x:v>平</x:v>
      </x:c>
      <x:c r="E1535" s="6" t="str">
        <x:v>yang (A)</x:v>
      </x:c>
      <x:c r="F1535" s="6" t="str">
        <x:v>1</x:v>
      </x:c>
      <x:c r="G1535" s="6" t="str"/>
      <x:c r="H1535" s="6" t="str">
        <x:f>IF(B1535="平","平",IF(B1535="","","仄"))</x:f>
        <x:v>平</x:v>
      </x:c>
      <x:c r="I1535" s="6" t="str">
        <x:f>IF(D1527="","",IF(AND(ISNUMBER(SEARCH("平",D1527)),OR(ISNUMBER(SEARCH("上",D1527)),ISNUMBER(SEARCH("去",D1527)),ISNUMBER(SEARCH("入",D1527)))),"Ambiguous",IF(ISNUMBER(SEARCH("平",D1527)),"平","仄")))</x:f>
        <x:v>仄</x:v>
      </x:c>
      <x:c r="J1535" s="7" t="str"/>
    </x:row>
    <x:row r="1536">
      <x:c r="A1536" s="5" t="str">
        <x:v>換</x:v>
      </x:c>
      <x:c r="B1536" s="6" t="str">
        <x:v>去</x:v>
      </x:c>
      <x:c r="C1536" s="6" t="str">
        <x:f>IF(B1536="","Needs decision","Ready")</x:f>
        <x:v>Ready</x:v>
      </x:c>
      <x:c r="D1536" s="6" t="str">
        <x:v>去</x:v>
      </x:c>
      <x:c r="E1536" s="6" t="str">
        <x:v>hwanH (C)</x:v>
      </x:c>
      <x:c r="F1536" s="6" t="str">
        <x:v>1</x:v>
      </x:c>
      <x:c r="G1536" s="6" t="str"/>
      <x:c r="H1536" s="6" t="str">
        <x:f>IF(B1536="平","平",IF(B1536="","","仄"))</x:f>
        <x:v>仄</x:v>
      </x:c>
      <x:c r="I1536" s="6" t="str">
        <x:f>IF(D1528="","",IF(AND(ISNUMBER(SEARCH("平",D1528)),OR(ISNUMBER(SEARCH("上",D1528)),ISNUMBER(SEARCH("去",D1528)),ISNUMBER(SEARCH("入",D1528)))),"Ambiguous",IF(ISNUMBER(SEARCH("平",D1528)),"平","仄")))</x:f>
        <x:v>仄</x:v>
      </x:c>
      <x:c r="J1536" s="7" t="str"/>
    </x:row>
    <x:row r="1537">
      <x:c r="A1537" s="5" t="str">
        <x:v>揠</x:v>
      </x:c>
      <x:c r="B1537" s="6" t="str">
        <x:v>入</x:v>
      </x:c>
      <x:c r="C1537" s="6" t="str">
        <x:f>IF(B1537="","Needs decision","Ready")</x:f>
        <x:v>Ready</x:v>
      </x:c>
      <x:c r="D1537" s="6" t="str">
        <x:v>入</x:v>
      </x:c>
      <x:c r="E1537" s="6" t="str">
        <x:v>'eat (D)</x:v>
      </x:c>
      <x:c r="F1537" s="6" t="str">
        <x:v>1</x:v>
      </x:c>
      <x:c r="G1537" s="6" t="str"/>
      <x:c r="H1537" s="6" t="str">
        <x:f>IF(B1537="平","平",IF(B1537="","","仄"))</x:f>
        <x:v>仄</x:v>
      </x:c>
      <x:c r="I1537" s="6" t="str">
        <x:f>IF(D1529="","",IF(AND(ISNUMBER(SEARCH("平",D1529)),OR(ISNUMBER(SEARCH("上",D1529)),ISNUMBER(SEARCH("去",D1529)),ISNUMBER(SEARCH("入",D1529)))),"Ambiguous",IF(ISNUMBER(SEARCH("平",D1529)),"平","仄")))</x:f>
        <x:v>仄</x:v>
      </x:c>
      <x:c r="J1537" s="7" t="str"/>
    </x:row>
    <x:row r="1538">
      <x:c r="A1538" s="5" t="str">
        <x:v>握</x:v>
      </x:c>
      <x:c r="B1538" s="6" t="str">
        <x:v>入</x:v>
      </x:c>
      <x:c r="C1538" s="6" t="str">
        <x:f>IF(B1538="","Needs decision","Ready")</x:f>
        <x:v>Ready</x:v>
      </x:c>
      <x:c r="D1538" s="6" t="str">
        <x:v>入</x:v>
      </x:c>
      <x:c r="E1538" s="6" t="str">
        <x:v>'aewk [影二江入] ʔ̙oˤk</x:v>
      </x:c>
      <x:c r="F1538" s="6" t="str">
        <x:v>1</x:v>
      </x:c>
      <x:c r="G1538" s="6" t="str">
        <x:v>Targeted preliminary fill from Xun Gong; review if uncertain</x:v>
      </x:c>
      <x:c r="H1538" s="6" t="str">
        <x:f>IF(B1538="平","平",IF(B1538="","","仄"))</x:f>
        <x:v>仄</x:v>
      </x:c>
      <x:c r="I1538" s="6" t="str">
        <x:f>IF(D1530="","",IF(AND(ISNUMBER(SEARCH("平",D1530)),OR(ISNUMBER(SEARCH("上",D1530)),ISNUMBER(SEARCH("去",D1530)),ISNUMBER(SEARCH("入",D1530)))),"Ambiguous",IF(ISNUMBER(SEARCH("平",D1530)),"平","仄")))</x:f>
        <x:v>仄</x:v>
      </x:c>
      <x:c r="J1538" s="7" t="str">
        <x:v>Xun Gong character-readings.csv</x:v>
      </x:c>
    </x:row>
    <x:row r="1539">
      <x:c r="A1539" s="5" t="str">
        <x:v>揣</x:v>
      </x:c>
      <x:c r="B1539" s="6" t="str">
        <x:v>上</x:v>
      </x:c>
      <x:c r="C1539" s="6" t="str">
        <x:f>IF(B1539="","Needs decision","Ready")</x:f>
        <x:v>Ready</x:v>
      </x:c>
      <x:c r="D1539" s="6" t="str">
        <x:v>上</x:v>
      </x:c>
      <x:c r="E1539" s="6" t="str">
        <x:v>tsrhjweX (B)</x:v>
      </x:c>
      <x:c r="F1539" s="6" t="str">
        <x:v>1</x:v>
      </x:c>
      <x:c r="G1539" s="6" t="str"/>
      <x:c r="H1539" s="6" t="str">
        <x:f>IF(B1539="平","平",IF(B1539="","","仄"))</x:f>
        <x:v>仄</x:v>
      </x:c>
      <x:c r="I1539" s="6" t="str">
        <x:f>IF(D1531="","",IF(AND(ISNUMBER(SEARCH("平",D1531)),OR(ISNUMBER(SEARCH("上",D1531)),ISNUMBER(SEARCH("去",D1531)),ISNUMBER(SEARCH("入",D1531)))),"Ambiguous",IF(ISNUMBER(SEARCH("平",D1531)),"平","仄")))</x:f>
        <x:v>平</x:v>
      </x:c>
      <x:c r="J1539" s="7" t="str"/>
    </x:row>
    <x:row r="1540">
      <x:c r="A1540" s="5" t="str">
        <x:v>揭</x:v>
      </x:c>
      <x:c r="B1540" s="6" t="str"/>
      <x:c r="C1540" s="6" t="str">
        <x:f>IF(B1540="","Needs decision","Ready")</x:f>
        <x:v>Needs decision</x:v>
      </x:c>
      <x:c r="D1540" s="6" t="str">
        <x:v>入/去</x:v>
      </x:c>
      <x:c r="E1540" s="6" t="str">
        <x:v>gjet (D); gjot (D); khjejH (C); khjet (D); kjot (D)</x:v>
      </x:c>
      <x:c r="F1540" s="6" t="str">
        <x:v>5</x:v>
      </x:c>
      <x:c r="G1540" s="6" t="str"/>
      <x:c r="H1540" s="6" t="str">
        <x:f>IF(B1540="平","平",IF(B1540="","","仄"))</x:f>
      </x:c>
      <x:c r="I1540" s="6" t="str">
        <x:f>IF(D1532="","",IF(AND(ISNUMBER(SEARCH("平",D1532)),OR(ISNUMBER(SEARCH("上",D1532)),ISNUMBER(SEARCH("去",D1532)),ISNUMBER(SEARCH("入",D1532)))),"Ambiguous",IF(ISNUMBER(SEARCH("平",D1532)),"平","仄")))</x:f>
        <x:v>仄</x:v>
      </x:c>
      <x:c r="J1540" s="7" t="str"/>
    </x:row>
    <x:row r="1541">
      <x:c r="A1541" s="5" t="str">
        <x:v>揮</x:v>
      </x:c>
      <x:c r="B1541" s="6" t="str">
        <x:v>平</x:v>
      </x:c>
      <x:c r="C1541" s="6" t="str">
        <x:f>IF(B1541="","Needs decision","Ready")</x:f>
        <x:v>Ready</x:v>
      </x:c>
      <x:c r="D1541" s="6" t="str">
        <x:v>平</x:v>
      </x:c>
      <x:c r="E1541" s="6" t="str">
        <x:v>xjw+j (A)</x:v>
      </x:c>
      <x:c r="F1541" s="6" t="str">
        <x:v>1</x:v>
      </x:c>
      <x:c r="G1541" s="6" t="str"/>
      <x:c r="H1541" s="6" t="str">
        <x:f>IF(B1541="平","平",IF(B1541="","","仄"))</x:f>
        <x:v>平</x:v>
      </x:c>
      <x:c r="I1541" s="6" t="str">
        <x:f>IF(D1533="","",IF(AND(ISNUMBER(SEARCH("平",D1533)),OR(ISNUMBER(SEARCH("上",D1533)),ISNUMBER(SEARCH("去",D1533)),ISNUMBER(SEARCH("入",D1533)))),"Ambiguous",IF(ISNUMBER(SEARCH("平",D1533)),"平","仄")))</x:f>
        <x:v>Ambiguous</x:v>
      </x:c>
      <x:c r="J1541" s="7" t="str"/>
    </x:row>
    <x:row r="1542">
      <x:c r="A1542" s="5" t="str">
        <x:v>援</x:v>
      </x:c>
      <x:c r="B1542" s="6" t="str">
        <x:v>平</x:v>
      </x:c>
      <x:c r="C1542" s="6" t="str">
        <x:f>IF(B1542="","Needs decision","Ready")</x:f>
        <x:v>Ready</x:v>
      </x:c>
      <x:c r="D1542" s="6" t="str">
        <x:v>平</x:v>
      </x:c>
      <x:c r="E1542" s="6" t="str">
        <x:v>hjwon (A)</x:v>
      </x:c>
      <x:c r="F1542" s="6" t="str">
        <x:v>1</x:v>
      </x:c>
      <x:c r="G1542" s="6" t="str"/>
      <x:c r="H1542" s="6" t="str">
        <x:f>IF(B1542="平","平",IF(B1542="","","仄"))</x:f>
        <x:v>平</x:v>
      </x:c>
      <x:c r="I1542" s="6" t="str">
        <x:f>IF(D1534="","",IF(AND(ISNUMBER(SEARCH("平",D1534)),OR(ISNUMBER(SEARCH("上",D1534)),ISNUMBER(SEARCH("去",D1534)),ISNUMBER(SEARCH("入",D1534)))),"Ambiguous",IF(ISNUMBER(SEARCH("平",D1534)),"平","仄")))</x:f>
        <x:v>仄</x:v>
      </x:c>
      <x:c r="J1542" s="7" t="str"/>
    </x:row>
    <x:row r="1543">
      <x:c r="A1543" s="5" t="str">
        <x:v>搌</x:v>
      </x:c>
      <x:c r="B1543" s="6" t="str">
        <x:v>上</x:v>
      </x:c>
      <x:c r="C1543" s="6" t="str">
        <x:f>IF(B1543="","Needs decision","Ready")</x:f>
        <x:v>Ready</x:v>
      </x:c>
      <x:c r="D1543" s="6" t="str">
        <x:v>上</x:v>
      </x:c>
      <x:c r="E1543" s="6" t="str">
        <x:v>trjenX (B)</x:v>
      </x:c>
      <x:c r="F1543" s="6" t="str">
        <x:v>1</x:v>
      </x:c>
      <x:c r="G1543" s="6" t="str"/>
      <x:c r="H1543" s="6" t="str">
        <x:f>IF(B1543="平","平",IF(B1543="","","仄"))</x:f>
        <x:v>仄</x:v>
      </x:c>
      <x:c r="I1543" s="6" t="str">
        <x:f>IF(D1535="","",IF(AND(ISNUMBER(SEARCH("平",D1535)),OR(ISNUMBER(SEARCH("上",D1535)),ISNUMBER(SEARCH("去",D1535)),ISNUMBER(SEARCH("入",D1535)))),"Ambiguous",IF(ISNUMBER(SEARCH("平",D1535)),"平","仄")))</x:f>
        <x:v>平</x:v>
      </x:c>
      <x:c r="J1543" s="7" t="str"/>
    </x:row>
    <x:row r="1544">
      <x:c r="A1544" s="5" t="str">
        <x:v>損</x:v>
      </x:c>
      <x:c r="B1544" s="6" t="str">
        <x:v>上</x:v>
      </x:c>
      <x:c r="C1544" s="6" t="str">
        <x:f>IF(B1544="","Needs decision","Ready")</x:f>
        <x:v>Ready</x:v>
      </x:c>
      <x:c r="D1544" s="6" t="str">
        <x:v>上</x:v>
      </x:c>
      <x:c r="E1544" s="6" t="str">
        <x:v>swonX (B)</x:v>
      </x:c>
      <x:c r="F1544" s="6" t="str">
        <x:v>1</x:v>
      </x:c>
      <x:c r="G1544" s="6" t="str"/>
      <x:c r="H1544" s="6" t="str">
        <x:f>IF(B1544="平","平",IF(B1544="","","仄"))</x:f>
        <x:v>仄</x:v>
      </x:c>
      <x:c r="I1544" s="6" t="str">
        <x:f>IF(D1536="","",IF(AND(ISNUMBER(SEARCH("平",D1536)),OR(ISNUMBER(SEARCH("上",D1536)),ISNUMBER(SEARCH("去",D1536)),ISNUMBER(SEARCH("入",D1536)))),"Ambiguous",IF(ISNUMBER(SEARCH("平",D1536)),"平","仄")))</x:f>
        <x:v>仄</x:v>
      </x:c>
      <x:c r="J1544" s="7" t="str"/>
    </x:row>
    <x:row r="1545">
      <x:c r="A1545" s="5" t="str">
        <x:v>搏</x:v>
      </x:c>
      <x:c r="B1545" s="6" t="str"/>
      <x:c r="C1545" s="6" t="str">
        <x:f>IF(B1545="","Needs decision","Ready")</x:f>
        <x:v>Needs decision</x:v>
      </x:c>
      <x:c r="D1545" s="6" t="str">
        <x:v>入/去</x:v>
      </x:c>
      <x:c r="E1545" s="6" t="str">
        <x:v>pak (D); pjuH (C)</x:v>
      </x:c>
      <x:c r="F1545" s="6" t="str">
        <x:v>2</x:v>
      </x:c>
      <x:c r="G1545" s="6" t="str"/>
      <x:c r="H1545" s="6" t="str">
        <x:f>IF(B1545="平","平",IF(B1545="","","仄"))</x:f>
      </x:c>
      <x:c r="I1545" s="6" t="str">
        <x:f>IF(D1537="","",IF(AND(ISNUMBER(SEARCH("平",D1537)),OR(ISNUMBER(SEARCH("上",D1537)),ISNUMBER(SEARCH("去",D1537)),ISNUMBER(SEARCH("入",D1537)))),"Ambiguous",IF(ISNUMBER(SEARCH("平",D1537)),"平","仄")))</x:f>
        <x:v>仄</x:v>
      </x:c>
      <x:c r="J1545" s="7" t="str"/>
    </x:row>
    <x:row r="1546">
      <x:c r="A1546" s="5" t="str">
        <x:v>搔</x:v>
      </x:c>
      <x:c r="B1546" s="6" t="str">
        <x:v>平</x:v>
      </x:c>
      <x:c r="C1546" s="6" t="str">
        <x:f>IF(B1546="","Needs decision","Ready")</x:f>
        <x:v>Ready</x:v>
      </x:c>
      <x:c r="D1546" s="6" t="str">
        <x:v>平</x:v>
      </x:c>
      <x:c r="E1546" s="6" t="str">
        <x:v>saw (A)</x:v>
      </x:c>
      <x:c r="F1546" s="6" t="str">
        <x:v>1</x:v>
      </x:c>
      <x:c r="G1546" s="6" t="str"/>
      <x:c r="H1546" s="6" t="str">
        <x:f>IF(B1546="平","平",IF(B1546="","","仄"))</x:f>
        <x:v>平</x:v>
      </x:c>
      <x:c r="I1546" s="6" t="str">
        <x:f>IF(D1538="","",IF(AND(ISNUMBER(SEARCH("平",D1538)),OR(ISNUMBER(SEARCH("上",D1538)),ISNUMBER(SEARCH("去",D1538)),ISNUMBER(SEARCH("入",D1538)))),"Ambiguous",IF(ISNUMBER(SEARCH("平",D1538)),"平","仄")))</x:f>
        <x:v>仄</x:v>
      </x:c>
      <x:c r="J1546" s="7" t="str"/>
    </x:row>
    <x:row r="1547">
      <x:c r="A1547" s="5" t="str">
        <x:v>搖</x:v>
      </x:c>
      <x:c r="B1547" s="6" t="str">
        <x:v>平</x:v>
      </x:c>
      <x:c r="C1547" s="6" t="str">
        <x:f>IF(B1547="","Needs decision","Ready")</x:f>
        <x:v>Ready</x:v>
      </x:c>
      <x:c r="D1547" s="6" t="str">
        <x:v>平</x:v>
      </x:c>
      <x:c r="E1547" s="6" t="str">
        <x:v>yew (A)</x:v>
      </x:c>
      <x:c r="F1547" s="6" t="str">
        <x:v>1</x:v>
      </x:c>
      <x:c r="G1547" s="6" t="str"/>
      <x:c r="H1547" s="6" t="str">
        <x:f>IF(B1547="平","平",IF(B1547="","","仄"))</x:f>
        <x:v>平</x:v>
      </x:c>
      <x:c r="I1547" s="6" t="str">
        <x:f>IF(D1539="","",IF(AND(ISNUMBER(SEARCH("平",D1539)),OR(ISNUMBER(SEARCH("上",D1539)),ISNUMBER(SEARCH("去",D1539)),ISNUMBER(SEARCH("入",D1539)))),"Ambiguous",IF(ISNUMBER(SEARCH("平",D1539)),"平","仄")))</x:f>
        <x:v>仄</x:v>
      </x:c>
      <x:c r="J1547" s="7" t="str"/>
    </x:row>
    <x:row r="1548">
      <x:c r="A1548" s="5" t="str">
        <x:v>搗</x:v>
      </x:c>
      <x:c r="B1548" s="6" t="str">
        <x:v>上</x:v>
      </x:c>
      <x:c r="C1548" s="6" t="str">
        <x:f>IF(B1548="","Needs decision","Ready")</x:f>
        <x:v>Ready</x:v>
      </x:c>
      <x:c r="D1548" s="6" t="str">
        <x:v>上</x:v>
      </x:c>
      <x:c r="E1548" s="6" t="str"/>
      <x:c r="F1548" s="6" t="str"/>
      <x:c r="G1548" s="6" t="str">
        <x:v>Manual user correction/addition</x:v>
      </x:c>
      <x:c r="H1548" s="6" t="str">
        <x:f>IF(B1548="平","平",IF(B1548="","","仄"))</x:f>
        <x:v>仄</x:v>
      </x:c>
      <x:c r="I1548" s="6" t="str">
        <x:f>IF(D1540="","",IF(AND(ISNUMBER(SEARCH("平",D1540)),OR(ISNUMBER(SEARCH("上",D1540)),ISNUMBER(SEARCH("去",D1540)),ISNUMBER(SEARCH("入",D1540)))),"Ambiguous",IF(ISNUMBER(SEARCH("平",D1540)),"平","仄")))</x:f>
        <x:v>仄</x:v>
      </x:c>
      <x:c r="J1548" s="7" t="str">
        <x:v>manual user correction</x:v>
      </x:c>
    </x:row>
    <x:row r="1549">
      <x:c r="A1549" s="5" t="str">
        <x:v>搜</x:v>
      </x:c>
      <x:c r="B1549" s="6" t="str">
        <x:v>平</x:v>
      </x:c>
      <x:c r="C1549" s="6" t="str">
        <x:f>IF(B1549="","Needs decision","Ready")</x:f>
        <x:v>Ready</x:v>
      </x:c>
      <x:c r="D1549" s="6" t="str">
        <x:v>平</x:v>
      </x:c>
      <x:c r="E1549" s="6" t="str">
        <x:v>srjuw (A)</x:v>
      </x:c>
      <x:c r="F1549" s="6" t="str">
        <x:v>1</x:v>
      </x:c>
      <x:c r="G1549" s="6" t="str"/>
      <x:c r="H1549" s="6" t="str">
        <x:f>IF(B1549="平","平",IF(B1549="","","仄"))</x:f>
        <x:v>平</x:v>
      </x:c>
      <x:c r="I1549" s="6" t="str">
        <x:f>IF(D1541="","",IF(AND(ISNUMBER(SEARCH("平",D1541)),OR(ISNUMBER(SEARCH("上",D1541)),ISNUMBER(SEARCH("去",D1541)),ISNUMBER(SEARCH("入",D1541)))),"Ambiguous",IF(ISNUMBER(SEARCH("平",D1541)),"平","仄")))</x:f>
        <x:v>平</x:v>
      </x:c>
      <x:c r="J1549" s="7" t="str"/>
    </x:row>
    <x:row r="1550">
      <x:c r="A1550" s="5" t="str">
        <x:v>搤</x:v>
      </x:c>
      <x:c r="B1550" s="6" t="str">
        <x:v>入</x:v>
      </x:c>
      <x:c r="C1550" s="6" t="str">
        <x:f>IF(B1550="","Needs decision","Ready")</x:f>
        <x:v>Ready</x:v>
      </x:c>
      <x:c r="D1550" s="6" t="str">
        <x:v>入</x:v>
      </x:c>
      <x:c r="E1550" s="6" t="str">
        <x:v>'eak (D)</x:v>
      </x:c>
      <x:c r="F1550" s="6" t="str">
        <x:v>1</x:v>
      </x:c>
      <x:c r="G1550" s="6" t="str"/>
      <x:c r="H1550" s="6" t="str">
        <x:f>IF(B1550="平","平",IF(B1550="","","仄"))</x:f>
        <x:v>仄</x:v>
      </x:c>
      <x:c r="I1550" s="6" t="str">
        <x:f>IF(D1542="","",IF(AND(ISNUMBER(SEARCH("平",D1542)),OR(ISNUMBER(SEARCH("上",D1542)),ISNUMBER(SEARCH("去",D1542)),ISNUMBER(SEARCH("入",D1542)))),"Ambiguous",IF(ISNUMBER(SEARCH("平",D1542)),"平","仄")))</x:f>
        <x:v>平</x:v>
      </x:c>
      <x:c r="J1550" s="7" t="str"/>
    </x:row>
    <x:row r="1551">
      <x:c r="A1551" s="5" t="str">
        <x:v>搥</x:v>
      </x:c>
      <x:c r="B1551" s="6" t="str">
        <x:v>平</x:v>
      </x:c>
      <x:c r="C1551" s="6" t="str">
        <x:f>IF(B1551="","Needs decision","Ready")</x:f>
        <x:v>Ready</x:v>
      </x:c>
      <x:c r="D1551" s="6" t="str">
        <x:v>平</x:v>
      </x:c>
      <x:c r="E1551" s="6" t="str">
        <x:v>twoj [t̙wəj] (平)</x:v>
      </x:c>
      <x:c r="F1551" s="6" t="str">
        <x:v>1</x:v>
      </x:c>
      <x:c r="G1551" s="6" t="str">
        <x:v>Tang 300 gap; frequency 1; provisional from Xun Gong</x:v>
      </x:c>
      <x:c r="H1551" s="6" t="str">
        <x:f>IF(B1551="平","平",IF(B1551="","","仄"))</x:f>
        <x:v>平</x:v>
      </x:c>
      <x:c r="I1551" s="6" t="str">
        <x:f>IF(D1543="","",IF(AND(ISNUMBER(SEARCH("平",D1543)),OR(ISNUMBER(SEARCH("上",D1543)),ISNUMBER(SEARCH("去",D1543)),ISNUMBER(SEARCH("入",D1543)))),"Ambiguous",IF(ISNUMBER(SEARCH("平",D1543)),"平","仄")))</x:f>
        <x:v>仄</x:v>
      </x:c>
      <x:c r="J1551" s="7" t="str">
        <x:v>Xun Gong, Tang 300 gap fill</x:v>
      </x:c>
    </x:row>
    <x:row r="1552">
      <x:c r="A1552" s="5" t="str">
        <x:v>搬</x:v>
      </x:c>
      <x:c r="B1552" s="6" t="str">
        <x:v>平</x:v>
      </x:c>
      <x:c r="C1552" s="6" t="str">
        <x:f>IF(B1552="","Needs decision","Ready")</x:f>
        <x:v>Ready</x:v>
      </x:c>
      <x:c r="D1552" s="6" t="str">
        <x:v>平</x:v>
      </x:c>
      <x:c r="E1552" s="6" t="str">
        <x:v>pan (A)</x:v>
      </x:c>
      <x:c r="F1552" s="6" t="str">
        <x:v>1</x:v>
      </x:c>
      <x:c r="G1552" s="6" t="str"/>
      <x:c r="H1552" s="6" t="str">
        <x:f>IF(B1552="平","平",IF(B1552="","","仄"))</x:f>
        <x:v>平</x:v>
      </x:c>
      <x:c r="I1552" s="6" t="str">
        <x:f>IF(D1544="","",IF(AND(ISNUMBER(SEARCH("平",D1544)),OR(ISNUMBER(SEARCH("上",D1544)),ISNUMBER(SEARCH("去",D1544)),ISNUMBER(SEARCH("入",D1544)))),"Ambiguous",IF(ISNUMBER(SEARCH("平",D1544)),"平","仄")))</x:f>
        <x:v>仄</x:v>
      </x:c>
      <x:c r="J1552" s="7" t="str"/>
    </x:row>
    <x:row r="1553">
      <x:c r="A1553" s="5" t="str">
        <x:v>搰</x:v>
      </x:c>
      <x:c r="B1553" s="6" t="str">
        <x:v>入</x:v>
      </x:c>
      <x:c r="C1553" s="6" t="str">
        <x:f>IF(B1553="","Needs decision","Ready")</x:f>
        <x:v>Ready</x:v>
      </x:c>
      <x:c r="D1553" s="6" t="str">
        <x:v>入</x:v>
      </x:c>
      <x:c r="E1553" s="6" t="str">
        <x:v>hwot (D)</x:v>
      </x:c>
      <x:c r="F1553" s="6" t="str">
        <x:v>1</x:v>
      </x:c>
      <x:c r="G1553" s="6" t="str"/>
      <x:c r="H1553" s="6" t="str">
        <x:f>IF(B1553="平","平",IF(B1553="","","仄"))</x:f>
        <x:v>仄</x:v>
      </x:c>
      <x:c r="I1553" s="6" t="str">
        <x:f>IF(D1545="","",IF(AND(ISNUMBER(SEARCH("平",D1545)),OR(ISNUMBER(SEARCH("上",D1545)),ISNUMBER(SEARCH("去",D1545)),ISNUMBER(SEARCH("入",D1545)))),"Ambiguous",IF(ISNUMBER(SEARCH("平",D1545)),"平","仄")))</x:f>
        <x:v>仄</x:v>
      </x:c>
      <x:c r="J1553" s="7" t="str"/>
    </x:row>
    <x:row r="1554">
      <x:c r="A1554" s="5" t="str">
        <x:v>搴</x:v>
      </x:c>
      <x:c r="B1554" s="6" t="str">
        <x:v>平</x:v>
      </x:c>
      <x:c r="C1554" s="6" t="str">
        <x:f>IF(B1554="","Needs decision","Ready")</x:f>
        <x:v>Ready</x:v>
      </x:c>
      <x:c r="D1554" s="6" t="str">
        <x:v>平</x:v>
      </x:c>
      <x:c r="E1554" s="6" t="str"/>
      <x:c r="F1554" s="6" t="str"/>
      <x:c r="G1554" s="6" t="str">
        <x:v>Manual user correction/addition</x:v>
      </x:c>
      <x:c r="H1554" s="6" t="str">
        <x:f>IF(B1554="平","平",IF(B1554="","","仄"))</x:f>
        <x:v>平</x:v>
      </x:c>
      <x:c r="I1554" s="6" t="str">
        <x:f>IF(D1546="","",IF(AND(ISNUMBER(SEARCH("平",D1546)),OR(ISNUMBER(SEARCH("上",D1546)),ISNUMBER(SEARCH("去",D1546)),ISNUMBER(SEARCH("入",D1546)))),"Ambiguous",IF(ISNUMBER(SEARCH("平",D1546)),"平","仄")))</x:f>
        <x:v>平</x:v>
      </x:c>
      <x:c r="J1554" s="7" t="str">
        <x:v>manual user correction</x:v>
      </x:c>
    </x:row>
    <x:row r="1555">
      <x:c r="A1555" s="5" t="str">
        <x:v>摋</x:v>
      </x:c>
      <x:c r="B1555" s="6" t="str">
        <x:v>入</x:v>
      </x:c>
      <x:c r="C1555" s="6" t="str">
        <x:f>IF(B1555="","Needs decision","Ready")</x:f>
        <x:v>Ready</x:v>
      </x:c>
      <x:c r="D1555" s="6" t="str">
        <x:v>入</x:v>
      </x:c>
      <x:c r="E1555" s="6" t="str">
        <x:v>sat (D)</x:v>
      </x:c>
      <x:c r="F1555" s="6" t="str">
        <x:v>1</x:v>
      </x:c>
      <x:c r="G1555" s="6" t="str"/>
      <x:c r="H1555" s="6" t="str">
        <x:f>IF(B1555="平","平",IF(B1555="","","仄"))</x:f>
        <x:v>仄</x:v>
      </x:c>
      <x:c r="I1555" s="6" t="str">
        <x:f>IF(D1547="","",IF(AND(ISNUMBER(SEARCH("平",D1547)),OR(ISNUMBER(SEARCH("上",D1547)),ISNUMBER(SEARCH("去",D1547)),ISNUMBER(SEARCH("入",D1547)))),"Ambiguous",IF(ISNUMBER(SEARCH("平",D1547)),"平","仄")))</x:f>
        <x:v>平</x:v>
      </x:c>
      <x:c r="J1555" s="7" t="str"/>
    </x:row>
    <x:row r="1556">
      <x:c r="A1556" s="5" t="str">
        <x:v>摎</x:v>
      </x:c>
      <x:c r="B1556" s="6" t="str">
        <x:v>平</x:v>
      </x:c>
      <x:c r="C1556" s="6" t="str">
        <x:f>IF(B1556="","Needs decision","Ready")</x:f>
        <x:v>Ready</x:v>
      </x:c>
      <x:c r="D1556" s="6" t="str">
        <x:v>平</x:v>
      </x:c>
      <x:c r="E1556" s="6" t="str">
        <x:v>kjiw (A); ljuw (A)</x:v>
      </x:c>
      <x:c r="F1556" s="6" t="str">
        <x:v>2</x:v>
      </x:c>
      <x:c r="G1556" s="6" t="str"/>
      <x:c r="H1556" s="6" t="str">
        <x:f>IF(B1556="平","平",IF(B1556="","","仄"))</x:f>
        <x:v>平</x:v>
      </x:c>
      <x:c r="I1556" s="6" t="str">
        <x:f>IF(D1548="","",IF(AND(ISNUMBER(SEARCH("平",D1548)),OR(ISNUMBER(SEARCH("上",D1548)),ISNUMBER(SEARCH("去",D1548)),ISNUMBER(SEARCH("入",D1548)))),"Ambiguous",IF(ISNUMBER(SEARCH("平",D1548)),"平","仄")))</x:f>
        <x:v>仄</x:v>
      </x:c>
      <x:c r="J1556" s="7" t="str"/>
    </x:row>
    <x:row r="1557">
      <x:c r="A1557" s="5" t="str">
        <x:v>摐</x:v>
      </x:c>
      <x:c r="B1557" s="6" t="str">
        <x:v>平</x:v>
      </x:c>
      <x:c r="C1557" s="6" t="str">
        <x:f>IF(B1557="","Needs decision","Ready")</x:f>
        <x:v>Ready</x:v>
      </x:c>
      <x:c r="D1557" s="6" t="str">
        <x:v>平</x:v>
      </x:c>
      <x:c r="E1557" s="6" t="str">
        <x:v>tshjowng [tsʰjoŋ] (平); tsrhaewng [tʂʰoˤŋ] (平)</x:v>
      </x:c>
      <x:c r="F1557" s="6" t="str">
        <x:v>2</x:v>
      </x:c>
      <x:c r="G1557" s="6" t="str">
        <x:v>Tang 300 gap; frequency 1; provisional from Xun Gong</x:v>
      </x:c>
      <x:c r="H1557" s="6" t="str">
        <x:f>IF(B1557="平","平",IF(B1557="","","仄"))</x:f>
        <x:v>平</x:v>
      </x:c>
      <x:c r="I1557" s="6" t="str">
        <x:f>IF(D1549="","",IF(AND(ISNUMBER(SEARCH("平",D1549)),OR(ISNUMBER(SEARCH("上",D1549)),ISNUMBER(SEARCH("去",D1549)),ISNUMBER(SEARCH("入",D1549)))),"Ambiguous",IF(ISNUMBER(SEARCH("平",D1549)),"平","仄")))</x:f>
        <x:v>平</x:v>
      </x:c>
      <x:c r="J1557" s="7" t="str">
        <x:v>Xun Gong, Tang 300 gap fill</x:v>
      </x:c>
    </x:row>
    <x:row r="1558">
      <x:c r="A1558" s="5" t="str">
        <x:v>摘</x:v>
      </x:c>
      <x:c r="B1558" s="6" t="str">
        <x:v>入</x:v>
      </x:c>
      <x:c r="C1558" s="6" t="str">
        <x:f>IF(B1558="","Needs decision","Ready")</x:f>
        <x:v>Ready</x:v>
      </x:c>
      <x:c r="D1558" s="6" t="str">
        <x:v>入</x:v>
      </x:c>
      <x:c r="E1558" s="6" t="str">
        <x:v>treak (D)</x:v>
      </x:c>
      <x:c r="F1558" s="6" t="str">
        <x:v>1</x:v>
      </x:c>
      <x:c r="G1558" s="6" t="str"/>
      <x:c r="H1558" s="6" t="str">
        <x:f>IF(B1558="平","平",IF(B1558="","","仄"))</x:f>
        <x:v>仄</x:v>
      </x:c>
      <x:c r="I1558" s="6" t="str">
        <x:f>IF(D1550="","",IF(AND(ISNUMBER(SEARCH("平",D1550)),OR(ISNUMBER(SEARCH("上",D1550)),ISNUMBER(SEARCH("去",D1550)),ISNUMBER(SEARCH("入",D1550)))),"Ambiguous",IF(ISNUMBER(SEARCH("平",D1550)),"平","仄")))</x:f>
        <x:v>仄</x:v>
      </x:c>
      <x:c r="J1558" s="7" t="str"/>
    </x:row>
    <x:row r="1559">
      <x:c r="A1559" s="5" t="str">
        <x:v>摜</x:v>
      </x:c>
      <x:c r="B1559" s="6" t="str">
        <x:v>去</x:v>
      </x:c>
      <x:c r="C1559" s="6" t="str">
        <x:f>IF(B1559="","Needs decision","Ready")</x:f>
        <x:v>Ready</x:v>
      </x:c>
      <x:c r="D1559" s="6" t="str">
        <x:v>去</x:v>
      </x:c>
      <x:c r="E1559" s="6" t="str">
        <x:v>kwaenH (C)</x:v>
      </x:c>
      <x:c r="F1559" s="6" t="str">
        <x:v>1</x:v>
      </x:c>
      <x:c r="G1559" s="6" t="str"/>
      <x:c r="H1559" s="6" t="str">
        <x:f>IF(B1559="平","平",IF(B1559="","","仄"))</x:f>
        <x:v>仄</x:v>
      </x:c>
      <x:c r="I1559" s="6" t="str">
        <x:f>IF(D1551="","",IF(AND(ISNUMBER(SEARCH("平",D1551)),OR(ISNUMBER(SEARCH("上",D1551)),ISNUMBER(SEARCH("去",D1551)),ISNUMBER(SEARCH("入",D1551)))),"Ambiguous",IF(ISNUMBER(SEARCH("平",D1551)),"平","仄")))</x:f>
        <x:v>平</x:v>
      </x:c>
      <x:c r="J1559" s="7" t="str"/>
    </x:row>
    <x:row r="1560">
      <x:c r="A1560" s="5" t="str">
        <x:v>摧</x:v>
      </x:c>
      <x:c r="B1560" s="6" t="str">
        <x:v>平</x:v>
      </x:c>
      <x:c r="C1560" s="6" t="str">
        <x:f>IF(B1560="","Needs decision","Ready")</x:f>
        <x:v>Ready</x:v>
      </x:c>
      <x:c r="D1560" s="6" t="str">
        <x:v>平</x:v>
      </x:c>
      <x:c r="E1560" s="6" t="str">
        <x:v>dzwoj [從合一灰平] d̙z̙wəj</x:v>
      </x:c>
      <x:c r="F1560" s="6" t="str">
        <x:v>1</x:v>
      </x:c>
      <x:c r="G1560" s="6" t="str">
        <x:v>Targeted preliminary fill from Xun Gong; review if uncertain</x:v>
      </x:c>
      <x:c r="H1560" s="6" t="str">
        <x:f>IF(B1560="平","平",IF(B1560="","","仄"))</x:f>
        <x:v>平</x:v>
      </x:c>
      <x:c r="I1560" s="6" t="str">
        <x:f>IF(D1552="","",IF(AND(ISNUMBER(SEARCH("平",D1552)),OR(ISNUMBER(SEARCH("上",D1552)),ISNUMBER(SEARCH("去",D1552)),ISNUMBER(SEARCH("入",D1552)))),"Ambiguous",IF(ISNUMBER(SEARCH("平",D1552)),"平","仄")))</x:f>
        <x:v>平</x:v>
      </x:c>
      <x:c r="J1560" s="7" t="str">
        <x:v>Xun Gong character-readings.csv</x:v>
      </x:c>
    </x:row>
    <x:row r="1561">
      <x:c r="A1561" s="5" t="str">
        <x:v>摩</x:v>
      </x:c>
      <x:c r="B1561" s="6" t="str"/>
      <x:c r="C1561" s="6" t="str">
        <x:f>IF(B1561="","Needs decision","Ready")</x:f>
        <x:v>Needs decision</x:v>
      </x:c>
      <x:c r="D1561" s="6" t="str">
        <x:v>平/去</x:v>
      </x:c>
      <x:c r="E1561" s="6" t="str">
        <x:v>ma [m̙ɑ] (平); maH [m̙ɑh] (去)</x:v>
      </x:c>
      <x:c r="F1561" s="6" t="str">
        <x:v>2</x:v>
      </x:c>
      <x:c r="G1561" s="6" t="str">
        <x:v>Tang 300 gap; frequency 2; ambiguous in Xun Gong</x:v>
      </x:c>
      <x:c r="H1561" s="6" t="str">
        <x:f>IF(B1561="平","平",IF(B1561="","","仄"))</x:f>
      </x:c>
      <x:c r="I1561" s="6" t="str">
        <x:f>IF(D1553="","",IF(AND(ISNUMBER(SEARCH("平",D1553)),OR(ISNUMBER(SEARCH("上",D1553)),ISNUMBER(SEARCH("去",D1553)),ISNUMBER(SEARCH("入",D1553)))),"Ambiguous",IF(ISNUMBER(SEARCH("平",D1553)),"平","仄")))</x:f>
        <x:v>仄</x:v>
      </x:c>
      <x:c r="J1561" s="7" t="str">
        <x:v>Xun Gong, Tang 300 gap fill</x:v>
      </x:c>
    </x:row>
    <x:row r="1562">
      <x:c r="A1562" s="5" t="str">
        <x:v>摭</x:v>
      </x:c>
      <x:c r="B1562" s="6" t="str">
        <x:v>入</x:v>
      </x:c>
      <x:c r="C1562" s="6" t="str">
        <x:f>IF(B1562="","Needs decision","Ready")</x:f>
        <x:v>Ready</x:v>
      </x:c>
      <x:c r="D1562" s="6" t="str">
        <x:v>入</x:v>
      </x:c>
      <x:c r="E1562" s="6" t="str">
        <x:v>tsyek (D)</x:v>
      </x:c>
      <x:c r="F1562" s="6" t="str">
        <x:v>1</x:v>
      </x:c>
      <x:c r="G1562" s="6" t="str"/>
      <x:c r="H1562" s="6" t="str">
        <x:f>IF(B1562="平","平",IF(B1562="","","仄"))</x:f>
        <x:v>仄</x:v>
      </x:c>
      <x:c r="I1562" s="6" t="str">
        <x:f>IF(D1554="","",IF(AND(ISNUMBER(SEARCH("平",D1554)),OR(ISNUMBER(SEARCH("上",D1554)),ISNUMBER(SEARCH("去",D1554)),ISNUMBER(SEARCH("入",D1554)))),"Ambiguous",IF(ISNUMBER(SEARCH("平",D1554)),"平","仄")))</x:f>
        <x:v>平</x:v>
      </x:c>
      <x:c r="J1562" s="7" t="str"/>
    </x:row>
    <x:row r="1563">
      <x:c r="A1563" s="5" t="str">
        <x:v>摯</x:v>
      </x:c>
      <x:c r="B1563" s="6" t="str">
        <x:v>去</x:v>
      </x:c>
      <x:c r="C1563" s="6" t="str">
        <x:f>IF(B1563="","Needs decision","Ready")</x:f>
        <x:v>Ready</x:v>
      </x:c>
      <x:c r="D1563" s="6" t="str">
        <x:v>去</x:v>
      </x:c>
      <x:c r="E1563" s="6" t="str">
        <x:v>tsyijH (C)</x:v>
      </x:c>
      <x:c r="F1563" s="6" t="str">
        <x:v>1</x:v>
      </x:c>
      <x:c r="G1563" s="6" t="str"/>
      <x:c r="H1563" s="6" t="str">
        <x:f>IF(B1563="平","平",IF(B1563="","","仄"))</x:f>
        <x:v>仄</x:v>
      </x:c>
      <x:c r="I1563" s="6" t="str">
        <x:f>IF(D1555="","",IF(AND(ISNUMBER(SEARCH("平",D1555)),OR(ISNUMBER(SEARCH("上",D1555)),ISNUMBER(SEARCH("去",D1555)),ISNUMBER(SEARCH("入",D1555)))),"Ambiguous",IF(ISNUMBER(SEARCH("平",D1555)),"平","仄")))</x:f>
        <x:v>仄</x:v>
      </x:c>
      <x:c r="J1563" s="7" t="str"/>
    </x:row>
    <x:row r="1564">
      <x:c r="A1564" s="5" t="str">
        <x:v>摵</x:v>
      </x:c>
      <x:c r="B1564" s="6" t="str">
        <x:v>入</x:v>
      </x:c>
      <x:c r="C1564" s="6" t="str">
        <x:f>IF(B1564="","Needs decision","Ready")</x:f>
        <x:v>Ready</x:v>
      </x:c>
      <x:c r="D1564" s="6" t="str">
        <x:v>入</x:v>
      </x:c>
      <x:c r="E1564" s="6" t="str">
        <x:v>sreak [ʂeˤk] (入); srjuwk [ʂɨ̯uk] (入); tsjuwk [tsjuk] (入)</x:v>
      </x:c>
      <x:c r="F1564" s="6" t="str">
        <x:v>3</x:v>
      </x:c>
      <x:c r="G1564" s="6" t="str">
        <x:v>Tang 300 gap; frequency 2; provisional from Xun Gong</x:v>
      </x:c>
      <x:c r="H1564" s="6" t="str">
        <x:f>IF(B1564="平","平",IF(B1564="","","仄"))</x:f>
        <x:v>仄</x:v>
      </x:c>
      <x:c r="I1564" s="6" t="str">
        <x:f>IF(D1556="","",IF(AND(ISNUMBER(SEARCH("平",D1556)),OR(ISNUMBER(SEARCH("上",D1556)),ISNUMBER(SEARCH("去",D1556)),ISNUMBER(SEARCH("入",D1556)))),"Ambiguous",IF(ISNUMBER(SEARCH("平",D1556)),"平","仄")))</x:f>
        <x:v>平</x:v>
      </x:c>
      <x:c r="J1564" s="7" t="str">
        <x:v>Xun Gong, Tang 300 gap fill</x:v>
      </x:c>
    </x:row>
    <x:row r="1565">
      <x:c r="A1565" s="5" t="str">
        <x:v>摶</x:v>
      </x:c>
      <x:c r="B1565" s="6" t="str">
        <x:v>平</x:v>
      </x:c>
      <x:c r="C1565" s="6" t="str">
        <x:f>IF(B1565="","Needs decision","Ready")</x:f>
        <x:v>Ready</x:v>
      </x:c>
      <x:c r="D1565" s="6" t="str">
        <x:v>平</x:v>
      </x:c>
      <x:c r="E1565" s="6" t="str">
        <x:v>dwan (A)</x:v>
      </x:c>
      <x:c r="F1565" s="6" t="str">
        <x:v>1</x:v>
      </x:c>
      <x:c r="G1565" s="6" t="str"/>
      <x:c r="H1565" s="6" t="str">
        <x:f>IF(B1565="平","平",IF(B1565="","","仄"))</x:f>
        <x:v>平</x:v>
      </x:c>
      <x:c r="I1565" s="6" t="str">
        <x:f>IF(D1557="","",IF(AND(ISNUMBER(SEARCH("平",D1557)),OR(ISNUMBER(SEARCH("上",D1557)),ISNUMBER(SEARCH("去",D1557)),ISNUMBER(SEARCH("入",D1557)))),"Ambiguous",IF(ISNUMBER(SEARCH("平",D1557)),"平","仄")))</x:f>
        <x:v>平</x:v>
      </x:c>
      <x:c r="J1565" s="7" t="str"/>
    </x:row>
    <x:row r="1566">
      <x:c r="A1566" s="5" t="str">
        <x:v>摻</x:v>
      </x:c>
      <x:c r="B1566" s="6" t="str"/>
      <x:c r="C1566" s="6" t="str">
        <x:f>IF(B1566="","Needs decision","Ready")</x:f>
        <x:v>Needs decision</x:v>
      </x:c>
      <x:c r="D1566" s="6" t="str">
        <x:v>平/上</x:v>
      </x:c>
      <x:c r="E1566" s="6" t="str">
        <x:v>sream [ʂeˤm] (平); sreamX [ʂeˤmʔ] (上)</x:v>
      </x:c>
      <x:c r="F1566" s="6" t="str">
        <x:v>2</x:v>
      </x:c>
      <x:c r="G1566" s="6" t="str">
        <x:v>Tang 300 gap; frequency 1; ambiguous in Xun Gong</x:v>
      </x:c>
      <x:c r="H1566" s="6" t="str">
        <x:f>IF(B1566="平","平",IF(B1566="","","仄"))</x:f>
      </x:c>
      <x:c r="I1566" s="6" t="str">
        <x:f>IF(D1558="","",IF(AND(ISNUMBER(SEARCH("平",D1558)),OR(ISNUMBER(SEARCH("上",D1558)),ISNUMBER(SEARCH("去",D1558)),ISNUMBER(SEARCH("入",D1558)))),"Ambiguous",IF(ISNUMBER(SEARCH("平",D1558)),"平","仄")))</x:f>
        <x:v>仄</x:v>
      </x:c>
      <x:c r="J1566" s="7" t="str">
        <x:v>Xun Gong, Tang 300 gap fill</x:v>
      </x:c>
    </x:row>
    <x:row r="1567">
      <x:c r="A1567" s="5" t="str">
        <x:v>摽</x:v>
      </x:c>
      <x:c r="B1567" s="6" t="str"/>
      <x:c r="C1567" s="6" t="str">
        <x:f>IF(B1567="","Needs decision","Ready")</x:f>
        <x:v>Needs decision</x:v>
      </x:c>
      <x:c r="D1567" s="6" t="str">
        <x:v>上/平</x:v>
      </x:c>
      <x:c r="E1567" s="6" t="str">
        <x:v>bjiewX (B); phaew (A); phew (A)</x:v>
      </x:c>
      <x:c r="F1567" s="6" t="str">
        <x:v>3</x:v>
      </x:c>
      <x:c r="G1567" s="6" t="str"/>
      <x:c r="H1567" s="6" t="str">
        <x:f>IF(B1567="平","平",IF(B1567="","","仄"))</x:f>
      </x:c>
      <x:c r="I1567" s="6" t="str">
        <x:f>IF(D1559="","",IF(AND(ISNUMBER(SEARCH("平",D1559)),OR(ISNUMBER(SEARCH("上",D1559)),ISNUMBER(SEARCH("去",D1559)),ISNUMBER(SEARCH("入",D1559)))),"Ambiguous",IF(ISNUMBER(SEARCH("平",D1559)),"平","仄")))</x:f>
        <x:v>仄</x:v>
      </x:c>
      <x:c r="J1567" s="7" t="str"/>
    </x:row>
    <x:row r="1568">
      <x:c r="A1568" s="5" t="str">
        <x:v>撅</x:v>
      </x:c>
      <x:c r="B1568" s="6" t="str">
        <x:v>去</x:v>
      </x:c>
      <x:c r="C1568" s="6" t="str">
        <x:f>IF(B1568="","Needs decision","Ready")</x:f>
        <x:v>Ready</x:v>
      </x:c>
      <x:c r="D1568" s="6" t="str">
        <x:v>去</x:v>
      </x:c>
      <x:c r="E1568" s="6" t="str">
        <x:v>kjwejH (C)</x:v>
      </x:c>
      <x:c r="F1568" s="6" t="str">
        <x:v>1</x:v>
      </x:c>
      <x:c r="G1568" s="6" t="str"/>
      <x:c r="H1568" s="6" t="str">
        <x:f>IF(B1568="平","平",IF(B1568="","","仄"))</x:f>
        <x:v>仄</x:v>
      </x:c>
      <x:c r="I1568" s="6" t="str">
        <x:f>IF(D1560="","",IF(AND(ISNUMBER(SEARCH("平",D1560)),OR(ISNUMBER(SEARCH("上",D1560)),ISNUMBER(SEARCH("去",D1560)),ISNUMBER(SEARCH("入",D1560)))),"Ambiguous",IF(ISNUMBER(SEARCH("平",D1560)),"平","仄")))</x:f>
        <x:v>平</x:v>
      </x:c>
      <x:c r="J1568" s="7" t="str"/>
    </x:row>
    <x:row r="1569">
      <x:c r="A1569" s="5" t="str">
        <x:v>撓</x:v>
      </x:c>
      <x:c r="B1569" s="6" t="str">
        <x:v>上</x:v>
      </x:c>
      <x:c r="C1569" s="6" t="str">
        <x:f>IF(B1569="","Needs decision","Ready")</x:f>
        <x:v>Ready</x:v>
      </x:c>
      <x:c r="D1569" s="6" t="str">
        <x:v>上</x:v>
      </x:c>
      <x:c r="E1569" s="6" t="str">
        <x:v>nraewX (B)</x:v>
      </x:c>
      <x:c r="F1569" s="6" t="str">
        <x:v>1</x:v>
      </x:c>
      <x:c r="G1569" s="6" t="str"/>
      <x:c r="H1569" s="6" t="str">
        <x:f>IF(B1569="平","平",IF(B1569="","","仄"))</x:f>
        <x:v>仄</x:v>
      </x:c>
      <x:c r="I1569" s="6" t="str">
        <x:f>IF(D1561="","",IF(AND(ISNUMBER(SEARCH("平",D1561)),OR(ISNUMBER(SEARCH("上",D1561)),ISNUMBER(SEARCH("去",D1561)),ISNUMBER(SEARCH("入",D1561)))),"Ambiguous",IF(ISNUMBER(SEARCH("平",D1561)),"平","仄")))</x:f>
        <x:v>Ambiguous</x:v>
      </x:c>
      <x:c r="J1569" s="7" t="str"/>
    </x:row>
    <x:row r="1570">
      <x:c r="A1570" s="5" t="str">
        <x:v>撚</x:v>
      </x:c>
      <x:c r="B1570" s="6" t="str">
        <x:v>上</x:v>
      </x:c>
      <x:c r="C1570" s="6" t="str">
        <x:f>IF(B1570="","Needs decision","Ready")</x:f>
        <x:v>Ready</x:v>
      </x:c>
      <x:c r="D1570" s="6" t="str">
        <x:v>上</x:v>
      </x:c>
      <x:c r="E1570" s="6" t="str">
        <x:v>nenX [n̙enʔ] (上)</x:v>
      </x:c>
      <x:c r="F1570" s="6" t="str">
        <x:v>1</x:v>
      </x:c>
      <x:c r="G1570" s="6" t="str">
        <x:v>Tang 300 gap; frequency 1; provisional from Xun Gong</x:v>
      </x:c>
      <x:c r="H1570" s="6" t="str">
        <x:f>IF(B1570="平","平",IF(B1570="","","仄"))</x:f>
        <x:v>仄</x:v>
      </x:c>
      <x:c r="I1570" s="6" t="str">
        <x:f>IF(D1562="","",IF(AND(ISNUMBER(SEARCH("平",D1562)),OR(ISNUMBER(SEARCH("上",D1562)),ISNUMBER(SEARCH("去",D1562)),ISNUMBER(SEARCH("入",D1562)))),"Ambiguous",IF(ISNUMBER(SEARCH("平",D1562)),"平","仄")))</x:f>
        <x:v>仄</x:v>
      </x:c>
      <x:c r="J1570" s="7" t="str">
        <x:v>Xun Gong, Tang 300 gap fill</x:v>
      </x:c>
    </x:row>
    <x:row r="1571">
      <x:c r="A1571" s="5" t="str">
        <x:v>撜</x:v>
      </x:c>
      <x:c r="B1571" s="6" t="str">
        <x:v>上</x:v>
      </x:c>
      <x:c r="C1571" s="6" t="str">
        <x:f>IF(B1571="","Needs decision","Ready")</x:f>
        <x:v>Ready</x:v>
      </x:c>
      <x:c r="D1571" s="6" t="str">
        <x:v>上</x:v>
      </x:c>
      <x:c r="E1571" s="6" t="str">
        <x:v>tsyingX (B)</x:v>
      </x:c>
      <x:c r="F1571" s="6" t="str">
        <x:v>1</x:v>
      </x:c>
      <x:c r="G1571" s="6" t="str"/>
      <x:c r="H1571" s="6" t="str">
        <x:f>IF(B1571="平","平",IF(B1571="","","仄"))</x:f>
        <x:v>仄</x:v>
      </x:c>
      <x:c r="I1571" s="6" t="str">
        <x:f>IF(D1563="","",IF(AND(ISNUMBER(SEARCH("平",D1563)),OR(ISNUMBER(SEARCH("上",D1563)),ISNUMBER(SEARCH("去",D1563)),ISNUMBER(SEARCH("入",D1563)))),"Ambiguous",IF(ISNUMBER(SEARCH("平",D1563)),"平","仄")))</x:f>
        <x:v>仄</x:v>
      </x:c>
      <x:c r="J1571" s="7" t="str"/>
    </x:row>
    <x:row r="1572">
      <x:c r="A1572" s="5" t="str">
        <x:v>撝</x:v>
      </x:c>
      <x:c r="B1572" s="6" t="str">
        <x:v>平</x:v>
      </x:c>
      <x:c r="C1572" s="6" t="str">
        <x:f>IF(B1572="","Needs decision","Ready")</x:f>
        <x:v>Ready</x:v>
      </x:c>
      <x:c r="D1572" s="6" t="str">
        <x:v>平</x:v>
      </x:c>
      <x:c r="E1572" s="6" t="str">
        <x:v>xjwe [xwɨ̯ie] (平)</x:v>
      </x:c>
      <x:c r="F1572" s="6" t="str">
        <x:v>1</x:v>
      </x:c>
      <x:c r="G1572" s="6" t="str">
        <x:v>Tang 300 gap; frequency 1; provisional from Xun Gong</x:v>
      </x:c>
      <x:c r="H1572" s="6" t="str">
        <x:f>IF(B1572="平","平",IF(B1572="","","仄"))</x:f>
        <x:v>平</x:v>
      </x:c>
      <x:c r="I1572" s="6" t="str">
        <x:f>IF(D1564="","",IF(AND(ISNUMBER(SEARCH("平",D1564)),OR(ISNUMBER(SEARCH("上",D1564)),ISNUMBER(SEARCH("去",D1564)),ISNUMBER(SEARCH("入",D1564)))),"Ambiguous",IF(ISNUMBER(SEARCH("平",D1564)),"平","仄")))</x:f>
        <x:v>仄</x:v>
      </x:c>
      <x:c r="J1572" s="7" t="str">
        <x:v>Xun Gong, Tang 300 gap fill</x:v>
      </x:c>
    </x:row>
    <x:row r="1573">
      <x:c r="A1573" s="5" t="str">
        <x:v>撞</x:v>
      </x:c>
      <x:c r="B1573" s="6" t="str"/>
      <x:c r="C1573" s="6" t="str">
        <x:f>IF(B1573="","Needs decision","Ready")</x:f>
        <x:v>Needs decision</x:v>
      </x:c>
      <x:c r="D1573" s="6" t="str">
        <x:v>平/去</x:v>
      </x:c>
      <x:c r="E1573" s="6" t="str">
        <x:v>draewng (A); draewngH (C)</x:v>
      </x:c>
      <x:c r="F1573" s="6" t="str">
        <x:v>2</x:v>
      </x:c>
      <x:c r="G1573" s="6" t="str"/>
      <x:c r="H1573" s="6" t="str">
        <x:f>IF(B1573="平","平",IF(B1573="","","仄"))</x:f>
      </x:c>
      <x:c r="I1573" s="6" t="str">
        <x:f>IF(D1565="","",IF(AND(ISNUMBER(SEARCH("平",D1565)),OR(ISNUMBER(SEARCH("上",D1565)),ISNUMBER(SEARCH("去",D1565)),ISNUMBER(SEARCH("入",D1565)))),"Ambiguous",IF(ISNUMBER(SEARCH("平",D1565)),"平","仄")))</x:f>
        <x:v>平</x:v>
      </x:c>
      <x:c r="J1573" s="7" t="str"/>
    </x:row>
    <x:row r="1574">
      <x:c r="A1574" s="5" t="str">
        <x:v>撤</x:v>
      </x:c>
      <x:c r="B1574" s="6" t="str">
        <x:v>入</x:v>
      </x:c>
      <x:c r="C1574" s="6" t="str">
        <x:f>IF(B1574="","Needs decision","Ready")</x:f>
        <x:v>Ready</x:v>
      </x:c>
      <x:c r="D1574" s="6" t="str">
        <x:v>入</x:v>
      </x:c>
      <x:c r="E1574" s="6" t="str">
        <x:v>drjet (D); trhjet (D)</x:v>
      </x:c>
      <x:c r="F1574" s="6" t="str">
        <x:v>2</x:v>
      </x:c>
      <x:c r="G1574" s="6" t="str"/>
      <x:c r="H1574" s="6" t="str">
        <x:f>IF(B1574="平","平",IF(B1574="","","仄"))</x:f>
        <x:v>仄</x:v>
      </x:c>
      <x:c r="I1574" s="6" t="str">
        <x:f>IF(D1566="","",IF(AND(ISNUMBER(SEARCH("平",D1566)),OR(ISNUMBER(SEARCH("上",D1566)),ISNUMBER(SEARCH("去",D1566)),ISNUMBER(SEARCH("入",D1566)))),"Ambiguous",IF(ISNUMBER(SEARCH("平",D1566)),"平","仄")))</x:f>
        <x:v>Ambiguous</x:v>
      </x:c>
      <x:c r="J1574" s="7" t="str"/>
    </x:row>
    <x:row r="1575">
      <x:c r="A1575" s="5" t="str">
        <x:v>撥</x:v>
      </x:c>
      <x:c r="B1575" s="6" t="str">
        <x:v>入</x:v>
      </x:c>
      <x:c r="C1575" s="6" t="str">
        <x:f>IF(B1575="","Needs decision","Ready")</x:f>
        <x:v>Ready</x:v>
      </x:c>
      <x:c r="D1575" s="6" t="str">
        <x:v>入</x:v>
      </x:c>
      <x:c r="E1575" s="6" t="str">
        <x:v>pat (D)</x:v>
      </x:c>
      <x:c r="F1575" s="6" t="str">
        <x:v>1</x:v>
      </x:c>
      <x:c r="G1575" s="6" t="str"/>
      <x:c r="H1575" s="6" t="str">
        <x:f>IF(B1575="平","平",IF(B1575="","","仄"))</x:f>
        <x:v>仄</x:v>
      </x:c>
      <x:c r="I1575" s="6" t="str">
        <x:f>IF(D1567="","",IF(AND(ISNUMBER(SEARCH("平",D1567)),OR(ISNUMBER(SEARCH("上",D1567)),ISNUMBER(SEARCH("去",D1567)),ISNUMBER(SEARCH("入",D1567)))),"Ambiguous",IF(ISNUMBER(SEARCH("平",D1567)),"平","仄")))</x:f>
        <x:v>Ambiguous</x:v>
      </x:c>
      <x:c r="J1575" s="7" t="str"/>
    </x:row>
    <x:row r="1576">
      <x:c r="A1576" s="5" t="str">
        <x:v>撫</x:v>
      </x:c>
      <x:c r="B1576" s="6" t="str">
        <x:v>上</x:v>
      </x:c>
      <x:c r="C1576" s="6" t="str">
        <x:f>IF(B1576="","Needs decision","Ready")</x:f>
        <x:v>Ready</x:v>
      </x:c>
      <x:c r="D1576" s="6" t="str">
        <x:v>上</x:v>
      </x:c>
      <x:c r="E1576" s="6" t="str">
        <x:v>phjuX (B)</x:v>
      </x:c>
      <x:c r="F1576" s="6" t="str">
        <x:v>1</x:v>
      </x:c>
      <x:c r="G1576" s="6" t="str"/>
      <x:c r="H1576" s="6" t="str">
        <x:f>IF(B1576="平","平",IF(B1576="","","仄"))</x:f>
        <x:v>仄</x:v>
      </x:c>
      <x:c r="I1576" s="6" t="str">
        <x:f>IF(D1568="","",IF(AND(ISNUMBER(SEARCH("平",D1568)),OR(ISNUMBER(SEARCH("上",D1568)),ISNUMBER(SEARCH("去",D1568)),ISNUMBER(SEARCH("入",D1568)))),"Ambiguous",IF(ISNUMBER(SEARCH("平",D1568)),"平","仄")))</x:f>
        <x:v>仄</x:v>
      </x:c>
      <x:c r="J1576" s="7" t="str"/>
    </x:row>
    <x:row r="1577">
      <x:c r="A1577" s="5" t="str">
        <x:v>播</x:v>
      </x:c>
      <x:c r="B1577" s="6" t="str">
        <x:v>去</x:v>
      </x:c>
      <x:c r="C1577" s="6" t="str">
        <x:f>IF(B1577="","Needs decision","Ready")</x:f>
        <x:v>Ready</x:v>
      </x:c>
      <x:c r="D1577" s="6" t="str">
        <x:v>去</x:v>
      </x:c>
      <x:c r="E1577" s="6" t="str">
        <x:v>paH (C)</x:v>
      </x:c>
      <x:c r="F1577" s="6" t="str">
        <x:v>1</x:v>
      </x:c>
      <x:c r="G1577" s="6" t="str"/>
      <x:c r="H1577" s="6" t="str">
        <x:f>IF(B1577="平","平",IF(B1577="","","仄"))</x:f>
        <x:v>仄</x:v>
      </x:c>
      <x:c r="I1577" s="6" t="str">
        <x:f>IF(D1569="","",IF(AND(ISNUMBER(SEARCH("平",D1569)),OR(ISNUMBER(SEARCH("上",D1569)),ISNUMBER(SEARCH("去",D1569)),ISNUMBER(SEARCH("入",D1569)))),"Ambiguous",IF(ISNUMBER(SEARCH("平",D1569)),"平","仄")))</x:f>
        <x:v>仄</x:v>
      </x:c>
      <x:c r="J1577" s="7" t="str"/>
    </x:row>
    <x:row r="1578">
      <x:c r="A1578" s="5" t="str">
        <x:v>撮</x:v>
      </x:c>
      <x:c r="B1578" s="6" t="str">
        <x:v>入</x:v>
      </x:c>
      <x:c r="C1578" s="6" t="str">
        <x:f>IF(B1578="","Needs decision","Ready")</x:f>
        <x:v>Ready</x:v>
      </x:c>
      <x:c r="D1578" s="6" t="str">
        <x:v>入</x:v>
      </x:c>
      <x:c r="E1578" s="6" t="str">
        <x:v>tshwat (D)</x:v>
      </x:c>
      <x:c r="F1578" s="6" t="str">
        <x:v>1</x:v>
      </x:c>
      <x:c r="G1578" s="6" t="str"/>
      <x:c r="H1578" s="6" t="str">
        <x:f>IF(B1578="平","平",IF(B1578="","","仄"))</x:f>
        <x:v>仄</x:v>
      </x:c>
      <x:c r="I1578" s="6" t="str">
        <x:f>IF(D1570="","",IF(AND(ISNUMBER(SEARCH("平",D1570)),OR(ISNUMBER(SEARCH("上",D1570)),ISNUMBER(SEARCH("去",D1570)),ISNUMBER(SEARCH("入",D1570)))),"Ambiguous",IF(ISNUMBER(SEARCH("平",D1570)),"平","仄")))</x:f>
        <x:v>仄</x:v>
      </x:c>
      <x:c r="J1578" s="7" t="str"/>
    </x:row>
    <x:row r="1579">
      <x:c r="A1579" s="5" t="str">
        <x:v>撰</x:v>
      </x:c>
      <x:c r="B1579" s="6" t="str">
        <x:v>上</x:v>
      </x:c>
      <x:c r="C1579" s="6" t="str">
        <x:f>IF(B1579="","Needs decision","Ready")</x:f>
        <x:v>Ready</x:v>
      </x:c>
      <x:c r="D1579" s="6" t="str">
        <x:v>上</x:v>
      </x:c>
      <x:c r="E1579" s="6" t="str">
        <x:v>dzrjwenX (B)</x:v>
      </x:c>
      <x:c r="F1579" s="6" t="str">
        <x:v>1</x:v>
      </x:c>
      <x:c r="G1579" s="6" t="str"/>
      <x:c r="H1579" s="6" t="str">
        <x:f>IF(B1579="平","平",IF(B1579="","","仄"))</x:f>
        <x:v>仄</x:v>
      </x:c>
      <x:c r="I1579" s="6" t="str">
        <x:f>IF(D1571="","",IF(AND(ISNUMBER(SEARCH("平",D1571)),OR(ISNUMBER(SEARCH("上",D1571)),ISNUMBER(SEARCH("去",D1571)),ISNUMBER(SEARCH("入",D1571)))),"Ambiguous",IF(ISNUMBER(SEARCH("平",D1571)),"平","仄")))</x:f>
        <x:v>仄</x:v>
      </x:c>
      <x:c r="J1579" s="7" t="str"/>
    </x:row>
    <x:row r="1580">
      <x:c r="A1580" s="5" t="str">
        <x:v>撲</x:v>
      </x:c>
      <x:c r="B1580" s="6" t="str">
        <x:v>入</x:v>
      </x:c>
      <x:c r="C1580" s="6" t="str">
        <x:f>IF(B1580="","Needs decision","Ready")</x:f>
        <x:v>Ready</x:v>
      </x:c>
      <x:c r="D1580" s="6" t="str">
        <x:v>入</x:v>
      </x:c>
      <x:c r="E1580" s="6" t="str">
        <x:v>phuwk (D)</x:v>
      </x:c>
      <x:c r="F1580" s="6" t="str">
        <x:v>1</x:v>
      </x:c>
      <x:c r="G1580" s="6" t="str"/>
      <x:c r="H1580" s="6" t="str">
        <x:f>IF(B1580="平","平",IF(B1580="","","仄"))</x:f>
        <x:v>仄</x:v>
      </x:c>
      <x:c r="I1580" s="6" t="str">
        <x:f>IF(D1572="","",IF(AND(ISNUMBER(SEARCH("平",D1572)),OR(ISNUMBER(SEARCH("上",D1572)),ISNUMBER(SEARCH("去",D1572)),ISNUMBER(SEARCH("入",D1572)))),"Ambiguous",IF(ISNUMBER(SEARCH("平",D1572)),"平","仄")))</x:f>
        <x:v>平</x:v>
      </x:c>
      <x:c r="J1580" s="7" t="str"/>
    </x:row>
    <x:row r="1581">
      <x:c r="A1581" s="5" t="str">
        <x:v>撼</x:v>
      </x:c>
      <x:c r="B1581" s="6" t="str">
        <x:v>上</x:v>
      </x:c>
      <x:c r="C1581" s="6" t="str">
        <x:f>IF(B1581="","Needs decision","Ready")</x:f>
        <x:v>Ready</x:v>
      </x:c>
      <x:c r="D1581" s="6" t="str">
        <x:v>上</x:v>
      </x:c>
      <x:c r="E1581" s="6" t="str">
        <x:v>homX [ʁəmʔ] (上)</x:v>
      </x:c>
      <x:c r="F1581" s="6" t="str">
        <x:v>1</x:v>
      </x:c>
      <x:c r="G1581" s="6" t="str">
        <x:v>Tang 300 gap; frequency 1; provisional from Xun Gong</x:v>
      </x:c>
      <x:c r="H1581" s="6" t="str">
        <x:f>IF(B1581="平","平",IF(B1581="","","仄"))</x:f>
        <x:v>仄</x:v>
      </x:c>
      <x:c r="I1581" s="6" t="str">
        <x:f>IF(D1573="","",IF(AND(ISNUMBER(SEARCH("平",D1573)),OR(ISNUMBER(SEARCH("上",D1573)),ISNUMBER(SEARCH("去",D1573)),ISNUMBER(SEARCH("入",D1573)))),"Ambiguous",IF(ISNUMBER(SEARCH("平",D1573)),"平","仄")))</x:f>
        <x:v>Ambiguous</x:v>
      </x:c>
      <x:c r="J1581" s="7" t="str">
        <x:v>Xun Gong, Tang 300 gap fill</x:v>
      </x:c>
    </x:row>
    <x:row r="1582">
      <x:c r="A1582" s="5" t="str">
        <x:v>擁</x:v>
      </x:c>
      <x:c r="B1582" s="6" t="str">
        <x:v>上</x:v>
      </x:c>
      <x:c r="C1582" s="6" t="str">
        <x:f>IF(B1582="","Needs decision","Ready")</x:f>
        <x:v>Ready</x:v>
      </x:c>
      <x:c r="D1582" s="6" t="str">
        <x:v>上</x:v>
      </x:c>
      <x:c r="E1582" s="6" t="str">
        <x:v>'jowngX [影三C鍾上] ʔɨ̯oŋʔ</x:v>
      </x:c>
      <x:c r="F1582" s="6" t="str">
        <x:v>1</x:v>
      </x:c>
      <x:c r="G1582" s="6" t="str">
        <x:v>Targeted preliminary fill from Xun Gong; review if uncertain</x:v>
      </x:c>
      <x:c r="H1582" s="6" t="str">
        <x:f>IF(B1582="平","平",IF(B1582="","","仄"))</x:f>
        <x:v>仄</x:v>
      </x:c>
      <x:c r="I1582" s="6" t="str">
        <x:f>IF(D1574="","",IF(AND(ISNUMBER(SEARCH("平",D1574)),OR(ISNUMBER(SEARCH("上",D1574)),ISNUMBER(SEARCH("去",D1574)),ISNUMBER(SEARCH("入",D1574)))),"Ambiguous",IF(ISNUMBER(SEARCH("平",D1574)),"平","仄")))</x:f>
        <x:v>仄</x:v>
      </x:c>
      <x:c r="J1582" s="7" t="str">
        <x:v>Xun Gong character-readings.csv</x:v>
      </x:c>
    </x:row>
    <x:row r="1583">
      <x:c r="A1583" s="5" t="str">
        <x:v>擅</x:v>
      </x:c>
      <x:c r="B1583" s="6" t="str">
        <x:v>去</x:v>
      </x:c>
      <x:c r="C1583" s="6" t="str">
        <x:f>IF(B1583="","Needs decision","Ready")</x:f>
        <x:v>Ready</x:v>
      </x:c>
      <x:c r="D1583" s="6" t="str">
        <x:v>去</x:v>
      </x:c>
      <x:c r="E1583" s="6" t="str">
        <x:v>dzyenH (C)</x:v>
      </x:c>
      <x:c r="F1583" s="6" t="str">
        <x:v>1</x:v>
      </x:c>
      <x:c r="G1583" s="6" t="str"/>
      <x:c r="H1583" s="6" t="str">
        <x:f>IF(B1583="平","平",IF(B1583="","","仄"))</x:f>
        <x:v>仄</x:v>
      </x:c>
      <x:c r="I1583" s="6" t="str">
        <x:f>IF(D1575="","",IF(AND(ISNUMBER(SEARCH("平",D1575)),OR(ISNUMBER(SEARCH("上",D1575)),ISNUMBER(SEARCH("去",D1575)),ISNUMBER(SEARCH("入",D1575)))),"Ambiguous",IF(ISNUMBER(SEARCH("平",D1575)),"平","仄")))</x:f>
        <x:v>仄</x:v>
      </x:c>
      <x:c r="J1583" s="7" t="str"/>
    </x:row>
    <x:row r="1584">
      <x:c r="A1584" s="5" t="str">
        <x:v>擇</x:v>
      </x:c>
      <x:c r="B1584" s="6" t="str">
        <x:v>入</x:v>
      </x:c>
      <x:c r="C1584" s="6" t="str">
        <x:f>IF(B1584="","Needs decision","Ready")</x:f>
        <x:v>Ready</x:v>
      </x:c>
      <x:c r="D1584" s="6" t="str">
        <x:v>入</x:v>
      </x:c>
      <x:c r="E1584" s="6" t="str"/>
      <x:c r="F1584" s="6" t="str"/>
      <x:c r="G1584" s="6" t="str">
        <x:v>Manual user correction/addition</x:v>
      </x:c>
      <x:c r="H1584" s="6" t="str">
        <x:f>IF(B1584="平","平",IF(B1584="","","仄"))</x:f>
        <x:v>仄</x:v>
      </x:c>
      <x:c r="I1584" s="6" t="str">
        <x:f>IF(D1576="","",IF(AND(ISNUMBER(SEARCH("平",D1576)),OR(ISNUMBER(SEARCH("上",D1576)),ISNUMBER(SEARCH("去",D1576)),ISNUMBER(SEARCH("入",D1576)))),"Ambiguous",IF(ISNUMBER(SEARCH("平",D1576)),"平","仄")))</x:f>
        <x:v>仄</x:v>
      </x:c>
      <x:c r="J1584" s="7" t="str">
        <x:v>manual user correction</x:v>
      </x:c>
    </x:row>
    <x:row r="1585">
      <x:c r="A1585" s="5" t="str">
        <x:v>擊</x:v>
      </x:c>
      <x:c r="B1585" s="6" t="str">
        <x:v>入</x:v>
      </x:c>
      <x:c r="C1585" s="6" t="str">
        <x:f>IF(B1585="","Needs decision","Ready")</x:f>
        <x:v>Ready</x:v>
      </x:c>
      <x:c r="D1585" s="6" t="str">
        <x:v>入</x:v>
      </x:c>
      <x:c r="E1585" s="6" t="str">
        <x:v>kek (D)</x:v>
      </x:c>
      <x:c r="F1585" s="6" t="str">
        <x:v>1</x:v>
      </x:c>
      <x:c r="G1585" s="6" t="str"/>
      <x:c r="H1585" s="6" t="str">
        <x:f>IF(B1585="平","平",IF(B1585="","","仄"))</x:f>
        <x:v>仄</x:v>
      </x:c>
      <x:c r="I1585" s="6" t="str">
        <x:f>IF(D1577="","",IF(AND(ISNUMBER(SEARCH("平",D1577)),OR(ISNUMBER(SEARCH("上",D1577)),ISNUMBER(SEARCH("去",D1577)),ISNUMBER(SEARCH("入",D1577)))),"Ambiguous",IF(ISNUMBER(SEARCH("平",D1577)),"平","仄")))</x:f>
        <x:v>仄</x:v>
      </x:c>
      <x:c r="J1585" s="7" t="str"/>
    </x:row>
    <x:row r="1586">
      <x:c r="A1586" s="5" t="str">
        <x:v>操</x:v>
      </x:c>
      <x:c r="B1586" s="6" t="str"/>
      <x:c r="C1586" s="6" t="str">
        <x:f>IF(B1586="","Needs decision","Ready")</x:f>
        <x:v>Needs decision</x:v>
      </x:c>
      <x:c r="D1586" s="6" t="str">
        <x:v>上/去</x:v>
      </x:c>
      <x:c r="E1586" s="6" t="str">
        <x:v>tshawX (B); tshawH (C)</x:v>
      </x:c>
      <x:c r="F1586" s="6" t="str">
        <x:v>2</x:v>
      </x:c>
      <x:c r="G1586" s="6" t="str"/>
      <x:c r="H1586" s="6" t="str">
        <x:f>IF(B1586="平","平",IF(B1586="","","仄"))</x:f>
      </x:c>
      <x:c r="I1586" s="6" t="str">
        <x:f>IF(D1578="","",IF(AND(ISNUMBER(SEARCH("平",D1578)),OR(ISNUMBER(SEARCH("上",D1578)),ISNUMBER(SEARCH("去",D1578)),ISNUMBER(SEARCH("入",D1578)))),"Ambiguous",IF(ISNUMBER(SEARCH("平",D1578)),"平","仄")))</x:f>
        <x:v>仄</x:v>
      </x:c>
      <x:c r="J1586" s="7" t="str"/>
    </x:row>
    <x:row r="1587">
      <x:c r="A1587" s="5" t="str">
        <x:v>擎</x:v>
      </x:c>
      <x:c r="B1587" s="6" t="str">
        <x:v>平</x:v>
      </x:c>
      <x:c r="C1587" s="6" t="str">
        <x:f>IF(B1587="","Needs decision","Ready")</x:f>
        <x:v>Ready</x:v>
      </x:c>
      <x:c r="D1587" s="6" t="str">
        <x:v>平</x:v>
      </x:c>
      <x:c r="E1587" s="6" t="str"/>
      <x:c r="F1587" s="6" t="str"/>
      <x:c r="G1587" s="6" t="str">
        <x:v>Manual user correction/addition</x:v>
      </x:c>
      <x:c r="H1587" s="6" t="str">
        <x:f>IF(B1587="平","平",IF(B1587="","","仄"))</x:f>
        <x:v>平</x:v>
      </x:c>
      <x:c r="I1587" s="6" t="str">
        <x:f>IF(D1579="","",IF(AND(ISNUMBER(SEARCH("平",D1579)),OR(ISNUMBER(SEARCH("上",D1579)),ISNUMBER(SEARCH("去",D1579)),ISNUMBER(SEARCH("入",D1579)))),"Ambiguous",IF(ISNUMBER(SEARCH("平",D1579)),"平","仄")))</x:f>
        <x:v>仄</x:v>
      </x:c>
      <x:c r="J1587" s="7" t="str">
        <x:v>manual user correction</x:v>
      </x:c>
    </x:row>
    <x:row r="1588">
      <x:c r="A1588" s="5" t="str">
        <x:v>擐</x:v>
      </x:c>
      <x:c r="B1588" s="6" t="str">
        <x:v>去</x:v>
      </x:c>
      <x:c r="C1588" s="6" t="str">
        <x:f>IF(B1588="","Needs decision","Ready")</x:f>
        <x:v>Ready</x:v>
      </x:c>
      <x:c r="D1588" s="6" t="str">
        <x:v>去</x:v>
      </x:c>
      <x:c r="E1588" s="6" t="str">
        <x:v>hwaenH (C)</x:v>
      </x:c>
      <x:c r="F1588" s="6" t="str">
        <x:v>1</x:v>
      </x:c>
      <x:c r="G1588" s="6" t="str"/>
      <x:c r="H1588" s="6" t="str">
        <x:f>IF(B1588="平","平",IF(B1588="","","仄"))</x:f>
        <x:v>仄</x:v>
      </x:c>
      <x:c r="I1588" s="6" t="str">
        <x:f>IF(D1580="","",IF(AND(ISNUMBER(SEARCH("平",D1580)),OR(ISNUMBER(SEARCH("上",D1580)),ISNUMBER(SEARCH("去",D1580)),ISNUMBER(SEARCH("入",D1580)))),"Ambiguous",IF(ISNUMBER(SEARCH("平",D1580)),"平","仄")))</x:f>
        <x:v>仄</x:v>
      </x:c>
      <x:c r="J1588" s="7" t="str"/>
    </x:row>
    <x:row r="1589">
      <x:c r="A1589" s="5" t="str">
        <x:v>擒</x:v>
      </x:c>
      <x:c r="B1589" s="6" t="str">
        <x:v>平</x:v>
      </x:c>
      <x:c r="C1589" s="6" t="str">
        <x:f>IF(B1589="","Needs decision","Ready")</x:f>
        <x:v>Ready</x:v>
      </x:c>
      <x:c r="D1589" s="6" t="str">
        <x:v>平</x:v>
      </x:c>
      <x:c r="E1589" s="6" t="str">
        <x:v>gim (A)</x:v>
      </x:c>
      <x:c r="F1589" s="6" t="str">
        <x:v>1</x:v>
      </x:c>
      <x:c r="G1589" s="6" t="str"/>
      <x:c r="H1589" s="6" t="str">
        <x:f>IF(B1589="平","平",IF(B1589="","","仄"))</x:f>
        <x:v>平</x:v>
      </x:c>
      <x:c r="I1589" s="6" t="str">
        <x:f>IF(D1581="","",IF(AND(ISNUMBER(SEARCH("平",D1581)),OR(ISNUMBER(SEARCH("上",D1581)),ISNUMBER(SEARCH("去",D1581)),ISNUMBER(SEARCH("入",D1581)))),"Ambiguous",IF(ISNUMBER(SEARCH("平",D1581)),"平","仄")))</x:f>
        <x:v>仄</x:v>
      </x:c>
      <x:c r="J1589" s="7" t="str"/>
    </x:row>
    <x:row r="1590">
      <x:c r="A1590" s="5" t="str">
        <x:v>擔</x:v>
      </x:c>
      <x:c r="B1590" s="6" t="str"/>
      <x:c r="C1590" s="6" t="str">
        <x:f>IF(B1590="","Needs decision","Ready")</x:f>
        <x:v>Needs decision</x:v>
      </x:c>
      <x:c r="D1590" s="6" t="str">
        <x:v>平/去</x:v>
      </x:c>
      <x:c r="E1590" s="6" t="str">
        <x:v>tam (A); tamH (C)</x:v>
      </x:c>
      <x:c r="F1590" s="6" t="str">
        <x:v>2</x:v>
      </x:c>
      <x:c r="G1590" s="6" t="str"/>
      <x:c r="H1590" s="6" t="str">
        <x:f>IF(B1590="平","平",IF(B1590="","","仄"))</x:f>
      </x:c>
      <x:c r="I1590" s="6" t="str">
        <x:f>IF(D1582="","",IF(AND(ISNUMBER(SEARCH("平",D1582)),OR(ISNUMBER(SEARCH("上",D1582)),ISNUMBER(SEARCH("去",D1582)),ISNUMBER(SEARCH("入",D1582)))),"Ambiguous",IF(ISNUMBER(SEARCH("平",D1582)),"平","仄")))</x:f>
        <x:v>仄</x:v>
      </x:c>
      <x:c r="J1590" s="7" t="str"/>
    </x:row>
    <x:row r="1591">
      <x:c r="A1591" s="5" t="str">
        <x:v>擗</x:v>
      </x:c>
      <x:c r="B1591" s="6" t="str">
        <x:v>入</x:v>
      </x:c>
      <x:c r="C1591" s="6" t="str">
        <x:f>IF(B1591="","Needs decision","Ready")</x:f>
        <x:v>Ready</x:v>
      </x:c>
      <x:c r="D1591" s="6" t="str">
        <x:v>入</x:v>
      </x:c>
      <x:c r="E1591" s="6" t="str">
        <x:v>bjiek (D)</x:v>
      </x:c>
      <x:c r="F1591" s="6" t="str">
        <x:v>1</x:v>
      </x:c>
      <x:c r="G1591" s="6" t="str"/>
      <x:c r="H1591" s="6" t="str">
        <x:f>IF(B1591="平","平",IF(B1591="","","仄"))</x:f>
        <x:v>仄</x:v>
      </x:c>
      <x:c r="I1591" s="6" t="str">
        <x:f>IF(D1583="","",IF(AND(ISNUMBER(SEARCH("平",D1583)),OR(ISNUMBER(SEARCH("上",D1583)),ISNUMBER(SEARCH("去",D1583)),ISNUMBER(SEARCH("入",D1583)))),"Ambiguous",IF(ISNUMBER(SEARCH("平",D1583)),"平","仄")))</x:f>
        <x:v>仄</x:v>
      </x:c>
      <x:c r="J1591" s="7" t="str"/>
    </x:row>
    <x:row r="1592">
      <x:c r="A1592" s="5" t="str">
        <x:v>擘</x:v>
      </x:c>
      <x:c r="B1592" s="6" t="str">
        <x:v>入</x:v>
      </x:c>
      <x:c r="C1592" s="6" t="str">
        <x:f>IF(B1592="","Needs decision","Ready")</x:f>
        <x:v>Ready</x:v>
      </x:c>
      <x:c r="D1592" s="6" t="str">
        <x:v>入</x:v>
      </x:c>
      <x:c r="E1592" s="6" t="str">
        <x:v>peak (D)</x:v>
      </x:c>
      <x:c r="F1592" s="6" t="str">
        <x:v>1</x:v>
      </x:c>
      <x:c r="G1592" s="6" t="str"/>
      <x:c r="H1592" s="6" t="str">
        <x:f>IF(B1592="平","平",IF(B1592="","","仄"))</x:f>
        <x:v>仄</x:v>
      </x:c>
      <x:c r="I1592" s="6" t="str">
        <x:f>IF(D1584="","",IF(AND(ISNUMBER(SEARCH("平",D1584)),OR(ISNUMBER(SEARCH("上",D1584)),ISNUMBER(SEARCH("去",D1584)),ISNUMBER(SEARCH("入",D1584)))),"Ambiguous",IF(ISNUMBER(SEARCH("平",D1584)),"平","仄")))</x:f>
        <x:v>仄</x:v>
      </x:c>
      <x:c r="J1592" s="7" t="str"/>
    </x:row>
    <x:row r="1593">
      <x:c r="A1593" s="5" t="str">
        <x:v>據</x:v>
      </x:c>
      <x:c r="B1593" s="6" t="str">
        <x:v>去</x:v>
      </x:c>
      <x:c r="C1593" s="6" t="str">
        <x:f>IF(B1593="","Needs decision","Ready")</x:f>
        <x:v>Ready</x:v>
      </x:c>
      <x:c r="D1593" s="6" t="str">
        <x:v>去</x:v>
      </x:c>
      <x:c r="E1593" s="6" t="str">
        <x:v>kjoH (C)</x:v>
      </x:c>
      <x:c r="F1593" s="6" t="str">
        <x:v>1</x:v>
      </x:c>
      <x:c r="G1593" s="6" t="str"/>
      <x:c r="H1593" s="6" t="str">
        <x:f>IF(B1593="平","平",IF(B1593="","","仄"))</x:f>
        <x:v>仄</x:v>
      </x:c>
      <x:c r="I1593" s="6" t="str">
        <x:f>IF(D1585="","",IF(AND(ISNUMBER(SEARCH("平",D1585)),OR(ISNUMBER(SEARCH("上",D1585)),ISNUMBER(SEARCH("去",D1585)),ISNUMBER(SEARCH("入",D1585)))),"Ambiguous",IF(ISNUMBER(SEARCH("平",D1585)),"平","仄")))</x:f>
        <x:v>仄</x:v>
      </x:c>
      <x:c r="J1593" s="7" t="str"/>
    </x:row>
    <x:row r="1594">
      <x:c r="A1594" s="5" t="str">
        <x:v>擢</x:v>
      </x:c>
      <x:c r="B1594" s="6" t="str">
        <x:v>入</x:v>
      </x:c>
      <x:c r="C1594" s="6" t="str">
        <x:f>IF(B1594="","Needs decision","Ready")</x:f>
        <x:v>Ready</x:v>
      </x:c>
      <x:c r="D1594" s="6" t="str">
        <x:v>入</x:v>
      </x:c>
      <x:c r="E1594" s="6" t="str">
        <x:v>draewk (D)</x:v>
      </x:c>
      <x:c r="F1594" s="6" t="str">
        <x:v>1</x:v>
      </x:c>
      <x:c r="G1594" s="6" t="str"/>
      <x:c r="H1594" s="6" t="str">
        <x:f>IF(B1594="平","平",IF(B1594="","","仄"))</x:f>
        <x:v>仄</x:v>
      </x:c>
      <x:c r="I1594" s="6" t="str">
        <x:f>IF(D1586="","",IF(AND(ISNUMBER(SEARCH("平",D1586)),OR(ISNUMBER(SEARCH("上",D1586)),ISNUMBER(SEARCH("去",D1586)),ISNUMBER(SEARCH("入",D1586)))),"Ambiguous",IF(ISNUMBER(SEARCH("平",D1586)),"平","仄")))</x:f>
        <x:v>仄</x:v>
      </x:c>
      <x:c r="J1594" s="7" t="str"/>
    </x:row>
    <x:row r="1595">
      <x:c r="A1595" s="5" t="str">
        <x:v>擣</x:v>
      </x:c>
      <x:c r="B1595" s="6" t="str">
        <x:v>上</x:v>
      </x:c>
      <x:c r="C1595" s="6" t="str">
        <x:f>IF(B1595="","Needs decision","Ready")</x:f>
        <x:v>Ready</x:v>
      </x:c>
      <x:c r="D1595" s="6" t="str">
        <x:v>上</x:v>
      </x:c>
      <x:c r="E1595" s="6" t="str">
        <x:v>tawX (B)</x:v>
      </x:c>
      <x:c r="F1595" s="6" t="str">
        <x:v>1</x:v>
      </x:c>
      <x:c r="G1595" s="6" t="str"/>
      <x:c r="H1595" s="6" t="str">
        <x:f>IF(B1595="平","平",IF(B1595="","","仄"))</x:f>
        <x:v>仄</x:v>
      </x:c>
      <x:c r="I1595" s="6" t="str">
        <x:f>IF(D1587="","",IF(AND(ISNUMBER(SEARCH("平",D1587)),OR(ISNUMBER(SEARCH("上",D1587)),ISNUMBER(SEARCH("去",D1587)),ISNUMBER(SEARCH("入",D1587)))),"Ambiguous",IF(ISNUMBER(SEARCH("平",D1587)),"平","仄")))</x:f>
        <x:v>平</x:v>
      </x:c>
      <x:c r="J1595" s="7" t="str"/>
    </x:row>
    <x:row r="1596">
      <x:c r="A1596" s="5" t="str">
        <x:v>擬</x:v>
      </x:c>
      <x:c r="B1596" s="6" t="str">
        <x:v>上</x:v>
      </x:c>
      <x:c r="C1596" s="6" t="str">
        <x:f>IF(B1596="","Needs decision","Ready")</x:f>
        <x:v>Ready</x:v>
      </x:c>
      <x:c r="D1596" s="6" t="str">
        <x:v>上</x:v>
      </x:c>
      <x:c r="E1596" s="6" t="str">
        <x:v>ngiX (B)</x:v>
      </x:c>
      <x:c r="F1596" s="6" t="str">
        <x:v>1</x:v>
      </x:c>
      <x:c r="G1596" s="6" t="str"/>
      <x:c r="H1596" s="6" t="str">
        <x:f>IF(B1596="平","平",IF(B1596="","","仄"))</x:f>
        <x:v>仄</x:v>
      </x:c>
      <x:c r="I1596" s="6" t="str">
        <x:f>IF(D1588="","",IF(AND(ISNUMBER(SEARCH("平",D1588)),OR(ISNUMBER(SEARCH("上",D1588)),ISNUMBER(SEARCH("去",D1588)),ISNUMBER(SEARCH("入",D1588)))),"Ambiguous",IF(ISNUMBER(SEARCH("平",D1588)),"平","仄")))</x:f>
        <x:v>仄</x:v>
      </x:c>
      <x:c r="J1596" s="7" t="str"/>
    </x:row>
    <x:row r="1597">
      <x:c r="A1597" s="5" t="str">
        <x:v>擭</x:v>
      </x:c>
      <x:c r="B1597" s="6" t="str"/>
      <x:c r="C1597" s="6" t="str">
        <x:f>IF(B1597="","Needs decision","Ready")</x:f>
        <x:v>Needs decision</x:v>
      </x:c>
      <x:c r="D1597" s="6" t="str">
        <x:v>去/入</x:v>
      </x:c>
      <x:c r="E1597" s="6" t="str">
        <x:v>hwaeH (C); 'waek (D)</x:v>
      </x:c>
      <x:c r="F1597" s="6" t="str">
        <x:v>2</x:v>
      </x:c>
      <x:c r="G1597" s="6" t="str"/>
      <x:c r="H1597" s="6" t="str">
        <x:f>IF(B1597="平","平",IF(B1597="","","仄"))</x:f>
      </x:c>
      <x:c r="I1597" s="6" t="str">
        <x:f>IF(D1589="","",IF(AND(ISNUMBER(SEARCH("平",D1589)),OR(ISNUMBER(SEARCH("上",D1589)),ISNUMBER(SEARCH("去",D1589)),ISNUMBER(SEARCH("入",D1589)))),"Ambiguous",IF(ISNUMBER(SEARCH("平",D1589)),"平","仄")))</x:f>
        <x:v>平</x:v>
      </x:c>
      <x:c r="J1597" s="7" t="str"/>
    </x:row>
    <x:row r="1598">
      <x:c r="A1598" s="5" t="str">
        <x:v>擲</x:v>
      </x:c>
      <x:c r="B1598" s="6" t="str">
        <x:v>入</x:v>
      </x:c>
      <x:c r="C1598" s="6" t="str">
        <x:f>IF(B1598="","Needs decision","Ready")</x:f>
        <x:v>Ready</x:v>
      </x:c>
      <x:c r="D1598" s="6" t="str">
        <x:v>入</x:v>
      </x:c>
      <x:c r="E1598" s="6" t="str">
        <x:v>drjek [ɖjak] (入)</x:v>
      </x:c>
      <x:c r="F1598" s="6" t="str">
        <x:v>1</x:v>
      </x:c>
      <x:c r="G1598" s="6" t="str">
        <x:v>Tang 300 gap; frequency 2; provisional from Xun Gong</x:v>
      </x:c>
      <x:c r="H1598" s="6" t="str">
        <x:f>IF(B1598="平","平",IF(B1598="","","仄"))</x:f>
        <x:v>仄</x:v>
      </x:c>
      <x:c r="I1598" s="6" t="str">
        <x:f>IF(D1590="","",IF(AND(ISNUMBER(SEARCH("平",D1590)),OR(ISNUMBER(SEARCH("上",D1590)),ISNUMBER(SEARCH("去",D1590)),ISNUMBER(SEARCH("入",D1590)))),"Ambiguous",IF(ISNUMBER(SEARCH("平",D1590)),"平","仄")))</x:f>
        <x:v>Ambiguous</x:v>
      </x:c>
      <x:c r="J1598" s="7" t="str">
        <x:v>Xun Gong, Tang 300 gap fill</x:v>
      </x:c>
    </x:row>
    <x:row r="1599">
      <x:c r="A1599" s="5" t="str">
        <x:v>擴</x:v>
      </x:c>
      <x:c r="B1599" s="6" t="str">
        <x:v>入</x:v>
      </x:c>
      <x:c r="C1599" s="6" t="str">
        <x:f>IF(B1599="","Needs decision","Ready")</x:f>
        <x:v>Ready</x:v>
      </x:c>
      <x:c r="D1599" s="6" t="str">
        <x:v>入</x:v>
      </x:c>
      <x:c r="E1599" s="6" t="str">
        <x:v>khwak (D)</x:v>
      </x:c>
      <x:c r="F1599" s="6" t="str">
        <x:v>1</x:v>
      </x:c>
      <x:c r="G1599" s="6" t="str"/>
      <x:c r="H1599" s="6" t="str">
        <x:f>IF(B1599="平","平",IF(B1599="","","仄"))</x:f>
        <x:v>仄</x:v>
      </x:c>
      <x:c r="I1599" s="6" t="str">
        <x:f>IF(D1591="","",IF(AND(ISNUMBER(SEARCH("平",D1591)),OR(ISNUMBER(SEARCH("上",D1591)),ISNUMBER(SEARCH("去",D1591)),ISNUMBER(SEARCH("入",D1591)))),"Ambiguous",IF(ISNUMBER(SEARCH("平",D1591)),"平","仄")))</x:f>
        <x:v>仄</x:v>
      </x:c>
      <x:c r="J1599" s="7" t="str"/>
    </x:row>
    <x:row r="1600">
      <x:c r="A1600" s="5" t="str">
        <x:v>擷</x:v>
      </x:c>
      <x:c r="B1600" s="6" t="str">
        <x:v>入</x:v>
      </x:c>
      <x:c r="C1600" s="6" t="str">
        <x:f>IF(B1600="","Needs decision","Ready")</x:f>
        <x:v>Ready</x:v>
      </x:c>
      <x:c r="D1600" s="6" t="str">
        <x:v>入</x:v>
      </x:c>
      <x:c r="E1600" s="6" t="str">
        <x:v>het (D)</x:v>
      </x:c>
      <x:c r="F1600" s="6" t="str">
        <x:v>1</x:v>
      </x:c>
      <x:c r="G1600" s="6" t="str"/>
      <x:c r="H1600" s="6" t="str">
        <x:f>IF(B1600="平","平",IF(B1600="","","仄"))</x:f>
        <x:v>仄</x:v>
      </x:c>
      <x:c r="I1600" s="6" t="str">
        <x:f>IF(D1592="","",IF(AND(ISNUMBER(SEARCH("平",D1592)),OR(ISNUMBER(SEARCH("上",D1592)),ISNUMBER(SEARCH("去",D1592)),ISNUMBER(SEARCH("入",D1592)))),"Ambiguous",IF(ISNUMBER(SEARCH("平",D1592)),"平","仄")))</x:f>
        <x:v>仄</x:v>
      </x:c>
      <x:c r="J1600" s="7" t="str"/>
    </x:row>
    <x:row r="1601">
      <x:c r="A1601" s="5" t="str">
        <x:v>擾</x:v>
      </x:c>
      <x:c r="B1601" s="6" t="str">
        <x:v>上</x:v>
      </x:c>
      <x:c r="C1601" s="6" t="str">
        <x:f>IF(B1601="","Needs decision","Ready")</x:f>
        <x:v>Ready</x:v>
      </x:c>
      <x:c r="D1601" s="6" t="str">
        <x:v>上</x:v>
      </x:c>
      <x:c r="E1601" s="6" t="str"/>
      <x:c r="F1601" s="6" t="str"/>
      <x:c r="G1601" s="6" t="str">
        <x:v>Manual user correction/addition</x:v>
      </x:c>
      <x:c r="H1601" s="6" t="str">
        <x:f>IF(B1601="平","平",IF(B1601="","","仄"))</x:f>
        <x:v>仄</x:v>
      </x:c>
      <x:c r="I1601" s="6" t="str">
        <x:f>IF(D1593="","",IF(AND(ISNUMBER(SEARCH("平",D1593)),OR(ISNUMBER(SEARCH("上",D1593)),ISNUMBER(SEARCH("去",D1593)),ISNUMBER(SEARCH("入",D1593)))),"Ambiguous",IF(ISNUMBER(SEARCH("平",D1593)),"平","仄")))</x:f>
        <x:v>仄</x:v>
      </x:c>
      <x:c r="J1601" s="7" t="str">
        <x:v>manual user correction</x:v>
      </x:c>
    </x:row>
    <x:row r="1602">
      <x:c r="A1602" s="5" t="str">
        <x:v>攀</x:v>
      </x:c>
      <x:c r="B1602" s="6" t="str">
        <x:v>平</x:v>
      </x:c>
      <x:c r="C1602" s="6" t="str">
        <x:f>IF(B1602="","Needs decision","Ready")</x:f>
        <x:v>Ready</x:v>
      </x:c>
      <x:c r="D1602" s="6" t="str">
        <x:v>平</x:v>
      </x:c>
      <x:c r="E1602" s="6" t="str">
        <x:v>phaen (A)</x:v>
      </x:c>
      <x:c r="F1602" s="6" t="str">
        <x:v>1</x:v>
      </x:c>
      <x:c r="G1602" s="6" t="str"/>
      <x:c r="H1602" s="6" t="str">
        <x:f>IF(B1602="平","平",IF(B1602="","","仄"))</x:f>
        <x:v>平</x:v>
      </x:c>
      <x:c r="I1602" s="6" t="str">
        <x:f>IF(D1594="","",IF(AND(ISNUMBER(SEARCH("平",D1594)),OR(ISNUMBER(SEARCH("上",D1594)),ISNUMBER(SEARCH("去",D1594)),ISNUMBER(SEARCH("入",D1594)))),"Ambiguous",IF(ISNUMBER(SEARCH("平",D1594)),"平","仄")))</x:f>
        <x:v>仄</x:v>
      </x:c>
      <x:c r="J1602" s="7" t="str"/>
    </x:row>
    <x:row r="1603">
      <x:c r="A1603" s="5" t="str">
        <x:v>攄</x:v>
      </x:c>
      <x:c r="B1603" s="6" t="str">
        <x:v>平</x:v>
      </x:c>
      <x:c r="C1603" s="6" t="str">
        <x:f>IF(B1603="","Needs decision","Ready")</x:f>
        <x:v>Ready</x:v>
      </x:c>
      <x:c r="D1603" s="6" t="str">
        <x:v>平</x:v>
      </x:c>
      <x:c r="E1603" s="6" t="str">
        <x:v>trhjo (A)</x:v>
      </x:c>
      <x:c r="F1603" s="6" t="str">
        <x:v>1</x:v>
      </x:c>
      <x:c r="G1603" s="6" t="str"/>
      <x:c r="H1603" s="6" t="str">
        <x:f>IF(B1603="平","平",IF(B1603="","","仄"))</x:f>
        <x:v>平</x:v>
      </x:c>
      <x:c r="I1603" s="6" t="str">
        <x:f>IF(D1595="","",IF(AND(ISNUMBER(SEARCH("平",D1595)),OR(ISNUMBER(SEARCH("上",D1595)),ISNUMBER(SEARCH("去",D1595)),ISNUMBER(SEARCH("入",D1595)))),"Ambiguous",IF(ISNUMBER(SEARCH("平",D1595)),"平","仄")))</x:f>
        <x:v>仄</x:v>
      </x:c>
      <x:c r="J1603" s="7" t="str"/>
    </x:row>
    <x:row r="1604">
      <x:c r="A1604" s="5" t="str">
        <x:v>攏</x:v>
      </x:c>
      <x:c r="B1604" s="6" t="str">
        <x:v>上</x:v>
      </x:c>
      <x:c r="C1604" s="6" t="str">
        <x:f>IF(B1604="","Needs decision","Ready")</x:f>
        <x:v>Ready</x:v>
      </x:c>
      <x:c r="D1604" s="6" t="str">
        <x:v>上</x:v>
      </x:c>
      <x:c r="E1604" s="6" t="str">
        <x:v>luwngX [l̙uŋʔ] (上)</x:v>
      </x:c>
      <x:c r="F1604" s="6" t="str">
        <x:v>1</x:v>
      </x:c>
      <x:c r="G1604" s="6" t="str">
        <x:v>Tang 300 gap; frequency 1; provisional from Xun Gong</x:v>
      </x:c>
      <x:c r="H1604" s="6" t="str">
        <x:f>IF(B1604="平","平",IF(B1604="","","仄"))</x:f>
        <x:v>仄</x:v>
      </x:c>
      <x:c r="I1604" s="6" t="str">
        <x:f>IF(D1596="","",IF(AND(ISNUMBER(SEARCH("平",D1596)),OR(ISNUMBER(SEARCH("上",D1596)),ISNUMBER(SEARCH("去",D1596)),ISNUMBER(SEARCH("入",D1596)))),"Ambiguous",IF(ISNUMBER(SEARCH("平",D1596)),"平","仄")))</x:f>
        <x:v>仄</x:v>
      </x:c>
      <x:c r="J1604" s="7" t="str">
        <x:v>Xun Gong, Tang 300 gap fill</x:v>
      </x:c>
    </x:row>
    <x:row r="1605">
      <x:c r="A1605" s="5" t="str">
        <x:v>攔</x:v>
      </x:c>
      <x:c r="B1605" s="6" t="str">
        <x:v>平</x:v>
      </x:c>
      <x:c r="C1605" s="6" t="str">
        <x:f>IF(B1605="","Needs decision","Ready")</x:f>
        <x:v>Ready</x:v>
      </x:c>
      <x:c r="D1605" s="6" t="str">
        <x:v>平</x:v>
      </x:c>
      <x:c r="E1605" s="6" t="str">
        <x:v>lan [l̙ɑn] (平)</x:v>
      </x:c>
      <x:c r="F1605" s="6" t="str">
        <x:v>1</x:v>
      </x:c>
      <x:c r="G1605" s="6" t="str">
        <x:v>Tang 300 gap; frequency 1; provisional from Xun Gong</x:v>
      </x:c>
      <x:c r="H1605" s="6" t="str">
        <x:f>IF(B1605="平","平",IF(B1605="","","仄"))</x:f>
        <x:v>平</x:v>
      </x:c>
      <x:c r="I1605" s="6" t="str">
        <x:f>IF(D1597="","",IF(AND(ISNUMBER(SEARCH("平",D1597)),OR(ISNUMBER(SEARCH("上",D1597)),ISNUMBER(SEARCH("去",D1597)),ISNUMBER(SEARCH("入",D1597)))),"Ambiguous",IF(ISNUMBER(SEARCH("平",D1597)),"平","仄")))</x:f>
        <x:v>仄</x:v>
      </x:c>
      <x:c r="J1605" s="7" t="str">
        <x:v>Xun Gong, Tang 300 gap fill</x:v>
      </x:c>
    </x:row>
    <x:row r="1606">
      <x:c r="A1606" s="5" t="str">
        <x:v>攘</x:v>
      </x:c>
      <x:c r="B1606" s="6" t="str"/>
      <x:c r="C1606" s="6" t="str">
        <x:f>IF(B1606="","Needs decision","Ready")</x:f>
        <x:v>Needs decision</x:v>
      </x:c>
      <x:c r="D1606" s="6" t="str">
        <x:v>平/上</x:v>
      </x:c>
      <x:c r="E1606" s="6" t="str">
        <x:v>nyang (A); nyangX (B)</x:v>
      </x:c>
      <x:c r="F1606" s="6" t="str">
        <x:v>2</x:v>
      </x:c>
      <x:c r="G1606" s="6" t="str"/>
      <x:c r="H1606" s="6" t="str">
        <x:f>IF(B1606="平","平",IF(B1606="","","仄"))</x:f>
      </x:c>
      <x:c r="I1606" s="6" t="str">
        <x:f>IF(D1598="","",IF(AND(ISNUMBER(SEARCH("平",D1598)),OR(ISNUMBER(SEARCH("上",D1598)),ISNUMBER(SEARCH("去",D1598)),ISNUMBER(SEARCH("入",D1598)))),"Ambiguous",IF(ISNUMBER(SEARCH("平",D1598)),"平","仄")))</x:f>
        <x:v>仄</x:v>
      </x:c>
      <x:c r="J1606" s="7" t="str"/>
    </x:row>
    <x:row r="1607">
      <x:c r="A1607" s="5" t="str">
        <x:v>攜</x:v>
      </x:c>
      <x:c r="B1607" s="6" t="str">
        <x:v>平</x:v>
      </x:c>
      <x:c r="C1607" s="6" t="str">
        <x:f>IF(B1607="","Needs decision","Ready")</x:f>
        <x:v>Ready</x:v>
      </x:c>
      <x:c r="D1607" s="6" t="str">
        <x:v>平</x:v>
      </x:c>
      <x:c r="E1607" s="6" t="str">
        <x:v>hwej [ʁwej] (平)</x:v>
      </x:c>
      <x:c r="F1607" s="6" t="str">
        <x:v>1</x:v>
      </x:c>
      <x:c r="G1607" s="6" t="str">
        <x:v>Tang 300 gap; frequency 1; provisional from Xun Gong</x:v>
      </x:c>
      <x:c r="H1607" s="6" t="str">
        <x:f>IF(B1607="平","平",IF(B1607="","","仄"))</x:f>
        <x:v>平</x:v>
      </x:c>
      <x:c r="I1607" s="6" t="str">
        <x:f>IF(D1599="","",IF(AND(ISNUMBER(SEARCH("平",D1599)),OR(ISNUMBER(SEARCH("上",D1599)),ISNUMBER(SEARCH("去",D1599)),ISNUMBER(SEARCH("入",D1599)))),"Ambiguous",IF(ISNUMBER(SEARCH("平",D1599)),"平","仄")))</x:f>
        <x:v>仄</x:v>
      </x:c>
      <x:c r="J1607" s="7" t="str">
        <x:v>Xun Gong, Tang 300 gap fill</x:v>
      </x:c>
    </x:row>
    <x:row r="1608">
      <x:c r="A1608" s="5" t="str">
        <x:v>攝</x:v>
      </x:c>
      <x:c r="B1608" s="6" t="str">
        <x:v>入</x:v>
      </x:c>
      <x:c r="C1608" s="6" t="str">
        <x:f>IF(B1608="","Needs decision","Ready")</x:f>
        <x:v>Ready</x:v>
      </x:c>
      <x:c r="D1608" s="6" t="str">
        <x:v>入</x:v>
      </x:c>
      <x:c r="E1608" s="6" t="str">
        <x:v>syep (D)</x:v>
      </x:c>
      <x:c r="F1608" s="6" t="str">
        <x:v>1</x:v>
      </x:c>
      <x:c r="G1608" s="6" t="str"/>
      <x:c r="H1608" s="6" t="str">
        <x:f>IF(B1608="平","平",IF(B1608="","","仄"))</x:f>
        <x:v>仄</x:v>
      </x:c>
      <x:c r="I1608" s="6" t="str">
        <x:f>IF(D1600="","",IF(AND(ISNUMBER(SEARCH("平",D1600)),OR(ISNUMBER(SEARCH("上",D1600)),ISNUMBER(SEARCH("去",D1600)),ISNUMBER(SEARCH("入",D1600)))),"Ambiguous",IF(ISNUMBER(SEARCH("平",D1600)),"平","仄")))</x:f>
        <x:v>仄</x:v>
      </x:c>
      <x:c r="J1608" s="7" t="str"/>
    </x:row>
    <x:row r="1609">
      <x:c r="A1609" s="5" t="str">
        <x:v>攢</x:v>
      </x:c>
      <x:c r="B1609" s="6" t="str">
        <x:v>去</x:v>
      </x:c>
      <x:c r="C1609" s="6" t="str">
        <x:f>IF(B1609="","Needs decision","Ready")</x:f>
        <x:v>Ready</x:v>
      </x:c>
      <x:c r="D1609" s="6" t="str">
        <x:v>去</x:v>
      </x:c>
      <x:c r="E1609" s="6" t="str">
        <x:v>dzwanH [d̙z̙wɑnh] (去); tsanH [t̙s̙ɑnh] (去)</x:v>
      </x:c>
      <x:c r="F1609" s="6" t="str">
        <x:v>2</x:v>
      </x:c>
      <x:c r="G1609" s="6" t="str">
        <x:v>Tang 300 gap; frequency 1; provisional from Xun Gong</x:v>
      </x:c>
      <x:c r="H1609" s="6" t="str">
        <x:f>IF(B1609="平","平",IF(B1609="","","仄"))</x:f>
        <x:v>仄</x:v>
      </x:c>
      <x:c r="I1609" s="6" t="str">
        <x:f>IF(D1601="","",IF(AND(ISNUMBER(SEARCH("平",D1601)),OR(ISNUMBER(SEARCH("上",D1601)),ISNUMBER(SEARCH("去",D1601)),ISNUMBER(SEARCH("入",D1601)))),"Ambiguous",IF(ISNUMBER(SEARCH("平",D1601)),"平","仄")))</x:f>
        <x:v>仄</x:v>
      </x:c>
      <x:c r="J1609" s="7" t="str">
        <x:v>Xun Gong, Tang 300 gap fill</x:v>
      </x:c>
    </x:row>
    <x:row r="1610">
      <x:c r="A1610" s="5" t="str">
        <x:v>攩</x:v>
      </x:c>
      <x:c r="B1610" s="6" t="str">
        <x:v>上</x:v>
      </x:c>
      <x:c r="C1610" s="6" t="str">
        <x:f>IF(B1610="","Needs decision","Ready")</x:f>
        <x:v>Ready</x:v>
      </x:c>
      <x:c r="D1610" s="6" t="str">
        <x:v>上</x:v>
      </x:c>
      <x:c r="E1610" s="6" t="str">
        <x:v>thangX (B)</x:v>
      </x:c>
      <x:c r="F1610" s="6" t="str">
        <x:v>1</x:v>
      </x:c>
      <x:c r="G1610" s="6" t="str"/>
      <x:c r="H1610" s="6" t="str">
        <x:f>IF(B1610="平","平",IF(B1610="","","仄"))</x:f>
        <x:v>仄</x:v>
      </x:c>
      <x:c r="I1610" s="6" t="str">
        <x:f>IF(D1602="","",IF(AND(ISNUMBER(SEARCH("平",D1602)),OR(ISNUMBER(SEARCH("上",D1602)),ISNUMBER(SEARCH("去",D1602)),ISNUMBER(SEARCH("入",D1602)))),"Ambiguous",IF(ISNUMBER(SEARCH("平",D1602)),"平","仄")))</x:f>
        <x:v>平</x:v>
      </x:c>
      <x:c r="J1610" s="7" t="str"/>
    </x:row>
    <x:row r="1611">
      <x:c r="A1611" s="5" t="str">
        <x:v>攪</x:v>
      </x:c>
      <x:c r="B1611" s="6" t="str">
        <x:v>上</x:v>
      </x:c>
      <x:c r="C1611" s="6" t="str">
        <x:f>IF(B1611="","Needs decision","Ready")</x:f>
        <x:v>Ready</x:v>
      </x:c>
      <x:c r="D1611" s="6" t="str">
        <x:v>上</x:v>
      </x:c>
      <x:c r="E1611" s="6" t="str">
        <x:v>kaewX (B)</x:v>
      </x:c>
      <x:c r="F1611" s="6" t="str">
        <x:v>1</x:v>
      </x:c>
      <x:c r="G1611" s="6" t="str"/>
      <x:c r="H1611" s="6" t="str">
        <x:f>IF(B1611="平","平",IF(B1611="","","仄"))</x:f>
        <x:v>仄</x:v>
      </x:c>
      <x:c r="I1611" s="6" t="str">
        <x:f>IF(D1603="","",IF(AND(ISNUMBER(SEARCH("平",D1603)),OR(ISNUMBER(SEARCH("上",D1603)),ISNUMBER(SEARCH("去",D1603)),ISNUMBER(SEARCH("入",D1603)))),"Ambiguous",IF(ISNUMBER(SEARCH("平",D1603)),"平","仄")))</x:f>
        <x:v>平</x:v>
      </x:c>
      <x:c r="J1611" s="7" t="str"/>
    </x:row>
    <x:row r="1612">
      <x:c r="A1612" s="5" t="str">
        <x:v>攫</x:v>
      </x:c>
      <x:c r="B1612" s="6" t="str">
        <x:v>入</x:v>
      </x:c>
      <x:c r="C1612" s="6" t="str">
        <x:f>IF(B1612="","Needs decision","Ready")</x:f>
        <x:v>Ready</x:v>
      </x:c>
      <x:c r="D1612" s="6" t="str">
        <x:v>入</x:v>
      </x:c>
      <x:c r="E1612" s="6" t="str">
        <x:v>kjwak (D)</x:v>
      </x:c>
      <x:c r="F1612" s="6" t="str">
        <x:v>1</x:v>
      </x:c>
      <x:c r="G1612" s="6" t="str"/>
      <x:c r="H1612" s="6" t="str">
        <x:f>IF(B1612="平","平",IF(B1612="","","仄"))</x:f>
        <x:v>仄</x:v>
      </x:c>
      <x:c r="I1612" s="6" t="str">
        <x:f>IF(D1604="","",IF(AND(ISNUMBER(SEARCH("平",D1604)),OR(ISNUMBER(SEARCH("上",D1604)),ISNUMBER(SEARCH("去",D1604)),ISNUMBER(SEARCH("入",D1604)))),"Ambiguous",IF(ISNUMBER(SEARCH("平",D1604)),"平","仄")))</x:f>
        <x:v>仄</x:v>
      </x:c>
      <x:c r="J1612" s="7" t="str"/>
    </x:row>
    <x:row r="1613">
      <x:c r="A1613" s="5" t="str">
        <x:v>攬</x:v>
      </x:c>
      <x:c r="B1613" s="6" t="str">
        <x:v>上</x:v>
      </x:c>
      <x:c r="C1613" s="6" t="str">
        <x:f>IF(B1613="","Needs decision","Ready")</x:f>
        <x:v>Ready</x:v>
      </x:c>
      <x:c r="D1613" s="6" t="str">
        <x:v>上</x:v>
      </x:c>
      <x:c r="E1613" s="6" t="str">
        <x:v>lamX [l̙ɑmʔ] (上)</x:v>
      </x:c>
      <x:c r="F1613" s="6" t="str">
        <x:v>1</x:v>
      </x:c>
      <x:c r="G1613" s="6" t="str">
        <x:v>Tang 300 gap; frequency 1; provisional from Xun Gong</x:v>
      </x:c>
      <x:c r="H1613" s="6" t="str">
        <x:f>IF(B1613="平","平",IF(B1613="","","仄"))</x:f>
        <x:v>仄</x:v>
      </x:c>
      <x:c r="I1613" s="6" t="str">
        <x:f>IF(D1605="","",IF(AND(ISNUMBER(SEARCH("平",D1605)),OR(ISNUMBER(SEARCH("上",D1605)),ISNUMBER(SEARCH("去",D1605)),ISNUMBER(SEARCH("入",D1605)))),"Ambiguous",IF(ISNUMBER(SEARCH("平",D1605)),"平","仄")))</x:f>
        <x:v>平</x:v>
      </x:c>
      <x:c r="J1613" s="7" t="str">
        <x:v>Xun Gong, Tang 300 gap fill</x:v>
      </x:c>
    </x:row>
    <x:row r="1614">
      <x:c r="A1614" s="5" t="str">
        <x:v>支</x:v>
      </x:c>
      <x:c r="B1614" s="6" t="str">
        <x:v>平</x:v>
      </x:c>
      <x:c r="C1614" s="6" t="str">
        <x:f>IF(B1614="","Needs decision","Ready")</x:f>
        <x:v>Ready</x:v>
      </x:c>
      <x:c r="D1614" s="6" t="str">
        <x:v>平</x:v>
      </x:c>
      <x:c r="E1614" s="6" t="str">
        <x:v>tsye (A)</x:v>
      </x:c>
      <x:c r="F1614" s="6" t="str">
        <x:v>1</x:v>
      </x:c>
      <x:c r="G1614" s="6" t="str"/>
      <x:c r="H1614" s="6" t="str">
        <x:f>IF(B1614="平","平",IF(B1614="","","仄"))</x:f>
        <x:v>平</x:v>
      </x:c>
      <x:c r="I1614" s="6" t="str">
        <x:f>IF(D1606="","",IF(AND(ISNUMBER(SEARCH("平",D1606)),OR(ISNUMBER(SEARCH("上",D1606)),ISNUMBER(SEARCH("去",D1606)),ISNUMBER(SEARCH("入",D1606)))),"Ambiguous",IF(ISNUMBER(SEARCH("平",D1606)),"平","仄")))</x:f>
        <x:v>Ambiguous</x:v>
      </x:c>
      <x:c r="J1614" s="7" t="str"/>
    </x:row>
    <x:row r="1615">
      <x:c r="A1615" s="5" t="str">
        <x:v>收</x:v>
      </x:c>
      <x:c r="B1615" s="6" t="str">
        <x:v>平</x:v>
      </x:c>
      <x:c r="C1615" s="6" t="str">
        <x:f>IF(B1615="","Needs decision","Ready")</x:f>
        <x:v>Ready</x:v>
      </x:c>
      <x:c r="D1615" s="6" t="str">
        <x:v>平</x:v>
      </x:c>
      <x:c r="E1615" s="6" t="str">
        <x:v>syuw (A)</x:v>
      </x:c>
      <x:c r="F1615" s="6" t="str">
        <x:v>1</x:v>
      </x:c>
      <x:c r="G1615" s="6" t="str"/>
      <x:c r="H1615" s="6" t="str">
        <x:f>IF(B1615="平","平",IF(B1615="","","仄"))</x:f>
        <x:v>平</x:v>
      </x:c>
      <x:c r="I1615" s="6" t="str">
        <x:f>IF(D1607="","",IF(AND(ISNUMBER(SEARCH("平",D1607)),OR(ISNUMBER(SEARCH("上",D1607)),ISNUMBER(SEARCH("去",D1607)),ISNUMBER(SEARCH("入",D1607)))),"Ambiguous",IF(ISNUMBER(SEARCH("平",D1607)),"平","仄")))</x:f>
        <x:v>平</x:v>
      </x:c>
      <x:c r="J1615" s="7" t="str"/>
    </x:row>
    <x:row r="1616">
      <x:c r="A1616" s="5" t="str">
        <x:v>攸</x:v>
      </x:c>
      <x:c r="B1616" s="6" t="str">
        <x:v>平</x:v>
      </x:c>
      <x:c r="C1616" s="6" t="str">
        <x:f>IF(B1616="","Needs decision","Ready")</x:f>
        <x:v>Ready</x:v>
      </x:c>
      <x:c r="D1616" s="6" t="str">
        <x:v>平</x:v>
      </x:c>
      <x:c r="E1616" s="6" t="str">
        <x:v>yuw (A)</x:v>
      </x:c>
      <x:c r="F1616" s="6" t="str">
        <x:v>1</x:v>
      </x:c>
      <x:c r="G1616" s="6" t="str"/>
      <x:c r="H1616" s="6" t="str">
        <x:f>IF(B1616="平","平",IF(B1616="","","仄"))</x:f>
        <x:v>平</x:v>
      </x:c>
      <x:c r="I1616" s="6" t="str">
        <x:f>IF(D1608="","",IF(AND(ISNUMBER(SEARCH("平",D1608)),OR(ISNUMBER(SEARCH("上",D1608)),ISNUMBER(SEARCH("去",D1608)),ISNUMBER(SEARCH("入",D1608)))),"Ambiguous",IF(ISNUMBER(SEARCH("平",D1608)),"平","仄")))</x:f>
        <x:v>仄</x:v>
      </x:c>
      <x:c r="J1616" s="7" t="str"/>
    </x:row>
    <x:row r="1617">
      <x:c r="A1617" s="5" t="str">
        <x:v>改</x:v>
      </x:c>
      <x:c r="B1617" s="6" t="str">
        <x:v>上</x:v>
      </x:c>
      <x:c r="C1617" s="6" t="str">
        <x:f>IF(B1617="","Needs decision","Ready")</x:f>
        <x:v>Ready</x:v>
      </x:c>
      <x:c r="D1617" s="6" t="str">
        <x:v>上</x:v>
      </x:c>
      <x:c r="E1617" s="6" t="str">
        <x:v>kojX (B)</x:v>
      </x:c>
      <x:c r="F1617" s="6" t="str">
        <x:v>1</x:v>
      </x:c>
      <x:c r="G1617" s="6" t="str"/>
      <x:c r="H1617" s="6" t="str">
        <x:f>IF(B1617="平","平",IF(B1617="","","仄"))</x:f>
        <x:v>仄</x:v>
      </x:c>
      <x:c r="I1617" s="6" t="str">
        <x:f>IF(D1609="","",IF(AND(ISNUMBER(SEARCH("平",D1609)),OR(ISNUMBER(SEARCH("上",D1609)),ISNUMBER(SEARCH("去",D1609)),ISNUMBER(SEARCH("入",D1609)))),"Ambiguous",IF(ISNUMBER(SEARCH("平",D1609)),"平","仄")))</x:f>
        <x:v>仄</x:v>
      </x:c>
      <x:c r="J1617" s="7" t="str"/>
    </x:row>
    <x:row r="1618">
      <x:c r="A1618" s="5" t="str">
        <x:v>攺</x:v>
      </x:c>
      <x:c r="B1618" s="6" t="str">
        <x:v>上</x:v>
      </x:c>
      <x:c r="C1618" s="6" t="str">
        <x:f>IF(B1618="","Needs decision","Ready")</x:f>
        <x:v>Ready</x:v>
      </x:c>
      <x:c r="D1618" s="6" t="str">
        <x:v>上</x:v>
      </x:c>
      <x:c r="E1618" s="6" t="str">
        <x:v>kojX (B)</x:v>
      </x:c>
      <x:c r="F1618" s="6" t="str">
        <x:v>1</x:v>
      </x:c>
      <x:c r="G1618" s="6" t="str"/>
      <x:c r="H1618" s="6" t="str">
        <x:f>IF(B1618="平","平",IF(B1618="","","仄"))</x:f>
        <x:v>仄</x:v>
      </x:c>
      <x:c r="I1618" s="6" t="str">
        <x:f>IF(D1610="","",IF(AND(ISNUMBER(SEARCH("平",D1610)),OR(ISNUMBER(SEARCH("上",D1610)),ISNUMBER(SEARCH("去",D1610)),ISNUMBER(SEARCH("入",D1610)))),"Ambiguous",IF(ISNUMBER(SEARCH("平",D1610)),"平","仄")))</x:f>
        <x:v>仄</x:v>
      </x:c>
      <x:c r="J1618" s="7" t="str"/>
    </x:row>
    <x:row r="1619">
      <x:c r="A1619" s="5" t="str">
        <x:v>攻</x:v>
      </x:c>
      <x:c r="B1619" s="6" t="str">
        <x:v>平</x:v>
      </x:c>
      <x:c r="C1619" s="6" t="str">
        <x:f>IF(B1619="","Needs decision","Ready")</x:f>
        <x:v>Ready</x:v>
      </x:c>
      <x:c r="D1619" s="6" t="str">
        <x:v>平</x:v>
      </x:c>
      <x:c r="E1619" s="6" t="str">
        <x:v>kuwng (A)</x:v>
      </x:c>
      <x:c r="F1619" s="6" t="str">
        <x:v>1</x:v>
      </x:c>
      <x:c r="G1619" s="6" t="str"/>
      <x:c r="H1619" s="6" t="str">
        <x:f>IF(B1619="平","平",IF(B1619="","","仄"))</x:f>
        <x:v>平</x:v>
      </x:c>
      <x:c r="I1619" s="6" t="str">
        <x:f>IF(D1611="","",IF(AND(ISNUMBER(SEARCH("平",D1611)),OR(ISNUMBER(SEARCH("上",D1611)),ISNUMBER(SEARCH("去",D1611)),ISNUMBER(SEARCH("入",D1611)))),"Ambiguous",IF(ISNUMBER(SEARCH("平",D1611)),"平","仄")))</x:f>
        <x:v>仄</x:v>
      </x:c>
      <x:c r="J1619" s="7" t="str"/>
    </x:row>
    <x:row r="1620">
      <x:c r="A1620" s="5" t="str">
        <x:v>放</x:v>
      </x:c>
      <x:c r="B1620" s="6" t="str">
        <x:v>去</x:v>
      </x:c>
      <x:c r="C1620" s="6" t="str">
        <x:f>IF(B1620="","Needs decision","Ready")</x:f>
        <x:v>Ready</x:v>
      </x:c>
      <x:c r="D1620" s="6" t="str">
        <x:v>上/去</x:v>
      </x:c>
      <x:c r="E1620" s="6" t="str">
        <x:v>pjangX (B); pjangH (C)</x:v>
      </x:c>
      <x:c r="F1620" s="6" t="str">
        <x:v>2</x:v>
      </x:c>
      <x:c r="G1620" s="6" t="str"/>
      <x:c r="H1620" s="6" t="str">
        <x:f>IF(B1620="平","平",IF(B1620="","","仄"))</x:f>
        <x:v>仄</x:v>
      </x:c>
      <x:c r="I1620" s="6" t="str">
        <x:f>IF(D1612="","",IF(AND(ISNUMBER(SEARCH("平",D1612)),OR(ISNUMBER(SEARCH("上",D1612)),ISNUMBER(SEARCH("去",D1612)),ISNUMBER(SEARCH("入",D1612)))),"Ambiguous",IF(ISNUMBER(SEARCH("平",D1612)),"平","仄")))</x:f>
        <x:v>仄</x:v>
      </x:c>
      <x:c r="J1620" s="7" t="str"/>
    </x:row>
    <x:row r="1621">
      <x:c r="A1621" s="5" t="str">
        <x:v>政</x:v>
      </x:c>
      <x:c r="B1621" s="6" t="str">
        <x:v>去</x:v>
      </x:c>
      <x:c r="C1621" s="6" t="str">
        <x:f>IF(B1621="","Needs decision","Ready")</x:f>
        <x:v>Ready</x:v>
      </x:c>
      <x:c r="D1621" s="6" t="str">
        <x:v>去</x:v>
      </x:c>
      <x:c r="E1621" s="6" t="str">
        <x:v>tsyengH (C)</x:v>
      </x:c>
      <x:c r="F1621" s="6" t="str">
        <x:v>1</x:v>
      </x:c>
      <x:c r="G1621" s="6" t="str"/>
      <x:c r="H1621" s="6" t="str">
        <x:f>IF(B1621="平","平",IF(B1621="","","仄"))</x:f>
        <x:v>仄</x:v>
      </x:c>
      <x:c r="I1621" s="6" t="str">
        <x:f>IF(D1613="","",IF(AND(ISNUMBER(SEARCH("平",D1613)),OR(ISNUMBER(SEARCH("上",D1613)),ISNUMBER(SEARCH("去",D1613)),ISNUMBER(SEARCH("入",D1613)))),"Ambiguous",IF(ISNUMBER(SEARCH("平",D1613)),"平","仄")))</x:f>
        <x:v>仄</x:v>
      </x:c>
      <x:c r="J1621" s="7" t="str"/>
    </x:row>
    <x:row r="1622">
      <x:c r="A1622" s="5" t="str">
        <x:v>故</x:v>
      </x:c>
      <x:c r="B1622" s="6" t="str">
        <x:v>去</x:v>
      </x:c>
      <x:c r="C1622" s="6" t="str">
        <x:f>IF(B1622="","Needs decision","Ready")</x:f>
        <x:v>Ready</x:v>
      </x:c>
      <x:c r="D1622" s="6" t="str">
        <x:v>去</x:v>
      </x:c>
      <x:c r="E1622" s="6" t="str">
        <x:v>kuH (C)</x:v>
      </x:c>
      <x:c r="F1622" s="6" t="str">
        <x:v>1</x:v>
      </x:c>
      <x:c r="G1622" s="6" t="str"/>
      <x:c r="H1622" s="6" t="str">
        <x:f>IF(B1622="平","平",IF(B1622="","","仄"))</x:f>
        <x:v>仄</x:v>
      </x:c>
      <x:c r="I1622" s="6" t="str">
        <x:f>IF(D1614="","",IF(AND(ISNUMBER(SEARCH("平",D1614)),OR(ISNUMBER(SEARCH("上",D1614)),ISNUMBER(SEARCH("去",D1614)),ISNUMBER(SEARCH("入",D1614)))),"Ambiguous",IF(ISNUMBER(SEARCH("平",D1614)),"平","仄")))</x:f>
        <x:v>平</x:v>
      </x:c>
      <x:c r="J1622" s="7" t="str"/>
    </x:row>
    <x:row r="1623">
      <x:c r="A1623" s="5" t="str">
        <x:v>效</x:v>
      </x:c>
      <x:c r="B1623" s="6" t="str">
        <x:v>去</x:v>
      </x:c>
      <x:c r="C1623" s="6" t="str">
        <x:f>IF(B1623="","Needs decision","Ready")</x:f>
        <x:v>Ready</x:v>
      </x:c>
      <x:c r="D1623" s="6" t="str">
        <x:v>去</x:v>
      </x:c>
      <x:c r="E1623" s="6" t="str">
        <x:v>haewH (C)</x:v>
      </x:c>
      <x:c r="F1623" s="6" t="str">
        <x:v>1</x:v>
      </x:c>
      <x:c r="G1623" s="6" t="str"/>
      <x:c r="H1623" s="6" t="str">
        <x:f>IF(B1623="平","平",IF(B1623="","","仄"))</x:f>
        <x:v>仄</x:v>
      </x:c>
      <x:c r="I1623" s="6" t="str">
        <x:f>IF(D1615="","",IF(AND(ISNUMBER(SEARCH("平",D1615)),OR(ISNUMBER(SEARCH("上",D1615)),ISNUMBER(SEARCH("去",D1615)),ISNUMBER(SEARCH("入",D1615)))),"Ambiguous",IF(ISNUMBER(SEARCH("平",D1615)),"平","仄")))</x:f>
        <x:v>平</x:v>
      </x:c>
      <x:c r="J1623" s="7" t="str"/>
    </x:row>
    <x:row r="1624">
      <x:c r="A1624" s="5" t="str">
        <x:v>敉</x:v>
      </x:c>
      <x:c r="B1624" s="6" t="str">
        <x:v>上</x:v>
      </x:c>
      <x:c r="C1624" s="6" t="str">
        <x:f>IF(B1624="","Needs decision","Ready")</x:f>
        <x:v>Ready</x:v>
      </x:c>
      <x:c r="D1624" s="6" t="str">
        <x:v>上</x:v>
      </x:c>
      <x:c r="E1624" s="6" t="str">
        <x:v>mjieX (B)</x:v>
      </x:c>
      <x:c r="F1624" s="6" t="str">
        <x:v>1</x:v>
      </x:c>
      <x:c r="G1624" s="6" t="str"/>
      <x:c r="H1624" s="6" t="str">
        <x:f>IF(B1624="平","平",IF(B1624="","","仄"))</x:f>
        <x:v>仄</x:v>
      </x:c>
      <x:c r="I1624" s="6" t="str">
        <x:f>IF(D1616="","",IF(AND(ISNUMBER(SEARCH("平",D1616)),OR(ISNUMBER(SEARCH("上",D1616)),ISNUMBER(SEARCH("去",D1616)),ISNUMBER(SEARCH("入",D1616)))),"Ambiguous",IF(ISNUMBER(SEARCH("平",D1616)),"平","仄")))</x:f>
        <x:v>平</x:v>
      </x:c>
      <x:c r="J1624" s="7" t="str"/>
    </x:row>
    <x:row r="1625">
      <x:c r="A1625" s="5" t="str">
        <x:v>敎</x:v>
      </x:c>
      <x:c r="B1625" s="6" t="str"/>
      <x:c r="C1625" s="6" t="str">
        <x:f>IF(B1625="","Needs decision","Ready")</x:f>
        <x:v>Needs decision</x:v>
      </x:c>
      <x:c r="D1625" s="6" t="str">
        <x:v>去/平</x:v>
      </x:c>
      <x:c r="E1625" s="6" t="str">
        <x:v>kaewH [見開二肴去] qaˤwh; kaew [見開二肴平] qaˤw</x:v>
      </x:c>
      <x:c r="F1625" s="6" t="str">
        <x:v>2</x:v>
      </x:c>
      <x:c r="G1625" s="6" t="str">
        <x:v>Targeted preliminary fill from Xun Gong; review if uncertain (looked up under 教)</x:v>
      </x:c>
      <x:c r="H1625" s="6" t="str">
        <x:f>IF(B1625="平","平",IF(B1625="","","仄"))</x:f>
      </x:c>
      <x:c r="I1625" s="6" t="str">
        <x:f>IF(D1617="","",IF(AND(ISNUMBER(SEARCH("平",D1617)),OR(ISNUMBER(SEARCH("上",D1617)),ISNUMBER(SEARCH("去",D1617)),ISNUMBER(SEARCH("入",D1617)))),"Ambiguous",IF(ISNUMBER(SEARCH("平",D1617)),"平","仄")))</x:f>
        <x:v>仄</x:v>
      </x:c>
      <x:c r="J1625" s="7" t="str">
        <x:v>Xun Gong character-readings.csv</x:v>
      </x:c>
    </x:row>
    <x:row r="1626">
      <x:c r="A1626" s="5" t="str">
        <x:v>敏</x:v>
      </x:c>
      <x:c r="B1626" s="6" t="str">
        <x:v>上</x:v>
      </x:c>
      <x:c r="C1626" s="6" t="str">
        <x:f>IF(B1626="","Needs decision","Ready")</x:f>
        <x:v>Ready</x:v>
      </x:c>
      <x:c r="D1626" s="6" t="str">
        <x:v>上</x:v>
      </x:c>
      <x:c r="E1626" s="6" t="str">
        <x:v>minX (B)</x:v>
      </x:c>
      <x:c r="F1626" s="6" t="str">
        <x:v>1</x:v>
      </x:c>
      <x:c r="G1626" s="6" t="str"/>
      <x:c r="H1626" s="6" t="str">
        <x:f>IF(B1626="平","平",IF(B1626="","","仄"))</x:f>
        <x:v>仄</x:v>
      </x:c>
      <x:c r="I1626" s="6" t="str">
        <x:f>IF(D1618="","",IF(AND(ISNUMBER(SEARCH("平",D1618)),OR(ISNUMBER(SEARCH("上",D1618)),ISNUMBER(SEARCH("去",D1618)),ISNUMBER(SEARCH("入",D1618)))),"Ambiguous",IF(ISNUMBER(SEARCH("平",D1618)),"平","仄")))</x:f>
        <x:v>仄</x:v>
      </x:c>
      <x:c r="J1626" s="7" t="str"/>
    </x:row>
    <x:row r="1627">
      <x:c r="A1627" s="5" t="str">
        <x:v>救</x:v>
      </x:c>
      <x:c r="B1627" s="6" t="str">
        <x:v>去</x:v>
      </x:c>
      <x:c r="C1627" s="6" t="str">
        <x:f>IF(B1627="","Needs decision","Ready")</x:f>
        <x:v>Ready</x:v>
      </x:c>
      <x:c r="D1627" s="6" t="str">
        <x:v>去</x:v>
      </x:c>
      <x:c r="E1627" s="6" t="str">
        <x:v>kjuwH (C)</x:v>
      </x:c>
      <x:c r="F1627" s="6" t="str">
        <x:v>1</x:v>
      </x:c>
      <x:c r="G1627" s="6" t="str"/>
      <x:c r="H1627" s="6" t="str">
        <x:f>IF(B1627="平","平",IF(B1627="","","仄"))</x:f>
        <x:v>仄</x:v>
      </x:c>
      <x:c r="I1627" s="6" t="str">
        <x:f>IF(D1619="","",IF(AND(ISNUMBER(SEARCH("平",D1619)),OR(ISNUMBER(SEARCH("上",D1619)),ISNUMBER(SEARCH("去",D1619)),ISNUMBER(SEARCH("入",D1619)))),"Ambiguous",IF(ISNUMBER(SEARCH("平",D1619)),"平","仄")))</x:f>
        <x:v>平</x:v>
      </x:c>
      <x:c r="J1627" s="7" t="str"/>
    </x:row>
    <x:row r="1628">
      <x:c r="A1628" s="5" t="str">
        <x:v>敖</x:v>
      </x:c>
      <x:c r="B1628" s="6" t="str">
        <x:v>平</x:v>
      </x:c>
      <x:c r="C1628" s="6" t="str">
        <x:f>IF(B1628="","Needs decision","Ready")</x:f>
        <x:v>Ready</x:v>
      </x:c>
      <x:c r="D1628" s="6" t="str">
        <x:v>平</x:v>
      </x:c>
      <x:c r="E1628" s="6" t="str">
        <x:v>ngaw (A)</x:v>
      </x:c>
      <x:c r="F1628" s="6" t="str">
        <x:v>1</x:v>
      </x:c>
      <x:c r="G1628" s="6" t="str"/>
      <x:c r="H1628" s="6" t="str">
        <x:f>IF(B1628="平","平",IF(B1628="","","仄"))</x:f>
        <x:v>平</x:v>
      </x:c>
      <x:c r="I1628" s="6" t="str">
        <x:f>IF(D1620="","",IF(AND(ISNUMBER(SEARCH("平",D1620)),OR(ISNUMBER(SEARCH("上",D1620)),ISNUMBER(SEARCH("去",D1620)),ISNUMBER(SEARCH("入",D1620)))),"Ambiguous",IF(ISNUMBER(SEARCH("平",D1620)),"平","仄")))</x:f>
        <x:v>仄</x:v>
      </x:c>
      <x:c r="J1628" s="7" t="str"/>
    </x:row>
    <x:row r="1629">
      <x:c r="A1629" s="5" t="str">
        <x:v>敗</x:v>
      </x:c>
      <x:c r="B1629" s="6" t="str">
        <x:v>去</x:v>
      </x:c>
      <x:c r="C1629" s="6" t="str">
        <x:f>IF(B1629="","Needs decision","Ready")</x:f>
        <x:v>Ready</x:v>
      </x:c>
      <x:c r="D1629" s="6" t="str">
        <x:v>去</x:v>
      </x:c>
      <x:c r="E1629" s="6" t="str">
        <x:v>baejH (C); paejH (C)</x:v>
      </x:c>
      <x:c r="F1629" s="6" t="str">
        <x:v>2</x:v>
      </x:c>
      <x:c r="G1629" s="6" t="str"/>
      <x:c r="H1629" s="6" t="str">
        <x:f>IF(B1629="平","平",IF(B1629="","","仄"))</x:f>
        <x:v>仄</x:v>
      </x:c>
      <x:c r="I1629" s="6" t="str">
        <x:f>IF(D1621="","",IF(AND(ISNUMBER(SEARCH("平",D1621)),OR(ISNUMBER(SEARCH("上",D1621)),ISNUMBER(SEARCH("去",D1621)),ISNUMBER(SEARCH("入",D1621)))),"Ambiguous",IF(ISNUMBER(SEARCH("平",D1621)),"平","仄")))</x:f>
        <x:v>仄</x:v>
      </x:c>
      <x:c r="J1629" s="7" t="str"/>
    </x:row>
    <x:row r="1630">
      <x:c r="A1630" s="5" t="str">
        <x:v>敘</x:v>
      </x:c>
      <x:c r="B1630" s="6" t="str">
        <x:v>上</x:v>
      </x:c>
      <x:c r="C1630" s="6" t="str">
        <x:f>IF(B1630="","Needs decision","Ready")</x:f>
        <x:v>Ready</x:v>
      </x:c>
      <x:c r="D1630" s="6" t="str">
        <x:v>上</x:v>
      </x:c>
      <x:c r="E1630" s="6" t="str">
        <x:v>zjoX (B)</x:v>
      </x:c>
      <x:c r="F1630" s="6" t="str">
        <x:v>1</x:v>
      </x:c>
      <x:c r="G1630" s="6" t="str"/>
      <x:c r="H1630" s="6" t="str">
        <x:f>IF(B1630="平","平",IF(B1630="","","仄"))</x:f>
        <x:v>仄</x:v>
      </x:c>
      <x:c r="I1630" s="6" t="str">
        <x:f>IF(D1622="","",IF(AND(ISNUMBER(SEARCH("平",D1622)),OR(ISNUMBER(SEARCH("上",D1622)),ISNUMBER(SEARCH("去",D1622)),ISNUMBER(SEARCH("入",D1622)))),"Ambiguous",IF(ISNUMBER(SEARCH("平",D1622)),"平","仄")))</x:f>
        <x:v>仄</x:v>
      </x:c>
      <x:c r="J1630" s="7" t="str"/>
    </x:row>
    <x:row r="1631">
      <x:c r="A1631" s="5" t="str">
        <x:v>教</x:v>
      </x:c>
      <x:c r="B1631" s="6" t="str"/>
      <x:c r="C1631" s="6" t="str">
        <x:f>IF(B1631="","Needs decision","Ready")</x:f>
        <x:v>Needs decision</x:v>
      </x:c>
      <x:c r="D1631" s="6" t="str">
        <x:v>平/去</x:v>
      </x:c>
      <x:c r="E1631" s="6" t="str">
        <x:v>kaew (A); kaewH (C)</x:v>
      </x:c>
      <x:c r="F1631" s="6" t="str">
        <x:v>2</x:v>
      </x:c>
      <x:c r="G1631" s="6" t="str"/>
      <x:c r="H1631" s="6" t="str">
        <x:f>IF(B1631="平","平",IF(B1631="","","仄"))</x:f>
      </x:c>
      <x:c r="I1631" s="6" t="str">
        <x:f>IF(D1623="","",IF(AND(ISNUMBER(SEARCH("平",D1623)),OR(ISNUMBER(SEARCH("上",D1623)),ISNUMBER(SEARCH("去",D1623)),ISNUMBER(SEARCH("入",D1623)))),"Ambiguous",IF(ISNUMBER(SEARCH("平",D1623)),"平","仄")))</x:f>
        <x:v>仄</x:v>
      </x:c>
      <x:c r="J1631" s="7" t="str"/>
    </x:row>
    <x:row r="1632">
      <x:c r="A1632" s="5" t="str">
        <x:v>敝</x:v>
      </x:c>
      <x:c r="B1632" s="6" t="str">
        <x:v>去</x:v>
      </x:c>
      <x:c r="C1632" s="6" t="str">
        <x:f>IF(B1632="","Needs decision","Ready")</x:f>
        <x:v>Ready</x:v>
      </x:c>
      <x:c r="D1632" s="6" t="str">
        <x:v>去</x:v>
      </x:c>
      <x:c r="E1632" s="6" t="str">
        <x:v>bjiejH (C)</x:v>
      </x:c>
      <x:c r="F1632" s="6" t="str">
        <x:v>1</x:v>
      </x:c>
      <x:c r="G1632" s="6" t="str"/>
      <x:c r="H1632" s="6" t="str">
        <x:f>IF(B1632="平","平",IF(B1632="","","仄"))</x:f>
        <x:v>仄</x:v>
      </x:c>
      <x:c r="I1632" s="6" t="str">
        <x:f>IF(D1624="","",IF(AND(ISNUMBER(SEARCH("平",D1624)),OR(ISNUMBER(SEARCH("上",D1624)),ISNUMBER(SEARCH("去",D1624)),ISNUMBER(SEARCH("入",D1624)))),"Ambiguous",IF(ISNUMBER(SEARCH("平",D1624)),"平","仄")))</x:f>
        <x:v>仄</x:v>
      </x:c>
      <x:c r="J1632" s="7" t="str"/>
    </x:row>
    <x:row r="1633">
      <x:c r="A1633" s="5" t="str">
        <x:v>敞</x:v>
      </x:c>
      <x:c r="B1633" s="6" t="str">
        <x:v>上</x:v>
      </x:c>
      <x:c r="C1633" s="6" t="str">
        <x:f>IF(B1633="","Needs decision","Ready")</x:f>
        <x:v>Ready</x:v>
      </x:c>
      <x:c r="D1633" s="6" t="str">
        <x:v>上</x:v>
      </x:c>
      <x:c r="E1633" s="6" t="str">
        <x:v>tsyhangX (B)</x:v>
      </x:c>
      <x:c r="F1633" s="6" t="str">
        <x:v>1</x:v>
      </x:c>
      <x:c r="G1633" s="6" t="str"/>
      <x:c r="H1633" s="6" t="str">
        <x:f>IF(B1633="平","平",IF(B1633="","","仄"))</x:f>
        <x:v>仄</x:v>
      </x:c>
      <x:c r="I1633" s="6" t="str">
        <x:f>IF(D1625="","",IF(AND(ISNUMBER(SEARCH("平",D1625)),OR(ISNUMBER(SEARCH("上",D1625)),ISNUMBER(SEARCH("去",D1625)),ISNUMBER(SEARCH("入",D1625)))),"Ambiguous",IF(ISNUMBER(SEARCH("平",D1625)),"平","仄")))</x:f>
        <x:v>Ambiguous</x:v>
      </x:c>
      <x:c r="J1633" s="7" t="str"/>
    </x:row>
    <x:row r="1634">
      <x:c r="A1634" s="5" t="str">
        <x:v>敢</x:v>
      </x:c>
      <x:c r="B1634" s="6" t="str">
        <x:v>上</x:v>
      </x:c>
      <x:c r="C1634" s="6" t="str">
        <x:f>IF(B1634="","Needs decision","Ready")</x:f>
        <x:v>Ready</x:v>
      </x:c>
      <x:c r="D1634" s="6" t="str">
        <x:v>上</x:v>
      </x:c>
      <x:c r="E1634" s="6" t="str">
        <x:v>kamX (B)</x:v>
      </x:c>
      <x:c r="F1634" s="6" t="str">
        <x:v>1</x:v>
      </x:c>
      <x:c r="G1634" s="6" t="str"/>
      <x:c r="H1634" s="6" t="str">
        <x:f>IF(B1634="平","平",IF(B1634="","","仄"))</x:f>
        <x:v>仄</x:v>
      </x:c>
      <x:c r="I1634" s="6" t="str">
        <x:f>IF(D1626="","",IF(AND(ISNUMBER(SEARCH("平",D1626)),OR(ISNUMBER(SEARCH("上",D1626)),ISNUMBER(SEARCH("去",D1626)),ISNUMBER(SEARCH("入",D1626)))),"Ambiguous",IF(ISNUMBER(SEARCH("平",D1626)),"平","仄")))</x:f>
        <x:v>仄</x:v>
      </x:c>
      <x:c r="J1634" s="7" t="str"/>
    </x:row>
    <x:row r="1635">
      <x:c r="A1635" s="5" t="str">
        <x:v>散</x:v>
      </x:c>
      <x:c r="B1635" s="6" t="str">
        <x:v>去</x:v>
      </x:c>
      <x:c r="C1635" s="6" t="str">
        <x:f>IF(B1635="","Needs decision","Ready")</x:f>
        <x:v>Ready</x:v>
      </x:c>
      <x:c r="D1635" s="6" t="str">
        <x:v>上/去</x:v>
      </x:c>
      <x:c r="E1635" s="6" t="str">
        <x:v>sanX (B); sanH (C)</x:v>
      </x:c>
      <x:c r="F1635" s="6" t="str">
        <x:v>2</x:v>
      </x:c>
      <x:c r="G1635" s="6" t="str">
        <x:v>Manual user correction/addition</x:v>
      </x:c>
      <x:c r="H1635" s="6" t="str">
        <x:f>IF(B1635="平","平",IF(B1635="","","仄"))</x:f>
        <x:v>仄</x:v>
      </x:c>
      <x:c r="I1635" s="6" t="str">
        <x:f>IF(D1627="","",IF(AND(ISNUMBER(SEARCH("平",D1627)),OR(ISNUMBER(SEARCH("上",D1627)),ISNUMBER(SEARCH("去",D1627)),ISNUMBER(SEARCH("入",D1627)))),"Ambiguous",IF(ISNUMBER(SEARCH("平",D1627)),"平","仄")))</x:f>
        <x:v>仄</x:v>
      </x:c>
      <x:c r="J1635" s="7" t="str">
        <x:v>manual user correction</x:v>
      </x:c>
    </x:row>
    <x:row r="1636">
      <x:c r="A1636" s="5" t="str">
        <x:v>敦</x:v>
      </x:c>
      <x:c r="B1636" s="6" t="str">
        <x:v>平</x:v>
      </x:c>
      <x:c r="C1636" s="6" t="str">
        <x:f>IF(B1636="","Needs decision","Ready")</x:f>
        <x:v>Ready</x:v>
      </x:c>
      <x:c r="D1636" s="6" t="str">
        <x:v>平</x:v>
      </x:c>
      <x:c r="E1636" s="6" t="str">
        <x:v>twoj (A); twon (A)</x:v>
      </x:c>
      <x:c r="F1636" s="6" t="str">
        <x:v>2</x:v>
      </x:c>
      <x:c r="G1636" s="6" t="str"/>
      <x:c r="H1636" s="6" t="str">
        <x:f>IF(B1636="平","平",IF(B1636="","","仄"))</x:f>
        <x:v>平</x:v>
      </x:c>
      <x:c r="I1636" s="6" t="str">
        <x:f>IF(D1628="","",IF(AND(ISNUMBER(SEARCH("平",D1628)),OR(ISNUMBER(SEARCH("上",D1628)),ISNUMBER(SEARCH("去",D1628)),ISNUMBER(SEARCH("入",D1628)))),"Ambiguous",IF(ISNUMBER(SEARCH("平",D1628)),"平","仄")))</x:f>
        <x:v>平</x:v>
      </x:c>
      <x:c r="J1636" s="7" t="str"/>
    </x:row>
    <x:row r="1637">
      <x:c r="A1637" s="5" t="str">
        <x:v>敬</x:v>
      </x:c>
      <x:c r="B1637" s="6" t="str">
        <x:v>去</x:v>
      </x:c>
      <x:c r="C1637" s="6" t="str">
        <x:f>IF(B1637="","Needs decision","Ready")</x:f>
        <x:v>Ready</x:v>
      </x:c>
      <x:c r="D1637" s="6" t="str">
        <x:v>去</x:v>
      </x:c>
      <x:c r="E1637" s="6" t="str">
        <x:v>kjaengH (C)</x:v>
      </x:c>
      <x:c r="F1637" s="6" t="str">
        <x:v>1</x:v>
      </x:c>
      <x:c r="G1637" s="6" t="str"/>
      <x:c r="H1637" s="6" t="str">
        <x:f>IF(B1637="平","平",IF(B1637="","","仄"))</x:f>
        <x:v>仄</x:v>
      </x:c>
      <x:c r="I1637" s="6" t="str">
        <x:f>IF(D1629="","",IF(AND(ISNUMBER(SEARCH("平",D1629)),OR(ISNUMBER(SEARCH("上",D1629)),ISNUMBER(SEARCH("去",D1629)),ISNUMBER(SEARCH("入",D1629)))),"Ambiguous",IF(ISNUMBER(SEARCH("平",D1629)),"平","仄")))</x:f>
        <x:v>仄</x:v>
      </x:c>
      <x:c r="J1637" s="7" t="str"/>
    </x:row>
    <x:row r="1638">
      <x:c r="A1638" s="5" t="str">
        <x:v>敲</x:v>
      </x:c>
      <x:c r="B1638" s="6" t="str"/>
      <x:c r="C1638" s="6" t="str">
        <x:f>IF(B1638="","Needs decision","Ready")</x:f>
        <x:v>Needs decision</x:v>
      </x:c>
      <x:c r="D1638" s="6" t="str">
        <x:v>平/去</x:v>
      </x:c>
      <x:c r="E1638" s="6" t="str">
        <x:v>khaew [qʰaˤw] (平); khaewH [qʰaˤwh] (去)</x:v>
      </x:c>
      <x:c r="F1638" s="6" t="str">
        <x:v>2</x:v>
      </x:c>
      <x:c r="G1638" s="6" t="str">
        <x:v>Tang 300 gap; frequency 2; ambiguous in Xun Gong</x:v>
      </x:c>
      <x:c r="H1638" s="6" t="str">
        <x:f>IF(B1638="平","平",IF(B1638="","","仄"))</x:f>
      </x:c>
      <x:c r="I1638" s="6" t="str">
        <x:f>IF(D1630="","",IF(AND(ISNUMBER(SEARCH("平",D1630)),OR(ISNUMBER(SEARCH("上",D1630)),ISNUMBER(SEARCH("去",D1630)),ISNUMBER(SEARCH("入",D1630)))),"Ambiguous",IF(ISNUMBER(SEARCH("平",D1630)),"平","仄")))</x:f>
        <x:v>仄</x:v>
      </x:c>
      <x:c r="J1638" s="7" t="str">
        <x:v>Xun Gong, Tang 300 gap fill</x:v>
      </x:c>
    </x:row>
    <x:row r="1639">
      <x:c r="A1639" s="5" t="str">
        <x:v>整</x:v>
      </x:c>
      <x:c r="B1639" s="6" t="str">
        <x:v>上</x:v>
      </x:c>
      <x:c r="C1639" s="6" t="str">
        <x:f>IF(B1639="","Needs decision","Ready")</x:f>
        <x:v>Ready</x:v>
      </x:c>
      <x:c r="D1639" s="6" t="str">
        <x:v>上</x:v>
      </x:c>
      <x:c r="E1639" s="6" t="str">
        <x:v>tsyengX (B)</x:v>
      </x:c>
      <x:c r="F1639" s="6" t="str">
        <x:v>1</x:v>
      </x:c>
      <x:c r="G1639" s="6" t="str"/>
      <x:c r="H1639" s="6" t="str">
        <x:f>IF(B1639="平","平",IF(B1639="","","仄"))</x:f>
        <x:v>仄</x:v>
      </x:c>
      <x:c r="I1639" s="6" t="str">
        <x:f>IF(D1631="","",IF(AND(ISNUMBER(SEARCH("平",D1631)),OR(ISNUMBER(SEARCH("上",D1631)),ISNUMBER(SEARCH("去",D1631)),ISNUMBER(SEARCH("入",D1631)))),"Ambiguous",IF(ISNUMBER(SEARCH("平",D1631)),"平","仄")))</x:f>
        <x:v>Ambiguous</x:v>
      </x:c>
      <x:c r="J1639" s="7" t="str"/>
    </x:row>
    <x:row r="1640">
      <x:c r="A1640" s="5" t="str">
        <x:v>敵</x:v>
      </x:c>
      <x:c r="B1640" s="6" t="str">
        <x:v>入</x:v>
      </x:c>
      <x:c r="C1640" s="6" t="str">
        <x:f>IF(B1640="","Needs decision","Ready")</x:f>
        <x:v>Ready</x:v>
      </x:c>
      <x:c r="D1640" s="6" t="str">
        <x:v>入</x:v>
      </x:c>
      <x:c r="E1640" s="6" t="str">
        <x:v>dek (D)</x:v>
      </x:c>
      <x:c r="F1640" s="6" t="str">
        <x:v>1</x:v>
      </x:c>
      <x:c r="G1640" s="6" t="str"/>
      <x:c r="H1640" s="6" t="str">
        <x:f>IF(B1640="平","平",IF(B1640="","","仄"))</x:f>
        <x:v>仄</x:v>
      </x:c>
      <x:c r="I1640" s="6" t="str">
        <x:f>IF(D1632="","",IF(AND(ISNUMBER(SEARCH("平",D1632)),OR(ISNUMBER(SEARCH("上",D1632)),ISNUMBER(SEARCH("去",D1632)),ISNUMBER(SEARCH("入",D1632)))),"Ambiguous",IF(ISNUMBER(SEARCH("平",D1632)),"平","仄")))</x:f>
        <x:v>仄</x:v>
      </x:c>
      <x:c r="J1640" s="7" t="str"/>
    </x:row>
    <x:row r="1641">
      <x:c r="A1641" s="5" t="str">
        <x:v>敷</x:v>
      </x:c>
      <x:c r="B1641" s="6" t="str">
        <x:v>平</x:v>
      </x:c>
      <x:c r="C1641" s="6" t="str">
        <x:f>IF(B1641="","Needs decision","Ready")</x:f>
        <x:v>Ready</x:v>
      </x:c>
      <x:c r="D1641" s="6" t="str">
        <x:v>平</x:v>
      </x:c>
      <x:c r="E1641" s="6" t="str">
        <x:v>phju (A)</x:v>
      </x:c>
      <x:c r="F1641" s="6" t="str">
        <x:v>1</x:v>
      </x:c>
      <x:c r="G1641" s="6" t="str"/>
      <x:c r="H1641" s="6" t="str">
        <x:f>IF(B1641="平","平",IF(B1641="","","仄"))</x:f>
        <x:v>平</x:v>
      </x:c>
      <x:c r="I1641" s="6" t="str">
        <x:f>IF(D1633="","",IF(AND(ISNUMBER(SEARCH("平",D1633)),OR(ISNUMBER(SEARCH("上",D1633)),ISNUMBER(SEARCH("去",D1633)),ISNUMBER(SEARCH("入",D1633)))),"Ambiguous",IF(ISNUMBER(SEARCH("平",D1633)),"平","仄")))</x:f>
        <x:v>仄</x:v>
      </x:c>
      <x:c r="J1641" s="7" t="str"/>
    </x:row>
    <x:row r="1642">
      <x:c r="A1642" s="5" t="str">
        <x:v>數</x:v>
      </x:c>
      <x:c r="B1642" s="6" t="str"/>
      <x:c r="C1642" s="6" t="str">
        <x:f>IF(B1642="","Needs decision","Ready")</x:f>
        <x:v>Needs decision</x:v>
      </x:c>
      <x:c r="D1642" s="6" t="str">
        <x:v>上/去/入</x:v>
      </x:c>
      <x:c r="E1642" s="6" t="str">
        <x:v>srjuX (B); srjuH (C); sraewk (D)</x:v>
      </x:c>
      <x:c r="F1642" s="6" t="str">
        <x:v>3</x:v>
      </x:c>
      <x:c r="G1642" s="6" t="str"/>
      <x:c r="H1642" s="6" t="str">
        <x:f>IF(B1642="平","平",IF(B1642="","","仄"))</x:f>
      </x:c>
      <x:c r="I1642" s="6" t="str">
        <x:f>IF(D1634="","",IF(AND(ISNUMBER(SEARCH("平",D1634)),OR(ISNUMBER(SEARCH("上",D1634)),ISNUMBER(SEARCH("去",D1634)),ISNUMBER(SEARCH("入",D1634)))),"Ambiguous",IF(ISNUMBER(SEARCH("平",D1634)),"平","仄")))</x:f>
        <x:v>仄</x:v>
      </x:c>
      <x:c r="J1642" s="7" t="str"/>
    </x:row>
    <x:row r="1643">
      <x:c r="A1643" s="5" t="str">
        <x:v>敻</x:v>
      </x:c>
      <x:c r="B1643" s="6" t="str">
        <x:v>去</x:v>
      </x:c>
      <x:c r="C1643" s="6" t="str">
        <x:f>IF(B1643="","Needs decision","Ready")</x:f>
        <x:v>Ready</x:v>
      </x:c>
      <x:c r="D1643" s="6" t="str">
        <x:v>去</x:v>
      </x:c>
      <x:c r="E1643" s="6" t="str"/>
      <x:c r="F1643" s="6" t="str"/>
      <x:c r="G1643" s="6" t="str">
        <x:v>Manual user correction/addition</x:v>
      </x:c>
      <x:c r="H1643" s="6" t="str">
        <x:f>IF(B1643="平","平",IF(B1643="","","仄"))</x:f>
        <x:v>仄</x:v>
      </x:c>
      <x:c r="I1643" s="6" t="str">
        <x:v>仄</x:v>
      </x:c>
      <x:c r="J1643" s="7" t="str">
        <x:v>manual user correction</x:v>
      </x:c>
    </x:row>
    <x:row r="1644">
      <x:c r="A1644" s="5" t="str">
        <x:v>斂</x:v>
      </x:c>
      <x:c r="B1644" s="6" t="str"/>
      <x:c r="C1644" s="6" t="str">
        <x:f>IF(B1644="","Needs decision","Ready")</x:f>
        <x:v>Needs decision</x:v>
      </x:c>
      <x:c r="D1644" s="6" t="str">
        <x:v>上/去</x:v>
      </x:c>
      <x:c r="E1644" s="6" t="str">
        <x:v>ljemX (B); ljemH (C)</x:v>
      </x:c>
      <x:c r="F1644" s="6" t="str">
        <x:v>2</x:v>
      </x:c>
      <x:c r="G1644" s="6" t="str"/>
      <x:c r="H1644" s="6" t="str">
        <x:f>IF(B1644="平","平",IF(B1644="","","仄"))</x:f>
      </x:c>
      <x:c r="I1644" s="6" t="str">
        <x:f>IF(D1635="","",IF(AND(ISNUMBER(SEARCH("平",D1635)),OR(ISNUMBER(SEARCH("上",D1635)),ISNUMBER(SEARCH("去",D1635)),ISNUMBER(SEARCH("入",D1635)))),"Ambiguous",IF(ISNUMBER(SEARCH("平",D1635)),"平","仄")))</x:f>
        <x:v>仄</x:v>
      </x:c>
      <x:c r="J1644" s="7" t="str"/>
    </x:row>
    <x:row r="1645">
      <x:c r="A1645" s="5" t="str">
        <x:v>斃</x:v>
      </x:c>
      <x:c r="B1645" s="6" t="str">
        <x:v>去</x:v>
      </x:c>
      <x:c r="C1645" s="6" t="str">
        <x:f>IF(B1645="","Needs decision","Ready")</x:f>
        <x:v>Ready</x:v>
      </x:c>
      <x:c r="D1645" s="6" t="str">
        <x:v>去</x:v>
      </x:c>
      <x:c r="E1645" s="6" t="str">
        <x:v>bjiejH (C)</x:v>
      </x:c>
      <x:c r="F1645" s="6" t="str">
        <x:v>1</x:v>
      </x:c>
      <x:c r="G1645" s="6" t="str"/>
      <x:c r="H1645" s="6" t="str">
        <x:f>IF(B1645="平","平",IF(B1645="","","仄"))</x:f>
        <x:v>仄</x:v>
      </x:c>
      <x:c r="I1645" s="6" t="str">
        <x:f>IF(D1636="","",IF(AND(ISNUMBER(SEARCH("平",D1636)),OR(ISNUMBER(SEARCH("上",D1636)),ISNUMBER(SEARCH("去",D1636)),ISNUMBER(SEARCH("入",D1636)))),"Ambiguous",IF(ISNUMBER(SEARCH("平",D1636)),"平","仄")))</x:f>
        <x:v>平</x:v>
      </x:c>
      <x:c r="J1645" s="7" t="str"/>
    </x:row>
    <x:row r="1646">
      <x:c r="A1646" s="5" t="str">
        <x:v>斆</x:v>
      </x:c>
      <x:c r="B1646" s="6" t="str">
        <x:v>去</x:v>
      </x:c>
      <x:c r="C1646" s="6" t="str">
        <x:f>IF(B1646="","Needs decision","Ready")</x:f>
        <x:v>Ready</x:v>
      </x:c>
      <x:c r="D1646" s="6" t="str">
        <x:v>去</x:v>
      </x:c>
      <x:c r="E1646" s="6" t="str">
        <x:v>haewH (C)</x:v>
      </x:c>
      <x:c r="F1646" s="6" t="str">
        <x:v>1</x:v>
      </x:c>
      <x:c r="G1646" s="6" t="str"/>
      <x:c r="H1646" s="6" t="str">
        <x:f>IF(B1646="平","平",IF(B1646="","","仄"))</x:f>
        <x:v>仄</x:v>
      </x:c>
      <x:c r="I1646" s="6" t="str">
        <x:f>IF(D1637="","",IF(AND(ISNUMBER(SEARCH("平",D1637)),OR(ISNUMBER(SEARCH("上",D1637)),ISNUMBER(SEARCH("去",D1637)),ISNUMBER(SEARCH("入",D1637)))),"Ambiguous",IF(ISNUMBER(SEARCH("平",D1637)),"平","仄")))</x:f>
        <x:v>仄</x:v>
      </x:c>
      <x:c r="J1646" s="7" t="str"/>
    </x:row>
    <x:row r="1647">
      <x:c r="A1647" s="5" t="str">
        <x:v>文</x:v>
      </x:c>
      <x:c r="B1647" s="6" t="str">
        <x:v>平</x:v>
      </x:c>
      <x:c r="C1647" s="6" t="str">
        <x:f>IF(B1647="","Needs decision","Ready")</x:f>
        <x:v>Ready</x:v>
      </x:c>
      <x:c r="D1647" s="6" t="str">
        <x:v>平</x:v>
      </x:c>
      <x:c r="E1647" s="6" t="str">
        <x:v>mjun (A)</x:v>
      </x:c>
      <x:c r="F1647" s="6" t="str">
        <x:v>1</x:v>
      </x:c>
      <x:c r="G1647" s="6" t="str"/>
      <x:c r="H1647" s="6" t="str">
        <x:f>IF(B1647="平","平",IF(B1647="","","仄"))</x:f>
        <x:v>平</x:v>
      </x:c>
      <x:c r="I1647" s="6" t="str">
        <x:f>IF(D1638="","",IF(AND(ISNUMBER(SEARCH("平",D1638)),OR(ISNUMBER(SEARCH("上",D1638)),ISNUMBER(SEARCH("去",D1638)),ISNUMBER(SEARCH("入",D1638)))),"Ambiguous",IF(ISNUMBER(SEARCH("平",D1638)),"平","仄")))</x:f>
        <x:v>Ambiguous</x:v>
      </x:c>
      <x:c r="J1647" s="7" t="str"/>
    </x:row>
    <x:row r="1648">
      <x:c r="A1648" s="5" t="str">
        <x:v>斑</x:v>
      </x:c>
      <x:c r="B1648" s="6" t="str">
        <x:v>平</x:v>
      </x:c>
      <x:c r="C1648" s="6" t="str">
        <x:f>IF(B1648="","Needs decision","Ready")</x:f>
        <x:v>Ready</x:v>
      </x:c>
      <x:c r="D1648" s="6" t="str">
        <x:v>平</x:v>
      </x:c>
      <x:c r="E1648" s="6" t="str">
        <x:v>paen (A)</x:v>
      </x:c>
      <x:c r="F1648" s="6" t="str">
        <x:v>1</x:v>
      </x:c>
      <x:c r="G1648" s="6" t="str"/>
      <x:c r="H1648" s="6" t="str">
        <x:f>IF(B1648="平","平",IF(B1648="","","仄"))</x:f>
        <x:v>平</x:v>
      </x:c>
      <x:c r="I1648" s="6" t="str">
        <x:f>IF(D1639="","",IF(AND(ISNUMBER(SEARCH("平",D1639)),OR(ISNUMBER(SEARCH("上",D1639)),ISNUMBER(SEARCH("去",D1639)),ISNUMBER(SEARCH("入",D1639)))),"Ambiguous",IF(ISNUMBER(SEARCH("平",D1639)),"平","仄")))</x:f>
        <x:v>仄</x:v>
      </x:c>
      <x:c r="J1648" s="7" t="str"/>
    </x:row>
    <x:row r="1649">
      <x:c r="A1649" s="5" t="str">
        <x:v>斗</x:v>
      </x:c>
      <x:c r="B1649" s="6" t="str">
        <x:v>上</x:v>
      </x:c>
      <x:c r="C1649" s="6" t="str">
        <x:f>IF(B1649="","Needs decision","Ready")</x:f>
        <x:v>Ready</x:v>
      </x:c>
      <x:c r="D1649" s="6" t="str">
        <x:v>上</x:v>
      </x:c>
      <x:c r="E1649" s="6" t="str">
        <x:v>tuwX (B); tsyuX (B)</x:v>
      </x:c>
      <x:c r="F1649" s="6" t="str">
        <x:v>2</x:v>
      </x:c>
      <x:c r="G1649" s="6" t="str"/>
      <x:c r="H1649" s="6" t="str">
        <x:f>IF(B1649="平","平",IF(B1649="","","仄"))</x:f>
        <x:v>仄</x:v>
      </x:c>
      <x:c r="I1649" s="6" t="str">
        <x:f>IF(D1640="","",IF(AND(ISNUMBER(SEARCH("平",D1640)),OR(ISNUMBER(SEARCH("上",D1640)),ISNUMBER(SEARCH("去",D1640)),ISNUMBER(SEARCH("入",D1640)))),"Ambiguous",IF(ISNUMBER(SEARCH("平",D1640)),"平","仄")))</x:f>
        <x:v>仄</x:v>
      </x:c>
      <x:c r="J1649" s="7" t="str"/>
    </x:row>
    <x:row r="1650">
      <x:c r="A1650" s="5" t="str">
        <x:v>料</x:v>
      </x:c>
      <x:c r="B1650" s="6" t="str">
        <x:v>去</x:v>
      </x:c>
      <x:c r="C1650" s="6" t="str">
        <x:f>IF(B1650="","Needs decision","Ready")</x:f>
        <x:v>Ready</x:v>
      </x:c>
      <x:c r="D1650" s="6" t="str">
        <x:v>去</x:v>
      </x:c>
      <x:c r="E1650" s="6" t="str">
        <x:v>lewH (C)</x:v>
      </x:c>
      <x:c r="F1650" s="6" t="str">
        <x:v>1</x:v>
      </x:c>
      <x:c r="G1650" s="6" t="str"/>
      <x:c r="H1650" s="6" t="str">
        <x:f>IF(B1650="平","平",IF(B1650="","","仄"))</x:f>
        <x:v>仄</x:v>
      </x:c>
      <x:c r="I1650" s="6" t="str">
        <x:f>IF(D1641="","",IF(AND(ISNUMBER(SEARCH("平",D1641)),OR(ISNUMBER(SEARCH("上",D1641)),ISNUMBER(SEARCH("去",D1641)),ISNUMBER(SEARCH("入",D1641)))),"Ambiguous",IF(ISNUMBER(SEARCH("平",D1641)),"平","仄")))</x:f>
        <x:v>平</x:v>
      </x:c>
      <x:c r="J1650" s="7" t="str"/>
    </x:row>
    <x:row r="1651">
      <x:c r="A1651" s="5" t="str">
        <x:v>斜</x:v>
      </x:c>
      <x:c r="B1651" s="6" t="str">
        <x:v>平</x:v>
      </x:c>
      <x:c r="C1651" s="6" t="str">
        <x:f>IF(B1651="","Needs decision","Ready")</x:f>
        <x:v>Ready</x:v>
      </x:c>
      <x:c r="D1651" s="6" t="str">
        <x:v>平</x:v>
      </x:c>
      <x:c r="E1651" s="6" t="str"/>
      <x:c r="F1651" s="6" t="str"/>
      <x:c r="G1651" s="6" t="str">
        <x:v>Manual user correction/addition</x:v>
      </x:c>
      <x:c r="H1651" s="6" t="str">
        <x:f>IF(B1651="平","平",IF(B1651="","","仄"))</x:f>
        <x:v>平</x:v>
      </x:c>
      <x:c r="I1651" s="6" t="str">
        <x:f>IF(D1642="","",IF(AND(ISNUMBER(SEARCH("平",D1642)),OR(ISNUMBER(SEARCH("上",D1642)),ISNUMBER(SEARCH("去",D1642)),ISNUMBER(SEARCH("入",D1642)))),"Ambiguous",IF(ISNUMBER(SEARCH("平",D1642)),"平","仄")))</x:f>
        <x:v>仄</x:v>
      </x:c>
      <x:c r="J1651" s="7" t="str">
        <x:v>manual user correction</x:v>
      </x:c>
    </x:row>
    <x:row r="1652">
      <x:c r="A1652" s="5" t="str">
        <x:v>斝</x:v>
      </x:c>
      <x:c r="B1652" s="6" t="str">
        <x:v>上</x:v>
      </x:c>
      <x:c r="C1652" s="6" t="str">
        <x:f>IF(B1652="","Needs decision","Ready")</x:f>
        <x:v>Ready</x:v>
      </x:c>
      <x:c r="D1652" s="6" t="str">
        <x:v>上</x:v>
      </x:c>
      <x:c r="E1652" s="6" t="str">
        <x:v>kaeX (B)</x:v>
      </x:c>
      <x:c r="F1652" s="6" t="str">
        <x:v>1</x:v>
      </x:c>
      <x:c r="G1652" s="6" t="str"/>
      <x:c r="H1652" s="6" t="str">
        <x:f>IF(B1652="平","平",IF(B1652="","","仄"))</x:f>
        <x:v>仄</x:v>
      </x:c>
      <x:c r="I1652" s="6" t="str">
        <x:f>IF(D1643="","",IF(AND(ISNUMBER(SEARCH("平",D1643)),OR(ISNUMBER(SEARCH("上",D1643)),ISNUMBER(SEARCH("去",D1643)),ISNUMBER(SEARCH("入",D1643)))),"Ambiguous",IF(ISNUMBER(SEARCH("平",D1643)),"平","仄")))</x:f>
        <x:v>仄</x:v>
      </x:c>
      <x:c r="J1652" s="7" t="str"/>
    </x:row>
    <x:row r="1653">
      <x:c r="A1653" s="5" t="str">
        <x:v>斟</x:v>
      </x:c>
      <x:c r="B1653" s="6" t="str">
        <x:v>平</x:v>
      </x:c>
      <x:c r="C1653" s="6" t="str">
        <x:f>IF(B1653="","Needs decision","Ready")</x:f>
        <x:v>Ready</x:v>
      </x:c>
      <x:c r="D1653" s="6" t="str">
        <x:v>平</x:v>
      </x:c>
      <x:c r="E1653" s="6" t="str">
        <x:v>tsyim (A)</x:v>
      </x:c>
      <x:c r="F1653" s="6" t="str">
        <x:v>1</x:v>
      </x:c>
      <x:c r="G1653" s="6" t="str"/>
      <x:c r="H1653" s="6" t="str">
        <x:f>IF(B1653="平","平",IF(B1653="","","仄"))</x:f>
        <x:v>平</x:v>
      </x:c>
      <x:c r="I1653" s="6" t="str">
        <x:f>IF(D1644="","",IF(AND(ISNUMBER(SEARCH("平",D1644)),OR(ISNUMBER(SEARCH("上",D1644)),ISNUMBER(SEARCH("去",D1644)),ISNUMBER(SEARCH("入",D1644)))),"Ambiguous",IF(ISNUMBER(SEARCH("平",D1644)),"平","仄")))</x:f>
        <x:v>仄</x:v>
      </x:c>
      <x:c r="J1653" s="7" t="str"/>
    </x:row>
    <x:row r="1654">
      <x:c r="A1654" s="5" t="str">
        <x:v>斤</x:v>
      </x:c>
      <x:c r="B1654" s="6" t="str">
        <x:v>平</x:v>
      </x:c>
      <x:c r="C1654" s="6" t="str">
        <x:f>IF(B1654="","Needs decision","Ready")</x:f>
        <x:v>Ready</x:v>
      </x:c>
      <x:c r="D1654" s="6" t="str">
        <x:v>平</x:v>
      </x:c>
      <x:c r="E1654" s="6" t="str">
        <x:v>kj+n (A)</x:v>
      </x:c>
      <x:c r="F1654" s="6" t="str">
        <x:v>1</x:v>
      </x:c>
      <x:c r="G1654" s="6" t="str"/>
      <x:c r="H1654" s="6" t="str">
        <x:f>IF(B1654="平","平",IF(B1654="","","仄"))</x:f>
        <x:v>平</x:v>
      </x:c>
      <x:c r="I1654" s="6" t="str">
        <x:f>IF(D1645="","",IF(AND(ISNUMBER(SEARCH("平",D1645)),OR(ISNUMBER(SEARCH("上",D1645)),ISNUMBER(SEARCH("去",D1645)),ISNUMBER(SEARCH("入",D1645)))),"Ambiguous",IF(ISNUMBER(SEARCH("平",D1645)),"平","仄")))</x:f>
        <x:v>仄</x:v>
      </x:c>
      <x:c r="J1654" s="7" t="str"/>
    </x:row>
    <x:row r="1655">
      <x:c r="A1655" s="5" t="str">
        <x:v>斥</x:v>
      </x:c>
      <x:c r="B1655" s="6" t="str">
        <x:v>入</x:v>
      </x:c>
      <x:c r="C1655" s="6" t="str">
        <x:f>IF(B1655="","Needs decision","Ready")</x:f>
        <x:v>Ready</x:v>
      </x:c>
      <x:c r="D1655" s="6" t="str">
        <x:v>入</x:v>
      </x:c>
      <x:c r="E1655" s="6" t="str">
        <x:v>tsyhek (D)</x:v>
      </x:c>
      <x:c r="F1655" s="6" t="str">
        <x:v>1</x:v>
      </x:c>
      <x:c r="G1655" s="6" t="str"/>
      <x:c r="H1655" s="6" t="str">
        <x:f>IF(B1655="平","平",IF(B1655="","","仄"))</x:f>
        <x:v>仄</x:v>
      </x:c>
      <x:c r="I1655" s="6" t="str">
        <x:f>IF(D1646="","",IF(AND(ISNUMBER(SEARCH("平",D1646)),OR(ISNUMBER(SEARCH("上",D1646)),ISNUMBER(SEARCH("去",D1646)),ISNUMBER(SEARCH("入",D1646)))),"Ambiguous",IF(ISNUMBER(SEARCH("平",D1646)),"平","仄")))</x:f>
        <x:v>仄</x:v>
      </x:c>
      <x:c r="J1655" s="7" t="str"/>
    </x:row>
    <x:row r="1656">
      <x:c r="A1656" s="5" t="str">
        <x:v>斧</x:v>
      </x:c>
      <x:c r="B1656" s="6" t="str">
        <x:v>上</x:v>
      </x:c>
      <x:c r="C1656" s="6" t="str">
        <x:f>IF(B1656="","Needs decision","Ready")</x:f>
        <x:v>Ready</x:v>
      </x:c>
      <x:c r="D1656" s="6" t="str">
        <x:v>上</x:v>
      </x:c>
      <x:c r="E1656" s="6" t="str">
        <x:v>pjuX (B)</x:v>
      </x:c>
      <x:c r="F1656" s="6" t="str">
        <x:v>1</x:v>
      </x:c>
      <x:c r="G1656" s="6" t="str"/>
      <x:c r="H1656" s="6" t="str">
        <x:f>IF(B1656="平","平",IF(B1656="","","仄"))</x:f>
        <x:v>仄</x:v>
      </x:c>
      <x:c r="I1656" s="6" t="str">
        <x:f>IF(D1647="","",IF(AND(ISNUMBER(SEARCH("平",D1647)),OR(ISNUMBER(SEARCH("上",D1647)),ISNUMBER(SEARCH("去",D1647)),ISNUMBER(SEARCH("入",D1647)))),"Ambiguous",IF(ISNUMBER(SEARCH("平",D1647)),"平","仄")))</x:f>
        <x:v>平</x:v>
      </x:c>
      <x:c r="J1656" s="7" t="str"/>
    </x:row>
    <x:row r="1657">
      <x:c r="A1657" s="5" t="str">
        <x:v>斫</x:v>
      </x:c>
      <x:c r="B1657" s="6" t="str">
        <x:v>入</x:v>
      </x:c>
      <x:c r="C1657" s="6" t="str">
        <x:f>IF(B1657="","Needs decision","Ready")</x:f>
        <x:v>Ready</x:v>
      </x:c>
      <x:c r="D1657" s="6" t="str">
        <x:v>入</x:v>
      </x:c>
      <x:c r="E1657" s="6" t="str">
        <x:v>tsyak (D)</x:v>
      </x:c>
      <x:c r="F1657" s="6" t="str">
        <x:v>1</x:v>
      </x:c>
      <x:c r="G1657" s="6" t="str"/>
      <x:c r="H1657" s="6" t="str">
        <x:f>IF(B1657="平","平",IF(B1657="","","仄"))</x:f>
        <x:v>仄</x:v>
      </x:c>
      <x:c r="I1657" s="6" t="str">
        <x:f>IF(D1648="","",IF(AND(ISNUMBER(SEARCH("平",D1648)),OR(ISNUMBER(SEARCH("上",D1648)),ISNUMBER(SEARCH("去",D1648)),ISNUMBER(SEARCH("入",D1648)))),"Ambiguous",IF(ISNUMBER(SEARCH("平",D1648)),"平","仄")))</x:f>
        <x:v>平</x:v>
      </x:c>
      <x:c r="J1657" s="7" t="str"/>
    </x:row>
    <x:row r="1658">
      <x:c r="A1658" s="5" t="str">
        <x:v>斬</x:v>
      </x:c>
      <x:c r="B1658" s="6" t="str">
        <x:v>上</x:v>
      </x:c>
      <x:c r="C1658" s="6" t="str">
        <x:f>IF(B1658="","Needs decision","Ready")</x:f>
        <x:v>Ready</x:v>
      </x:c>
      <x:c r="D1658" s="6" t="str">
        <x:v>上</x:v>
      </x:c>
      <x:c r="E1658" s="6" t="str">
        <x:v>tsreamX (B)</x:v>
      </x:c>
      <x:c r="F1658" s="6" t="str">
        <x:v>1</x:v>
      </x:c>
      <x:c r="G1658" s="6" t="str"/>
      <x:c r="H1658" s="6" t="str">
        <x:f>IF(B1658="平","平",IF(B1658="","","仄"))</x:f>
        <x:v>仄</x:v>
      </x:c>
      <x:c r="I1658" s="6" t="str">
        <x:f>IF(D1649="","",IF(AND(ISNUMBER(SEARCH("平",D1649)),OR(ISNUMBER(SEARCH("上",D1649)),ISNUMBER(SEARCH("去",D1649)),ISNUMBER(SEARCH("入",D1649)))),"Ambiguous",IF(ISNUMBER(SEARCH("平",D1649)),"平","仄")))</x:f>
        <x:v>仄</x:v>
      </x:c>
      <x:c r="J1658" s="7" t="str"/>
    </x:row>
    <x:row r="1659">
      <x:c r="A1659" s="5" t="str">
        <x:v>斮</x:v>
      </x:c>
      <x:c r="B1659" s="6" t="str">
        <x:v>入</x:v>
      </x:c>
      <x:c r="C1659" s="6" t="str">
        <x:f>IF(B1659="","Needs decision","Ready")</x:f>
        <x:v>Ready</x:v>
      </x:c>
      <x:c r="D1659" s="6" t="str">
        <x:v>入</x:v>
      </x:c>
      <x:c r="E1659" s="6" t="str">
        <x:v>tsraewk (D); tsrjak (D)</x:v>
      </x:c>
      <x:c r="F1659" s="6" t="str">
        <x:v>2</x:v>
      </x:c>
      <x:c r="G1659" s="6" t="str"/>
      <x:c r="H1659" s="6" t="str">
        <x:f>IF(B1659="平","平",IF(B1659="","","仄"))</x:f>
        <x:v>仄</x:v>
      </x:c>
      <x:c r="I1659" s="6" t="str">
        <x:f>IF(D1650="","",IF(AND(ISNUMBER(SEARCH("平",D1650)),OR(ISNUMBER(SEARCH("上",D1650)),ISNUMBER(SEARCH("去",D1650)),ISNUMBER(SEARCH("入",D1650)))),"Ambiguous",IF(ISNUMBER(SEARCH("平",D1650)),"平","仄")))</x:f>
        <x:v>仄</x:v>
      </x:c>
      <x:c r="J1659" s="7" t="str"/>
    </x:row>
    <x:row r="1660">
      <x:c r="A1660" s="5" t="str">
        <x:v>斯</x:v>
      </x:c>
      <x:c r="B1660" s="6" t="str">
        <x:v>平</x:v>
      </x:c>
      <x:c r="C1660" s="6" t="str">
        <x:f>IF(B1660="","Needs decision","Ready")</x:f>
        <x:v>Ready</x:v>
      </x:c>
      <x:c r="D1660" s="6" t="str">
        <x:v>平</x:v>
      </x:c>
      <x:c r="E1660" s="6" t="str">
        <x:v>sje (A)</x:v>
      </x:c>
      <x:c r="F1660" s="6" t="str">
        <x:v>1</x:v>
      </x:c>
      <x:c r="G1660" s="6" t="str"/>
      <x:c r="H1660" s="6" t="str">
        <x:f>IF(B1660="平","平",IF(B1660="","","仄"))</x:f>
        <x:v>平</x:v>
      </x:c>
      <x:c r="I1660" s="6" t="str">
        <x:f>IF(D1651="","",IF(AND(ISNUMBER(SEARCH("平",D1651)),OR(ISNUMBER(SEARCH("上",D1651)),ISNUMBER(SEARCH("去",D1651)),ISNUMBER(SEARCH("入",D1651)))),"Ambiguous",IF(ISNUMBER(SEARCH("平",D1651)),"平","仄")))</x:f>
        <x:v>平</x:v>
      </x:c>
      <x:c r="J1660" s="7" t="str"/>
    </x:row>
    <x:row r="1661">
      <x:c r="A1661" s="5" t="str">
        <x:v>新</x:v>
      </x:c>
      <x:c r="B1661" s="6" t="str">
        <x:v>平</x:v>
      </x:c>
      <x:c r="C1661" s="6" t="str">
        <x:f>IF(B1661="","Needs decision","Ready")</x:f>
        <x:v>Ready</x:v>
      </x:c>
      <x:c r="D1661" s="6" t="str">
        <x:v>平</x:v>
      </x:c>
      <x:c r="E1661" s="6" t="str">
        <x:v>sin (A)</x:v>
      </x:c>
      <x:c r="F1661" s="6" t="str">
        <x:v>1</x:v>
      </x:c>
      <x:c r="G1661" s="6" t="str"/>
      <x:c r="H1661" s="6" t="str">
        <x:f>IF(B1661="平","平",IF(B1661="","","仄"))</x:f>
        <x:v>平</x:v>
      </x:c>
      <x:c r="I1661" s="6" t="str">
        <x:f>IF(D1652="","",IF(AND(ISNUMBER(SEARCH("平",D1652)),OR(ISNUMBER(SEARCH("上",D1652)),ISNUMBER(SEARCH("去",D1652)),ISNUMBER(SEARCH("入",D1652)))),"Ambiguous",IF(ISNUMBER(SEARCH("平",D1652)),"平","仄")))</x:f>
        <x:v>仄</x:v>
      </x:c>
      <x:c r="J1661" s="7" t="str"/>
    </x:row>
    <x:row r="1662">
      <x:c r="A1662" s="5" t="str">
        <x:v>斲</x:v>
      </x:c>
      <x:c r="B1662" s="6" t="str">
        <x:v>入</x:v>
      </x:c>
      <x:c r="C1662" s="6" t="str">
        <x:f>IF(B1662="","Needs decision","Ready")</x:f>
        <x:v>Ready</x:v>
      </x:c>
      <x:c r="D1662" s="6" t="str">
        <x:v>入</x:v>
      </x:c>
      <x:c r="E1662" s="6" t="str">
        <x:v>traewk (D)</x:v>
      </x:c>
      <x:c r="F1662" s="6" t="str">
        <x:v>1</x:v>
      </x:c>
      <x:c r="G1662" s="6" t="str"/>
      <x:c r="H1662" s="6" t="str">
        <x:f>IF(B1662="平","平",IF(B1662="","","仄"))</x:f>
        <x:v>仄</x:v>
      </x:c>
      <x:c r="I1662" s="6" t="str">
        <x:f>IF(D1653="","",IF(AND(ISNUMBER(SEARCH("平",D1653)),OR(ISNUMBER(SEARCH("上",D1653)),ISNUMBER(SEARCH("去",D1653)),ISNUMBER(SEARCH("入",D1653)))),"Ambiguous",IF(ISNUMBER(SEARCH("平",D1653)),"平","仄")))</x:f>
        <x:v>平</x:v>
      </x:c>
      <x:c r="J1662" s="7" t="str"/>
    </x:row>
    <x:row r="1663">
      <x:c r="A1663" s="5" t="str">
        <x:v>斷</x:v>
      </x:c>
      <x:c r="B1663" s="6" t="str"/>
      <x:c r="C1663" s="6" t="str">
        <x:f>IF(B1663="","Needs decision","Ready")</x:f>
        <x:v>Needs decision</x:v>
      </x:c>
      <x:c r="D1663" s="6" t="str">
        <x:v>上/去</x:v>
      </x:c>
      <x:c r="E1663" s="6" t="str">
        <x:v>dwanX (B); twanX (B); twanH (C)</x:v>
      </x:c>
      <x:c r="F1663" s="6" t="str">
        <x:v>3</x:v>
      </x:c>
      <x:c r="G1663" s="6" t="str"/>
      <x:c r="H1663" s="6" t="str">
        <x:f>IF(B1663="平","平",IF(B1663="","","仄"))</x:f>
      </x:c>
      <x:c r="I1663" s="6" t="str">
        <x:f>IF(D1654="","",IF(AND(ISNUMBER(SEARCH("平",D1654)),OR(ISNUMBER(SEARCH("上",D1654)),ISNUMBER(SEARCH("去",D1654)),ISNUMBER(SEARCH("入",D1654)))),"Ambiguous",IF(ISNUMBER(SEARCH("平",D1654)),"平","仄")))</x:f>
        <x:v>平</x:v>
      </x:c>
      <x:c r="J1663" s="7" t="str"/>
    </x:row>
    <x:row r="1664">
      <x:c r="A1664" s="5" t="str">
        <x:v>方</x:v>
      </x:c>
      <x:c r="B1664" s="6" t="str">
        <x:v>平</x:v>
      </x:c>
      <x:c r="C1664" s="6" t="str">
        <x:f>IF(B1664="","Needs decision","Ready")</x:f>
        <x:v>Ready</x:v>
      </x:c>
      <x:c r="D1664" s="6" t="str">
        <x:v>平</x:v>
      </x:c>
      <x:c r="E1664" s="6" t="str">
        <x:v>pjang (A)</x:v>
      </x:c>
      <x:c r="F1664" s="6" t="str">
        <x:v>1</x:v>
      </x:c>
      <x:c r="G1664" s="6" t="str"/>
      <x:c r="H1664" s="6" t="str">
        <x:f>IF(B1664="平","平",IF(B1664="","","仄"))</x:f>
        <x:v>平</x:v>
      </x:c>
      <x:c r="I1664" s="6" t="str">
        <x:f>IF(D1655="","",IF(AND(ISNUMBER(SEARCH("平",D1655)),OR(ISNUMBER(SEARCH("上",D1655)),ISNUMBER(SEARCH("去",D1655)),ISNUMBER(SEARCH("入",D1655)))),"Ambiguous",IF(ISNUMBER(SEARCH("平",D1655)),"平","仄")))</x:f>
        <x:v>仄</x:v>
      </x:c>
      <x:c r="J1664" s="7" t="str"/>
    </x:row>
    <x:row r="1665">
      <x:c r="A1665" s="5" t="str">
        <x:v>於</x:v>
      </x:c>
      <x:c r="B1665" s="6" t="str">
        <x:v>平</x:v>
      </x:c>
      <x:c r="C1665" s="6" t="str">
        <x:f>IF(B1665="","Needs decision","Ready")</x:f>
        <x:v>Ready</x:v>
      </x:c>
      <x:c r="D1665" s="6" t="str">
        <x:v>平</x:v>
      </x:c>
      <x:c r="E1665" s="6" t="str">
        <x:v>'u (A); 'jo (A)</x:v>
      </x:c>
      <x:c r="F1665" s="6" t="str">
        <x:v>2</x:v>
      </x:c>
      <x:c r="G1665" s="6" t="str"/>
      <x:c r="H1665" s="6" t="str">
        <x:f>IF(B1665="平","平",IF(B1665="","","仄"))</x:f>
        <x:v>平</x:v>
      </x:c>
      <x:c r="I1665" s="6" t="str">
        <x:f>IF(D1656="","",IF(AND(ISNUMBER(SEARCH("平",D1656)),OR(ISNUMBER(SEARCH("上",D1656)),ISNUMBER(SEARCH("去",D1656)),ISNUMBER(SEARCH("入",D1656)))),"Ambiguous",IF(ISNUMBER(SEARCH("平",D1656)),"平","仄")))</x:f>
        <x:v>仄</x:v>
      </x:c>
      <x:c r="J1665" s="7" t="str"/>
    </x:row>
    <x:row r="1666">
      <x:c r="A1666" s="5" t="str">
        <x:v>施</x:v>
      </x:c>
      <x:c r="B1666" s="6" t="str">
        <x:v>平</x:v>
      </x:c>
      <x:c r="C1666" s="6" t="str">
        <x:f>IF(B1666="","Needs decision","Ready")</x:f>
        <x:v>Ready</x:v>
      </x:c>
      <x:c r="D1666" s="6" t="str">
        <x:v>平</x:v>
      </x:c>
      <x:c r="E1666" s="6" t="str">
        <x:v>sye (A)</x:v>
      </x:c>
      <x:c r="F1666" s="6" t="str">
        <x:v>1</x:v>
      </x:c>
      <x:c r="G1666" s="6" t="str"/>
      <x:c r="H1666" s="6" t="str">
        <x:f>IF(B1666="平","平",IF(B1666="","","仄"))</x:f>
        <x:v>平</x:v>
      </x:c>
      <x:c r="I1666" s="6" t="str">
        <x:f>IF(D1657="","",IF(AND(ISNUMBER(SEARCH("平",D1657)),OR(ISNUMBER(SEARCH("上",D1657)),ISNUMBER(SEARCH("去",D1657)),ISNUMBER(SEARCH("入",D1657)))),"Ambiguous",IF(ISNUMBER(SEARCH("平",D1657)),"平","仄")))</x:f>
        <x:v>仄</x:v>
      </x:c>
      <x:c r="J1666" s="7" t="str"/>
    </x:row>
    <x:row r="1667">
      <x:c r="A1667" s="5" t="str">
        <x:v>斿</x:v>
      </x:c>
      <x:c r="B1667" s="6" t="str">
        <x:v>平</x:v>
      </x:c>
      <x:c r="C1667" s="6" t="str">
        <x:f>IF(B1667="","Needs decision","Ready")</x:f>
        <x:v>Ready</x:v>
      </x:c>
      <x:c r="D1667" s="6" t="str">
        <x:v>平</x:v>
      </x:c>
      <x:c r="E1667" s="6" t="str">
        <x:v>yuw (A)</x:v>
      </x:c>
      <x:c r="F1667" s="6" t="str">
        <x:v>1</x:v>
      </x:c>
      <x:c r="G1667" s="6" t="str"/>
      <x:c r="H1667" s="6" t="str">
        <x:f>IF(B1667="平","平",IF(B1667="","","仄"))</x:f>
        <x:v>平</x:v>
      </x:c>
      <x:c r="I1667" s="6" t="str">
        <x:f>IF(D1658="","",IF(AND(ISNUMBER(SEARCH("平",D1658)),OR(ISNUMBER(SEARCH("上",D1658)),ISNUMBER(SEARCH("去",D1658)),ISNUMBER(SEARCH("入",D1658)))),"Ambiguous",IF(ISNUMBER(SEARCH("平",D1658)),"平","仄")))</x:f>
        <x:v>仄</x:v>
      </x:c>
      <x:c r="J1667" s="7" t="str"/>
    </x:row>
    <x:row r="1668">
      <x:c r="A1668" s="5" t="str">
        <x:v>旁</x:v>
      </x:c>
      <x:c r="B1668" s="6" t="str">
        <x:v>平</x:v>
      </x:c>
      <x:c r="C1668" s="6" t="str">
        <x:f>IF(B1668="","Needs decision","Ready")</x:f>
        <x:v>Ready</x:v>
      </x:c>
      <x:c r="D1668" s="6" t="str">
        <x:v>平</x:v>
      </x:c>
      <x:c r="E1668" s="6" t="str">
        <x:v>bang (A)</x:v>
      </x:c>
      <x:c r="F1668" s="6" t="str">
        <x:v>1</x:v>
      </x:c>
      <x:c r="G1668" s="6" t="str"/>
      <x:c r="H1668" s="6" t="str">
        <x:f>IF(B1668="平","平",IF(B1668="","","仄"))</x:f>
        <x:v>平</x:v>
      </x:c>
      <x:c r="I1668" s="6" t="str">
        <x:f>IF(D1659="","",IF(AND(ISNUMBER(SEARCH("平",D1659)),OR(ISNUMBER(SEARCH("上",D1659)),ISNUMBER(SEARCH("去",D1659)),ISNUMBER(SEARCH("入",D1659)))),"Ambiguous",IF(ISNUMBER(SEARCH("平",D1659)),"平","仄")))</x:f>
        <x:v>仄</x:v>
      </x:c>
      <x:c r="J1668" s="7" t="str"/>
    </x:row>
    <x:row r="1669">
      <x:c r="A1669" s="5" t="str">
        <x:v>旂</x:v>
      </x:c>
      <x:c r="B1669" s="6" t="str">
        <x:v>平</x:v>
      </x:c>
      <x:c r="C1669" s="6" t="str">
        <x:f>IF(B1669="","Needs decision","Ready")</x:f>
        <x:v>Ready</x:v>
      </x:c>
      <x:c r="D1669" s="6" t="str">
        <x:v>平</x:v>
      </x:c>
      <x:c r="E1669" s="6" t="str">
        <x:v>gj+j (A)</x:v>
      </x:c>
      <x:c r="F1669" s="6" t="str">
        <x:v>1</x:v>
      </x:c>
      <x:c r="G1669" s="6" t="str"/>
      <x:c r="H1669" s="6" t="str">
        <x:f>IF(B1669="平","平",IF(B1669="","","仄"))</x:f>
        <x:v>平</x:v>
      </x:c>
      <x:c r="I1669" s="6" t="str">
        <x:f>IF(D1660="","",IF(AND(ISNUMBER(SEARCH("平",D1660)),OR(ISNUMBER(SEARCH("上",D1660)),ISNUMBER(SEARCH("去",D1660)),ISNUMBER(SEARCH("入",D1660)))),"Ambiguous",IF(ISNUMBER(SEARCH("平",D1660)),"平","仄")))</x:f>
        <x:v>平</x:v>
      </x:c>
      <x:c r="J1669" s="7" t="str"/>
    </x:row>
    <x:row r="1670">
      <x:c r="A1670" s="5" t="str">
        <x:v>旃</x:v>
      </x:c>
      <x:c r="B1670" s="6" t="str">
        <x:v>平</x:v>
      </x:c>
      <x:c r="C1670" s="6" t="str">
        <x:f>IF(B1670="","Needs decision","Ready")</x:f>
        <x:v>Ready</x:v>
      </x:c>
      <x:c r="D1670" s="6" t="str">
        <x:v>平</x:v>
      </x:c>
      <x:c r="E1670" s="6" t="str">
        <x:v>tsyen [tɕen] (平)</x:v>
      </x:c>
      <x:c r="F1670" s="6" t="str">
        <x:v>1</x:v>
      </x:c>
      <x:c r="G1670" s="6" t="str">
        <x:v>Tang 300 gap; frequency 1; provisional from Xun Gong</x:v>
      </x:c>
      <x:c r="H1670" s="6" t="str">
        <x:f>IF(B1670="平","平",IF(B1670="","","仄"))</x:f>
        <x:v>平</x:v>
      </x:c>
      <x:c r="I1670" s="6" t="str">
        <x:f>IF(D1661="","",IF(AND(ISNUMBER(SEARCH("平",D1661)),OR(ISNUMBER(SEARCH("上",D1661)),ISNUMBER(SEARCH("去",D1661)),ISNUMBER(SEARCH("入",D1661)))),"Ambiguous",IF(ISNUMBER(SEARCH("平",D1661)),"平","仄")))</x:f>
        <x:v>平</x:v>
      </x:c>
      <x:c r="J1670" s="7" t="str">
        <x:v>Xun Gong, Tang 300 gap fill</x:v>
      </x:c>
    </x:row>
    <x:row r="1671">
      <x:c r="A1671" s="5" t="str">
        <x:v>旄</x:v>
      </x:c>
      <x:c r="B1671" s="6" t="str">
        <x:v>平</x:v>
      </x:c>
      <x:c r="C1671" s="6" t="str">
        <x:f>IF(B1671="","Needs decision","Ready")</x:f>
        <x:v>Ready</x:v>
      </x:c>
      <x:c r="D1671" s="6" t="str">
        <x:v>平</x:v>
      </x:c>
      <x:c r="E1671" s="6" t="str">
        <x:v>maw (A)</x:v>
      </x:c>
      <x:c r="F1671" s="6" t="str">
        <x:v>1</x:v>
      </x:c>
      <x:c r="G1671" s="6" t="str"/>
      <x:c r="H1671" s="6" t="str">
        <x:f>IF(B1671="平","平",IF(B1671="","","仄"))</x:f>
        <x:v>平</x:v>
      </x:c>
      <x:c r="I1671" s="6" t="str">
        <x:f>IF(D1662="","",IF(AND(ISNUMBER(SEARCH("平",D1662)),OR(ISNUMBER(SEARCH("上",D1662)),ISNUMBER(SEARCH("去",D1662)),ISNUMBER(SEARCH("入",D1662)))),"Ambiguous",IF(ISNUMBER(SEARCH("平",D1662)),"平","仄")))</x:f>
        <x:v>仄</x:v>
      </x:c>
      <x:c r="J1671" s="7" t="str"/>
    </x:row>
    <x:row r="1672">
      <x:c r="A1672" s="5" t="str">
        <x:v>旅</x:v>
      </x:c>
      <x:c r="B1672" s="6" t="str">
        <x:v>上</x:v>
      </x:c>
      <x:c r="C1672" s="6" t="str">
        <x:f>IF(B1672="","Needs decision","Ready")</x:f>
        <x:v>Ready</x:v>
      </x:c>
      <x:c r="D1672" s="6" t="str">
        <x:v>上</x:v>
      </x:c>
      <x:c r="E1672" s="6" t="str">
        <x:v>ljoX (B)</x:v>
      </x:c>
      <x:c r="F1672" s="6" t="str">
        <x:v>1</x:v>
      </x:c>
      <x:c r="G1672" s="6" t="str"/>
      <x:c r="H1672" s="6" t="str">
        <x:f>IF(B1672="平","平",IF(B1672="","","仄"))</x:f>
        <x:v>仄</x:v>
      </x:c>
      <x:c r="I1672" s="6" t="str">
        <x:f>IF(D1663="","",IF(AND(ISNUMBER(SEARCH("平",D1663)),OR(ISNUMBER(SEARCH("上",D1663)),ISNUMBER(SEARCH("去",D1663)),ISNUMBER(SEARCH("入",D1663)))),"Ambiguous",IF(ISNUMBER(SEARCH("平",D1663)),"平","仄")))</x:f>
        <x:v>仄</x:v>
      </x:c>
      <x:c r="J1672" s="7" t="str"/>
    </x:row>
    <x:row r="1673">
      <x:c r="A1673" s="5" t="str">
        <x:v>旆</x:v>
      </x:c>
      <x:c r="B1673" s="6" t="str">
        <x:v>去</x:v>
      </x:c>
      <x:c r="C1673" s="6" t="str">
        <x:f>IF(B1673="","Needs decision","Ready")</x:f>
        <x:v>Ready</x:v>
      </x:c>
      <x:c r="D1673" s="6" t="str">
        <x:v>去</x:v>
      </x:c>
      <x:c r="E1673" s="6" t="str">
        <x:v>bajH [b̙ɑjh] (去)</x:v>
      </x:c>
      <x:c r="F1673" s="6" t="str">
        <x:v>1</x:v>
      </x:c>
      <x:c r="G1673" s="6" t="str">
        <x:v>Tang 300 gap; frequency 1; provisional from Xun Gong</x:v>
      </x:c>
      <x:c r="H1673" s="6" t="str">
        <x:f>IF(B1673="平","平",IF(B1673="","","仄"))</x:f>
        <x:v>仄</x:v>
      </x:c>
      <x:c r="I1673" s="6" t="str">
        <x:f>IF(D1664="","",IF(AND(ISNUMBER(SEARCH("平",D1664)),OR(ISNUMBER(SEARCH("上",D1664)),ISNUMBER(SEARCH("去",D1664)),ISNUMBER(SEARCH("入",D1664)))),"Ambiguous",IF(ISNUMBER(SEARCH("平",D1664)),"平","仄")))</x:f>
        <x:v>平</x:v>
      </x:c>
      <x:c r="J1673" s="7" t="str">
        <x:v>Xun Gong, Tang 300 gap fill</x:v>
      </x:c>
    </x:row>
    <x:row r="1674">
      <x:c r="A1674" s="5" t="str">
        <x:v>旊</x:v>
      </x:c>
      <x:c r="B1674" s="6" t="str">
        <x:v>上</x:v>
      </x:c>
      <x:c r="C1674" s="6" t="str">
        <x:f>IF(B1674="","Needs decision","Ready")</x:f>
        <x:v>Ready</x:v>
      </x:c>
      <x:c r="D1674" s="6" t="str">
        <x:v>上</x:v>
      </x:c>
      <x:c r="E1674" s="6" t="str">
        <x:v>pjangX (B)</x:v>
      </x:c>
      <x:c r="F1674" s="6" t="str">
        <x:v>1</x:v>
      </x:c>
      <x:c r="G1674" s="6" t="str"/>
      <x:c r="H1674" s="6" t="str">
        <x:f>IF(B1674="平","平",IF(B1674="","","仄"))</x:f>
        <x:v>仄</x:v>
      </x:c>
      <x:c r="I1674" s="6" t="str">
        <x:f>IF(D1665="","",IF(AND(ISNUMBER(SEARCH("平",D1665)),OR(ISNUMBER(SEARCH("上",D1665)),ISNUMBER(SEARCH("去",D1665)),ISNUMBER(SEARCH("入",D1665)))),"Ambiguous",IF(ISNUMBER(SEARCH("平",D1665)),"平","仄")))</x:f>
        <x:v>平</x:v>
      </x:c>
      <x:c r="J1674" s="7" t="str"/>
    </x:row>
    <x:row r="1675">
      <x:c r="A1675" s="5" t="str">
        <x:v>旋</x:v>
      </x:c>
      <x:c r="B1675" s="6" t="str">
        <x:v>平</x:v>
      </x:c>
      <x:c r="C1675" s="6" t="str">
        <x:f>IF(B1675="","Needs decision","Ready")</x:f>
        <x:v>Ready</x:v>
      </x:c>
      <x:c r="D1675" s="6" t="str">
        <x:v>平/去</x:v>
      </x:c>
      <x:c r="E1675" s="6" t="str">
        <x:v>zjwen (A); zjwenH (C)</x:v>
      </x:c>
      <x:c r="F1675" s="6" t="str">
        <x:v>2</x:v>
      </x:c>
      <x:c r="G1675" s="6" t="str">
        <x:v>User workbook edit 2026-09-03</x:v>
      </x:c>
      <x:c r="H1675" s="6" t="str">
        <x:f>IF(B1675="平","平",IF(B1675="","","仄"))</x:f>
        <x:v>平</x:v>
      </x:c>
      <x:c r="I1675" s="6" t="str">
        <x:f>IF(D1666="","",IF(AND(ISNUMBER(SEARCH("平",D1666)),OR(ISNUMBER(SEARCH("上",D1666)),ISNUMBER(SEARCH("去",D1666)),ISNUMBER(SEARCH("入",D1666)))),"Ambiguous",IF(ISNUMBER(SEARCH("平",D1666)),"平","仄")))</x:f>
        <x:v>平</x:v>
      </x:c>
      <x:c r="J1675" s="7" t="str">
        <x:v>manual user correction</x:v>
      </x:c>
    </x:row>
    <x:row r="1676">
      <x:c r="A1676" s="5" t="str">
        <x:v>旌</x:v>
      </x:c>
      <x:c r="B1676" s="6" t="str">
        <x:v>平</x:v>
      </x:c>
      <x:c r="C1676" s="6" t="str">
        <x:f>IF(B1676="","Needs decision","Ready")</x:f>
        <x:v>Ready</x:v>
      </x:c>
      <x:c r="D1676" s="6" t="str">
        <x:v>平</x:v>
      </x:c>
      <x:c r="E1676" s="6" t="str">
        <x:v>tsjeng (A)</x:v>
      </x:c>
      <x:c r="F1676" s="6" t="str">
        <x:v>1</x:v>
      </x:c>
      <x:c r="G1676" s="6" t="str"/>
      <x:c r="H1676" s="6" t="str">
        <x:f>IF(B1676="平","平",IF(B1676="","","仄"))</x:f>
        <x:v>平</x:v>
      </x:c>
      <x:c r="I1676" s="6" t="str">
        <x:f>IF(D1667="","",IF(AND(ISNUMBER(SEARCH("平",D1667)),OR(ISNUMBER(SEARCH("上",D1667)),ISNUMBER(SEARCH("去",D1667)),ISNUMBER(SEARCH("入",D1667)))),"Ambiguous",IF(ISNUMBER(SEARCH("平",D1667)),"平","仄")))</x:f>
        <x:v>平</x:v>
      </x:c>
      <x:c r="J1676" s="7" t="str"/>
    </x:row>
    <x:row r="1677">
      <x:c r="A1677" s="5" t="str">
        <x:v>族</x:v>
      </x:c>
      <x:c r="B1677" s="6" t="str">
        <x:v>入</x:v>
      </x:c>
      <x:c r="C1677" s="6" t="str">
        <x:f>IF(B1677="","Needs decision","Ready")</x:f>
        <x:v>Ready</x:v>
      </x:c>
      <x:c r="D1677" s="6" t="str">
        <x:v>入</x:v>
      </x:c>
      <x:c r="E1677" s="6" t="str">
        <x:v>dzuwk (D)</x:v>
      </x:c>
      <x:c r="F1677" s="6" t="str">
        <x:v>1</x:v>
      </x:c>
      <x:c r="G1677" s="6" t="str"/>
      <x:c r="H1677" s="6" t="str">
        <x:f>IF(B1677="平","平",IF(B1677="","","仄"))</x:f>
        <x:v>仄</x:v>
      </x:c>
      <x:c r="I1677" s="6" t="str">
        <x:f>IF(D1668="","",IF(AND(ISNUMBER(SEARCH("平",D1668)),OR(ISNUMBER(SEARCH("上",D1668)),ISNUMBER(SEARCH("去",D1668)),ISNUMBER(SEARCH("入",D1668)))),"Ambiguous",IF(ISNUMBER(SEARCH("平",D1668)),"平","仄")))</x:f>
        <x:v>平</x:v>
      </x:c>
      <x:c r="J1677" s="7" t="str"/>
    </x:row>
    <x:row r="1678">
      <x:c r="A1678" s="5" t="str">
        <x:v>旒</x:v>
      </x:c>
      <x:c r="B1678" s="6" t="str">
        <x:v>平</x:v>
      </x:c>
      <x:c r="C1678" s="6" t="str">
        <x:f>IF(B1678="","Needs decision","Ready")</x:f>
        <x:v>Ready</x:v>
      </x:c>
      <x:c r="D1678" s="6" t="str">
        <x:v>平</x:v>
      </x:c>
      <x:c r="E1678" s="6" t="str">
        <x:v>ljuw (A)</x:v>
      </x:c>
      <x:c r="F1678" s="6" t="str">
        <x:v>1</x:v>
      </x:c>
      <x:c r="G1678" s="6" t="str"/>
      <x:c r="H1678" s="6" t="str">
        <x:f>IF(B1678="平","平",IF(B1678="","","仄"))</x:f>
        <x:v>平</x:v>
      </x:c>
      <x:c r="I1678" s="6" t="str">
        <x:f>IF(D1669="","",IF(AND(ISNUMBER(SEARCH("平",D1669)),OR(ISNUMBER(SEARCH("上",D1669)),ISNUMBER(SEARCH("去",D1669)),ISNUMBER(SEARCH("入",D1669)))),"Ambiguous",IF(ISNUMBER(SEARCH("平",D1669)),"平","仄")))</x:f>
        <x:v>平</x:v>
      </x:c>
      <x:c r="J1678" s="7" t="str"/>
    </x:row>
    <x:row r="1679">
      <x:c r="A1679" s="5" t="str">
        <x:v>旗</x:v>
      </x:c>
      <x:c r="B1679" s="6" t="str">
        <x:v>平</x:v>
      </x:c>
      <x:c r="C1679" s="6" t="str">
        <x:f>IF(B1679="","Needs decision","Ready")</x:f>
        <x:v>Ready</x:v>
      </x:c>
      <x:c r="D1679" s="6" t="str">
        <x:v>平</x:v>
      </x:c>
      <x:c r="E1679" s="6" t="str">
        <x:v>gi (A)</x:v>
      </x:c>
      <x:c r="F1679" s="6" t="str">
        <x:v>1</x:v>
      </x:c>
      <x:c r="G1679" s="6" t="str"/>
      <x:c r="H1679" s="6" t="str">
        <x:f>IF(B1679="平","平",IF(B1679="","","仄"))</x:f>
        <x:v>平</x:v>
      </x:c>
      <x:c r="I1679" s="6" t="str">
        <x:f>IF(D1670="","",IF(AND(ISNUMBER(SEARCH("平",D1670)),OR(ISNUMBER(SEARCH("上",D1670)),ISNUMBER(SEARCH("去",D1670)),ISNUMBER(SEARCH("入",D1670)))),"Ambiguous",IF(ISNUMBER(SEARCH("平",D1670)),"平","仄")))</x:f>
        <x:v>平</x:v>
      </x:c>
      <x:c r="J1679" s="7" t="str"/>
    </x:row>
    <x:row r="1680">
      <x:c r="A1680" s="5" t="str">
        <x:v>旛</x:v>
      </x:c>
      <x:c r="B1680" s="6" t="str">
        <x:v>平</x:v>
      </x:c>
      <x:c r="C1680" s="6" t="str">
        <x:f>IF(B1680="","Needs decision","Ready")</x:f>
        <x:v>Ready</x:v>
      </x:c>
      <x:c r="D1680" s="6" t="str">
        <x:v>平</x:v>
      </x:c>
      <x:c r="E1680" s="6" t="str">
        <x:v>bjon [bɨ̯ən] (平); phjon [pʰɨ̯ən] (平)</x:v>
      </x:c>
      <x:c r="F1680" s="6" t="str">
        <x:v>2</x:v>
      </x:c>
      <x:c r="G1680" s="6" t="str">
        <x:v>Tang 300 gap; frequency 1; provisional from Xun Gong</x:v>
      </x:c>
      <x:c r="H1680" s="6" t="str">
        <x:f>IF(B1680="平","平",IF(B1680="","","仄"))</x:f>
        <x:v>平</x:v>
      </x:c>
      <x:c r="I1680" s="6" t="str">
        <x:f>IF(D1671="","",IF(AND(ISNUMBER(SEARCH("平",D1671)),OR(ISNUMBER(SEARCH("上",D1671)),ISNUMBER(SEARCH("去",D1671)),ISNUMBER(SEARCH("入",D1671)))),"Ambiguous",IF(ISNUMBER(SEARCH("平",D1671)),"平","仄")))</x:f>
        <x:v>平</x:v>
      </x:c>
      <x:c r="J1680" s="7" t="str">
        <x:v>Xun Gong, Tang 300 gap fill</x:v>
      </x:c>
    </x:row>
    <x:row r="1681">
      <x:c r="A1681" s="5" t="str">
        <x:v>无</x:v>
      </x:c>
      <x:c r="B1681" s="6" t="str">
        <x:v>平</x:v>
      </x:c>
      <x:c r="C1681" s="6" t="str">
        <x:f>IF(B1681="","Needs decision","Ready")</x:f>
        <x:v>Ready</x:v>
      </x:c>
      <x:c r="D1681" s="6" t="str">
        <x:v>平</x:v>
      </x:c>
      <x:c r="E1681" s="6" t="str">
        <x:v>mju (A)</x:v>
      </x:c>
      <x:c r="F1681" s="6" t="str">
        <x:v>1</x:v>
      </x:c>
      <x:c r="G1681" s="6" t="str"/>
      <x:c r="H1681" s="6" t="str">
        <x:f>IF(B1681="平","平",IF(B1681="","","仄"))</x:f>
        <x:v>平</x:v>
      </x:c>
      <x:c r="I1681" s="6" t="str">
        <x:f>IF(D1672="","",IF(AND(ISNUMBER(SEARCH("平",D1672)),OR(ISNUMBER(SEARCH("上",D1672)),ISNUMBER(SEARCH("去",D1672)),ISNUMBER(SEARCH("入",D1672)))),"Ambiguous",IF(ISNUMBER(SEARCH("平",D1672)),"平","仄")))</x:f>
        <x:v>仄</x:v>
      </x:c>
      <x:c r="J1681" s="7" t="str"/>
    </x:row>
    <x:row r="1682">
      <x:c r="A1682" s="5" t="str">
        <x:v>既</x:v>
      </x:c>
      <x:c r="B1682" s="6" t="str">
        <x:v>去</x:v>
      </x:c>
      <x:c r="C1682" s="6" t="str">
        <x:f>IF(B1682="","Needs decision","Ready")</x:f>
        <x:v>Ready</x:v>
      </x:c>
      <x:c r="D1682" s="6" t="str">
        <x:v>去</x:v>
      </x:c>
      <x:c r="E1682" s="6" t="str">
        <x:v>kj+jH (C)</x:v>
      </x:c>
      <x:c r="F1682" s="6" t="str">
        <x:v>1</x:v>
      </x:c>
      <x:c r="G1682" s="6" t="str"/>
      <x:c r="H1682" s="6" t="str">
        <x:f>IF(B1682="平","平",IF(B1682="","","仄"))</x:f>
        <x:v>仄</x:v>
      </x:c>
      <x:c r="I1682" s="6" t="str">
        <x:f>IF(D1673="","",IF(AND(ISNUMBER(SEARCH("平",D1673)),OR(ISNUMBER(SEARCH("上",D1673)),ISNUMBER(SEARCH("去",D1673)),ISNUMBER(SEARCH("入",D1673)))),"Ambiguous",IF(ISNUMBER(SEARCH("平",D1673)),"平","仄")))</x:f>
        <x:v>仄</x:v>
      </x:c>
      <x:c r="J1682" s="7" t="str"/>
    </x:row>
    <x:row r="1683">
      <x:c r="A1683" s="5" t="str">
        <x:v>旣</x:v>
      </x:c>
      <x:c r="B1683" s="6" t="str">
        <x:v>去</x:v>
      </x:c>
      <x:c r="C1683" s="6" t="str">
        <x:f>IF(B1683="","Needs decision","Ready")</x:f>
        <x:v>Ready</x:v>
      </x:c>
      <x:c r="D1683" s="6" t="str">
        <x:v>去</x:v>
      </x:c>
      <x:c r="E1683" s="6" t="str">
        <x:v>kj+jH [見開三C微去] kɨjh</x:v>
      </x:c>
      <x:c r="F1683" s="6" t="str">
        <x:v>1</x:v>
      </x:c>
      <x:c r="G1683" s="6" t="str">
        <x:v>Targeted preliminary fill from Xun Gong; review if uncertain (looked up under 既)</x:v>
      </x:c>
      <x:c r="H1683" s="6" t="str">
        <x:f>IF(B1683="平","平",IF(B1683="","","仄"))</x:f>
        <x:v>仄</x:v>
      </x:c>
      <x:c r="I1683" s="6" t="str">
        <x:f>IF(D1674="","",IF(AND(ISNUMBER(SEARCH("平",D1674)),OR(ISNUMBER(SEARCH("上",D1674)),ISNUMBER(SEARCH("去",D1674)),ISNUMBER(SEARCH("入",D1674)))),"Ambiguous",IF(ISNUMBER(SEARCH("平",D1674)),"平","仄")))</x:f>
        <x:v>仄</x:v>
      </x:c>
      <x:c r="J1683" s="7" t="str">
        <x:v>Xun Gong character-readings.csv</x:v>
      </x:c>
    </x:row>
    <x:row r="1684">
      <x:c r="A1684" s="5" t="str">
        <x:v>日</x:v>
      </x:c>
      <x:c r="B1684" s="6" t="str">
        <x:v>入</x:v>
      </x:c>
      <x:c r="C1684" s="6" t="str">
        <x:f>IF(B1684="","Needs decision","Ready")</x:f>
        <x:v>Ready</x:v>
      </x:c>
      <x:c r="D1684" s="6" t="str">
        <x:v>入</x:v>
      </x:c>
      <x:c r="E1684" s="6" t="str">
        <x:v>nyit (D)</x:v>
      </x:c>
      <x:c r="F1684" s="6" t="str">
        <x:v>1</x:v>
      </x:c>
      <x:c r="G1684" s="6" t="str"/>
      <x:c r="H1684" s="6" t="str">
        <x:f>IF(B1684="平","平",IF(B1684="","","仄"))</x:f>
        <x:v>仄</x:v>
      </x:c>
      <x:c r="I1684" s="6" t="str">
        <x:f>IF(D1675="","",IF(AND(ISNUMBER(SEARCH("平",D1675)),OR(ISNUMBER(SEARCH("上",D1675)),ISNUMBER(SEARCH("去",D1675)),ISNUMBER(SEARCH("入",D1675)))),"Ambiguous",IF(ISNUMBER(SEARCH("平",D1675)),"平","仄")))</x:f>
        <x:v>Ambiguous</x:v>
      </x:c>
      <x:c r="J1684" s="7" t="str"/>
    </x:row>
    <x:row r="1685">
      <x:c r="A1685" s="5" t="str">
        <x:v>旦</x:v>
      </x:c>
      <x:c r="B1685" s="6" t="str">
        <x:v>去</x:v>
      </x:c>
      <x:c r="C1685" s="6" t="str">
        <x:f>IF(B1685="","Needs decision","Ready")</x:f>
        <x:v>Ready</x:v>
      </x:c>
      <x:c r="D1685" s="6" t="str">
        <x:v>去</x:v>
      </x:c>
      <x:c r="E1685" s="6" t="str">
        <x:v>tanH (C)</x:v>
      </x:c>
      <x:c r="F1685" s="6" t="str">
        <x:v>1</x:v>
      </x:c>
      <x:c r="G1685" s="6" t="str"/>
      <x:c r="H1685" s="6" t="str">
        <x:f>IF(B1685="平","平",IF(B1685="","","仄"))</x:f>
        <x:v>仄</x:v>
      </x:c>
      <x:c r="I1685" s="6" t="str">
        <x:f>IF(D1676="","",IF(AND(ISNUMBER(SEARCH("平",D1676)),OR(ISNUMBER(SEARCH("上",D1676)),ISNUMBER(SEARCH("去",D1676)),ISNUMBER(SEARCH("入",D1676)))),"Ambiguous",IF(ISNUMBER(SEARCH("平",D1676)),"平","仄")))</x:f>
        <x:v>平</x:v>
      </x:c>
      <x:c r="J1685" s="7" t="str"/>
    </x:row>
    <x:row r="1686">
      <x:c r="A1686" s="5" t="str">
        <x:v>旨</x:v>
      </x:c>
      <x:c r="B1686" s="6" t="str">
        <x:v>上</x:v>
      </x:c>
      <x:c r="C1686" s="6" t="str">
        <x:f>IF(B1686="","Needs decision","Ready")</x:f>
        <x:v>Ready</x:v>
      </x:c>
      <x:c r="D1686" s="6" t="str">
        <x:v>上</x:v>
      </x:c>
      <x:c r="E1686" s="6" t="str">
        <x:v>tsyijX (B)</x:v>
      </x:c>
      <x:c r="F1686" s="6" t="str">
        <x:v>1</x:v>
      </x:c>
      <x:c r="G1686" s="6" t="str"/>
      <x:c r="H1686" s="6" t="str">
        <x:f>IF(B1686="平","平",IF(B1686="","","仄"))</x:f>
        <x:v>仄</x:v>
      </x:c>
      <x:c r="I1686" s="6" t="str">
        <x:f>IF(D1677="","",IF(AND(ISNUMBER(SEARCH("平",D1677)),OR(ISNUMBER(SEARCH("上",D1677)),ISNUMBER(SEARCH("去",D1677)),ISNUMBER(SEARCH("入",D1677)))),"Ambiguous",IF(ISNUMBER(SEARCH("平",D1677)),"平","仄")))</x:f>
        <x:v>仄</x:v>
      </x:c>
      <x:c r="J1686" s="7" t="str"/>
    </x:row>
    <x:row r="1687">
      <x:c r="A1687" s="5" t="str">
        <x:v>早</x:v>
      </x:c>
      <x:c r="B1687" s="6" t="str">
        <x:v>上</x:v>
      </x:c>
      <x:c r="C1687" s="6" t="str">
        <x:f>IF(B1687="","Needs decision","Ready")</x:f>
        <x:v>Ready</x:v>
      </x:c>
      <x:c r="D1687" s="6" t="str">
        <x:v>上</x:v>
      </x:c>
      <x:c r="E1687" s="6" t="str">
        <x:v>tsawX (B)</x:v>
      </x:c>
      <x:c r="F1687" s="6" t="str">
        <x:v>1</x:v>
      </x:c>
      <x:c r="G1687" s="6" t="str"/>
      <x:c r="H1687" s="6" t="str">
        <x:f>IF(B1687="平","平",IF(B1687="","","仄"))</x:f>
        <x:v>仄</x:v>
      </x:c>
      <x:c r="I1687" s="6" t="str">
        <x:f>IF(D1678="","",IF(AND(ISNUMBER(SEARCH("平",D1678)),OR(ISNUMBER(SEARCH("上",D1678)),ISNUMBER(SEARCH("去",D1678)),ISNUMBER(SEARCH("入",D1678)))),"Ambiguous",IF(ISNUMBER(SEARCH("平",D1678)),"平","仄")))</x:f>
        <x:v>平</x:v>
      </x:c>
      <x:c r="J1687" s="7" t="str"/>
    </x:row>
    <x:row r="1688">
      <x:c r="A1688" s="5" t="str">
        <x:v>旬</x:v>
      </x:c>
      <x:c r="B1688" s="6" t="str">
        <x:v>平</x:v>
      </x:c>
      <x:c r="C1688" s="6" t="str">
        <x:f>IF(B1688="","Needs decision","Ready")</x:f>
        <x:v>Ready</x:v>
      </x:c>
      <x:c r="D1688" s="6" t="str">
        <x:v>平</x:v>
      </x:c>
      <x:c r="E1688" s="6" t="str">
        <x:v>zwin (A)</x:v>
      </x:c>
      <x:c r="F1688" s="6" t="str">
        <x:v>1</x:v>
      </x:c>
      <x:c r="G1688" s="6" t="str"/>
      <x:c r="H1688" s="6" t="str">
        <x:f>IF(B1688="平","平",IF(B1688="","","仄"))</x:f>
        <x:v>平</x:v>
      </x:c>
      <x:c r="I1688" s="6" t="str">
        <x:f>IF(D1679="","",IF(AND(ISNUMBER(SEARCH("平",D1679)),OR(ISNUMBER(SEARCH("上",D1679)),ISNUMBER(SEARCH("去",D1679)),ISNUMBER(SEARCH("入",D1679)))),"Ambiguous",IF(ISNUMBER(SEARCH("平",D1679)),"平","仄")))</x:f>
        <x:v>平</x:v>
      </x:c>
      <x:c r="J1688" s="7" t="str"/>
    </x:row>
    <x:row r="1689">
      <x:c r="A1689" s="5" t="str">
        <x:v>旭</x:v>
      </x:c>
      <x:c r="B1689" s="6" t="str">
        <x:v>入</x:v>
      </x:c>
      <x:c r="C1689" s="6" t="str">
        <x:f>IF(B1689="","Needs decision","Ready")</x:f>
        <x:v>Ready</x:v>
      </x:c>
      <x:c r="D1689" s="6" t="str">
        <x:v>入</x:v>
      </x:c>
      <x:c r="E1689" s="6" t="str"/>
      <x:c r="F1689" s="6" t="str"/>
      <x:c r="G1689" s="6" t="str">
        <x:v>Manual user correction/addition</x:v>
      </x:c>
      <x:c r="H1689" s="6" t="str">
        <x:f>IF(B1689="平","平",IF(B1689="","","仄"))</x:f>
        <x:v>仄</x:v>
      </x:c>
      <x:c r="I1689" s="6" t="str">
        <x:f>IF(D1680="","",IF(AND(ISNUMBER(SEARCH("平",D1680)),OR(ISNUMBER(SEARCH("上",D1680)),ISNUMBER(SEARCH("去",D1680)),ISNUMBER(SEARCH("入",D1680)))),"Ambiguous",IF(ISNUMBER(SEARCH("平",D1680)),"平","仄")))</x:f>
        <x:v>平</x:v>
      </x:c>
      <x:c r="J1689" s="7" t="str">
        <x:v>manual user correction</x:v>
      </x:c>
    </x:row>
    <x:row r="1690">
      <x:c r="A1690" s="5" t="str">
        <x:v>旱</x:v>
      </x:c>
      <x:c r="B1690" s="6" t="str">
        <x:v>上</x:v>
      </x:c>
      <x:c r="C1690" s="6" t="str">
        <x:f>IF(B1690="","Needs decision","Ready")</x:f>
        <x:v>Ready</x:v>
      </x:c>
      <x:c r="D1690" s="6" t="str">
        <x:v>上</x:v>
      </x:c>
      <x:c r="E1690" s="6" t="str">
        <x:v>hanX (B)</x:v>
      </x:c>
      <x:c r="F1690" s="6" t="str">
        <x:v>1</x:v>
      </x:c>
      <x:c r="G1690" s="6" t="str"/>
      <x:c r="H1690" s="6" t="str">
        <x:f>IF(B1690="平","平",IF(B1690="","","仄"))</x:f>
        <x:v>仄</x:v>
      </x:c>
      <x:c r="I1690" s="6" t="str">
        <x:f>IF(D1681="","",IF(AND(ISNUMBER(SEARCH("平",D1681)),OR(ISNUMBER(SEARCH("上",D1681)),ISNUMBER(SEARCH("去",D1681)),ISNUMBER(SEARCH("入",D1681)))),"Ambiguous",IF(ISNUMBER(SEARCH("平",D1681)),"平","仄")))</x:f>
        <x:v>平</x:v>
      </x:c>
      <x:c r="J1690" s="7" t="str"/>
    </x:row>
    <x:row r="1691">
      <x:c r="A1691" s="5" t="str">
        <x:v>旻</x:v>
      </x:c>
      <x:c r="B1691" s="6" t="str">
        <x:v>平</x:v>
      </x:c>
      <x:c r="C1691" s="6" t="str">
        <x:f>IF(B1691="","Needs decision","Ready")</x:f>
        <x:v>Ready</x:v>
      </x:c>
      <x:c r="D1691" s="6" t="str">
        <x:v>平</x:v>
      </x:c>
      <x:c r="E1691" s="6" t="str">
        <x:v>min (A)</x:v>
      </x:c>
      <x:c r="F1691" s="6" t="str">
        <x:v>1</x:v>
      </x:c>
      <x:c r="G1691" s="6" t="str"/>
      <x:c r="H1691" s="6" t="str">
        <x:f>IF(B1691="平","平",IF(B1691="","","仄"))</x:f>
        <x:v>平</x:v>
      </x:c>
      <x:c r="I1691" s="6" t="str">
        <x:f>IF(D1682="","",IF(AND(ISNUMBER(SEARCH("平",D1682)),OR(ISNUMBER(SEARCH("上",D1682)),ISNUMBER(SEARCH("去",D1682)),ISNUMBER(SEARCH("入",D1682)))),"Ambiguous",IF(ISNUMBER(SEARCH("平",D1682)),"平","仄")))</x:f>
        <x:v>仄</x:v>
      </x:c>
      <x:c r="J1691" s="7" t="str"/>
    </x:row>
    <x:row r="1692">
      <x:c r="A1692" s="5" t="str">
        <x:v>昂</x:v>
      </x:c>
      <x:c r="B1692" s="6" t="str">
        <x:v>平</x:v>
      </x:c>
      <x:c r="C1692" s="6" t="str">
        <x:f>IF(B1692="","Needs decision","Ready")</x:f>
        <x:v>Ready</x:v>
      </x:c>
      <x:c r="D1692" s="6" t="str">
        <x:v>平</x:v>
      </x:c>
      <x:c r="E1692" s="6" t="str">
        <x:v>ngang [ɴɑŋ] (平)</x:v>
      </x:c>
      <x:c r="F1692" s="6" t="str">
        <x:v>1</x:v>
      </x:c>
      <x:c r="G1692" s="6" t="str">
        <x:v>Tang 300 gap; frequency 1; provisional from Xun Gong</x:v>
      </x:c>
      <x:c r="H1692" s="6" t="str">
        <x:f>IF(B1692="平","平",IF(B1692="","","仄"))</x:f>
        <x:v>平</x:v>
      </x:c>
      <x:c r="I1692" s="6" t="str">
        <x:f>IF(D1683="","",IF(AND(ISNUMBER(SEARCH("平",D1683)),OR(ISNUMBER(SEARCH("上",D1683)),ISNUMBER(SEARCH("去",D1683)),ISNUMBER(SEARCH("入",D1683)))),"Ambiguous",IF(ISNUMBER(SEARCH("平",D1683)),"平","仄")))</x:f>
        <x:v>仄</x:v>
      </x:c>
      <x:c r="J1692" s="7" t="str">
        <x:v>Xun Gong, Tang 300 gap fill</x:v>
      </x:c>
    </x:row>
    <x:row r="1693">
      <x:c r="A1693" s="5" t="str">
        <x:v>昃</x:v>
      </x:c>
      <x:c r="B1693" s="6" t="str">
        <x:v>入</x:v>
      </x:c>
      <x:c r="C1693" s="6" t="str">
        <x:f>IF(B1693="","Needs decision","Ready")</x:f>
        <x:v>Ready</x:v>
      </x:c>
      <x:c r="D1693" s="6" t="str">
        <x:v>入</x:v>
      </x:c>
      <x:c r="E1693" s="6" t="str">
        <x:v>tsrik (D)</x:v>
      </x:c>
      <x:c r="F1693" s="6" t="str">
        <x:v>1</x:v>
      </x:c>
      <x:c r="G1693" s="6" t="str"/>
      <x:c r="H1693" s="6" t="str">
        <x:f>IF(B1693="平","平",IF(B1693="","","仄"))</x:f>
        <x:v>仄</x:v>
      </x:c>
      <x:c r="I1693" s="6" t="str">
        <x:f>IF(D1684="","",IF(AND(ISNUMBER(SEARCH("平",D1684)),OR(ISNUMBER(SEARCH("上",D1684)),ISNUMBER(SEARCH("去",D1684)),ISNUMBER(SEARCH("入",D1684)))),"Ambiguous",IF(ISNUMBER(SEARCH("平",D1684)),"平","仄")))</x:f>
        <x:v>仄</x:v>
      </x:c>
      <x:c r="J1693" s="7" t="str"/>
    </x:row>
    <x:row r="1694">
      <x:c r="A1694" s="5" t="str">
        <x:v>昆</x:v>
      </x:c>
      <x:c r="B1694" s="6" t="str">
        <x:v>平</x:v>
      </x:c>
      <x:c r="C1694" s="6" t="str">
        <x:f>IF(B1694="","Needs decision","Ready")</x:f>
        <x:v>Ready</x:v>
      </x:c>
      <x:c r="D1694" s="6" t="str">
        <x:v>平</x:v>
      </x:c>
      <x:c r="E1694" s="6" t="str">
        <x:v>kwon (A)</x:v>
      </x:c>
      <x:c r="F1694" s="6" t="str">
        <x:v>1</x:v>
      </x:c>
      <x:c r="G1694" s="6" t="str"/>
      <x:c r="H1694" s="6" t="str">
        <x:f>IF(B1694="平","平",IF(B1694="","","仄"))</x:f>
        <x:v>平</x:v>
      </x:c>
      <x:c r="I1694" s="6" t="str">
        <x:f>IF(D1685="","",IF(AND(ISNUMBER(SEARCH("平",D1685)),OR(ISNUMBER(SEARCH("上",D1685)),ISNUMBER(SEARCH("去",D1685)),ISNUMBER(SEARCH("入",D1685)))),"Ambiguous",IF(ISNUMBER(SEARCH("平",D1685)),"平","仄")))</x:f>
        <x:v>仄</x:v>
      </x:c>
      <x:c r="J1694" s="7" t="str"/>
    </x:row>
    <x:row r="1695">
      <x:c r="A1695" s="5" t="str">
        <x:v>昉</x:v>
      </x:c>
      <x:c r="B1695" s="6" t="str">
        <x:v>上</x:v>
      </x:c>
      <x:c r="C1695" s="6" t="str">
        <x:f>IF(B1695="","Needs decision","Ready")</x:f>
        <x:v>Ready</x:v>
      </x:c>
      <x:c r="D1695" s="6" t="str">
        <x:v>上</x:v>
      </x:c>
      <x:c r="E1695" s="6" t="str">
        <x:v>pjangX (B)</x:v>
      </x:c>
      <x:c r="F1695" s="6" t="str">
        <x:v>1</x:v>
      </x:c>
      <x:c r="G1695" s="6" t="str"/>
      <x:c r="H1695" s="6" t="str">
        <x:f>IF(B1695="平","平",IF(B1695="","","仄"))</x:f>
        <x:v>仄</x:v>
      </x:c>
      <x:c r="I1695" s="6" t="str">
        <x:f>IF(D1686="","",IF(AND(ISNUMBER(SEARCH("平",D1686)),OR(ISNUMBER(SEARCH("上",D1686)),ISNUMBER(SEARCH("去",D1686)),ISNUMBER(SEARCH("入",D1686)))),"Ambiguous",IF(ISNUMBER(SEARCH("平",D1686)),"平","仄")))</x:f>
        <x:v>仄</x:v>
      </x:c>
      <x:c r="J1695" s="7" t="str"/>
    </x:row>
    <x:row r="1696">
      <x:c r="A1696" s="5" t="str">
        <x:v>昊</x:v>
      </x:c>
      <x:c r="B1696" s="6" t="str">
        <x:v>上</x:v>
      </x:c>
      <x:c r="C1696" s="6" t="str">
        <x:f>IF(B1696="","Needs decision","Ready")</x:f>
        <x:v>Ready</x:v>
      </x:c>
      <x:c r="D1696" s="6" t="str">
        <x:v>上</x:v>
      </x:c>
      <x:c r="E1696" s="6" t="str">
        <x:v>hawX [匣開一豪上] ʁəwʔ</x:v>
      </x:c>
      <x:c r="F1696" s="6" t="str">
        <x:v>1</x:v>
      </x:c>
      <x:c r="G1696" s="6" t="str">
        <x:v>Targeted preliminary fill from Xun Gong; review if uncertain</x:v>
      </x:c>
      <x:c r="H1696" s="6" t="str">
        <x:f>IF(B1696="平","平",IF(B1696="","","仄"))</x:f>
        <x:v>仄</x:v>
      </x:c>
      <x:c r="I1696" s="6" t="str">
        <x:f>IF(D1687="","",IF(AND(ISNUMBER(SEARCH("平",D1687)),OR(ISNUMBER(SEARCH("上",D1687)),ISNUMBER(SEARCH("去",D1687)),ISNUMBER(SEARCH("入",D1687)))),"Ambiguous",IF(ISNUMBER(SEARCH("平",D1687)),"平","仄")))</x:f>
        <x:v>仄</x:v>
      </x:c>
      <x:c r="J1696" s="7" t="str">
        <x:v>Xun Gong character-readings.csv</x:v>
      </x:c>
    </x:row>
    <x:row r="1697">
      <x:c r="A1697" s="5" t="str">
        <x:v>昌</x:v>
      </x:c>
      <x:c r="B1697" s="6" t="str">
        <x:v>平</x:v>
      </x:c>
      <x:c r="C1697" s="6" t="str">
        <x:f>IF(B1697="","Needs decision","Ready")</x:f>
        <x:v>Ready</x:v>
      </x:c>
      <x:c r="D1697" s="6" t="str">
        <x:v>平</x:v>
      </x:c>
      <x:c r="E1697" s="6" t="str">
        <x:v>tsyhang [昌開三陽平] tɕʰɑŋ</x:v>
      </x:c>
      <x:c r="F1697" s="6" t="str">
        <x:v>1</x:v>
      </x:c>
      <x:c r="G1697" s="6" t="str">
        <x:v>Targeted preliminary fill from Xun Gong; review if uncertain</x:v>
      </x:c>
      <x:c r="H1697" s="6" t="str">
        <x:f>IF(B1697="平","平",IF(B1697="","","仄"))</x:f>
        <x:v>平</x:v>
      </x:c>
      <x:c r="I1697" s="6" t="str">
        <x:f>IF(D1688="","",IF(AND(ISNUMBER(SEARCH("平",D1688)),OR(ISNUMBER(SEARCH("上",D1688)),ISNUMBER(SEARCH("去",D1688)),ISNUMBER(SEARCH("入",D1688)))),"Ambiguous",IF(ISNUMBER(SEARCH("平",D1688)),"平","仄")))</x:f>
        <x:v>平</x:v>
      </x:c>
      <x:c r="J1697" s="7" t="str">
        <x:v>Xun Gong character-readings.csv</x:v>
      </x:c>
    </x:row>
    <x:row r="1698">
      <x:c r="A1698" s="5" t="str">
        <x:v>明</x:v>
      </x:c>
      <x:c r="B1698" s="6" t="str">
        <x:v>平</x:v>
      </x:c>
      <x:c r="C1698" s="6" t="str">
        <x:f>IF(B1698="","Needs decision","Ready")</x:f>
        <x:v>Ready</x:v>
      </x:c>
      <x:c r="D1698" s="6" t="str">
        <x:v>平</x:v>
      </x:c>
      <x:c r="E1698" s="6" t="str">
        <x:v>mjaeng (A)</x:v>
      </x:c>
      <x:c r="F1698" s="6" t="str">
        <x:v>1</x:v>
      </x:c>
      <x:c r="G1698" s="6" t="str"/>
      <x:c r="H1698" s="6" t="str">
        <x:f>IF(B1698="平","平",IF(B1698="","","仄"))</x:f>
        <x:v>平</x:v>
      </x:c>
      <x:c r="I1698" s="6" t="str">
        <x:f>IF(D1689="","",IF(AND(ISNUMBER(SEARCH("平",D1689)),OR(ISNUMBER(SEARCH("上",D1689)),ISNUMBER(SEARCH("去",D1689)),ISNUMBER(SEARCH("入",D1689)))),"Ambiguous",IF(ISNUMBER(SEARCH("平",D1689)),"平","仄")))</x:f>
        <x:v>仄</x:v>
      </x:c>
      <x:c r="J1698" s="7" t="str"/>
    </x:row>
    <x:row r="1699">
      <x:c r="A1699" s="5" t="str">
        <x:v>昏</x:v>
      </x:c>
      <x:c r="B1699" s="6" t="str">
        <x:v>平</x:v>
      </x:c>
      <x:c r="C1699" s="6" t="str">
        <x:f>IF(B1699="","Needs decision","Ready")</x:f>
        <x:v>Ready</x:v>
      </x:c>
      <x:c r="D1699" s="6" t="str">
        <x:v>平</x:v>
      </x:c>
      <x:c r="E1699" s="6" t="str">
        <x:v>xwon (A)</x:v>
      </x:c>
      <x:c r="F1699" s="6" t="str">
        <x:v>1</x:v>
      </x:c>
      <x:c r="G1699" s="6" t="str"/>
      <x:c r="H1699" s="6" t="str">
        <x:f>IF(B1699="平","平",IF(B1699="","","仄"))</x:f>
        <x:v>平</x:v>
      </x:c>
      <x:c r="I1699" s="6" t="str">
        <x:f>IF(D1690="","",IF(AND(ISNUMBER(SEARCH("平",D1690)),OR(ISNUMBER(SEARCH("上",D1690)),ISNUMBER(SEARCH("去",D1690)),ISNUMBER(SEARCH("入",D1690)))),"Ambiguous",IF(ISNUMBER(SEARCH("平",D1690)),"平","仄")))</x:f>
        <x:v>仄</x:v>
      </x:c>
      <x:c r="J1699" s="7" t="str"/>
    </x:row>
    <x:row r="1700">
      <x:c r="A1700" s="5" t="str">
        <x:v>易</x:v>
      </x:c>
      <x:c r="B1700" s="6" t="str"/>
      <x:c r="C1700" s="6" t="str">
        <x:f>IF(B1700="","Needs decision","Ready")</x:f>
        <x:v>Needs decision</x:v>
      </x:c>
      <x:c r="D1700" s="6" t="str">
        <x:v>去/入</x:v>
      </x:c>
      <x:c r="E1700" s="6" t="str">
        <x:v>yeH (C); yek (D)</x:v>
      </x:c>
      <x:c r="F1700" s="6" t="str">
        <x:v>2</x:v>
      </x:c>
      <x:c r="G1700" s="6" t="str"/>
      <x:c r="H1700" s="6" t="str">
        <x:f>IF(B1700="平","平",IF(B1700="","","仄"))</x:f>
      </x:c>
      <x:c r="I1700" s="6" t="str">
        <x:f>IF(D1691="","",IF(AND(ISNUMBER(SEARCH("平",D1691)),OR(ISNUMBER(SEARCH("上",D1691)),ISNUMBER(SEARCH("去",D1691)),ISNUMBER(SEARCH("入",D1691)))),"Ambiguous",IF(ISNUMBER(SEARCH("平",D1691)),"平","仄")))</x:f>
        <x:v>平</x:v>
      </x:c>
      <x:c r="J1700" s="7" t="str"/>
    </x:row>
    <x:row r="1701">
      <x:c r="A1701" s="5" t="str">
        <x:v>昔</x:v>
      </x:c>
      <x:c r="B1701" s="6" t="str">
        <x:v>入</x:v>
      </x:c>
      <x:c r="C1701" s="6" t="str">
        <x:f>IF(B1701="","Needs decision","Ready")</x:f>
        <x:v>Ready</x:v>
      </x:c>
      <x:c r="D1701" s="6" t="str">
        <x:v>入</x:v>
      </x:c>
      <x:c r="E1701" s="6" t="str">
        <x:v>sjek (D)</x:v>
      </x:c>
      <x:c r="F1701" s="6" t="str">
        <x:v>1</x:v>
      </x:c>
      <x:c r="G1701" s="6" t="str"/>
      <x:c r="H1701" s="6" t="str">
        <x:f>IF(B1701="平","平",IF(B1701="","","仄"))</x:f>
        <x:v>仄</x:v>
      </x:c>
      <x:c r="I1701" s="6" t="str">
        <x:f>IF(D1692="","",IF(AND(ISNUMBER(SEARCH("平",D1692)),OR(ISNUMBER(SEARCH("上",D1692)),ISNUMBER(SEARCH("去",D1692)),ISNUMBER(SEARCH("入",D1692)))),"Ambiguous",IF(ISNUMBER(SEARCH("平",D1692)),"平","仄")))</x:f>
        <x:v>平</x:v>
      </x:c>
      <x:c r="J1701" s="7" t="str"/>
    </x:row>
    <x:row r="1702">
      <x:c r="A1702" s="5" t="str">
        <x:v>昕</x:v>
      </x:c>
      <x:c r="B1702" s="6" t="str">
        <x:v>平</x:v>
      </x:c>
      <x:c r="C1702" s="6" t="str">
        <x:f>IF(B1702="","Needs decision","Ready")</x:f>
        <x:v>Ready</x:v>
      </x:c>
      <x:c r="D1702" s="6" t="str">
        <x:v>平</x:v>
      </x:c>
      <x:c r="E1702" s="6" t="str">
        <x:v>xj+n (A)</x:v>
      </x:c>
      <x:c r="F1702" s="6" t="str">
        <x:v>1</x:v>
      </x:c>
      <x:c r="G1702" s="6" t="str"/>
      <x:c r="H1702" s="6" t="str">
        <x:f>IF(B1702="平","平",IF(B1702="","","仄"))</x:f>
        <x:v>平</x:v>
      </x:c>
      <x:c r="I1702" s="6" t="str">
        <x:f>IF(D1693="","",IF(AND(ISNUMBER(SEARCH("平",D1693)),OR(ISNUMBER(SEARCH("上",D1693)),ISNUMBER(SEARCH("去",D1693)),ISNUMBER(SEARCH("入",D1693)))),"Ambiguous",IF(ISNUMBER(SEARCH("平",D1693)),"平","仄")))</x:f>
        <x:v>仄</x:v>
      </x:c>
      <x:c r="J1702" s="7" t="str"/>
    </x:row>
    <x:row r="1703">
      <x:c r="A1703" s="5" t="str">
        <x:v>昜</x:v>
      </x:c>
      <x:c r="B1703" s="6" t="str">
        <x:v>平</x:v>
      </x:c>
      <x:c r="C1703" s="6" t="str">
        <x:f>IF(B1703="","Needs decision","Ready")</x:f>
        <x:v>Ready</x:v>
      </x:c>
      <x:c r="D1703" s="6" t="str">
        <x:v>平</x:v>
      </x:c>
      <x:c r="E1703" s="6" t="str">
        <x:v>yang (A)</x:v>
      </x:c>
      <x:c r="F1703" s="6" t="str">
        <x:v>1</x:v>
      </x:c>
      <x:c r="G1703" s="6" t="str"/>
      <x:c r="H1703" s="6" t="str">
        <x:f>IF(B1703="平","平",IF(B1703="","","仄"))</x:f>
        <x:v>平</x:v>
      </x:c>
      <x:c r="I1703" s="6" t="str">
        <x:f>IF(D1694="","",IF(AND(ISNUMBER(SEARCH("平",D1694)),OR(ISNUMBER(SEARCH("上",D1694)),ISNUMBER(SEARCH("去",D1694)),ISNUMBER(SEARCH("入",D1694)))),"Ambiguous",IF(ISNUMBER(SEARCH("平",D1694)),"平","仄")))</x:f>
        <x:v>平</x:v>
      </x:c>
      <x:c r="J1703" s="7" t="str"/>
    </x:row>
    <x:row r="1704">
      <x:c r="A1704" s="5" t="str">
        <x:v>星</x:v>
      </x:c>
      <x:c r="B1704" s="6" t="str">
        <x:v>平</x:v>
      </x:c>
      <x:c r="C1704" s="6" t="str">
        <x:f>IF(B1704="","Needs decision","Ready")</x:f>
        <x:v>Ready</x:v>
      </x:c>
      <x:c r="D1704" s="6" t="str">
        <x:v>平</x:v>
      </x:c>
      <x:c r="E1704" s="6" t="str">
        <x:v>seng (A)</x:v>
      </x:c>
      <x:c r="F1704" s="6" t="str">
        <x:v>1</x:v>
      </x:c>
      <x:c r="G1704" s="6" t="str"/>
      <x:c r="H1704" s="6" t="str">
        <x:f>IF(B1704="平","平",IF(B1704="","","仄"))</x:f>
        <x:v>平</x:v>
      </x:c>
      <x:c r="I1704" s="6" t="str">
        <x:f>IF(D1695="","",IF(AND(ISNUMBER(SEARCH("平",D1695)),OR(ISNUMBER(SEARCH("上",D1695)),ISNUMBER(SEARCH("去",D1695)),ISNUMBER(SEARCH("入",D1695)))),"Ambiguous",IF(ISNUMBER(SEARCH("平",D1695)),"平","仄")))</x:f>
        <x:v>仄</x:v>
      </x:c>
      <x:c r="J1704" s="7" t="str"/>
    </x:row>
    <x:row r="1705">
      <x:c r="A1705" s="5" t="str">
        <x:v>映</x:v>
      </x:c>
      <x:c r="B1705" s="6" t="str"/>
      <x:c r="C1705" s="6" t="str">
        <x:f>IF(B1705="","Needs decision","Ready")</x:f>
        <x:v>Needs decision</x:v>
      </x:c>
      <x:c r="D1705" s="6" t="str">
        <x:v>上/去</x:v>
      </x:c>
      <x:c r="E1705" s="6" t="str"/>
      <x:c r="F1705" s="6" t="str"/>
      <x:c r="G1705" s="6" t="str">
        <x:v>Manual user correction/addition; ambiguous 上/去</x:v>
      </x:c>
      <x:c r="H1705" s="6" t="str">
        <x:f>IF(B1705="平","平",IF(B1705="","","仄"))</x:f>
      </x:c>
      <x:c r="I1705" s="6" t="str">
        <x:f>IF(D1696="","",IF(AND(ISNUMBER(SEARCH("平",D1696)),OR(ISNUMBER(SEARCH("上",D1696)),ISNUMBER(SEARCH("去",D1696)),ISNUMBER(SEARCH("入",D1696)))),"Ambiguous",IF(ISNUMBER(SEARCH("平",D1696)),"平","仄")))</x:f>
        <x:v>仄</x:v>
      </x:c>
      <x:c r="J1705" s="7" t="str">
        <x:v>manual user correction</x:v>
      </x:c>
    </x:row>
    <x:row r="1706">
      <x:c r="A1706" s="5" t="str">
        <x:v>春</x:v>
      </x:c>
      <x:c r="B1706" s="6" t="str">
        <x:v>平</x:v>
      </x:c>
      <x:c r="C1706" s="6" t="str">
        <x:f>IF(B1706="","Needs decision","Ready")</x:f>
        <x:v>Ready</x:v>
      </x:c>
      <x:c r="D1706" s="6" t="str">
        <x:v>平</x:v>
      </x:c>
      <x:c r="E1706" s="6" t="str">
        <x:v>tsyhwin (A)</x:v>
      </x:c>
      <x:c r="F1706" s="6" t="str">
        <x:v>1</x:v>
      </x:c>
      <x:c r="G1706" s="6" t="str"/>
      <x:c r="H1706" s="6" t="str">
        <x:f>IF(B1706="平","平",IF(B1706="","","仄"))</x:f>
        <x:v>平</x:v>
      </x:c>
      <x:c r="I1706" s="6" t="str">
        <x:f>IF(D1697="","",IF(AND(ISNUMBER(SEARCH("平",D1697)),OR(ISNUMBER(SEARCH("上",D1697)),ISNUMBER(SEARCH("去",D1697)),ISNUMBER(SEARCH("入",D1697)))),"Ambiguous",IF(ISNUMBER(SEARCH("平",D1697)),"平","仄")))</x:f>
        <x:v>平</x:v>
      </x:c>
      <x:c r="J1706" s="7" t="str"/>
    </x:row>
    <x:row r="1707">
      <x:c r="A1707" s="5" t="str">
        <x:v>昧</x:v>
      </x:c>
      <x:c r="B1707" s="6" t="str">
        <x:v>去</x:v>
      </x:c>
      <x:c r="C1707" s="6" t="str">
        <x:f>IF(B1707="","Needs decision","Ready")</x:f>
        <x:v>Ready</x:v>
      </x:c>
      <x:c r="D1707" s="6" t="str">
        <x:v>去</x:v>
      </x:c>
      <x:c r="E1707" s="6" t="str">
        <x:v>mwojH (C)</x:v>
      </x:c>
      <x:c r="F1707" s="6" t="str">
        <x:v>1</x:v>
      </x:c>
      <x:c r="G1707" s="6" t="str"/>
      <x:c r="H1707" s="6" t="str">
        <x:f>IF(B1707="平","平",IF(B1707="","","仄"))</x:f>
        <x:v>仄</x:v>
      </x:c>
      <x:c r="I1707" s="6" t="str">
        <x:f>IF(D1698="","",IF(AND(ISNUMBER(SEARCH("平",D1698)),OR(ISNUMBER(SEARCH("上",D1698)),ISNUMBER(SEARCH("去",D1698)),ISNUMBER(SEARCH("入",D1698)))),"Ambiguous",IF(ISNUMBER(SEARCH("平",D1698)),"平","仄")))</x:f>
        <x:v>平</x:v>
      </x:c>
      <x:c r="J1707" s="7" t="str"/>
    </x:row>
    <x:row r="1708">
      <x:c r="A1708" s="5" t="str">
        <x:v>昨</x:v>
      </x:c>
      <x:c r="B1708" s="6" t="str">
        <x:v>入</x:v>
      </x:c>
      <x:c r="C1708" s="6" t="str">
        <x:f>IF(B1708="","Needs decision","Ready")</x:f>
        <x:v>Ready</x:v>
      </x:c>
      <x:c r="D1708" s="6" t="str">
        <x:v>入</x:v>
      </x:c>
      <x:c r="E1708" s="6" t="str">
        <x:v>dzak (D)</x:v>
      </x:c>
      <x:c r="F1708" s="6" t="str">
        <x:v>1</x:v>
      </x:c>
      <x:c r="G1708" s="6" t="str"/>
      <x:c r="H1708" s="6" t="str">
        <x:f>IF(B1708="平","平",IF(B1708="","","仄"))</x:f>
        <x:v>仄</x:v>
      </x:c>
      <x:c r="I1708" s="6" t="str">
        <x:f>IF(D1699="","",IF(AND(ISNUMBER(SEARCH("平",D1699)),OR(ISNUMBER(SEARCH("上",D1699)),ISNUMBER(SEARCH("去",D1699)),ISNUMBER(SEARCH("入",D1699)))),"Ambiguous",IF(ISNUMBER(SEARCH("平",D1699)),"平","仄")))</x:f>
        <x:v>平</x:v>
      </x:c>
      <x:c r="J1708" s="7" t="str"/>
    </x:row>
    <x:row r="1709">
      <x:c r="A1709" s="5" t="str">
        <x:v>昭</x:v>
      </x:c>
      <x:c r="B1709" s="6" t="str">
        <x:v>平</x:v>
      </x:c>
      <x:c r="C1709" s="6" t="str">
        <x:f>IF(B1709="","Needs decision","Ready")</x:f>
        <x:v>Ready</x:v>
      </x:c>
      <x:c r="D1709" s="6" t="str">
        <x:v>平</x:v>
      </x:c>
      <x:c r="E1709" s="6" t="str">
        <x:v>tsyew (A)</x:v>
      </x:c>
      <x:c r="F1709" s="6" t="str">
        <x:v>1</x:v>
      </x:c>
      <x:c r="G1709" s="6" t="str"/>
      <x:c r="H1709" s="6" t="str">
        <x:f>IF(B1709="平","平",IF(B1709="","","仄"))</x:f>
        <x:v>平</x:v>
      </x:c>
      <x:c r="I1709" s="6" t="str">
        <x:f>IF(D1700="","",IF(AND(ISNUMBER(SEARCH("平",D1700)),OR(ISNUMBER(SEARCH("上",D1700)),ISNUMBER(SEARCH("去",D1700)),ISNUMBER(SEARCH("入",D1700)))),"Ambiguous",IF(ISNUMBER(SEARCH("平",D1700)),"平","仄")))</x:f>
        <x:v>仄</x:v>
      </x:c>
      <x:c r="J1709" s="7" t="str"/>
    </x:row>
    <x:row r="1710">
      <x:c r="A1710" s="5" t="str">
        <x:v>是</x:v>
      </x:c>
      <x:c r="B1710" s="6" t="str">
        <x:v>上</x:v>
      </x:c>
      <x:c r="C1710" s="6" t="str">
        <x:f>IF(B1710="","Needs decision","Ready")</x:f>
        <x:v>Ready</x:v>
      </x:c>
      <x:c r="D1710" s="6" t="str">
        <x:v>上</x:v>
      </x:c>
      <x:c r="E1710" s="6" t="str">
        <x:v>dzyeX (B)</x:v>
      </x:c>
      <x:c r="F1710" s="6" t="str">
        <x:v>1</x:v>
      </x:c>
      <x:c r="G1710" s="6" t="str"/>
      <x:c r="H1710" s="6" t="str">
        <x:f>IF(B1710="平","平",IF(B1710="","","仄"))</x:f>
        <x:v>仄</x:v>
      </x:c>
      <x:c r="I1710" s="6" t="str">
        <x:f>IF(D1701="","",IF(AND(ISNUMBER(SEARCH("平",D1701)),OR(ISNUMBER(SEARCH("上",D1701)),ISNUMBER(SEARCH("去",D1701)),ISNUMBER(SEARCH("入",D1701)))),"Ambiguous",IF(ISNUMBER(SEARCH("平",D1701)),"平","仄")))</x:f>
        <x:v>仄</x:v>
      </x:c>
      <x:c r="J1710" s="7" t="str"/>
    </x:row>
    <x:row r="1711">
      <x:c r="A1711" s="5" t="str">
        <x:v>昱</x:v>
      </x:c>
      <x:c r="B1711" s="6" t="str">
        <x:v>入</x:v>
      </x:c>
      <x:c r="C1711" s="6" t="str">
        <x:f>IF(B1711="","Needs decision","Ready")</x:f>
        <x:v>Ready</x:v>
      </x:c>
      <x:c r="D1711" s="6" t="str">
        <x:v>入</x:v>
      </x:c>
      <x:c r="E1711" s="6" t="str">
        <x:v>yuwk (D)</x:v>
      </x:c>
      <x:c r="F1711" s="6" t="str">
        <x:v>1</x:v>
      </x:c>
      <x:c r="G1711" s="6" t="str"/>
      <x:c r="H1711" s="6" t="str">
        <x:f>IF(B1711="平","平",IF(B1711="","","仄"))</x:f>
        <x:v>仄</x:v>
      </x:c>
      <x:c r="I1711" s="6" t="str">
        <x:f>IF(D1702="","",IF(AND(ISNUMBER(SEARCH("平",D1702)),OR(ISNUMBER(SEARCH("上",D1702)),ISNUMBER(SEARCH("去",D1702)),ISNUMBER(SEARCH("入",D1702)))),"Ambiguous",IF(ISNUMBER(SEARCH("平",D1702)),"平","仄")))</x:f>
        <x:v>平</x:v>
      </x:c>
      <x:c r="J1711" s="7" t="str"/>
    </x:row>
    <x:row r="1712">
      <x:c r="A1712" s="5" t="str">
        <x:v>昲</x:v>
      </x:c>
      <x:c r="B1712" s="6" t="str">
        <x:v>去</x:v>
      </x:c>
      <x:c r="C1712" s="6" t="str">
        <x:f>IF(B1712="","Needs decision","Ready")</x:f>
        <x:v>Ready</x:v>
      </x:c>
      <x:c r="D1712" s="6" t="str">
        <x:v>去</x:v>
      </x:c>
      <x:c r="E1712" s="6" t="str">
        <x:v>phj+jH (C)</x:v>
      </x:c>
      <x:c r="F1712" s="6" t="str">
        <x:v>1</x:v>
      </x:c>
      <x:c r="G1712" s="6" t="str"/>
      <x:c r="H1712" s="6" t="str">
        <x:f>IF(B1712="平","平",IF(B1712="","","仄"))</x:f>
        <x:v>仄</x:v>
      </x:c>
      <x:c r="I1712" s="6" t="str">
        <x:f>IF(D1703="","",IF(AND(ISNUMBER(SEARCH("平",D1703)),OR(ISNUMBER(SEARCH("上",D1703)),ISNUMBER(SEARCH("去",D1703)),ISNUMBER(SEARCH("入",D1703)))),"Ambiguous",IF(ISNUMBER(SEARCH("平",D1703)),"平","仄")))</x:f>
        <x:v>平</x:v>
      </x:c>
      <x:c r="J1712" s="7" t="str"/>
    </x:row>
    <x:row r="1713">
      <x:c r="A1713" s="5" t="str">
        <x:v>昴</x:v>
      </x:c>
      <x:c r="B1713" s="6" t="str">
        <x:v>上</x:v>
      </x:c>
      <x:c r="C1713" s="6" t="str">
        <x:f>IF(B1713="","Needs decision","Ready")</x:f>
        <x:v>Ready</x:v>
      </x:c>
      <x:c r="D1713" s="6" t="str">
        <x:v>上</x:v>
      </x:c>
      <x:c r="E1713" s="6" t="str">
        <x:v>maewX (B)</x:v>
      </x:c>
      <x:c r="F1713" s="6" t="str">
        <x:v>1</x:v>
      </x:c>
      <x:c r="G1713" s="6" t="str"/>
      <x:c r="H1713" s="6" t="str">
        <x:f>IF(B1713="平","平",IF(B1713="","","仄"))</x:f>
        <x:v>仄</x:v>
      </x:c>
      <x:c r="I1713" s="6" t="str">
        <x:f>IF(D1704="","",IF(AND(ISNUMBER(SEARCH("平",D1704)),OR(ISNUMBER(SEARCH("上",D1704)),ISNUMBER(SEARCH("去",D1704)),ISNUMBER(SEARCH("入",D1704)))),"Ambiguous",IF(ISNUMBER(SEARCH("平",D1704)),"平","仄")))</x:f>
        <x:v>平</x:v>
      </x:c>
      <x:c r="J1713" s="7" t="str"/>
    </x:row>
    <x:row r="1714">
      <x:c r="A1714" s="5" t="str">
        <x:v>昵</x:v>
      </x:c>
      <x:c r="B1714" s="6" t="str">
        <x:v>入</x:v>
      </x:c>
      <x:c r="C1714" s="6" t="str">
        <x:f>IF(B1714="","Needs decision","Ready")</x:f>
        <x:v>Ready</x:v>
      </x:c>
      <x:c r="D1714" s="6" t="str">
        <x:v>入</x:v>
      </x:c>
      <x:c r="E1714" s="6" t="str">
        <x:v>nrit (D)</x:v>
      </x:c>
      <x:c r="F1714" s="6" t="str">
        <x:v>1</x:v>
      </x:c>
      <x:c r="G1714" s="6" t="str"/>
      <x:c r="H1714" s="6" t="str">
        <x:f>IF(B1714="平","平",IF(B1714="","","仄"))</x:f>
        <x:v>仄</x:v>
      </x:c>
      <x:c r="I1714" s="6" t="str">
        <x:f>IF(D1705="","",IF(AND(ISNUMBER(SEARCH("平",D1705)),OR(ISNUMBER(SEARCH("上",D1705)),ISNUMBER(SEARCH("去",D1705)),ISNUMBER(SEARCH("入",D1705)))),"Ambiguous",IF(ISNUMBER(SEARCH("平",D1705)),"平","仄")))</x:f>
        <x:v>仄</x:v>
      </x:c>
      <x:c r="J1714" s="7" t="str"/>
    </x:row>
    <x:row r="1715">
      <x:c r="A1715" s="5" t="str">
        <x:v>時</x:v>
      </x:c>
      <x:c r="B1715" s="6" t="str">
        <x:v>平</x:v>
      </x:c>
      <x:c r="C1715" s="6" t="str">
        <x:f>IF(B1715="","Needs decision","Ready")</x:f>
        <x:v>Ready</x:v>
      </x:c>
      <x:c r="D1715" s="6" t="str">
        <x:v>平</x:v>
      </x:c>
      <x:c r="E1715" s="6" t="str">
        <x:v>dzyi (A)</x:v>
      </x:c>
      <x:c r="F1715" s="6" t="str">
        <x:v>1</x:v>
      </x:c>
      <x:c r="G1715" s="6" t="str"/>
      <x:c r="H1715" s="6" t="str">
        <x:f>IF(B1715="平","平",IF(B1715="","","仄"))</x:f>
        <x:v>平</x:v>
      </x:c>
      <x:c r="I1715" s="6" t="str">
        <x:f>IF(D1706="","",IF(AND(ISNUMBER(SEARCH("平",D1706)),OR(ISNUMBER(SEARCH("上",D1706)),ISNUMBER(SEARCH("去",D1706)),ISNUMBER(SEARCH("入",D1706)))),"Ambiguous",IF(ISNUMBER(SEARCH("平",D1706)),"平","仄")))</x:f>
        <x:v>平</x:v>
      </x:c>
      <x:c r="J1715" s="7" t="str"/>
    </x:row>
    <x:row r="1716">
      <x:c r="A1716" s="5" t="str">
        <x:v>晅</x:v>
      </x:c>
      <x:c r="B1716" s="6" t="str">
        <x:v>上</x:v>
      </x:c>
      <x:c r="C1716" s="6" t="str">
        <x:f>IF(B1716="","Needs decision","Ready")</x:f>
        <x:v>Ready</x:v>
      </x:c>
      <x:c r="D1716" s="6" t="str">
        <x:v>上</x:v>
      </x:c>
      <x:c r="E1716" s="6" t="str">
        <x:v>xjwonX (B)</x:v>
      </x:c>
      <x:c r="F1716" s="6" t="str">
        <x:v>1</x:v>
      </x:c>
      <x:c r="G1716" s="6" t="str"/>
      <x:c r="H1716" s="6" t="str">
        <x:f>IF(B1716="平","平",IF(B1716="","","仄"))</x:f>
        <x:v>仄</x:v>
      </x:c>
      <x:c r="I1716" s="6" t="str">
        <x:f>IF(D1707="","",IF(AND(ISNUMBER(SEARCH("平",D1707)),OR(ISNUMBER(SEARCH("上",D1707)),ISNUMBER(SEARCH("去",D1707)),ISNUMBER(SEARCH("入",D1707)))),"Ambiguous",IF(ISNUMBER(SEARCH("平",D1707)),"平","仄")))</x:f>
        <x:v>仄</x:v>
      </x:c>
      <x:c r="J1716" s="7" t="str"/>
    </x:row>
    <x:row r="1717">
      <x:c r="A1717" s="5" t="str">
        <x:v>晉</x:v>
      </x:c>
      <x:c r="B1717" s="6" t="str">
        <x:v>去</x:v>
      </x:c>
      <x:c r="C1717" s="6" t="str">
        <x:f>IF(B1717="","Needs decision","Ready")</x:f>
        <x:v>Ready</x:v>
      </x:c>
      <x:c r="D1717" s="6" t="str">
        <x:v>去</x:v>
      </x:c>
      <x:c r="E1717" s="6" t="str">
        <x:v>tsinH (C)</x:v>
      </x:c>
      <x:c r="F1717" s="6" t="str">
        <x:v>1</x:v>
      </x:c>
      <x:c r="G1717" s="6" t="str"/>
      <x:c r="H1717" s="6" t="str">
        <x:f>IF(B1717="平","平",IF(B1717="","","仄"))</x:f>
        <x:v>仄</x:v>
      </x:c>
      <x:c r="I1717" s="6" t="str">
        <x:f>IF(D1708="","",IF(AND(ISNUMBER(SEARCH("平",D1708)),OR(ISNUMBER(SEARCH("上",D1708)),ISNUMBER(SEARCH("去",D1708)),ISNUMBER(SEARCH("入",D1708)))),"Ambiguous",IF(ISNUMBER(SEARCH("平",D1708)),"平","仄")))</x:f>
        <x:v>仄</x:v>
      </x:c>
      <x:c r="J1717" s="7" t="str"/>
    </x:row>
    <x:row r="1718">
      <x:c r="A1718" s="5" t="str">
        <x:v>晏</x:v>
      </x:c>
      <x:c r="B1718" s="6" t="str">
        <x:v>去</x:v>
      </x:c>
      <x:c r="C1718" s="6" t="str">
        <x:f>IF(B1718="","Needs decision","Ready")</x:f>
        <x:v>Ready</x:v>
      </x:c>
      <x:c r="D1718" s="6" t="str">
        <x:v>去</x:v>
      </x:c>
      <x:c r="E1718" s="6" t="str">
        <x:v>'aenH (C); 'enH (C)</x:v>
      </x:c>
      <x:c r="F1718" s="6" t="str">
        <x:v>2</x:v>
      </x:c>
      <x:c r="G1718" s="6" t="str"/>
      <x:c r="H1718" s="6" t="str">
        <x:f>IF(B1718="平","平",IF(B1718="","","仄"))</x:f>
        <x:v>仄</x:v>
      </x:c>
      <x:c r="I1718" s="6" t="str">
        <x:f>IF(D1709="","",IF(AND(ISNUMBER(SEARCH("平",D1709)),OR(ISNUMBER(SEARCH("上",D1709)),ISNUMBER(SEARCH("去",D1709)),ISNUMBER(SEARCH("入",D1709)))),"Ambiguous",IF(ISNUMBER(SEARCH("平",D1709)),"平","仄")))</x:f>
        <x:v>平</x:v>
      </x:c>
      <x:c r="J1718" s="7" t="str"/>
    </x:row>
    <x:row r="1719">
      <x:c r="A1719" s="5" t="str">
        <x:v>晚</x:v>
      </x:c>
      <x:c r="B1719" s="6" t="str">
        <x:v>上</x:v>
      </x:c>
      <x:c r="C1719" s="6" t="str">
        <x:f>IF(B1719="","Needs decision","Ready")</x:f>
        <x:v>Ready</x:v>
      </x:c>
      <x:c r="D1719" s="6" t="str">
        <x:v>上</x:v>
      </x:c>
      <x:c r="E1719" s="6" t="str">
        <x:v>mjonX (B)</x:v>
      </x:c>
      <x:c r="F1719" s="6" t="str">
        <x:v>1</x:v>
      </x:c>
      <x:c r="G1719" s="6" t="str"/>
      <x:c r="H1719" s="6" t="str">
        <x:f>IF(B1719="平","平",IF(B1719="","","仄"))</x:f>
        <x:v>仄</x:v>
      </x:c>
      <x:c r="I1719" s="6" t="str">
        <x:f>IF(D1710="","",IF(AND(ISNUMBER(SEARCH("平",D1710)),OR(ISNUMBER(SEARCH("上",D1710)),ISNUMBER(SEARCH("去",D1710)),ISNUMBER(SEARCH("入",D1710)))),"Ambiguous",IF(ISNUMBER(SEARCH("平",D1710)),"平","仄")))</x:f>
        <x:v>仄</x:v>
      </x:c>
      <x:c r="J1719" s="7" t="str"/>
    </x:row>
    <x:row r="1720">
      <x:c r="A1720" s="5" t="str">
        <x:v>晝</x:v>
      </x:c>
      <x:c r="B1720" s="6" t="str">
        <x:v>去</x:v>
      </x:c>
      <x:c r="C1720" s="6" t="str">
        <x:f>IF(B1720="","Needs decision","Ready")</x:f>
        <x:v>Ready</x:v>
      </x:c>
      <x:c r="D1720" s="6" t="str">
        <x:v>去</x:v>
      </x:c>
      <x:c r="E1720" s="6" t="str">
        <x:v>trjuwH (C)</x:v>
      </x:c>
      <x:c r="F1720" s="6" t="str">
        <x:v>1</x:v>
      </x:c>
      <x:c r="G1720" s="6" t="str"/>
      <x:c r="H1720" s="6" t="str">
        <x:f>IF(B1720="平","平",IF(B1720="","","仄"))</x:f>
        <x:v>仄</x:v>
      </x:c>
      <x:c r="I1720" s="6" t="str">
        <x:f>IF(D1711="","",IF(AND(ISNUMBER(SEARCH("平",D1711)),OR(ISNUMBER(SEARCH("上",D1711)),ISNUMBER(SEARCH("去",D1711)),ISNUMBER(SEARCH("入",D1711)))),"Ambiguous",IF(ISNUMBER(SEARCH("平",D1711)),"平","仄")))</x:f>
        <x:v>仄</x:v>
      </x:c>
      <x:c r="J1720" s="7" t="str"/>
    </x:row>
    <x:row r="1721">
      <x:c r="A1721" s="5" t="str">
        <x:v>晢</x:v>
      </x:c>
      <x:c r="B1721" s="6" t="str"/>
      <x:c r="C1721" s="6" t="str">
        <x:f>IF(B1721="","Needs decision","Ready")</x:f>
        <x:v>Needs decision</x:v>
      </x:c>
      <x:c r="D1721" s="6" t="str">
        <x:v>去/入</x:v>
      </x:c>
      <x:c r="E1721" s="6" t="str">
        <x:v>tsyejH (C); tsyet (D)</x:v>
      </x:c>
      <x:c r="F1721" s="6" t="str">
        <x:v>2</x:v>
      </x:c>
      <x:c r="G1721" s="6" t="str"/>
      <x:c r="H1721" s="6" t="str">
        <x:f>IF(B1721="平","平",IF(B1721="","","仄"))</x:f>
      </x:c>
      <x:c r="I1721" s="6" t="str">
        <x:f>IF(D1712="","",IF(AND(ISNUMBER(SEARCH("平",D1712)),OR(ISNUMBER(SEARCH("上",D1712)),ISNUMBER(SEARCH("去",D1712)),ISNUMBER(SEARCH("入",D1712)))),"Ambiguous",IF(ISNUMBER(SEARCH("平",D1712)),"平","仄")))</x:f>
        <x:v>仄</x:v>
      </x:c>
      <x:c r="J1721" s="7" t="str"/>
    </x:row>
    <x:row r="1722">
      <x:c r="A1722" s="5" t="str">
        <x:v>晤</x:v>
      </x:c>
      <x:c r="B1722" s="6" t="str">
        <x:v>去</x:v>
      </x:c>
      <x:c r="C1722" s="6" t="str">
        <x:f>IF(B1722="","Needs decision","Ready")</x:f>
        <x:v>Ready</x:v>
      </x:c>
      <x:c r="D1722" s="6" t="str">
        <x:v>去</x:v>
      </x:c>
      <x:c r="E1722" s="6" t="str">
        <x:v>nguH (C)</x:v>
      </x:c>
      <x:c r="F1722" s="6" t="str">
        <x:v>1</x:v>
      </x:c>
      <x:c r="G1722" s="6" t="str"/>
      <x:c r="H1722" s="6" t="str">
        <x:f>IF(B1722="平","平",IF(B1722="","","仄"))</x:f>
        <x:v>仄</x:v>
      </x:c>
      <x:c r="I1722" s="6" t="str">
        <x:f>IF(D1713="","",IF(AND(ISNUMBER(SEARCH("平",D1713)),OR(ISNUMBER(SEARCH("上",D1713)),ISNUMBER(SEARCH("去",D1713)),ISNUMBER(SEARCH("入",D1713)))),"Ambiguous",IF(ISNUMBER(SEARCH("平",D1713)),"平","仄")))</x:f>
        <x:v>仄</x:v>
      </x:c>
      <x:c r="J1722" s="7" t="str"/>
    </x:row>
    <x:row r="1723">
      <x:c r="A1723" s="5" t="str">
        <x:v>晦</x:v>
      </x:c>
      <x:c r="B1723" s="6" t="str">
        <x:v>去</x:v>
      </x:c>
      <x:c r="C1723" s="6" t="str">
        <x:f>IF(B1723="","Needs decision","Ready")</x:f>
        <x:v>Ready</x:v>
      </x:c>
      <x:c r="D1723" s="6" t="str">
        <x:v>去</x:v>
      </x:c>
      <x:c r="E1723" s="6" t="str">
        <x:v>xwojH (C)</x:v>
      </x:c>
      <x:c r="F1723" s="6" t="str">
        <x:v>1</x:v>
      </x:c>
      <x:c r="G1723" s="6" t="str"/>
      <x:c r="H1723" s="6" t="str">
        <x:f>IF(B1723="平","平",IF(B1723="","","仄"))</x:f>
        <x:v>仄</x:v>
      </x:c>
      <x:c r="I1723" s="6" t="str">
        <x:f>IF(D1714="","",IF(AND(ISNUMBER(SEARCH("平",D1714)),OR(ISNUMBER(SEARCH("上",D1714)),ISNUMBER(SEARCH("去",D1714)),ISNUMBER(SEARCH("入",D1714)))),"Ambiguous",IF(ISNUMBER(SEARCH("平",D1714)),"平","仄")))</x:f>
        <x:v>仄</x:v>
      </x:c>
      <x:c r="J1723" s="7" t="str"/>
    </x:row>
    <x:row r="1724">
      <x:c r="A1724" s="5" t="str">
        <x:v>晨</x:v>
      </x:c>
      <x:c r="B1724" s="6" t="str">
        <x:v>平</x:v>
      </x:c>
      <x:c r="C1724" s="6" t="str">
        <x:f>IF(B1724="","Needs decision","Ready")</x:f>
        <x:v>Ready</x:v>
      </x:c>
      <x:c r="D1724" s="6" t="str">
        <x:v>平</x:v>
      </x:c>
      <x:c r="E1724" s="6" t="str">
        <x:v>dzyin (A); zyin (A)</x:v>
      </x:c>
      <x:c r="F1724" s="6" t="str">
        <x:v>2</x:v>
      </x:c>
      <x:c r="G1724" s="6" t="str"/>
      <x:c r="H1724" s="6" t="str">
        <x:f>IF(B1724="平","平",IF(B1724="","","仄"))</x:f>
        <x:v>平</x:v>
      </x:c>
      <x:c r="I1724" s="6" t="str">
        <x:f>IF(D1715="","",IF(AND(ISNUMBER(SEARCH("平",D1715)),OR(ISNUMBER(SEARCH("上",D1715)),ISNUMBER(SEARCH("去",D1715)),ISNUMBER(SEARCH("入",D1715)))),"Ambiguous",IF(ISNUMBER(SEARCH("平",D1715)),"平","仄")))</x:f>
        <x:v>平</x:v>
      </x:c>
      <x:c r="J1724" s="7" t="str"/>
    </x:row>
    <x:row r="1725">
      <x:c r="A1725" s="5" t="str">
        <x:v>普</x:v>
      </x:c>
      <x:c r="B1725" s="6" t="str">
        <x:v>上</x:v>
      </x:c>
      <x:c r="C1725" s="6" t="str">
        <x:f>IF(B1725="","Needs decision","Ready")</x:f>
        <x:v>Ready</x:v>
      </x:c>
      <x:c r="D1725" s="6" t="str">
        <x:v>上</x:v>
      </x:c>
      <x:c r="E1725" s="6" t="str"/>
      <x:c r="F1725" s="6" t="str"/>
      <x:c r="G1725" s="6" t="str">
        <x:v>Manual user correction/addition</x:v>
      </x:c>
      <x:c r="H1725" s="6" t="str">
        <x:f>IF(B1725="平","平",IF(B1725="","","仄"))</x:f>
        <x:v>仄</x:v>
      </x:c>
      <x:c r="I1725" s="6" t="str">
        <x:f>IF(D1716="","",IF(AND(ISNUMBER(SEARCH("平",D1716)),OR(ISNUMBER(SEARCH("上",D1716)),ISNUMBER(SEARCH("去",D1716)),ISNUMBER(SEARCH("入",D1716)))),"Ambiguous",IF(ISNUMBER(SEARCH("平",D1716)),"平","仄")))</x:f>
        <x:v>仄</x:v>
      </x:c>
      <x:c r="J1725" s="7" t="str">
        <x:v>manual user correction</x:v>
      </x:c>
    </x:row>
    <x:row r="1726">
      <x:c r="A1726" s="5" t="str">
        <x:v>景</x:v>
      </x:c>
      <x:c r="B1726" s="6" t="str">
        <x:v>上</x:v>
      </x:c>
      <x:c r="C1726" s="6" t="str">
        <x:f>IF(B1726="","Needs decision","Ready")</x:f>
        <x:v>Ready</x:v>
      </x:c>
      <x:c r="D1726" s="6" t="str">
        <x:v>上</x:v>
      </x:c>
      <x:c r="E1726" s="6" t="str">
        <x:v>kjaengX (B)</x:v>
      </x:c>
      <x:c r="F1726" s="6" t="str">
        <x:v>1</x:v>
      </x:c>
      <x:c r="G1726" s="6" t="str"/>
      <x:c r="H1726" s="6" t="str">
        <x:f>IF(B1726="平","平",IF(B1726="","","仄"))</x:f>
        <x:v>仄</x:v>
      </x:c>
      <x:c r="I1726" s="6" t="str">
        <x:f>IF(D1717="","",IF(AND(ISNUMBER(SEARCH("平",D1717)),OR(ISNUMBER(SEARCH("上",D1717)),ISNUMBER(SEARCH("去",D1717)),ISNUMBER(SEARCH("入",D1717)))),"Ambiguous",IF(ISNUMBER(SEARCH("平",D1717)),"平","仄")))</x:f>
        <x:v>仄</x:v>
      </x:c>
      <x:c r="J1726" s="7" t="str"/>
    </x:row>
    <x:row r="1727">
      <x:c r="A1727" s="5" t="str">
        <x:v>晳</x:v>
      </x:c>
      <x:c r="B1727" s="6" t="str">
        <x:v>入</x:v>
      </x:c>
      <x:c r="C1727" s="6" t="str">
        <x:f>IF(B1727="","Needs decision","Ready")</x:f>
        <x:v>Ready</x:v>
      </x:c>
      <x:c r="D1727" s="6" t="str">
        <x:v>入</x:v>
      </x:c>
      <x:c r="E1727" s="6" t="str">
        <x:v>sek (D)</x:v>
      </x:c>
      <x:c r="F1727" s="6" t="str">
        <x:v>1</x:v>
      </x:c>
      <x:c r="G1727" s="6" t="str"/>
      <x:c r="H1727" s="6" t="str">
        <x:f>IF(B1727="平","平",IF(B1727="","","仄"))</x:f>
        <x:v>仄</x:v>
      </x:c>
      <x:c r="I1727" s="6" t="str">
        <x:f>IF(D1718="","",IF(AND(ISNUMBER(SEARCH("平",D1718)),OR(ISNUMBER(SEARCH("上",D1718)),ISNUMBER(SEARCH("去",D1718)),ISNUMBER(SEARCH("入",D1718)))),"Ambiguous",IF(ISNUMBER(SEARCH("平",D1718)),"平","仄")))</x:f>
        <x:v>仄</x:v>
      </x:c>
      <x:c r="J1727" s="7" t="str"/>
    </x:row>
    <x:row r="1728">
      <x:c r="A1728" s="5" t="str">
        <x:v>晴</x:v>
      </x:c>
      <x:c r="B1728" s="6" t="str">
        <x:v>平</x:v>
      </x:c>
      <x:c r="C1728" s="6" t="str">
        <x:f>IF(B1728="","Needs decision","Ready")</x:f>
        <x:v>Ready</x:v>
      </x:c>
      <x:c r="D1728" s="6" t="str">
        <x:v>平</x:v>
      </x:c>
      <x:c r="E1728" s="6" t="str">
        <x:v>dzjeng (A)</x:v>
      </x:c>
      <x:c r="F1728" s="6" t="str">
        <x:v>1</x:v>
      </x:c>
      <x:c r="G1728" s="6" t="str"/>
      <x:c r="H1728" s="6" t="str">
        <x:f>IF(B1728="平","平",IF(B1728="","","仄"))</x:f>
        <x:v>平</x:v>
      </x:c>
      <x:c r="I1728" s="6" t="str">
        <x:f>IF(D1719="","",IF(AND(ISNUMBER(SEARCH("平",D1719)),OR(ISNUMBER(SEARCH("上",D1719)),ISNUMBER(SEARCH("去",D1719)),ISNUMBER(SEARCH("入",D1719)))),"Ambiguous",IF(ISNUMBER(SEARCH("平",D1719)),"平","仄")))</x:f>
        <x:v>仄</x:v>
      </x:c>
      <x:c r="J1728" s="7" t="str"/>
    </x:row>
    <x:row r="1729">
      <x:c r="A1729" s="5" t="str">
        <x:v>晶</x:v>
      </x:c>
      <x:c r="B1729" s="6" t="str">
        <x:v>平</x:v>
      </x:c>
      <x:c r="C1729" s="6" t="str">
        <x:f>IF(B1729="","Needs decision","Ready")</x:f>
        <x:v>Ready</x:v>
      </x:c>
      <x:c r="D1729" s="6" t="str">
        <x:v>平</x:v>
      </x:c>
      <x:c r="E1729" s="6" t="str">
        <x:v>tsjeng (A)</x:v>
      </x:c>
      <x:c r="F1729" s="6" t="str">
        <x:v>1</x:v>
      </x:c>
      <x:c r="G1729" s="6" t="str"/>
      <x:c r="H1729" s="6" t="str">
        <x:f>IF(B1729="平","平",IF(B1729="","","仄"))</x:f>
        <x:v>平</x:v>
      </x:c>
      <x:c r="I1729" s="6" t="str">
        <x:f>IF(D1720="","",IF(AND(ISNUMBER(SEARCH("平",D1720)),OR(ISNUMBER(SEARCH("上",D1720)),ISNUMBER(SEARCH("去",D1720)),ISNUMBER(SEARCH("入",D1720)))),"Ambiguous",IF(ISNUMBER(SEARCH("平",D1720)),"平","仄")))</x:f>
        <x:v>仄</x:v>
      </x:c>
      <x:c r="J1729" s="7" t="str"/>
    </x:row>
    <x:row r="1730">
      <x:c r="A1730" s="5" t="str">
        <x:v>晷</x:v>
      </x:c>
      <x:c r="B1730" s="6" t="str">
        <x:v>上</x:v>
      </x:c>
      <x:c r="C1730" s="6" t="str">
        <x:f>IF(B1730="","Needs decision","Ready")</x:f>
        <x:v>Ready</x:v>
      </x:c>
      <x:c r="D1730" s="6" t="str">
        <x:v>上</x:v>
      </x:c>
      <x:c r="E1730" s="6" t="str">
        <x:v>kwijX [見合三B脂上] kwɨ̯iʔ</x:v>
      </x:c>
      <x:c r="F1730" s="6" t="str">
        <x:v>1</x:v>
      </x:c>
      <x:c r="G1730" s="6" t="str">
        <x:v>Targeted preliminary fill from Xun Gong; review if uncertain</x:v>
      </x:c>
      <x:c r="H1730" s="6" t="str">
        <x:f>IF(B1730="平","平",IF(B1730="","","仄"))</x:f>
        <x:v>仄</x:v>
      </x:c>
      <x:c r="I1730" s="6" t="str">
        <x:f>IF(D1721="","",IF(AND(ISNUMBER(SEARCH("平",D1721)),OR(ISNUMBER(SEARCH("上",D1721)),ISNUMBER(SEARCH("去",D1721)),ISNUMBER(SEARCH("入",D1721)))),"Ambiguous",IF(ISNUMBER(SEARCH("平",D1721)),"平","仄")))</x:f>
        <x:v>仄</x:v>
      </x:c>
      <x:c r="J1730" s="7" t="str">
        <x:v>Xun Gong character-readings.csv</x:v>
      </x:c>
    </x:row>
    <x:row r="1731">
      <x:c r="A1731" s="5" t="str">
        <x:v>智</x:v>
      </x:c>
      <x:c r="B1731" s="6" t="str">
        <x:v>去</x:v>
      </x:c>
      <x:c r="C1731" s="6" t="str">
        <x:f>IF(B1731="","Needs decision","Ready")</x:f>
        <x:v>Ready</x:v>
      </x:c>
      <x:c r="D1731" s="6" t="str">
        <x:v>去</x:v>
      </x:c>
      <x:c r="E1731" s="6" t="str">
        <x:v>trjeH (C)</x:v>
      </x:c>
      <x:c r="F1731" s="6" t="str">
        <x:v>1</x:v>
      </x:c>
      <x:c r="G1731" s="6" t="str"/>
      <x:c r="H1731" s="6" t="str">
        <x:f>IF(B1731="平","平",IF(B1731="","","仄"))</x:f>
        <x:v>仄</x:v>
      </x:c>
      <x:c r="I1731" s="6" t="str">
        <x:f>IF(D1722="","",IF(AND(ISNUMBER(SEARCH("平",D1722)),OR(ISNUMBER(SEARCH("上",D1722)),ISNUMBER(SEARCH("去",D1722)),ISNUMBER(SEARCH("入",D1722)))),"Ambiguous",IF(ISNUMBER(SEARCH("平",D1722)),"平","仄")))</x:f>
        <x:v>仄</x:v>
      </x:c>
      <x:c r="J1731" s="7" t="str"/>
    </x:row>
    <x:row r="1732">
      <x:c r="A1732" s="5" t="str">
        <x:v>晻</x:v>
      </x:c>
      <x:c r="B1732" s="6" t="str"/>
      <x:c r="C1732" s="6" t="str">
        <x:f>IF(B1732="","Needs decision","Ready")</x:f>
        <x:v>Needs decision</x:v>
      </x:c>
      <x:c r="D1732" s="6" t="str">
        <x:v>上/去</x:v>
      </x:c>
      <x:c r="E1732" s="6" t="str">
        <x:v>'omX (B); 'omH (C)</x:v>
      </x:c>
      <x:c r="F1732" s="6" t="str">
        <x:v>2</x:v>
      </x:c>
      <x:c r="G1732" s="6" t="str"/>
      <x:c r="H1732" s="6" t="str">
        <x:f>IF(B1732="平","平",IF(B1732="","","仄"))</x:f>
      </x:c>
      <x:c r="I1732" s="6" t="str">
        <x:f>IF(D1723="","",IF(AND(ISNUMBER(SEARCH("平",D1723)),OR(ISNUMBER(SEARCH("上",D1723)),ISNUMBER(SEARCH("去",D1723)),ISNUMBER(SEARCH("入",D1723)))),"Ambiguous",IF(ISNUMBER(SEARCH("平",D1723)),"平","仄")))</x:f>
        <x:v>仄</x:v>
      </x:c>
      <x:c r="J1732" s="7" t="str"/>
    </x:row>
    <x:row r="1733">
      <x:c r="A1733" s="5" t="str">
        <x:v>晼</x:v>
      </x:c>
      <x:c r="B1733" s="6" t="str">
        <x:v>上</x:v>
      </x:c>
      <x:c r="C1733" s="6" t="str">
        <x:f>IF(B1733="","Needs decision","Ready")</x:f>
        <x:v>Ready</x:v>
      </x:c>
      <x:c r="D1733" s="6" t="str">
        <x:v>上</x:v>
      </x:c>
      <x:c r="E1733" s="6" t="str">
        <x:v>'jwonX [ʔwɨ̯ənʔ] (上)</x:v>
      </x:c>
      <x:c r="F1733" s="6" t="str">
        <x:v>1</x:v>
      </x:c>
      <x:c r="G1733" s="6" t="str">
        <x:v>Tang 300 gap; frequency 1; provisional from Xun Gong</x:v>
      </x:c>
      <x:c r="H1733" s="6" t="str">
        <x:f>IF(B1733="平","平",IF(B1733="","","仄"))</x:f>
        <x:v>仄</x:v>
      </x:c>
      <x:c r="I1733" s="6" t="str">
        <x:f>IF(D1724="","",IF(AND(ISNUMBER(SEARCH("平",D1724)),OR(ISNUMBER(SEARCH("上",D1724)),ISNUMBER(SEARCH("去",D1724)),ISNUMBER(SEARCH("入",D1724)))),"Ambiguous",IF(ISNUMBER(SEARCH("平",D1724)),"平","仄")))</x:f>
        <x:v>平</x:v>
      </x:c>
      <x:c r="J1733" s="7" t="str">
        <x:v>Xun Gong, Tang 300 gap fill</x:v>
      </x:c>
    </x:row>
    <x:row r="1734">
      <x:c r="A1734" s="5" t="str">
        <x:v>暇</x:v>
      </x:c>
      <x:c r="B1734" s="6" t="str">
        <x:v>去</x:v>
      </x:c>
      <x:c r="C1734" s="6" t="str">
        <x:f>IF(B1734="","Needs decision","Ready")</x:f>
        <x:v>Ready</x:v>
      </x:c>
      <x:c r="D1734" s="6" t="str">
        <x:v>去</x:v>
      </x:c>
      <x:c r="E1734" s="6" t="str">
        <x:v>haeH (C)</x:v>
      </x:c>
      <x:c r="F1734" s="6" t="str">
        <x:v>1</x:v>
      </x:c>
      <x:c r="G1734" s="6" t="str"/>
      <x:c r="H1734" s="6" t="str">
        <x:f>IF(B1734="平","平",IF(B1734="","","仄"))</x:f>
        <x:v>仄</x:v>
      </x:c>
      <x:c r="I1734" s="6" t="str">
        <x:f>IF(D1725="","",IF(AND(ISNUMBER(SEARCH("平",D1725)),OR(ISNUMBER(SEARCH("上",D1725)),ISNUMBER(SEARCH("去",D1725)),ISNUMBER(SEARCH("入",D1725)))),"Ambiguous",IF(ISNUMBER(SEARCH("平",D1725)),"平","仄")))</x:f>
        <x:v>仄</x:v>
      </x:c>
      <x:c r="J1734" s="7" t="str"/>
    </x:row>
    <x:row r="1735">
      <x:c r="A1735" s="5" t="str">
        <x:v>暉</x:v>
      </x:c>
      <x:c r="B1735" s="6" t="str">
        <x:v>平</x:v>
      </x:c>
      <x:c r="C1735" s="6" t="str">
        <x:f>IF(B1735="","Needs decision","Ready")</x:f>
        <x:v>Ready</x:v>
      </x:c>
      <x:c r="D1735" s="6" t="str">
        <x:v>平</x:v>
      </x:c>
      <x:c r="E1735" s="6" t="str">
        <x:v>xjw+j (A)</x:v>
      </x:c>
      <x:c r="F1735" s="6" t="str">
        <x:v>1</x:v>
      </x:c>
      <x:c r="G1735" s="6" t="str"/>
      <x:c r="H1735" s="6" t="str">
        <x:f>IF(B1735="平","平",IF(B1735="","","仄"))</x:f>
        <x:v>平</x:v>
      </x:c>
      <x:c r="I1735" s="6" t="str">
        <x:f>IF(D1726="","",IF(AND(ISNUMBER(SEARCH("平",D1726)),OR(ISNUMBER(SEARCH("上",D1726)),ISNUMBER(SEARCH("去",D1726)),ISNUMBER(SEARCH("入",D1726)))),"Ambiguous",IF(ISNUMBER(SEARCH("平",D1726)),"平","仄")))</x:f>
        <x:v>仄</x:v>
      </x:c>
      <x:c r="J1735" s="7" t="str"/>
    </x:row>
    <x:row r="1736">
      <x:c r="A1736" s="5" t="str">
        <x:v>暑</x:v>
      </x:c>
      <x:c r="B1736" s="6" t="str">
        <x:v>上</x:v>
      </x:c>
      <x:c r="C1736" s="6" t="str">
        <x:f>IF(B1736="","Needs decision","Ready")</x:f>
        <x:v>Ready</x:v>
      </x:c>
      <x:c r="D1736" s="6" t="str">
        <x:v>上</x:v>
      </x:c>
      <x:c r="E1736" s="6" t="str">
        <x:v>syoX (B)</x:v>
      </x:c>
      <x:c r="F1736" s="6" t="str">
        <x:v>1</x:v>
      </x:c>
      <x:c r="G1736" s="6" t="str"/>
      <x:c r="H1736" s="6" t="str">
        <x:f>IF(B1736="平","平",IF(B1736="","","仄"))</x:f>
        <x:v>仄</x:v>
      </x:c>
      <x:c r="I1736" s="6" t="str">
        <x:f>IF(D1727="","",IF(AND(ISNUMBER(SEARCH("平",D1727)),OR(ISNUMBER(SEARCH("上",D1727)),ISNUMBER(SEARCH("去",D1727)),ISNUMBER(SEARCH("入",D1727)))),"Ambiguous",IF(ISNUMBER(SEARCH("平",D1727)),"平","仄")))</x:f>
        <x:v>仄</x:v>
      </x:c>
      <x:c r="J1736" s="7" t="str"/>
    </x:row>
    <x:row r="1737">
      <x:c r="A1737" s="5" t="str">
        <x:v>暖</x:v>
      </x:c>
      <x:c r="B1737" s="6" t="str">
        <x:v>上</x:v>
      </x:c>
      <x:c r="C1737" s="6" t="str">
        <x:f>IF(B1737="","Needs decision","Ready")</x:f>
        <x:v>Ready</x:v>
      </x:c>
      <x:c r="D1737" s="6" t="str">
        <x:v>上</x:v>
      </x:c>
      <x:c r="E1737" s="6" t="str">
        <x:v>nwanX [n̙wɑnʔ] (上)</x:v>
      </x:c>
      <x:c r="F1737" s="6" t="str">
        <x:v>1</x:v>
      </x:c>
      <x:c r="G1737" s="6" t="str">
        <x:v>Tang 300 gap; frequency 6; provisional from Xun Gong</x:v>
      </x:c>
      <x:c r="H1737" s="6" t="str">
        <x:f>IF(B1737="平","平",IF(B1737="","","仄"))</x:f>
        <x:v>仄</x:v>
      </x:c>
      <x:c r="I1737" s="6" t="str">
        <x:f>IF(D1728="","",IF(AND(ISNUMBER(SEARCH("平",D1728)),OR(ISNUMBER(SEARCH("上",D1728)),ISNUMBER(SEARCH("去",D1728)),ISNUMBER(SEARCH("入",D1728)))),"Ambiguous",IF(ISNUMBER(SEARCH("平",D1728)),"平","仄")))</x:f>
        <x:v>平</x:v>
      </x:c>
      <x:c r="J1737" s="7" t="str">
        <x:v>Xun Gong, Tang 300 gap fill</x:v>
      </x:c>
    </x:row>
    <x:row r="1738">
      <x:c r="A1738" s="5" t="str">
        <x:v>暗</x:v>
      </x:c>
      <x:c r="B1738" s="6" t="str">
        <x:v>去</x:v>
      </x:c>
      <x:c r="C1738" s="6" t="str">
        <x:f>IF(B1738="","Needs decision","Ready")</x:f>
        <x:v>Ready</x:v>
      </x:c>
      <x:c r="D1738" s="6" t="str">
        <x:v>去</x:v>
      </x:c>
      <x:c r="E1738" s="6" t="str">
        <x:v>'omH (C)</x:v>
      </x:c>
      <x:c r="F1738" s="6" t="str">
        <x:v>1</x:v>
      </x:c>
      <x:c r="G1738" s="6" t="str"/>
      <x:c r="H1738" s="6" t="str">
        <x:f>IF(B1738="平","平",IF(B1738="","","仄"))</x:f>
        <x:v>仄</x:v>
      </x:c>
      <x:c r="I1738" s="6" t="str">
        <x:f>IF(D1729="","",IF(AND(ISNUMBER(SEARCH("平",D1729)),OR(ISNUMBER(SEARCH("上",D1729)),ISNUMBER(SEARCH("去",D1729)),ISNUMBER(SEARCH("入",D1729)))),"Ambiguous",IF(ISNUMBER(SEARCH("平",D1729)),"平","仄")))</x:f>
        <x:v>平</x:v>
      </x:c>
      <x:c r="J1738" s="7" t="str"/>
    </x:row>
    <x:row r="1739">
      <x:c r="A1739" s="5" t="str">
        <x:v>暝</x:v>
      </x:c>
      <x:c r="B1739" s="6" t="str">
        <x:v>平</x:v>
      </x:c>
      <x:c r="C1739" s="6" t="str">
        <x:f>IF(B1739="","Needs decision","Ready")</x:f>
        <x:v>Ready</x:v>
      </x:c>
      <x:c r="D1739" s="6" t="str">
        <x:v>平</x:v>
      </x:c>
      <x:c r="E1739" s="6" t="str"/>
      <x:c r="F1739" s="6" t="str"/>
      <x:c r="G1739" s="6" t="str">
        <x:v>Manual user correction/addition</x:v>
      </x:c>
      <x:c r="H1739" s="6" t="str">
        <x:f>IF(B1739="平","平",IF(B1739="","","仄"))</x:f>
        <x:v>平</x:v>
      </x:c>
      <x:c r="I1739" s="6" t="str">
        <x:f>IF(D1730="","",IF(AND(ISNUMBER(SEARCH("平",D1730)),OR(ISNUMBER(SEARCH("上",D1730)),ISNUMBER(SEARCH("去",D1730)),ISNUMBER(SEARCH("入",D1730)))),"Ambiguous",IF(ISNUMBER(SEARCH("平",D1730)),"平","仄")))</x:f>
        <x:v>仄</x:v>
      </x:c>
      <x:c r="J1739" s="7" t="str">
        <x:v>manual user correction</x:v>
      </x:c>
    </x:row>
    <x:row r="1740">
      <x:c r="A1740" s="5" t="str">
        <x:v>暢</x:v>
      </x:c>
      <x:c r="B1740" s="6" t="str">
        <x:v>去</x:v>
      </x:c>
      <x:c r="C1740" s="6" t="str">
        <x:f>IF(B1740="","Needs decision","Ready")</x:f>
        <x:v>Ready</x:v>
      </x:c>
      <x:c r="D1740" s="6" t="str">
        <x:v>去</x:v>
      </x:c>
      <x:c r="E1740" s="6" t="str"/>
      <x:c r="F1740" s="6" t="str"/>
      <x:c r="G1740" s="6" t="str">
        <x:v>Manual user correction/addition</x:v>
      </x:c>
      <x:c r="H1740" s="6" t="str">
        <x:f>IF(B1740="平","平",IF(B1740="","","仄"))</x:f>
        <x:v>仄</x:v>
      </x:c>
      <x:c r="I1740" s="6" t="str">
        <x:f>IF(D1731="","",IF(AND(ISNUMBER(SEARCH("平",D1731)),OR(ISNUMBER(SEARCH("上",D1731)),ISNUMBER(SEARCH("去",D1731)),ISNUMBER(SEARCH("入",D1731)))),"Ambiguous",IF(ISNUMBER(SEARCH("平",D1731)),"平","仄")))</x:f>
        <x:v>仄</x:v>
      </x:c>
      <x:c r="J1740" s="7" t="str">
        <x:v>manual user correction</x:v>
      </x:c>
    </x:row>
    <x:row r="1741">
      <x:c r="A1741" s="5" t="str">
        <x:v>暨</x:v>
      </x:c>
      <x:c r="B1741" s="6" t="str">
        <x:v>去</x:v>
      </x:c>
      <x:c r="C1741" s="6" t="str">
        <x:f>IF(B1741="","Needs decision","Ready")</x:f>
        <x:v>Ready</x:v>
      </x:c>
      <x:c r="D1741" s="6" t="str">
        <x:v>去</x:v>
      </x:c>
      <x:c r="E1741" s="6" t="str">
        <x:v>gijH (C)</x:v>
      </x:c>
      <x:c r="F1741" s="6" t="str">
        <x:v>1</x:v>
      </x:c>
      <x:c r="G1741" s="6" t="str"/>
      <x:c r="H1741" s="6" t="str">
        <x:f>IF(B1741="平","平",IF(B1741="","","仄"))</x:f>
        <x:v>仄</x:v>
      </x:c>
      <x:c r="I1741" s="6" t="str">
        <x:f>IF(D1732="","",IF(AND(ISNUMBER(SEARCH("平",D1732)),OR(ISNUMBER(SEARCH("上",D1732)),ISNUMBER(SEARCH("去",D1732)),ISNUMBER(SEARCH("入",D1732)))),"Ambiguous",IF(ISNUMBER(SEARCH("平",D1732)),"平","仄")))</x:f>
        <x:v>仄</x:v>
      </x:c>
      <x:c r="J1741" s="7" t="str"/>
    </x:row>
    <x:row r="1742">
      <x:c r="A1742" s="5" t="str">
        <x:v>暫</x:v>
      </x:c>
      <x:c r="B1742" s="6" t="str">
        <x:v>去</x:v>
      </x:c>
      <x:c r="C1742" s="6" t="str">
        <x:f>IF(B1742="","Needs decision","Ready")</x:f>
        <x:v>Ready</x:v>
      </x:c>
      <x:c r="D1742" s="6" t="str">
        <x:v>去</x:v>
      </x:c>
      <x:c r="E1742" s="6" t="str">
        <x:v>dzamH (C)</x:v>
      </x:c>
      <x:c r="F1742" s="6" t="str">
        <x:v>1</x:v>
      </x:c>
      <x:c r="G1742" s="6" t="str"/>
      <x:c r="H1742" s="6" t="str">
        <x:f>IF(B1742="平","平",IF(B1742="","","仄"))</x:f>
        <x:v>仄</x:v>
      </x:c>
      <x:c r="I1742" s="6" t="str">
        <x:f>IF(D1733="","",IF(AND(ISNUMBER(SEARCH("平",D1733)),OR(ISNUMBER(SEARCH("上",D1733)),ISNUMBER(SEARCH("去",D1733)),ISNUMBER(SEARCH("入",D1733)))),"Ambiguous",IF(ISNUMBER(SEARCH("平",D1733)),"平","仄")))</x:f>
        <x:v>仄</x:v>
      </x:c>
      <x:c r="J1742" s="7" t="str"/>
    </x:row>
    <x:row r="1743">
      <x:c r="A1743" s="5" t="str">
        <x:v>暮</x:v>
      </x:c>
      <x:c r="B1743" s="6" t="str">
        <x:v>去</x:v>
      </x:c>
      <x:c r="C1743" s="6" t="str">
        <x:f>IF(B1743="","Needs decision","Ready")</x:f>
        <x:v>Ready</x:v>
      </x:c>
      <x:c r="D1743" s="6" t="str">
        <x:v>去</x:v>
      </x:c>
      <x:c r="E1743" s="6" t="str"/>
      <x:c r="F1743" s="6" t="str"/>
      <x:c r="G1743" s="6" t="str">
        <x:v>Manual user correction/addition</x:v>
      </x:c>
      <x:c r="H1743" s="6" t="str">
        <x:f>IF(B1743="平","平",IF(B1743="","","仄"))</x:f>
        <x:v>仄</x:v>
      </x:c>
      <x:c r="I1743" s="6" t="str">
        <x:f>IF(D1734="","",IF(AND(ISNUMBER(SEARCH("平",D1734)),OR(ISNUMBER(SEARCH("上",D1734)),ISNUMBER(SEARCH("去",D1734)),ISNUMBER(SEARCH("入",D1734)))),"Ambiguous",IF(ISNUMBER(SEARCH("平",D1734)),"平","仄")))</x:f>
        <x:v>仄</x:v>
      </x:c>
      <x:c r="J1743" s="7" t="str">
        <x:v>manual user correction</x:v>
      </x:c>
    </x:row>
    <x:row r="1744">
      <x:c r="A1744" s="5" t="str">
        <x:v>暱</x:v>
      </x:c>
      <x:c r="B1744" s="6" t="str">
        <x:v>入</x:v>
      </x:c>
      <x:c r="C1744" s="6" t="str">
        <x:f>IF(B1744="","Needs decision","Ready")</x:f>
        <x:v>Ready</x:v>
      </x:c>
      <x:c r="D1744" s="6" t="str">
        <x:v>入</x:v>
      </x:c>
      <x:c r="E1744" s="6" t="str">
        <x:v>nrit (D)</x:v>
      </x:c>
      <x:c r="F1744" s="6" t="str">
        <x:v>1</x:v>
      </x:c>
      <x:c r="G1744" s="6" t="str"/>
      <x:c r="H1744" s="6" t="str">
        <x:f>IF(B1744="平","平",IF(B1744="","","仄"))</x:f>
        <x:v>仄</x:v>
      </x:c>
      <x:c r="I1744" s="6" t="str">
        <x:f>IF(D1735="","",IF(AND(ISNUMBER(SEARCH("平",D1735)),OR(ISNUMBER(SEARCH("上",D1735)),ISNUMBER(SEARCH("去",D1735)),ISNUMBER(SEARCH("入",D1735)))),"Ambiguous",IF(ISNUMBER(SEARCH("平",D1735)),"平","仄")))</x:f>
        <x:v>平</x:v>
      </x:c>
      <x:c r="J1744" s="7" t="str"/>
    </x:row>
    <x:row r="1745">
      <x:c r="A1745" s="5" t="str">
        <x:v>暴</x:v>
      </x:c>
      <x:c r="B1745" s="6" t="str"/>
      <x:c r="C1745" s="6" t="str">
        <x:f>IF(B1745="","Needs decision","Ready")</x:f>
        <x:v>Needs decision</x:v>
      </x:c>
      <x:c r="D1745" s="6" t="str">
        <x:v>去/入</x:v>
      </x:c>
      <x:c r="E1745" s="6" t="str">
        <x:v>bawH (C); buwk (D)</x:v>
      </x:c>
      <x:c r="F1745" s="6" t="str">
        <x:v>2</x:v>
      </x:c>
      <x:c r="G1745" s="6" t="str"/>
      <x:c r="H1745" s="6" t="str">
        <x:f>IF(B1745="平","平",IF(B1745="","","仄"))</x:f>
      </x:c>
      <x:c r="I1745" s="6" t="str">
        <x:f>IF(D1736="","",IF(AND(ISNUMBER(SEARCH("平",D1736)),OR(ISNUMBER(SEARCH("上",D1736)),ISNUMBER(SEARCH("去",D1736)),ISNUMBER(SEARCH("入",D1736)))),"Ambiguous",IF(ISNUMBER(SEARCH("平",D1736)),"平","仄")))</x:f>
        <x:v>仄</x:v>
      </x:c>
      <x:c r="J1745" s="7" t="str"/>
    </x:row>
    <x:row r="1746">
      <x:c r="A1746" s="5" t="str">
        <x:v>暵</x:v>
      </x:c>
      <x:c r="B1746" s="6" t="str"/>
      <x:c r="C1746" s="6" t="str">
        <x:f>IF(B1746="","Needs decision","Ready")</x:f>
        <x:v>Needs decision</x:v>
      </x:c>
      <x:c r="D1746" s="6" t="str">
        <x:v>上/去</x:v>
      </x:c>
      <x:c r="E1746" s="6" t="str">
        <x:v>xanX (B); xanH (C)</x:v>
      </x:c>
      <x:c r="F1746" s="6" t="str">
        <x:v>2</x:v>
      </x:c>
      <x:c r="G1746" s="6" t="str"/>
      <x:c r="H1746" s="6" t="str">
        <x:f>IF(B1746="平","平",IF(B1746="","","仄"))</x:f>
      </x:c>
      <x:c r="I1746" s="6" t="str">
        <x:f>IF(D1737="","",IF(AND(ISNUMBER(SEARCH("平",D1737)),OR(ISNUMBER(SEARCH("上",D1737)),ISNUMBER(SEARCH("去",D1737)),ISNUMBER(SEARCH("入",D1737)))),"Ambiguous",IF(ISNUMBER(SEARCH("平",D1737)),"平","仄")))</x:f>
        <x:v>仄</x:v>
      </x:c>
      <x:c r="J1746" s="7" t="str"/>
    </x:row>
    <x:row r="1747">
      <x:c r="A1747" s="5" t="str">
        <x:v>曆</x:v>
      </x:c>
      <x:c r="B1747" s="6" t="str">
        <x:v>入</x:v>
      </x:c>
      <x:c r="C1747" s="6" t="str">
        <x:f>IF(B1747="","Needs decision","Ready")</x:f>
        <x:v>Ready</x:v>
      </x:c>
      <x:c r="D1747" s="6" t="str">
        <x:v>入</x:v>
      </x:c>
      <x:c r="E1747" s="6" t="str">
        <x:v>lek (D)</x:v>
      </x:c>
      <x:c r="F1747" s="6" t="str">
        <x:v>1</x:v>
      </x:c>
      <x:c r="G1747" s="6" t="str"/>
      <x:c r="H1747" s="6" t="str">
        <x:f>IF(B1747="平","平",IF(B1747="","","仄"))</x:f>
        <x:v>仄</x:v>
      </x:c>
      <x:c r="I1747" s="6" t="str">
        <x:f>IF(D1738="","",IF(AND(ISNUMBER(SEARCH("平",D1738)),OR(ISNUMBER(SEARCH("上",D1738)),ISNUMBER(SEARCH("去",D1738)),ISNUMBER(SEARCH("入",D1738)))),"Ambiguous",IF(ISNUMBER(SEARCH("平",D1738)),"平","仄")))</x:f>
        <x:v>仄</x:v>
      </x:c>
      <x:c r="J1747" s="7" t="str"/>
    </x:row>
    <x:row r="1748">
      <x:c r="A1748" s="5" t="str">
        <x:v>曇</x:v>
      </x:c>
      <x:c r="B1748" s="6" t="str">
        <x:v>平</x:v>
      </x:c>
      <x:c r="C1748" s="6" t="str">
        <x:f>IF(B1748="","Needs decision","Ready")</x:f>
        <x:v>Ready</x:v>
      </x:c>
      <x:c r="D1748" s="6" t="str">
        <x:v>平</x:v>
      </x:c>
      <x:c r="E1748" s="6" t="str"/>
      <x:c r="F1748" s="6" t="str"/>
      <x:c r="G1748" s="6" t="str">
        <x:v>Manual user correction/addition</x:v>
      </x:c>
      <x:c r="H1748" s="6" t="str">
        <x:f>IF(B1748="平","平",IF(B1748="","","仄"))</x:f>
        <x:v>平</x:v>
      </x:c>
      <x:c r="I1748" s="6" t="str">
        <x:f>IF(D1739="","",IF(AND(ISNUMBER(SEARCH("平",D1739)),OR(ISNUMBER(SEARCH("上",D1739)),ISNUMBER(SEARCH("去",D1739)),ISNUMBER(SEARCH("入",D1739)))),"Ambiguous",IF(ISNUMBER(SEARCH("平",D1739)),"平","仄")))</x:f>
        <x:v>平</x:v>
      </x:c>
      <x:c r="J1748" s="7" t="str">
        <x:v>manual user correction</x:v>
      </x:c>
    </x:row>
    <x:row r="1749">
      <x:c r="A1749" s="5" t="str">
        <x:v>曉</x:v>
      </x:c>
      <x:c r="B1749" s="6" t="str">
        <x:v>上</x:v>
      </x:c>
      <x:c r="C1749" s="6" t="str">
        <x:f>IF(B1749="","Needs decision","Ready")</x:f>
        <x:v>Ready</x:v>
      </x:c>
      <x:c r="D1749" s="6" t="str">
        <x:v>上</x:v>
      </x:c>
      <x:c r="E1749" s="6" t="str">
        <x:v>xewX (B)</x:v>
      </x:c>
      <x:c r="F1749" s="6" t="str">
        <x:v>1</x:v>
      </x:c>
      <x:c r="G1749" s="6" t="str"/>
      <x:c r="H1749" s="6" t="str">
        <x:f>IF(B1749="平","平",IF(B1749="","","仄"))</x:f>
        <x:v>仄</x:v>
      </x:c>
      <x:c r="I1749" s="6" t="str">
        <x:f>IF(D1740="","",IF(AND(ISNUMBER(SEARCH("平",D1740)),OR(ISNUMBER(SEARCH("上",D1740)),ISNUMBER(SEARCH("去",D1740)),ISNUMBER(SEARCH("入",D1740)))),"Ambiguous",IF(ISNUMBER(SEARCH("平",D1740)),"平","仄")))</x:f>
        <x:v>仄</x:v>
      </x:c>
      <x:c r="J1749" s="7" t="str"/>
    </x:row>
    <x:row r="1750">
      <x:c r="A1750" s="5" t="str">
        <x:v>曏</x:v>
      </x:c>
      <x:c r="B1750" s="6" t="str"/>
      <x:c r="C1750" s="6" t="str">
        <x:f>IF(B1750="","Needs decision","Ready")</x:f>
        <x:v>Needs decision</x:v>
      </x:c>
      <x:c r="D1750" s="6" t="str">
        <x:v>上/去</x:v>
      </x:c>
      <x:c r="E1750" s="6" t="str">
        <x:v>syangX (B); syangH (C); xjangX (B); xjangH (C)</x:v>
      </x:c>
      <x:c r="F1750" s="6" t="str">
        <x:v>4</x:v>
      </x:c>
      <x:c r="G1750" s="6" t="str"/>
      <x:c r="H1750" s="6" t="str">
        <x:f>IF(B1750="平","平",IF(B1750="","","仄"))</x:f>
      </x:c>
      <x:c r="I1750" s="6" t="str">
        <x:f>IF(D1741="","",IF(AND(ISNUMBER(SEARCH("平",D1741)),OR(ISNUMBER(SEARCH("上",D1741)),ISNUMBER(SEARCH("去",D1741)),ISNUMBER(SEARCH("入",D1741)))),"Ambiguous",IF(ISNUMBER(SEARCH("平",D1741)),"平","仄")))</x:f>
        <x:v>仄</x:v>
      </x:c>
      <x:c r="J1750" s="7" t="str"/>
    </x:row>
    <x:row r="1751">
      <x:c r="A1751" s="5" t="str">
        <x:v>曖</x:v>
      </x:c>
      <x:c r="B1751" s="6" t="str">
        <x:v>去</x:v>
      </x:c>
      <x:c r="C1751" s="6" t="str">
        <x:f>IF(B1751="","Needs decision","Ready")</x:f>
        <x:v>Ready</x:v>
      </x:c>
      <x:c r="D1751" s="6" t="str">
        <x:v>去</x:v>
      </x:c>
      <x:c r="E1751" s="6" t="str"/>
      <x:c r="F1751" s="6" t="str"/>
      <x:c r="G1751" s="6" t="str">
        <x:v>Manual user correction/addition</x:v>
      </x:c>
      <x:c r="H1751" s="6" t="str">
        <x:f>IF(B1751="平","平",IF(B1751="","","仄"))</x:f>
        <x:v>仄</x:v>
      </x:c>
      <x:c r="I1751" s="6" t="str">
        <x:f>IF(D1742="","",IF(AND(ISNUMBER(SEARCH("平",D1742)),OR(ISNUMBER(SEARCH("上",D1742)),ISNUMBER(SEARCH("去",D1742)),ISNUMBER(SEARCH("入",D1742)))),"Ambiguous",IF(ISNUMBER(SEARCH("平",D1742)),"平","仄")))</x:f>
        <x:v>仄</x:v>
      </x:c>
      <x:c r="J1751" s="7" t="str">
        <x:v>manual user correction</x:v>
      </x:c>
    </x:row>
    <x:row r="1752">
      <x:c r="A1752" s="5" t="str">
        <x:v>曙</x:v>
      </x:c>
      <x:c r="B1752" s="6" t="str">
        <x:v>去</x:v>
      </x:c>
      <x:c r="C1752" s="6" t="str">
        <x:f>IF(B1752="","Needs decision","Ready")</x:f>
        <x:v>Ready</x:v>
      </x:c>
      <x:c r="D1752" s="6" t="str">
        <x:v>去</x:v>
      </x:c>
      <x:c r="E1752" s="6" t="str">
        <x:v>dzyoH [dʑəh] (去)</x:v>
      </x:c>
      <x:c r="F1752" s="6" t="str">
        <x:v>1</x:v>
      </x:c>
      <x:c r="G1752" s="6" t="str">
        <x:v>Tang 300 gap; frequency 9; provisional from Xun Gong</x:v>
      </x:c>
      <x:c r="H1752" s="6" t="str">
        <x:f>IF(B1752="平","平",IF(B1752="","","仄"))</x:f>
        <x:v>仄</x:v>
      </x:c>
      <x:c r="I1752" s="6" t="str">
        <x:f>IF(D1743="","",IF(AND(ISNUMBER(SEARCH("平",D1743)),OR(ISNUMBER(SEARCH("上",D1743)),ISNUMBER(SEARCH("去",D1743)),ISNUMBER(SEARCH("入",D1743)))),"Ambiguous",IF(ISNUMBER(SEARCH("平",D1743)),"平","仄")))</x:f>
        <x:v>仄</x:v>
      </x:c>
      <x:c r="J1752" s="7" t="str">
        <x:v>Xun Gong, Tang 300 gap fill</x:v>
      </x:c>
    </x:row>
    <x:row r="1753">
      <x:c r="A1753" s="5" t="str">
        <x:v>曜</x:v>
      </x:c>
      <x:c r="B1753" s="6" t="str">
        <x:v>去</x:v>
      </x:c>
      <x:c r="C1753" s="6" t="str">
        <x:f>IF(B1753="","Needs decision","Ready")</x:f>
        <x:v>Ready</x:v>
      </x:c>
      <x:c r="D1753" s="6" t="str">
        <x:v>去</x:v>
      </x:c>
      <x:c r="E1753" s="6" t="str">
        <x:v>yewH (C)</x:v>
      </x:c>
      <x:c r="F1753" s="6" t="str">
        <x:v>1</x:v>
      </x:c>
      <x:c r="G1753" s="6" t="str"/>
      <x:c r="H1753" s="6" t="str">
        <x:f>IF(B1753="平","平",IF(B1753="","","仄"))</x:f>
        <x:v>仄</x:v>
      </x:c>
      <x:c r="I1753" s="6" t="str">
        <x:f>IF(D1744="","",IF(AND(ISNUMBER(SEARCH("平",D1744)),OR(ISNUMBER(SEARCH("上",D1744)),ISNUMBER(SEARCH("去",D1744)),ISNUMBER(SEARCH("入",D1744)))),"Ambiguous",IF(ISNUMBER(SEARCH("平",D1744)),"平","仄")))</x:f>
        <x:v>仄</x:v>
      </x:c>
      <x:c r="J1753" s="7" t="str"/>
    </x:row>
    <x:row r="1754">
      <x:c r="A1754" s="5" t="str">
        <x:v>曝</x:v>
      </x:c>
      <x:c r="B1754" s="6" t="str">
        <x:v>入</x:v>
      </x:c>
      <x:c r="C1754" s="6" t="str">
        <x:f>IF(B1754="","Needs decision","Ready")</x:f>
        <x:v>Ready</x:v>
      </x:c>
      <x:c r="D1754" s="6" t="str">
        <x:v>入</x:v>
      </x:c>
      <x:c r="E1754" s="6" t="str">
        <x:v>buwk (D)</x:v>
      </x:c>
      <x:c r="F1754" s="6" t="str">
        <x:v>1</x:v>
      </x:c>
      <x:c r="G1754" s="6" t="str"/>
      <x:c r="H1754" s="6" t="str">
        <x:f>IF(B1754="平","平",IF(B1754="","","仄"))</x:f>
        <x:v>仄</x:v>
      </x:c>
      <x:c r="I1754" s="6" t="str">
        <x:f>IF(D1745="","",IF(AND(ISNUMBER(SEARCH("平",D1745)),OR(ISNUMBER(SEARCH("上",D1745)),ISNUMBER(SEARCH("去",D1745)),ISNUMBER(SEARCH("入",D1745)))),"Ambiguous",IF(ISNUMBER(SEARCH("平",D1745)),"平","仄")))</x:f>
        <x:v>仄</x:v>
      </x:c>
      <x:c r="J1754" s="7" t="str"/>
    </x:row>
    <x:row r="1755">
      <x:c r="A1755" s="5" t="str">
        <x:v>曠</x:v>
      </x:c>
      <x:c r="B1755" s="6" t="str">
        <x:v>去</x:v>
      </x:c>
      <x:c r="C1755" s="6" t="str">
        <x:f>IF(B1755="","Needs decision","Ready")</x:f>
        <x:v>Ready</x:v>
      </x:c>
      <x:c r="D1755" s="6" t="str">
        <x:v>去</x:v>
      </x:c>
      <x:c r="E1755" s="6" t="str">
        <x:v>khwangH (C)</x:v>
      </x:c>
      <x:c r="F1755" s="6" t="str">
        <x:v>1</x:v>
      </x:c>
      <x:c r="G1755" s="6" t="str"/>
      <x:c r="H1755" s="6" t="str">
        <x:f>IF(B1755="平","平",IF(B1755="","","仄"))</x:f>
        <x:v>仄</x:v>
      </x:c>
      <x:c r="I1755" s="6" t="str">
        <x:f>IF(D1746="","",IF(AND(ISNUMBER(SEARCH("平",D1746)),OR(ISNUMBER(SEARCH("上",D1746)),ISNUMBER(SEARCH("去",D1746)),ISNUMBER(SEARCH("入",D1746)))),"Ambiguous",IF(ISNUMBER(SEARCH("平",D1746)),"平","仄")))</x:f>
        <x:v>仄</x:v>
      </x:c>
      <x:c r="J1755" s="7" t="str"/>
    </x:row>
    <x:row r="1756">
      <x:c r="A1756" s="5" t="str">
        <x:v>曩</x:v>
      </x:c>
      <x:c r="B1756" s="6" t="str">
        <x:v>上</x:v>
      </x:c>
      <x:c r="C1756" s="6" t="str">
        <x:f>IF(B1756="","Needs decision","Ready")</x:f>
        <x:v>Ready</x:v>
      </x:c>
      <x:c r="D1756" s="6" t="str">
        <x:v>上</x:v>
      </x:c>
      <x:c r="E1756" s="6" t="str">
        <x:v>nangX (B)</x:v>
      </x:c>
      <x:c r="F1756" s="6" t="str">
        <x:v>1</x:v>
      </x:c>
      <x:c r="G1756" s="6" t="str"/>
      <x:c r="H1756" s="6" t="str">
        <x:f>IF(B1756="平","平",IF(B1756="","","仄"))</x:f>
        <x:v>仄</x:v>
      </x:c>
      <x:c r="I1756" s="6" t="str">
        <x:f>IF(D1747="","",IF(AND(ISNUMBER(SEARCH("平",D1747)),OR(ISNUMBER(SEARCH("上",D1747)),ISNUMBER(SEARCH("去",D1747)),ISNUMBER(SEARCH("入",D1747)))),"Ambiguous",IF(ISNUMBER(SEARCH("平",D1747)),"平","仄")))</x:f>
        <x:v>仄</x:v>
      </x:c>
      <x:c r="J1756" s="7" t="str"/>
    </x:row>
    <x:row r="1757">
      <x:c r="A1757" s="5" t="str">
        <x:v>曬</x:v>
      </x:c>
      <x:c r="B1757" s="6" t="str">
        <x:v>去</x:v>
      </x:c>
      <x:c r="C1757" s="6" t="str">
        <x:f>IF(B1757="","Needs decision","Ready")</x:f>
        <x:v>Ready</x:v>
      </x:c>
      <x:c r="D1757" s="6" t="str">
        <x:v>去</x:v>
      </x:c>
      <x:c r="E1757" s="6" t="str">
        <x:v>sreaH (C)</x:v>
      </x:c>
      <x:c r="F1757" s="6" t="str">
        <x:v>1</x:v>
      </x:c>
      <x:c r="G1757" s="6" t="str"/>
      <x:c r="H1757" s="6" t="str">
        <x:f>IF(B1757="平","平",IF(B1757="","","仄"))</x:f>
        <x:v>仄</x:v>
      </x:c>
      <x:c r="I1757" s="6" t="str">
        <x:f>IF(D1748="","",IF(AND(ISNUMBER(SEARCH("平",D1748)),OR(ISNUMBER(SEARCH("上",D1748)),ISNUMBER(SEARCH("去",D1748)),ISNUMBER(SEARCH("入",D1748)))),"Ambiguous",IF(ISNUMBER(SEARCH("平",D1748)),"平","仄")))</x:f>
        <x:v>平</x:v>
      </x:c>
      <x:c r="J1757" s="7" t="str"/>
    </x:row>
    <x:row r="1758">
      <x:c r="A1758" s="5" t="str">
        <x:v>曰</x:v>
      </x:c>
      <x:c r="B1758" s="6" t="str">
        <x:v>入</x:v>
      </x:c>
      <x:c r="C1758" s="6" t="str">
        <x:f>IF(B1758="","Needs decision","Ready")</x:f>
        <x:v>Ready</x:v>
      </x:c>
      <x:c r="D1758" s="6" t="str">
        <x:v>入</x:v>
      </x:c>
      <x:c r="E1758" s="6" t="str">
        <x:v>hjwot (D)</x:v>
      </x:c>
      <x:c r="F1758" s="6" t="str">
        <x:v>1</x:v>
      </x:c>
      <x:c r="G1758" s="6" t="str"/>
      <x:c r="H1758" s="6" t="str">
        <x:f>IF(B1758="平","平",IF(B1758="","","仄"))</x:f>
        <x:v>仄</x:v>
      </x:c>
      <x:c r="I1758" s="6" t="str">
        <x:f>IF(D1749="","",IF(AND(ISNUMBER(SEARCH("平",D1749)),OR(ISNUMBER(SEARCH("上",D1749)),ISNUMBER(SEARCH("去",D1749)),ISNUMBER(SEARCH("入",D1749)))),"Ambiguous",IF(ISNUMBER(SEARCH("平",D1749)),"平","仄")))</x:f>
        <x:v>仄</x:v>
      </x:c>
      <x:c r="J1758" s="7" t="str"/>
    </x:row>
    <x:row r="1759">
      <x:c r="A1759" s="5" t="str">
        <x:v>曲</x:v>
      </x:c>
      <x:c r="B1759" s="6" t="str">
        <x:v>入</x:v>
      </x:c>
      <x:c r="C1759" s="6" t="str">
        <x:f>IF(B1759="","Needs decision","Ready")</x:f>
        <x:v>Ready</x:v>
      </x:c>
      <x:c r="D1759" s="6" t="str">
        <x:v>入</x:v>
      </x:c>
      <x:c r="E1759" s="6" t="str">
        <x:v>khjowk (D)</x:v>
      </x:c>
      <x:c r="F1759" s="6" t="str">
        <x:v>1</x:v>
      </x:c>
      <x:c r="G1759" s="6" t="str"/>
      <x:c r="H1759" s="6" t="str">
        <x:f>IF(B1759="平","平",IF(B1759="","","仄"))</x:f>
        <x:v>仄</x:v>
      </x:c>
      <x:c r="I1759" s="6" t="str">
        <x:f>IF(D1750="","",IF(AND(ISNUMBER(SEARCH("平",D1750)),OR(ISNUMBER(SEARCH("上",D1750)),ISNUMBER(SEARCH("去",D1750)),ISNUMBER(SEARCH("入",D1750)))),"Ambiguous",IF(ISNUMBER(SEARCH("平",D1750)),"平","仄")))</x:f>
        <x:v>仄</x:v>
      </x:c>
      <x:c r="J1759" s="7" t="str"/>
    </x:row>
    <x:row r="1760">
      <x:c r="A1760" s="5" t="str">
        <x:v>曳</x:v>
      </x:c>
      <x:c r="B1760" s="6" t="str">
        <x:v>去</x:v>
      </x:c>
      <x:c r="C1760" s="6" t="str">
        <x:f>IF(B1760="","Needs decision","Ready")</x:f>
        <x:v>Ready</x:v>
      </x:c>
      <x:c r="D1760" s="6" t="str">
        <x:v>去</x:v>
      </x:c>
      <x:c r="E1760" s="6" t="str">
        <x:v>yejH [jejh] (去)</x:v>
      </x:c>
      <x:c r="F1760" s="6" t="str">
        <x:v>1</x:v>
      </x:c>
      <x:c r="G1760" s="6" t="str">
        <x:v>Tang 300 gap; frequency 1; provisional from Xun Gong</x:v>
      </x:c>
      <x:c r="H1760" s="6" t="str">
        <x:f>IF(B1760="平","平",IF(B1760="","","仄"))</x:f>
        <x:v>仄</x:v>
      </x:c>
      <x:c r="I1760" s="6" t="str">
        <x:f>IF(D1751="","",IF(AND(ISNUMBER(SEARCH("平",D1751)),OR(ISNUMBER(SEARCH("上",D1751)),ISNUMBER(SEARCH("去",D1751)),ISNUMBER(SEARCH("入",D1751)))),"Ambiguous",IF(ISNUMBER(SEARCH("平",D1751)),"平","仄")))</x:f>
        <x:v>仄</x:v>
      </x:c>
      <x:c r="J1760" s="7" t="str">
        <x:v>Xun Gong, Tang 300 gap fill</x:v>
      </x:c>
    </x:row>
    <x:row r="1761">
      <x:c r="A1761" s="5" t="str">
        <x:v>更</x:v>
      </x:c>
      <x:c r="B1761" s="6" t="str"/>
      <x:c r="C1761" s="6" t="str">
        <x:f>IF(B1761="","Needs decision","Ready")</x:f>
        <x:v>Needs decision</x:v>
      </x:c>
      <x:c r="D1761" s="6" t="str">
        <x:v>平/去</x:v>
      </x:c>
      <x:c r="E1761" s="6" t="str">
        <x:v>kaeng (A); kaengH (C)</x:v>
      </x:c>
      <x:c r="F1761" s="6" t="str">
        <x:v>2</x:v>
      </x:c>
      <x:c r="G1761" s="6" t="str"/>
      <x:c r="H1761" s="6" t="str">
        <x:f>IF(B1761="平","平",IF(B1761="","","仄"))</x:f>
      </x:c>
      <x:c r="I1761" s="6" t="str">
        <x:f>IF(D1752="","",IF(AND(ISNUMBER(SEARCH("平",D1752)),OR(ISNUMBER(SEARCH("上",D1752)),ISNUMBER(SEARCH("去",D1752)),ISNUMBER(SEARCH("入",D1752)))),"Ambiguous",IF(ISNUMBER(SEARCH("平",D1752)),"平","仄")))</x:f>
        <x:v>仄</x:v>
      </x:c>
      <x:c r="J1761" s="7" t="str"/>
    </x:row>
    <x:row r="1762">
      <x:c r="A1762" s="5" t="str">
        <x:v>曷</x:v>
      </x:c>
      <x:c r="B1762" s="6" t="str">
        <x:v>入</x:v>
      </x:c>
      <x:c r="C1762" s="6" t="str">
        <x:f>IF(B1762="","Needs decision","Ready")</x:f>
        <x:v>Ready</x:v>
      </x:c>
      <x:c r="D1762" s="6" t="str">
        <x:v>入</x:v>
      </x:c>
      <x:c r="E1762" s="6" t="str">
        <x:v>hat (D)</x:v>
      </x:c>
      <x:c r="F1762" s="6" t="str">
        <x:v>1</x:v>
      </x:c>
      <x:c r="G1762" s="6" t="str"/>
      <x:c r="H1762" s="6" t="str">
        <x:f>IF(B1762="平","平",IF(B1762="","","仄"))</x:f>
        <x:v>仄</x:v>
      </x:c>
      <x:c r="I1762" s="6" t="str">
        <x:f>IF(D1753="","",IF(AND(ISNUMBER(SEARCH("平",D1753)),OR(ISNUMBER(SEARCH("上",D1753)),ISNUMBER(SEARCH("去",D1753)),ISNUMBER(SEARCH("入",D1753)))),"Ambiguous",IF(ISNUMBER(SEARCH("平",D1753)),"平","仄")))</x:f>
        <x:v>仄</x:v>
      </x:c>
      <x:c r="J1762" s="7" t="str"/>
    </x:row>
    <x:row r="1763">
      <x:c r="A1763" s="5" t="str">
        <x:v>書</x:v>
      </x:c>
      <x:c r="B1763" s="6" t="str">
        <x:v>平</x:v>
      </x:c>
      <x:c r="C1763" s="6" t="str">
        <x:f>IF(B1763="","Needs decision","Ready")</x:f>
        <x:v>Ready</x:v>
      </x:c>
      <x:c r="D1763" s="6" t="str">
        <x:v>平</x:v>
      </x:c>
      <x:c r="E1763" s="6" t="str">
        <x:v>syo (A)</x:v>
      </x:c>
      <x:c r="F1763" s="6" t="str">
        <x:v>1</x:v>
      </x:c>
      <x:c r="G1763" s="6" t="str"/>
      <x:c r="H1763" s="6" t="str">
        <x:f>IF(B1763="平","平",IF(B1763="","","仄"))</x:f>
        <x:v>平</x:v>
      </x:c>
      <x:c r="I1763" s="6" t="str">
        <x:f>IF(D1754="","",IF(AND(ISNUMBER(SEARCH("平",D1754)),OR(ISNUMBER(SEARCH("上",D1754)),ISNUMBER(SEARCH("去",D1754)),ISNUMBER(SEARCH("入",D1754)))),"Ambiguous",IF(ISNUMBER(SEARCH("平",D1754)),"平","仄")))</x:f>
        <x:v>仄</x:v>
      </x:c>
      <x:c r="J1763" s="7" t="str"/>
    </x:row>
    <x:row r="1764">
      <x:c r="A1764" s="5" t="str">
        <x:v>曹</x:v>
      </x:c>
      <x:c r="B1764" s="6" t="str">
        <x:v>平</x:v>
      </x:c>
      <x:c r="C1764" s="6" t="str">
        <x:f>IF(B1764="","Needs decision","Ready")</x:f>
        <x:v>Ready</x:v>
      </x:c>
      <x:c r="D1764" s="6" t="str">
        <x:v>平</x:v>
      </x:c>
      <x:c r="E1764" s="6" t="str">
        <x:v>dzaw (A)</x:v>
      </x:c>
      <x:c r="F1764" s="6" t="str">
        <x:v>1</x:v>
      </x:c>
      <x:c r="G1764" s="6" t="str"/>
      <x:c r="H1764" s="6" t="str">
        <x:f>IF(B1764="平","平",IF(B1764="","","仄"))</x:f>
        <x:v>平</x:v>
      </x:c>
      <x:c r="I1764" s="6" t="str">
        <x:f>IF(D1755="","",IF(AND(ISNUMBER(SEARCH("平",D1755)),OR(ISNUMBER(SEARCH("上",D1755)),ISNUMBER(SEARCH("去",D1755)),ISNUMBER(SEARCH("入",D1755)))),"Ambiguous",IF(ISNUMBER(SEARCH("平",D1755)),"平","仄")))</x:f>
        <x:v>仄</x:v>
      </x:c>
      <x:c r="J1764" s="7" t="str"/>
    </x:row>
    <x:row r="1765">
      <x:c r="A1765" s="5" t="str">
        <x:v>曼</x:v>
      </x:c>
      <x:c r="B1765" s="6" t="str">
        <x:v>去</x:v>
      </x:c>
      <x:c r="C1765" s="6" t="str">
        <x:f>IF(B1765="","Needs decision","Ready")</x:f>
        <x:v>Ready</x:v>
      </x:c>
      <x:c r="D1765" s="6" t="str">
        <x:v>去</x:v>
      </x:c>
      <x:c r="E1765" s="6" t="str">
        <x:v>manH (C); mjonH (C)</x:v>
      </x:c>
      <x:c r="F1765" s="6" t="str">
        <x:v>2</x:v>
      </x:c>
      <x:c r="G1765" s="6" t="str"/>
      <x:c r="H1765" s="6" t="str">
        <x:f>IF(B1765="平","平",IF(B1765="","","仄"))</x:f>
        <x:v>仄</x:v>
      </x:c>
      <x:c r="I1765" s="6" t="str">
        <x:f>IF(D1756="","",IF(AND(ISNUMBER(SEARCH("平",D1756)),OR(ISNUMBER(SEARCH("上",D1756)),ISNUMBER(SEARCH("去",D1756)),ISNUMBER(SEARCH("入",D1756)))),"Ambiguous",IF(ISNUMBER(SEARCH("平",D1756)),"平","仄")))</x:f>
        <x:v>仄</x:v>
      </x:c>
      <x:c r="J1765" s="7" t="str"/>
    </x:row>
    <x:row r="1766">
      <x:c r="A1766" s="5" t="str">
        <x:v>曾</x:v>
      </x:c>
      <x:c r="B1766" s="6" t="str">
        <x:v>平</x:v>
      </x:c>
      <x:c r="C1766" s="6" t="str">
        <x:f>IF(B1766="","Needs decision","Ready")</x:f>
        <x:v>Ready</x:v>
      </x:c>
      <x:c r="D1766" s="6" t="str">
        <x:v>平</x:v>
      </x:c>
      <x:c r="E1766" s="6" t="str">
        <x:v>dzong (A); tsong (A)</x:v>
      </x:c>
      <x:c r="F1766" s="6" t="str">
        <x:v>2</x:v>
      </x:c>
      <x:c r="G1766" s="6" t="str"/>
      <x:c r="H1766" s="6" t="str">
        <x:f>IF(B1766="平","平",IF(B1766="","","仄"))</x:f>
        <x:v>平</x:v>
      </x:c>
      <x:c r="I1766" s="6" t="str">
        <x:f>IF(D1757="","",IF(AND(ISNUMBER(SEARCH("平",D1757)),OR(ISNUMBER(SEARCH("上",D1757)),ISNUMBER(SEARCH("去",D1757)),ISNUMBER(SEARCH("入",D1757)))),"Ambiguous",IF(ISNUMBER(SEARCH("平",D1757)),"平","仄")))</x:f>
        <x:v>仄</x:v>
      </x:c>
      <x:c r="J1766" s="7" t="str"/>
    </x:row>
    <x:row r="1767">
      <x:c r="A1767" s="5" t="str">
        <x:v>替</x:v>
      </x:c>
      <x:c r="B1767" s="6" t="str">
        <x:v>去</x:v>
      </x:c>
      <x:c r="C1767" s="6" t="str">
        <x:f>IF(B1767="","Needs decision","Ready")</x:f>
        <x:v>Ready</x:v>
      </x:c>
      <x:c r="D1767" s="6" t="str">
        <x:v>去</x:v>
      </x:c>
      <x:c r="E1767" s="6" t="str">
        <x:v>thejH (C)</x:v>
      </x:c>
      <x:c r="F1767" s="6" t="str">
        <x:v>1</x:v>
      </x:c>
      <x:c r="G1767" s="6" t="str"/>
      <x:c r="H1767" s="6" t="str">
        <x:f>IF(B1767="平","平",IF(B1767="","","仄"))</x:f>
        <x:v>仄</x:v>
      </x:c>
      <x:c r="I1767" s="6" t="str">
        <x:f>IF(D1758="","",IF(AND(ISNUMBER(SEARCH("平",D1758)),OR(ISNUMBER(SEARCH("上",D1758)),ISNUMBER(SEARCH("去",D1758)),ISNUMBER(SEARCH("入",D1758)))),"Ambiguous",IF(ISNUMBER(SEARCH("平",D1758)),"平","仄")))</x:f>
        <x:v>仄</x:v>
      </x:c>
      <x:c r="J1767" s="7" t="str"/>
    </x:row>
    <x:row r="1768">
      <x:c r="A1768" s="5" t="str">
        <x:v>最</x:v>
      </x:c>
      <x:c r="B1768" s="6" t="str">
        <x:v>去</x:v>
      </x:c>
      <x:c r="C1768" s="6" t="str">
        <x:f>IF(B1768="","Needs decision","Ready")</x:f>
        <x:v>Ready</x:v>
      </x:c>
      <x:c r="D1768" s="6" t="str">
        <x:v>去</x:v>
      </x:c>
      <x:c r="E1768" s="6" t="str">
        <x:v>tswajH (C)</x:v>
      </x:c>
      <x:c r="F1768" s="6" t="str">
        <x:v>1</x:v>
      </x:c>
      <x:c r="G1768" s="6" t="str"/>
      <x:c r="H1768" s="6" t="str">
        <x:f>IF(B1768="平","平",IF(B1768="","","仄"))</x:f>
        <x:v>仄</x:v>
      </x:c>
      <x:c r="I1768" s="6" t="str">
        <x:f>IF(D1759="","",IF(AND(ISNUMBER(SEARCH("平",D1759)),OR(ISNUMBER(SEARCH("上",D1759)),ISNUMBER(SEARCH("去",D1759)),ISNUMBER(SEARCH("入",D1759)))),"Ambiguous",IF(ISNUMBER(SEARCH("平",D1759)),"平","仄")))</x:f>
        <x:v>仄</x:v>
      </x:c>
      <x:c r="J1768" s="7" t="str"/>
    </x:row>
    <x:row r="1769">
      <x:c r="A1769" s="5" t="str">
        <x:v>會</x:v>
      </x:c>
      <x:c r="B1769" s="6" t="str">
        <x:v>去</x:v>
      </x:c>
      <x:c r="C1769" s="6" t="str">
        <x:f>IF(B1769="","Needs decision","Ready")</x:f>
        <x:v>Ready</x:v>
      </x:c>
      <x:c r="D1769" s="6" t="str">
        <x:v>去</x:v>
      </x:c>
      <x:c r="E1769" s="6" t="str">
        <x:v>hwajH (C); kwajH (C)</x:v>
      </x:c>
      <x:c r="F1769" s="6" t="str">
        <x:v>2</x:v>
      </x:c>
      <x:c r="G1769" s="6" t="str"/>
      <x:c r="H1769" s="6" t="str">
        <x:f>IF(B1769="平","平",IF(B1769="","","仄"))</x:f>
        <x:v>仄</x:v>
      </x:c>
      <x:c r="I1769" s="6" t="str">
        <x:f>IF(D1760="","",IF(AND(ISNUMBER(SEARCH("平",D1760)),OR(ISNUMBER(SEARCH("上",D1760)),ISNUMBER(SEARCH("去",D1760)),ISNUMBER(SEARCH("入",D1760)))),"Ambiguous",IF(ISNUMBER(SEARCH("平",D1760)),"平","仄")))</x:f>
        <x:v>仄</x:v>
      </x:c>
      <x:c r="J1769" s="7" t="str"/>
    </x:row>
    <x:row r="1770">
      <x:c r="A1770" s="5" t="str">
        <x:v>朄</x:v>
      </x:c>
      <x:c r="B1770" s="6" t="str">
        <x:v>去</x:v>
      </x:c>
      <x:c r="C1770" s="6" t="str">
        <x:f>IF(B1770="","Needs decision","Ready")</x:f>
        <x:v>Ready</x:v>
      </x:c>
      <x:c r="D1770" s="6" t="str">
        <x:v>去</x:v>
      </x:c>
      <x:c r="E1770" s="6" t="str">
        <x:v>yinH (C)</x:v>
      </x:c>
      <x:c r="F1770" s="6" t="str">
        <x:v>1</x:v>
      </x:c>
      <x:c r="G1770" s="6" t="str"/>
      <x:c r="H1770" s="6" t="str">
        <x:f>IF(B1770="平","平",IF(B1770="","","仄"))</x:f>
        <x:v>仄</x:v>
      </x:c>
      <x:c r="I1770" s="6" t="str">
        <x:f>IF(D1761="","",IF(AND(ISNUMBER(SEARCH("平",D1761)),OR(ISNUMBER(SEARCH("上",D1761)),ISNUMBER(SEARCH("去",D1761)),ISNUMBER(SEARCH("入",D1761)))),"Ambiguous",IF(ISNUMBER(SEARCH("平",D1761)),"平","仄")))</x:f>
        <x:v>Ambiguous</x:v>
      </x:c>
      <x:c r="J1770" s="7" t="str"/>
    </x:row>
    <x:row r="1771">
      <x:c r="A1771" s="5" t="str">
        <x:v>月</x:v>
      </x:c>
      <x:c r="B1771" s="6" t="str">
        <x:v>入</x:v>
      </x:c>
      <x:c r="C1771" s="6" t="str">
        <x:f>IF(B1771="","Needs decision","Ready")</x:f>
        <x:v>Ready</x:v>
      </x:c>
      <x:c r="D1771" s="6" t="str">
        <x:v>入</x:v>
      </x:c>
      <x:c r="E1771" s="6" t="str">
        <x:v>ngjwot (D)</x:v>
      </x:c>
      <x:c r="F1771" s="6" t="str">
        <x:v>1</x:v>
      </x:c>
      <x:c r="G1771" s="6" t="str"/>
      <x:c r="H1771" s="6" t="str">
        <x:f>IF(B1771="平","平",IF(B1771="","","仄"))</x:f>
        <x:v>仄</x:v>
      </x:c>
      <x:c r="I1771" s="6" t="str">
        <x:f>IF(D1762="","",IF(AND(ISNUMBER(SEARCH("平",D1762)),OR(ISNUMBER(SEARCH("上",D1762)),ISNUMBER(SEARCH("去",D1762)),ISNUMBER(SEARCH("入",D1762)))),"Ambiguous",IF(ISNUMBER(SEARCH("平",D1762)),"平","仄")))</x:f>
        <x:v>仄</x:v>
      </x:c>
      <x:c r="J1771" s="7" t="str"/>
    </x:row>
    <x:row r="1772">
      <x:c r="A1772" s="5" t="str">
        <x:v>有</x:v>
      </x:c>
      <x:c r="B1772" s="6" t="str">
        <x:v>上</x:v>
      </x:c>
      <x:c r="C1772" s="6" t="str">
        <x:f>IF(B1772="","Needs decision","Ready")</x:f>
        <x:v>Ready</x:v>
      </x:c>
      <x:c r="D1772" s="6" t="str">
        <x:v>上</x:v>
      </x:c>
      <x:c r="E1772" s="6" t="str">
        <x:v>hjuwX (B)</x:v>
      </x:c>
      <x:c r="F1772" s="6" t="str">
        <x:v>1</x:v>
      </x:c>
      <x:c r="G1772" s="6" t="str"/>
      <x:c r="H1772" s="6" t="str">
        <x:f>IF(B1772="平","平",IF(B1772="","","仄"))</x:f>
        <x:v>仄</x:v>
      </x:c>
      <x:c r="I1772" s="6" t="str">
        <x:f>IF(D1763="","",IF(AND(ISNUMBER(SEARCH("平",D1763)),OR(ISNUMBER(SEARCH("上",D1763)),ISNUMBER(SEARCH("去",D1763)),ISNUMBER(SEARCH("入",D1763)))),"Ambiguous",IF(ISNUMBER(SEARCH("平",D1763)),"平","仄")))</x:f>
        <x:v>平</x:v>
      </x:c>
      <x:c r="J1772" s="7" t="str"/>
    </x:row>
    <x:row r="1773">
      <x:c r="A1773" s="5" t="str">
        <x:v>朋</x:v>
      </x:c>
      <x:c r="B1773" s="6" t="str">
        <x:v>平</x:v>
      </x:c>
      <x:c r="C1773" s="6" t="str">
        <x:f>IF(B1773="","Needs decision","Ready")</x:f>
        <x:v>Ready</x:v>
      </x:c>
      <x:c r="D1773" s="6" t="str">
        <x:v>平</x:v>
      </x:c>
      <x:c r="E1773" s="6" t="str">
        <x:v>bong (A)</x:v>
      </x:c>
      <x:c r="F1773" s="6" t="str">
        <x:v>1</x:v>
      </x:c>
      <x:c r="G1773" s="6" t="str"/>
      <x:c r="H1773" s="6" t="str">
        <x:f>IF(B1773="平","平",IF(B1773="","","仄"))</x:f>
        <x:v>平</x:v>
      </x:c>
      <x:c r="I1773" s="6" t="str">
        <x:f>IF(D1764="","",IF(AND(ISNUMBER(SEARCH("平",D1764)),OR(ISNUMBER(SEARCH("上",D1764)),ISNUMBER(SEARCH("去",D1764)),ISNUMBER(SEARCH("入",D1764)))),"Ambiguous",IF(ISNUMBER(SEARCH("平",D1764)),"平","仄")))</x:f>
        <x:v>平</x:v>
      </x:c>
      <x:c r="J1773" s="7" t="str"/>
    </x:row>
    <x:row r="1774">
      <x:c r="A1774" s="5" t="str">
        <x:v>朌</x:v>
      </x:c>
      <x:c r="B1774" s="6" t="str">
        <x:v>平</x:v>
      </x:c>
      <x:c r="C1774" s="6" t="str">
        <x:f>IF(B1774="","Needs decision","Ready")</x:f>
        <x:v>Ready</x:v>
      </x:c>
      <x:c r="D1774" s="6" t="str">
        <x:v>平</x:v>
      </x:c>
      <x:c r="E1774" s="6" t="str">
        <x:v>paen (A)</x:v>
      </x:c>
      <x:c r="F1774" s="6" t="str">
        <x:v>1</x:v>
      </x:c>
      <x:c r="G1774" s="6" t="str"/>
      <x:c r="H1774" s="6" t="str">
        <x:f>IF(B1774="平","平",IF(B1774="","","仄"))</x:f>
        <x:v>平</x:v>
      </x:c>
      <x:c r="I1774" s="6" t="str">
        <x:f>IF(D1765="","",IF(AND(ISNUMBER(SEARCH("平",D1765)),OR(ISNUMBER(SEARCH("上",D1765)),ISNUMBER(SEARCH("去",D1765)),ISNUMBER(SEARCH("入",D1765)))),"Ambiguous",IF(ISNUMBER(SEARCH("平",D1765)),"平","仄")))</x:f>
        <x:v>仄</x:v>
      </x:c>
      <x:c r="J1774" s="7" t="str"/>
    </x:row>
    <x:row r="1775">
      <x:c r="A1775" s="5" t="str">
        <x:v>服</x:v>
      </x:c>
      <x:c r="B1775" s="6" t="str">
        <x:v>入</x:v>
      </x:c>
      <x:c r="C1775" s="6" t="str">
        <x:f>IF(B1775="","Needs decision","Ready")</x:f>
        <x:v>Ready</x:v>
      </x:c>
      <x:c r="D1775" s="6" t="str">
        <x:v>入/上</x:v>
      </x:c>
      <x:c r="E1775" s="6" t="str">
        <x:v>bjuwk (D); bjuwX (B)</x:v>
      </x:c>
      <x:c r="F1775" s="6" t="str">
        <x:v>2</x:v>
      </x:c>
      <x:c r="G1775" s="6" t="str">
        <x:v>User workbook edit 2026-09-03</x:v>
      </x:c>
      <x:c r="H1775" s="6" t="str">
        <x:f>IF(B1775="平","平",IF(B1775="","","仄"))</x:f>
        <x:v>仄</x:v>
      </x:c>
      <x:c r="I1775" s="6" t="str">
        <x:f>IF(D1766="","",IF(AND(ISNUMBER(SEARCH("平",D1766)),OR(ISNUMBER(SEARCH("上",D1766)),ISNUMBER(SEARCH("去",D1766)),ISNUMBER(SEARCH("入",D1766)))),"Ambiguous",IF(ISNUMBER(SEARCH("平",D1766)),"平","仄")))</x:f>
        <x:v>平</x:v>
      </x:c>
      <x:c r="J1775" s="7" t="str">
        <x:v>manual user correction</x:v>
      </x:c>
    </x:row>
    <x:row r="1776">
      <x:c r="A1776" s="5" t="str">
        <x:v>朏</x:v>
      </x:c>
      <x:c r="B1776" s="6" t="str">
        <x:v>上</x:v>
      </x:c>
      <x:c r="C1776" s="6" t="str">
        <x:f>IF(B1776="","Needs decision","Ready")</x:f>
        <x:v>Ready</x:v>
      </x:c>
      <x:c r="D1776" s="6" t="str">
        <x:v>上</x:v>
      </x:c>
      <x:c r="E1776" s="6" t="str">
        <x:v>phj+jX (B)</x:v>
      </x:c>
      <x:c r="F1776" s="6" t="str">
        <x:v>1</x:v>
      </x:c>
      <x:c r="G1776" s="6" t="str"/>
      <x:c r="H1776" s="6" t="str">
        <x:f>IF(B1776="平","平",IF(B1776="","","仄"))</x:f>
        <x:v>仄</x:v>
      </x:c>
      <x:c r="I1776" s="6" t="str">
        <x:f>IF(D1767="","",IF(AND(ISNUMBER(SEARCH("平",D1767)),OR(ISNUMBER(SEARCH("上",D1767)),ISNUMBER(SEARCH("去",D1767)),ISNUMBER(SEARCH("入",D1767)))),"Ambiguous",IF(ISNUMBER(SEARCH("平",D1767)),"平","仄")))</x:f>
        <x:v>仄</x:v>
      </x:c>
      <x:c r="J1776" s="7" t="str"/>
    </x:row>
    <x:row r="1777">
      <x:c r="A1777" s="5" t="str">
        <x:v>朔</x:v>
      </x:c>
      <x:c r="B1777" s="6" t="str">
        <x:v>入</x:v>
      </x:c>
      <x:c r="C1777" s="6" t="str">
        <x:f>IF(B1777="","Needs decision","Ready")</x:f>
        <x:v>Ready</x:v>
      </x:c>
      <x:c r="D1777" s="6" t="str">
        <x:v>入</x:v>
      </x:c>
      <x:c r="E1777" s="6" t="str">
        <x:v>sraewk (D)</x:v>
      </x:c>
      <x:c r="F1777" s="6" t="str">
        <x:v>1</x:v>
      </x:c>
      <x:c r="G1777" s="6" t="str"/>
      <x:c r="H1777" s="6" t="str">
        <x:f>IF(B1777="平","平",IF(B1777="","","仄"))</x:f>
        <x:v>仄</x:v>
      </x:c>
      <x:c r="I1777" s="6" t="str">
        <x:f>IF(D1768="","",IF(AND(ISNUMBER(SEARCH("平",D1768)),OR(ISNUMBER(SEARCH("上",D1768)),ISNUMBER(SEARCH("去",D1768)),ISNUMBER(SEARCH("入",D1768)))),"Ambiguous",IF(ISNUMBER(SEARCH("平",D1768)),"平","仄")))</x:f>
        <x:v>仄</x:v>
      </x:c>
      <x:c r="J1777" s="7" t="str"/>
    </x:row>
    <x:row r="1778">
      <x:c r="A1778" s="5" t="str">
        <x:v>朕</x:v>
      </x:c>
      <x:c r="B1778" s="6" t="str">
        <x:v>上</x:v>
      </x:c>
      <x:c r="C1778" s="6" t="str">
        <x:f>IF(B1778="","Needs decision","Ready")</x:f>
        <x:v>Ready</x:v>
      </x:c>
      <x:c r="D1778" s="6" t="str">
        <x:v>上</x:v>
      </x:c>
      <x:c r="E1778" s="6" t="str">
        <x:v>drimX (B)</x:v>
      </x:c>
      <x:c r="F1778" s="6" t="str">
        <x:v>1</x:v>
      </x:c>
      <x:c r="G1778" s="6" t="str"/>
      <x:c r="H1778" s="6" t="str">
        <x:f>IF(B1778="平","平",IF(B1778="","","仄"))</x:f>
        <x:v>仄</x:v>
      </x:c>
      <x:c r="I1778" s="6" t="str">
        <x:f>IF(D1769="","",IF(AND(ISNUMBER(SEARCH("平",D1769)),OR(ISNUMBER(SEARCH("上",D1769)),ISNUMBER(SEARCH("去",D1769)),ISNUMBER(SEARCH("入",D1769)))),"Ambiguous",IF(ISNUMBER(SEARCH("平",D1769)),"平","仄")))</x:f>
        <x:v>仄</x:v>
      </x:c>
      <x:c r="J1778" s="7" t="str"/>
    </x:row>
    <x:row r="1779">
      <x:c r="A1779" s="5" t="str">
        <x:v>朗</x:v>
      </x:c>
      <x:c r="B1779" s="6" t="str">
        <x:v>上</x:v>
      </x:c>
      <x:c r="C1779" s="6" t="str">
        <x:f>IF(B1779="","Needs decision","Ready")</x:f>
        <x:v>Ready</x:v>
      </x:c>
      <x:c r="D1779" s="6" t="str">
        <x:v>上</x:v>
      </x:c>
      <x:c r="E1779" s="6" t="str">
        <x:v>langX (B)</x:v>
      </x:c>
      <x:c r="F1779" s="6" t="str">
        <x:v>1</x:v>
      </x:c>
      <x:c r="G1779" s="6" t="str"/>
      <x:c r="H1779" s="6" t="str">
        <x:f>IF(B1779="平","平",IF(B1779="","","仄"))</x:f>
        <x:v>仄</x:v>
      </x:c>
      <x:c r="I1779" s="6" t="str">
        <x:f>IF(D1770="","",IF(AND(ISNUMBER(SEARCH("平",D1770)),OR(ISNUMBER(SEARCH("上",D1770)),ISNUMBER(SEARCH("去",D1770)),ISNUMBER(SEARCH("入",D1770)))),"Ambiguous",IF(ISNUMBER(SEARCH("平",D1770)),"平","仄")))</x:f>
        <x:v>仄</x:v>
      </x:c>
      <x:c r="J1779" s="7" t="str"/>
    </x:row>
    <x:row r="1780">
      <x:c r="A1780" s="5" t="str">
        <x:v>朘</x:v>
      </x:c>
      <x:c r="B1780" s="6" t="str">
        <x:v>平</x:v>
      </x:c>
      <x:c r="C1780" s="6" t="str">
        <x:f>IF(B1780="","Needs decision","Ready")</x:f>
        <x:v>Ready</x:v>
      </x:c>
      <x:c r="D1780" s="6" t="str">
        <x:v>平</x:v>
      </x:c>
      <x:c r="E1780" s="6" t="str">
        <x:v>tswoj (A)</x:v>
      </x:c>
      <x:c r="F1780" s="6" t="str">
        <x:v>1</x:v>
      </x:c>
      <x:c r="G1780" s="6" t="str"/>
      <x:c r="H1780" s="6" t="str">
        <x:f>IF(B1780="平","平",IF(B1780="","","仄"))</x:f>
        <x:v>平</x:v>
      </x:c>
      <x:c r="I1780" s="6" t="str">
        <x:f>IF(D1771="","",IF(AND(ISNUMBER(SEARCH("平",D1771)),OR(ISNUMBER(SEARCH("上",D1771)),ISNUMBER(SEARCH("去",D1771)),ISNUMBER(SEARCH("入",D1771)))),"Ambiguous",IF(ISNUMBER(SEARCH("平",D1771)),"平","仄")))</x:f>
        <x:v>仄</x:v>
      </x:c>
      <x:c r="J1780" s="7" t="str"/>
    </x:row>
    <x:row r="1781">
      <x:c r="A1781" s="5" t="str">
        <x:v>望</x:v>
      </x:c>
      <x:c r="B1781" s="6" t="str">
        <x:v>去</x:v>
      </x:c>
      <x:c r="C1781" s="6" t="str">
        <x:f>IF(B1781="","Needs decision","Ready")</x:f>
        <x:v>Ready</x:v>
      </x:c>
      <x:c r="D1781" s="6" t="str">
        <x:v>平/去</x:v>
      </x:c>
      <x:c r="E1781" s="6" t="str">
        <x:v>mjang (A); mjangH (C)</x:v>
      </x:c>
      <x:c r="F1781" s="6" t="str">
        <x:v>2</x:v>
      </x:c>
      <x:c r="G1781" s="6" t="str">
        <x:v>User workbook edit 2026-09-03</x:v>
      </x:c>
      <x:c r="H1781" s="6" t="str">
        <x:f>IF(B1781="平","平",IF(B1781="","","仄"))</x:f>
        <x:v>仄</x:v>
      </x:c>
      <x:c r="I1781" s="6" t="str">
        <x:f>IF(D1772="","",IF(AND(ISNUMBER(SEARCH("平",D1772)),OR(ISNUMBER(SEARCH("上",D1772)),ISNUMBER(SEARCH("去",D1772)),ISNUMBER(SEARCH("入",D1772)))),"Ambiguous",IF(ISNUMBER(SEARCH("平",D1772)),"平","仄")))</x:f>
        <x:v>仄</x:v>
      </x:c>
      <x:c r="J1781" s="7" t="str">
        <x:v>manual user correction</x:v>
      </x:c>
    </x:row>
    <x:row r="1782">
      <x:c r="A1782" s="5" t="str">
        <x:v>朝</x:v>
      </x:c>
      <x:c r="B1782" s="6" t="str">
        <x:v>平</x:v>
      </x:c>
      <x:c r="C1782" s="6" t="str">
        <x:f>IF(B1782="","Needs decision","Ready")</x:f>
        <x:v>Ready</x:v>
      </x:c>
      <x:c r="D1782" s="6" t="str">
        <x:v>平</x:v>
      </x:c>
      <x:c r="E1782" s="6" t="str">
        <x:v>drjew (A); trjew (A)</x:v>
      </x:c>
      <x:c r="F1782" s="6" t="str">
        <x:v>2</x:v>
      </x:c>
      <x:c r="G1782" s="6" t="str"/>
      <x:c r="H1782" s="6" t="str">
        <x:f>IF(B1782="平","平",IF(B1782="","","仄"))</x:f>
        <x:v>平</x:v>
      </x:c>
      <x:c r="I1782" s="6" t="str">
        <x:f>IF(D1773="","",IF(AND(ISNUMBER(SEARCH("平",D1773)),OR(ISNUMBER(SEARCH("上",D1773)),ISNUMBER(SEARCH("去",D1773)),ISNUMBER(SEARCH("入",D1773)))),"Ambiguous",IF(ISNUMBER(SEARCH("平",D1773)),"平","仄")))</x:f>
        <x:v>平</x:v>
      </x:c>
      <x:c r="J1782" s="7" t="str"/>
    </x:row>
    <x:row r="1783">
      <x:c r="A1783" s="5" t="str">
        <x:v>期</x:v>
      </x:c>
      <x:c r="B1783" s="6" t="str">
        <x:v>平</x:v>
      </x:c>
      <x:c r="C1783" s="6" t="str">
        <x:f>IF(B1783="","Needs decision","Ready")</x:f>
        <x:v>Ready</x:v>
      </x:c>
      <x:c r="D1783" s="6" t="str">
        <x:v>平</x:v>
      </x:c>
      <x:c r="E1783" s="6" t="str">
        <x:v>gi (A)</x:v>
      </x:c>
      <x:c r="F1783" s="6" t="str">
        <x:v>1</x:v>
      </x:c>
      <x:c r="G1783" s="6" t="str"/>
      <x:c r="H1783" s="6" t="str">
        <x:f>IF(B1783="平","平",IF(B1783="","","仄"))</x:f>
        <x:v>平</x:v>
      </x:c>
      <x:c r="I1783" s="6" t="str">
        <x:f>IF(D1774="","",IF(AND(ISNUMBER(SEARCH("平",D1774)),OR(ISNUMBER(SEARCH("上",D1774)),ISNUMBER(SEARCH("去",D1774)),ISNUMBER(SEARCH("入",D1774)))),"Ambiguous",IF(ISNUMBER(SEARCH("平",D1774)),"平","仄")))</x:f>
        <x:v>平</x:v>
      </x:c>
      <x:c r="J1783" s="7" t="str"/>
    </x:row>
    <x:row r="1784">
      <x:c r="A1784" s="5" t="str">
        <x:v>朧</x:v>
      </x:c>
      <x:c r="B1784" s="6" t="str">
        <x:v>平</x:v>
      </x:c>
      <x:c r="C1784" s="6" t="str">
        <x:f>IF(B1784="","Needs decision","Ready")</x:f>
        <x:v>Ready</x:v>
      </x:c>
      <x:c r="D1784" s="6" t="str">
        <x:v>平</x:v>
      </x:c>
      <x:c r="E1784" s="6" t="str">
        <x:v>luwng [l̙uŋ] (平)</x:v>
      </x:c>
      <x:c r="F1784" s="6" t="str">
        <x:v>1</x:v>
      </x:c>
      <x:c r="G1784" s="6" t="str">
        <x:v>Tang 300 gap; frequency 1; provisional from Xun Gong</x:v>
      </x:c>
      <x:c r="H1784" s="6" t="str">
        <x:f>IF(B1784="平","平",IF(B1784="","","仄"))</x:f>
        <x:v>平</x:v>
      </x:c>
      <x:c r="I1784" s="6" t="str">
        <x:f>IF(D1775="","",IF(AND(ISNUMBER(SEARCH("平",D1775)),OR(ISNUMBER(SEARCH("上",D1775)),ISNUMBER(SEARCH("去",D1775)),ISNUMBER(SEARCH("入",D1775)))),"Ambiguous",IF(ISNUMBER(SEARCH("平",D1775)),"平","仄")))</x:f>
        <x:v>仄</x:v>
      </x:c>
      <x:c r="J1784" s="7" t="str">
        <x:v>Xun Gong, Tang 300 gap fill</x:v>
      </x:c>
    </x:row>
    <x:row r="1785">
      <x:c r="A1785" s="5" t="str">
        <x:v>木</x:v>
      </x:c>
      <x:c r="B1785" s="6" t="str">
        <x:v>入</x:v>
      </x:c>
      <x:c r="C1785" s="6" t="str">
        <x:f>IF(B1785="","Needs decision","Ready")</x:f>
        <x:v>Ready</x:v>
      </x:c>
      <x:c r="D1785" s="6" t="str">
        <x:v>入</x:v>
      </x:c>
      <x:c r="E1785" s="6" t="str">
        <x:v>muwk (D)</x:v>
      </x:c>
      <x:c r="F1785" s="6" t="str">
        <x:v>1</x:v>
      </x:c>
      <x:c r="G1785" s="6" t="str"/>
      <x:c r="H1785" s="6" t="str">
        <x:f>IF(B1785="平","平",IF(B1785="","","仄"))</x:f>
        <x:v>仄</x:v>
      </x:c>
      <x:c r="I1785" s="6" t="str">
        <x:f>IF(D1776="","",IF(AND(ISNUMBER(SEARCH("平",D1776)),OR(ISNUMBER(SEARCH("上",D1776)),ISNUMBER(SEARCH("去",D1776)),ISNUMBER(SEARCH("入",D1776)))),"Ambiguous",IF(ISNUMBER(SEARCH("平",D1776)),"平","仄")))</x:f>
        <x:v>仄</x:v>
      </x:c>
      <x:c r="J1785" s="7" t="str"/>
    </x:row>
    <x:row r="1786">
      <x:c r="A1786" s="5" t="str">
        <x:v>未</x:v>
      </x:c>
      <x:c r="B1786" s="6" t="str">
        <x:v>去</x:v>
      </x:c>
      <x:c r="C1786" s="6" t="str">
        <x:f>IF(B1786="","Needs decision","Ready")</x:f>
        <x:v>Ready</x:v>
      </x:c>
      <x:c r="D1786" s="6" t="str">
        <x:v>去</x:v>
      </x:c>
      <x:c r="E1786" s="6" t="str">
        <x:v>mj+jH (C)</x:v>
      </x:c>
      <x:c r="F1786" s="6" t="str">
        <x:v>1</x:v>
      </x:c>
      <x:c r="G1786" s="6" t="str"/>
      <x:c r="H1786" s="6" t="str">
        <x:f>IF(B1786="平","平",IF(B1786="","","仄"))</x:f>
        <x:v>仄</x:v>
      </x:c>
      <x:c r="I1786" s="6" t="str">
        <x:f>IF(D1777="","",IF(AND(ISNUMBER(SEARCH("平",D1777)),OR(ISNUMBER(SEARCH("上",D1777)),ISNUMBER(SEARCH("去",D1777)),ISNUMBER(SEARCH("入",D1777)))),"Ambiguous",IF(ISNUMBER(SEARCH("平",D1777)),"平","仄")))</x:f>
        <x:v>仄</x:v>
      </x:c>
      <x:c r="J1786" s="7" t="str"/>
    </x:row>
    <x:row r="1787">
      <x:c r="A1787" s="5" t="str">
        <x:v>末</x:v>
      </x:c>
      <x:c r="B1787" s="6" t="str">
        <x:v>入</x:v>
      </x:c>
      <x:c r="C1787" s="6" t="str">
        <x:f>IF(B1787="","Needs decision","Ready")</x:f>
        <x:v>Ready</x:v>
      </x:c>
      <x:c r="D1787" s="6" t="str">
        <x:v>入</x:v>
      </x:c>
      <x:c r="E1787" s="6" t="str">
        <x:v>mat (D)</x:v>
      </x:c>
      <x:c r="F1787" s="6" t="str">
        <x:v>1</x:v>
      </x:c>
      <x:c r="G1787" s="6" t="str"/>
      <x:c r="H1787" s="6" t="str">
        <x:f>IF(B1787="平","平",IF(B1787="","","仄"))</x:f>
        <x:v>仄</x:v>
      </x:c>
      <x:c r="I1787" s="6" t="str">
        <x:f>IF(D1778="","",IF(AND(ISNUMBER(SEARCH("平",D1778)),OR(ISNUMBER(SEARCH("上",D1778)),ISNUMBER(SEARCH("去",D1778)),ISNUMBER(SEARCH("入",D1778)))),"Ambiguous",IF(ISNUMBER(SEARCH("平",D1778)),"平","仄")))</x:f>
        <x:v>仄</x:v>
      </x:c>
      <x:c r="J1787" s="7" t="str"/>
    </x:row>
    <x:row r="1788">
      <x:c r="A1788" s="5" t="str">
        <x:v>本</x:v>
      </x:c>
      <x:c r="B1788" s="6" t="str">
        <x:v>上</x:v>
      </x:c>
      <x:c r="C1788" s="6" t="str">
        <x:f>IF(B1788="","Needs decision","Ready")</x:f>
        <x:v>Ready</x:v>
      </x:c>
      <x:c r="D1788" s="6" t="str">
        <x:v>上</x:v>
      </x:c>
      <x:c r="E1788" s="6" t="str">
        <x:v>pwonX (B)</x:v>
      </x:c>
      <x:c r="F1788" s="6" t="str">
        <x:v>1</x:v>
      </x:c>
      <x:c r="G1788" s="6" t="str"/>
      <x:c r="H1788" s="6" t="str">
        <x:f>IF(B1788="平","平",IF(B1788="","","仄"))</x:f>
        <x:v>仄</x:v>
      </x:c>
      <x:c r="I1788" s="6" t="str">
        <x:f>IF(D1779="","",IF(AND(ISNUMBER(SEARCH("平",D1779)),OR(ISNUMBER(SEARCH("上",D1779)),ISNUMBER(SEARCH("去",D1779)),ISNUMBER(SEARCH("入",D1779)))),"Ambiguous",IF(ISNUMBER(SEARCH("平",D1779)),"平","仄")))</x:f>
        <x:v>仄</x:v>
      </x:c>
      <x:c r="J1788" s="7" t="str"/>
    </x:row>
    <x:row r="1789">
      <x:c r="A1789" s="5" t="str">
        <x:v>札</x:v>
      </x:c>
      <x:c r="B1789" s="6" t="str">
        <x:v>入</x:v>
      </x:c>
      <x:c r="C1789" s="6" t="str">
        <x:f>IF(B1789="","Needs decision","Ready")</x:f>
        <x:v>Ready</x:v>
      </x:c>
      <x:c r="D1789" s="6" t="str">
        <x:v>入</x:v>
      </x:c>
      <x:c r="E1789" s="6" t="str">
        <x:v>tsreat (D)</x:v>
      </x:c>
      <x:c r="F1789" s="6" t="str">
        <x:v>1</x:v>
      </x:c>
      <x:c r="G1789" s="6" t="str"/>
      <x:c r="H1789" s="6" t="str">
        <x:f>IF(B1789="平","平",IF(B1789="","","仄"))</x:f>
        <x:v>仄</x:v>
      </x:c>
      <x:c r="I1789" s="6" t="str">
        <x:f>IF(D1780="","",IF(AND(ISNUMBER(SEARCH("平",D1780)),OR(ISNUMBER(SEARCH("上",D1780)),ISNUMBER(SEARCH("去",D1780)),ISNUMBER(SEARCH("入",D1780)))),"Ambiguous",IF(ISNUMBER(SEARCH("平",D1780)),"平","仄")))</x:f>
        <x:v>平</x:v>
      </x:c>
      <x:c r="J1789" s="7" t="str"/>
    </x:row>
    <x:row r="1790">
      <x:c r="A1790" s="5" t="str">
        <x:v>朮</x:v>
      </x:c>
      <x:c r="B1790" s="6" t="str">
        <x:v>入</x:v>
      </x:c>
      <x:c r="C1790" s="6" t="str">
        <x:f>IF(B1790="","Needs decision","Ready")</x:f>
        <x:v>Ready</x:v>
      </x:c>
      <x:c r="D1790" s="6" t="str">
        <x:v>入</x:v>
      </x:c>
      <x:c r="E1790" s="6" t="str">
        <x:v>zywit (D)</x:v>
      </x:c>
      <x:c r="F1790" s="6" t="str">
        <x:v>1</x:v>
      </x:c>
      <x:c r="G1790" s="6" t="str"/>
      <x:c r="H1790" s="6" t="str">
        <x:f>IF(B1790="平","平",IF(B1790="","","仄"))</x:f>
        <x:v>仄</x:v>
      </x:c>
      <x:c r="I1790" s="6" t="str">
        <x:f>IF(D1781="","",IF(AND(ISNUMBER(SEARCH("平",D1781)),OR(ISNUMBER(SEARCH("上",D1781)),ISNUMBER(SEARCH("去",D1781)),ISNUMBER(SEARCH("入",D1781)))),"Ambiguous",IF(ISNUMBER(SEARCH("平",D1781)),"平","仄")))</x:f>
        <x:v>Ambiguous</x:v>
      </x:c>
      <x:c r="J1790" s="7" t="str"/>
    </x:row>
    <x:row r="1791">
      <x:c r="A1791" s="5" t="str">
        <x:v>朱</x:v>
      </x:c>
      <x:c r="B1791" s="6" t="str">
        <x:v>平</x:v>
      </x:c>
      <x:c r="C1791" s="6" t="str">
        <x:f>IF(B1791="","Needs decision","Ready")</x:f>
        <x:v>Ready</x:v>
      </x:c>
      <x:c r="D1791" s="6" t="str">
        <x:v>平</x:v>
      </x:c>
      <x:c r="E1791" s="6" t="str">
        <x:v>tsyu (A)</x:v>
      </x:c>
      <x:c r="F1791" s="6" t="str">
        <x:v>1</x:v>
      </x:c>
      <x:c r="G1791" s="6" t="str"/>
      <x:c r="H1791" s="6" t="str">
        <x:f>IF(B1791="平","平",IF(B1791="","","仄"))</x:f>
        <x:v>平</x:v>
      </x:c>
      <x:c r="I1791" s="6" t="str">
        <x:f>IF(D1782="","",IF(AND(ISNUMBER(SEARCH("平",D1782)),OR(ISNUMBER(SEARCH("上",D1782)),ISNUMBER(SEARCH("去",D1782)),ISNUMBER(SEARCH("入",D1782)))),"Ambiguous",IF(ISNUMBER(SEARCH("平",D1782)),"平","仄")))</x:f>
        <x:v>平</x:v>
      </x:c>
      <x:c r="J1791" s="7" t="str"/>
    </x:row>
    <x:row r="1792">
      <x:c r="A1792" s="5" t="str">
        <x:v>朵</x:v>
      </x:c>
      <x:c r="B1792" s="6" t="str">
        <x:v>上</x:v>
      </x:c>
      <x:c r="C1792" s="6" t="str">
        <x:f>IF(B1792="","Needs decision","Ready")</x:f>
        <x:v>Ready</x:v>
      </x:c>
      <x:c r="D1792" s="6" t="str">
        <x:v>上</x:v>
      </x:c>
      <x:c r="E1792" s="6" t="str">
        <x:v>twaX [t̙wɑʔ] (上)</x:v>
      </x:c>
      <x:c r="F1792" s="6" t="str">
        <x:v>1</x:v>
      </x:c>
      <x:c r="G1792" s="6" t="str">
        <x:v>Tang 300 gap; frequency 1; provisional from Xun Gong</x:v>
      </x:c>
      <x:c r="H1792" s="6" t="str">
        <x:f>IF(B1792="平","平",IF(B1792="","","仄"))</x:f>
        <x:v>仄</x:v>
      </x:c>
      <x:c r="I1792" s="6" t="str">
        <x:f>IF(D1783="","",IF(AND(ISNUMBER(SEARCH("平",D1783)),OR(ISNUMBER(SEARCH("上",D1783)),ISNUMBER(SEARCH("去",D1783)),ISNUMBER(SEARCH("入",D1783)))),"Ambiguous",IF(ISNUMBER(SEARCH("平",D1783)),"平","仄")))</x:f>
        <x:v>平</x:v>
      </x:c>
      <x:c r="J1792" s="7" t="str">
        <x:v>Xun Gong, Tang 300 gap fill</x:v>
      </x:c>
    </x:row>
    <x:row r="1793">
      <x:c r="A1793" s="5" t="str">
        <x:v>朸</x:v>
      </x:c>
      <x:c r="B1793" s="6" t="str">
        <x:v>入</x:v>
      </x:c>
      <x:c r="C1793" s="6" t="str">
        <x:f>IF(B1793="","Needs decision","Ready")</x:f>
        <x:v>Ready</x:v>
      </x:c>
      <x:c r="D1793" s="6" t="str">
        <x:v>入</x:v>
      </x:c>
      <x:c r="E1793" s="6" t="str">
        <x:v>kik (D)</x:v>
      </x:c>
      <x:c r="F1793" s="6" t="str">
        <x:v>1</x:v>
      </x:c>
      <x:c r="G1793" s="6" t="str"/>
      <x:c r="H1793" s="6" t="str">
        <x:f>IF(B1793="平","平",IF(B1793="","","仄"))</x:f>
        <x:v>仄</x:v>
      </x:c>
      <x:c r="I1793" s="6" t="str">
        <x:f>IF(D1784="","",IF(AND(ISNUMBER(SEARCH("平",D1784)),OR(ISNUMBER(SEARCH("上",D1784)),ISNUMBER(SEARCH("去",D1784)),ISNUMBER(SEARCH("入",D1784)))),"Ambiguous",IF(ISNUMBER(SEARCH("平",D1784)),"平","仄")))</x:f>
        <x:v>平</x:v>
      </x:c>
      <x:c r="J1793" s="7" t="str"/>
    </x:row>
    <x:row r="1794">
      <x:c r="A1794" s="5" t="str">
        <x:v>机</x:v>
      </x:c>
      <x:c r="B1794" s="6" t="str">
        <x:v>上</x:v>
      </x:c>
      <x:c r="C1794" s="6" t="str">
        <x:f>IF(B1794="","Needs decision","Ready")</x:f>
        <x:v>Ready</x:v>
      </x:c>
      <x:c r="D1794" s="6" t="str">
        <x:v>上</x:v>
      </x:c>
      <x:c r="E1794" s="6" t="str">
        <x:v>kijX (B)</x:v>
      </x:c>
      <x:c r="F1794" s="6" t="str">
        <x:v>1</x:v>
      </x:c>
      <x:c r="G1794" s="6" t="str"/>
      <x:c r="H1794" s="6" t="str">
        <x:f>IF(B1794="平","平",IF(B1794="","","仄"))</x:f>
        <x:v>仄</x:v>
      </x:c>
      <x:c r="I1794" s="6" t="str">
        <x:f>IF(D1785="","",IF(AND(ISNUMBER(SEARCH("平",D1785)),OR(ISNUMBER(SEARCH("上",D1785)),ISNUMBER(SEARCH("去",D1785)),ISNUMBER(SEARCH("入",D1785)))),"Ambiguous",IF(ISNUMBER(SEARCH("平",D1785)),"平","仄")))</x:f>
        <x:v>仄</x:v>
      </x:c>
      <x:c r="J1794" s="7" t="str"/>
    </x:row>
    <x:row r="1795">
      <x:c r="A1795" s="5" t="str">
        <x:v>朽</x:v>
      </x:c>
      <x:c r="B1795" s="6" t="str">
        <x:v>上</x:v>
      </x:c>
      <x:c r="C1795" s="6" t="str">
        <x:f>IF(B1795="","Needs decision","Ready")</x:f>
        <x:v>Ready</x:v>
      </x:c>
      <x:c r="D1795" s="6" t="str">
        <x:v>上</x:v>
      </x:c>
      <x:c r="E1795" s="6" t="str">
        <x:v>xjuwX (B)</x:v>
      </x:c>
      <x:c r="F1795" s="6" t="str">
        <x:v>1</x:v>
      </x:c>
      <x:c r="G1795" s="6" t="str"/>
      <x:c r="H1795" s="6" t="str">
        <x:f>IF(B1795="平","平",IF(B1795="","","仄"))</x:f>
        <x:v>仄</x:v>
      </x:c>
      <x:c r="I1795" s="6" t="str">
        <x:f>IF(D1786="","",IF(AND(ISNUMBER(SEARCH("平",D1786)),OR(ISNUMBER(SEARCH("上",D1786)),ISNUMBER(SEARCH("去",D1786)),ISNUMBER(SEARCH("入",D1786)))),"Ambiguous",IF(ISNUMBER(SEARCH("平",D1786)),"平","仄")))</x:f>
        <x:v>仄</x:v>
      </x:c>
      <x:c r="J1795" s="7" t="str"/>
    </x:row>
    <x:row r="1796">
      <x:c r="A1796" s="5" t="str">
        <x:v>朿</x:v>
      </x:c>
      <x:c r="B1796" s="6" t="str">
        <x:v>去</x:v>
      </x:c>
      <x:c r="C1796" s="6" t="str">
        <x:f>IF(B1796="","Needs decision","Ready")</x:f>
        <x:v>Ready</x:v>
      </x:c>
      <x:c r="D1796" s="6" t="str">
        <x:v>去</x:v>
      </x:c>
      <x:c r="E1796" s="6" t="str">
        <x:v>tshjeH (C)</x:v>
      </x:c>
      <x:c r="F1796" s="6" t="str">
        <x:v>1</x:v>
      </x:c>
      <x:c r="G1796" s="6" t="str"/>
      <x:c r="H1796" s="6" t="str">
        <x:f>IF(B1796="平","平",IF(B1796="","","仄"))</x:f>
        <x:v>仄</x:v>
      </x:c>
      <x:c r="I1796" s="6" t="str">
        <x:f>IF(D1787="","",IF(AND(ISNUMBER(SEARCH("平",D1787)),OR(ISNUMBER(SEARCH("上",D1787)),ISNUMBER(SEARCH("去",D1787)),ISNUMBER(SEARCH("入",D1787)))),"Ambiguous",IF(ISNUMBER(SEARCH("平",D1787)),"平","仄")))</x:f>
        <x:v>仄</x:v>
      </x:c>
      <x:c r="J1796" s="7" t="str"/>
    </x:row>
    <x:row r="1797">
      <x:c r="A1797" s="5" t="str">
        <x:v>杉</x:v>
      </x:c>
      <x:c r="B1797" s="6" t="str">
        <x:v>平</x:v>
      </x:c>
      <x:c r="C1797" s="6" t="str">
        <x:f>IF(B1797="","Needs decision","Ready")</x:f>
        <x:v>Ready</x:v>
      </x:c>
      <x:c r="D1797" s="6" t="str">
        <x:v>平</x:v>
      </x:c>
      <x:c r="E1797" s="6" t="str">
        <x:v>sream [ʂeˤm] (平)</x:v>
      </x:c>
      <x:c r="F1797" s="6" t="str">
        <x:v>1</x:v>
      </x:c>
      <x:c r="G1797" s="6" t="str">
        <x:v>Tang 300 gap; frequency 1; provisional from Xun Gong</x:v>
      </x:c>
      <x:c r="H1797" s="6" t="str">
        <x:f>IF(B1797="平","平",IF(B1797="","","仄"))</x:f>
        <x:v>平</x:v>
      </x:c>
      <x:c r="I1797" s="6" t="str">
        <x:f>IF(D1788="","",IF(AND(ISNUMBER(SEARCH("平",D1788)),OR(ISNUMBER(SEARCH("上",D1788)),ISNUMBER(SEARCH("去",D1788)),ISNUMBER(SEARCH("入",D1788)))),"Ambiguous",IF(ISNUMBER(SEARCH("平",D1788)),"平","仄")))</x:f>
        <x:v>仄</x:v>
      </x:c>
      <x:c r="J1797" s="7" t="str">
        <x:v>Xun Gong, Tang 300 gap fill</x:v>
      </x:c>
    </x:row>
    <x:row r="1798">
      <x:c r="A1798" s="5" t="str">
        <x:v>李</x:v>
      </x:c>
      <x:c r="B1798" s="6" t="str">
        <x:v>上</x:v>
      </x:c>
      <x:c r="C1798" s="6" t="str">
        <x:f>IF(B1798="","Needs decision","Ready")</x:f>
        <x:v>Ready</x:v>
      </x:c>
      <x:c r="D1798" s="6" t="str">
        <x:v>上</x:v>
      </x:c>
      <x:c r="E1798" s="6" t="str">
        <x:v>liX (B)</x:v>
      </x:c>
      <x:c r="F1798" s="6" t="str">
        <x:v>1</x:v>
      </x:c>
      <x:c r="G1798" s="6" t="str"/>
      <x:c r="H1798" s="6" t="str">
        <x:f>IF(B1798="平","平",IF(B1798="","","仄"))</x:f>
        <x:v>仄</x:v>
      </x:c>
      <x:c r="I1798" s="6" t="str">
        <x:f>IF(D1789="","",IF(AND(ISNUMBER(SEARCH("平",D1789)),OR(ISNUMBER(SEARCH("上",D1789)),ISNUMBER(SEARCH("去",D1789)),ISNUMBER(SEARCH("入",D1789)))),"Ambiguous",IF(ISNUMBER(SEARCH("平",D1789)),"平","仄")))</x:f>
        <x:v>仄</x:v>
      </x:c>
      <x:c r="J1798" s="7" t="str"/>
    </x:row>
    <x:row r="1799">
      <x:c r="A1799" s="5" t="str">
        <x:v>杏</x:v>
      </x:c>
      <x:c r="B1799" s="6" t="str">
        <x:v>上</x:v>
      </x:c>
      <x:c r="C1799" s="6" t="str">
        <x:f>IF(B1799="","Needs decision","Ready")</x:f>
        <x:v>Ready</x:v>
      </x:c>
      <x:c r="D1799" s="6" t="str">
        <x:v>上</x:v>
      </x:c>
      <x:c r="E1799" s="6" t="str">
        <x:v>haengX (B)</x:v>
      </x:c>
      <x:c r="F1799" s="6" t="str">
        <x:v>1</x:v>
      </x:c>
      <x:c r="G1799" s="6" t="str"/>
      <x:c r="H1799" s="6" t="str">
        <x:f>IF(B1799="平","平",IF(B1799="","","仄"))</x:f>
        <x:v>仄</x:v>
      </x:c>
      <x:c r="I1799" s="6" t="str">
        <x:f>IF(D1790="","",IF(AND(ISNUMBER(SEARCH("平",D1790)),OR(ISNUMBER(SEARCH("上",D1790)),ISNUMBER(SEARCH("去",D1790)),ISNUMBER(SEARCH("入",D1790)))),"Ambiguous",IF(ISNUMBER(SEARCH("平",D1790)),"平","仄")))</x:f>
        <x:v>仄</x:v>
      </x:c>
      <x:c r="J1799" s="7" t="str"/>
    </x:row>
    <x:row r="1800">
      <x:c r="A1800" s="5" t="str">
        <x:v>材</x:v>
      </x:c>
      <x:c r="B1800" s="6" t="str">
        <x:v>平</x:v>
      </x:c>
      <x:c r="C1800" s="6" t="str">
        <x:f>IF(B1800="","Needs decision","Ready")</x:f>
        <x:v>Ready</x:v>
      </x:c>
      <x:c r="D1800" s="6" t="str">
        <x:v>平</x:v>
      </x:c>
      <x:c r="E1800" s="6" t="str">
        <x:v>dzoj (A)</x:v>
      </x:c>
      <x:c r="F1800" s="6" t="str">
        <x:v>1</x:v>
      </x:c>
      <x:c r="G1800" s="6" t="str"/>
      <x:c r="H1800" s="6" t="str">
        <x:f>IF(B1800="平","平",IF(B1800="","","仄"))</x:f>
        <x:v>平</x:v>
      </x:c>
      <x:c r="I1800" s="6" t="str">
        <x:f>IF(D1791="","",IF(AND(ISNUMBER(SEARCH("平",D1791)),OR(ISNUMBER(SEARCH("上",D1791)),ISNUMBER(SEARCH("去",D1791)),ISNUMBER(SEARCH("入",D1791)))),"Ambiguous",IF(ISNUMBER(SEARCH("平",D1791)),"平","仄")))</x:f>
        <x:v>平</x:v>
      </x:c>
      <x:c r="J1800" s="7" t="str"/>
    </x:row>
    <x:row r="1801">
      <x:c r="A1801" s="5" t="str">
        <x:v>村</x:v>
      </x:c>
      <x:c r="B1801" s="6" t="str">
        <x:v>平</x:v>
      </x:c>
      <x:c r="C1801" s="6" t="str">
        <x:f>IF(B1801="","Needs decision","Ready")</x:f>
        <x:v>Ready</x:v>
      </x:c>
      <x:c r="D1801" s="6" t="str">
        <x:v>平</x:v>
      </x:c>
      <x:c r="E1801" s="6" t="str"/>
      <x:c r="F1801" s="6" t="str"/>
      <x:c r="G1801" s="6" t="str">
        <x:v>Manual user correction/addition</x:v>
      </x:c>
      <x:c r="H1801" s="6" t="str">
        <x:f>IF(B1801="平","平",IF(B1801="","","仄"))</x:f>
        <x:v>平</x:v>
      </x:c>
      <x:c r="I1801" s="6" t="str">
        <x:f>IF(D1792="","",IF(AND(ISNUMBER(SEARCH("平",D1792)),OR(ISNUMBER(SEARCH("上",D1792)),ISNUMBER(SEARCH("去",D1792)),ISNUMBER(SEARCH("入",D1792)))),"Ambiguous",IF(ISNUMBER(SEARCH("平",D1792)),"平","仄")))</x:f>
        <x:v>仄</x:v>
      </x:c>
      <x:c r="J1801" s="7" t="str">
        <x:v>manual user correction</x:v>
      </x:c>
    </x:row>
    <x:row r="1802">
      <x:c r="A1802" s="5" t="str">
        <x:v>杓</x:v>
      </x:c>
      <x:c r="B1802" s="6" t="str">
        <x:v>入</x:v>
      </x:c>
      <x:c r="C1802" s="6" t="str">
        <x:f>IF(B1802="","Needs decision","Ready")</x:f>
        <x:v>Ready</x:v>
      </x:c>
      <x:c r="D1802" s="6" t="str">
        <x:v>入</x:v>
      </x:c>
      <x:c r="E1802" s="6" t="str">
        <x:v>dzyak (D)</x:v>
      </x:c>
      <x:c r="F1802" s="6" t="str">
        <x:v>1</x:v>
      </x:c>
      <x:c r="G1802" s="6" t="str"/>
      <x:c r="H1802" s="6" t="str">
        <x:f>IF(B1802="平","平",IF(B1802="","","仄"))</x:f>
        <x:v>仄</x:v>
      </x:c>
      <x:c r="I1802" s="6" t="str">
        <x:f>IF(D1793="","",IF(AND(ISNUMBER(SEARCH("平",D1793)),OR(ISNUMBER(SEARCH("上",D1793)),ISNUMBER(SEARCH("去",D1793)),ISNUMBER(SEARCH("入",D1793)))),"Ambiguous",IF(ISNUMBER(SEARCH("平",D1793)),"平","仄")))</x:f>
        <x:v>仄</x:v>
      </x:c>
      <x:c r="J1802" s="7" t="str"/>
    </x:row>
    <x:row r="1803">
      <x:c r="A1803" s="5" t="str">
        <x:v>杕</x:v>
      </x:c>
      <x:c r="B1803" s="6" t="str">
        <x:v>去</x:v>
      </x:c>
      <x:c r="C1803" s="6" t="str">
        <x:f>IF(B1803="","Needs decision","Ready")</x:f>
        <x:v>Ready</x:v>
      </x:c>
      <x:c r="D1803" s="6" t="str">
        <x:v>去</x:v>
      </x:c>
      <x:c r="E1803" s="6" t="str">
        <x:v>dejH (C)</x:v>
      </x:c>
      <x:c r="F1803" s="6" t="str">
        <x:v>1</x:v>
      </x:c>
      <x:c r="G1803" s="6" t="str"/>
      <x:c r="H1803" s="6" t="str">
        <x:f>IF(B1803="平","平",IF(B1803="","","仄"))</x:f>
        <x:v>仄</x:v>
      </x:c>
      <x:c r="I1803" s="6" t="str">
        <x:f>IF(D1794="","",IF(AND(ISNUMBER(SEARCH("平",D1794)),OR(ISNUMBER(SEARCH("上",D1794)),ISNUMBER(SEARCH("去",D1794)),ISNUMBER(SEARCH("入",D1794)))),"Ambiguous",IF(ISNUMBER(SEARCH("平",D1794)),"平","仄")))</x:f>
        <x:v>仄</x:v>
      </x:c>
      <x:c r="J1803" s="7" t="str"/>
    </x:row>
    <x:row r="1804">
      <x:c r="A1804" s="5" t="str">
        <x:v>杖</x:v>
      </x:c>
      <x:c r="B1804" s="6" t="str">
        <x:v>上</x:v>
      </x:c>
      <x:c r="C1804" s="6" t="str">
        <x:f>IF(B1804="","Needs decision","Ready")</x:f>
        <x:v>Ready</x:v>
      </x:c>
      <x:c r="D1804" s="6" t="str">
        <x:v>上</x:v>
      </x:c>
      <x:c r="E1804" s="6" t="str">
        <x:v>drjangX [ɖjɑŋʔ] (上)</x:v>
      </x:c>
      <x:c r="F1804" s="6" t="str">
        <x:v>1</x:v>
      </x:c>
      <x:c r="G1804" s="6" t="str">
        <x:v>Tang 300 gap; frequency 3; provisional from Xun Gong</x:v>
      </x:c>
      <x:c r="H1804" s="6" t="str">
        <x:f>IF(B1804="平","平",IF(B1804="","","仄"))</x:f>
        <x:v>仄</x:v>
      </x:c>
      <x:c r="I1804" s="6" t="str">
        <x:f>IF(D1795="","",IF(AND(ISNUMBER(SEARCH("平",D1795)),OR(ISNUMBER(SEARCH("上",D1795)),ISNUMBER(SEARCH("去",D1795)),ISNUMBER(SEARCH("入",D1795)))),"Ambiguous",IF(ISNUMBER(SEARCH("平",D1795)),"平","仄")))</x:f>
        <x:v>仄</x:v>
      </x:c>
      <x:c r="J1804" s="7" t="str">
        <x:v>Xun Gong, Tang 300 gap fill</x:v>
      </x:c>
    </x:row>
    <x:row r="1805">
      <x:c r="A1805" s="5" t="str">
        <x:v>杜</x:v>
      </x:c>
      <x:c r="B1805" s="6" t="str">
        <x:v>上</x:v>
      </x:c>
      <x:c r="C1805" s="6" t="str">
        <x:f>IF(B1805="","Needs decision","Ready")</x:f>
        <x:v>Ready</x:v>
      </x:c>
      <x:c r="D1805" s="6" t="str">
        <x:v>上</x:v>
      </x:c>
      <x:c r="E1805" s="6" t="str"/>
      <x:c r="F1805" s="6" t="str"/>
      <x:c r="G1805" s="6" t="str">
        <x:v>Manual user correction/addition</x:v>
      </x:c>
      <x:c r="H1805" s="6" t="str">
        <x:f>IF(B1805="平","平",IF(B1805="","","仄"))</x:f>
        <x:v>仄</x:v>
      </x:c>
      <x:c r="I1805" s="6" t="str">
        <x:f>IF(D1796="","",IF(AND(ISNUMBER(SEARCH("平",D1796)),OR(ISNUMBER(SEARCH("上",D1796)),ISNUMBER(SEARCH("去",D1796)),ISNUMBER(SEARCH("入",D1796)))),"Ambiguous",IF(ISNUMBER(SEARCH("平",D1796)),"平","仄")))</x:f>
        <x:v>仄</x:v>
      </x:c>
      <x:c r="J1805" s="7" t="str">
        <x:v>manual user correction</x:v>
      </x:c>
    </x:row>
    <x:row r="1806">
      <x:c r="A1806" s="5" t="str">
        <x:v>杞</x:v>
      </x:c>
      <x:c r="B1806" s="6" t="str">
        <x:v>上</x:v>
      </x:c>
      <x:c r="C1806" s="6" t="str">
        <x:f>IF(B1806="","Needs decision","Ready")</x:f>
        <x:v>Ready</x:v>
      </x:c>
      <x:c r="D1806" s="6" t="str">
        <x:v>上</x:v>
      </x:c>
      <x:c r="E1806" s="6" t="str">
        <x:v>khiX [kʰɨʔ] (上)</x:v>
      </x:c>
      <x:c r="F1806" s="6" t="str">
        <x:v>1</x:v>
      </x:c>
      <x:c r="G1806" s="6" t="str">
        <x:v>Tang 300 gap; frequency 1; provisional from Xun Gong</x:v>
      </x:c>
      <x:c r="H1806" s="6" t="str">
        <x:f>IF(B1806="平","平",IF(B1806="","","仄"))</x:f>
        <x:v>仄</x:v>
      </x:c>
      <x:c r="I1806" s="6" t="str">
        <x:f>IF(D1797="","",IF(AND(ISNUMBER(SEARCH("平",D1797)),OR(ISNUMBER(SEARCH("上",D1797)),ISNUMBER(SEARCH("去",D1797)),ISNUMBER(SEARCH("入",D1797)))),"Ambiguous",IF(ISNUMBER(SEARCH("平",D1797)),"平","仄")))</x:f>
        <x:v>平</x:v>
      </x:c>
      <x:c r="J1806" s="7" t="str">
        <x:v>Xun Gong, Tang 300 gap fill</x:v>
      </x:c>
    </x:row>
    <x:row r="1807">
      <x:c r="A1807" s="5" t="str">
        <x:v>束</x:v>
      </x:c>
      <x:c r="B1807" s="6" t="str">
        <x:v>入</x:v>
      </x:c>
      <x:c r="C1807" s="6" t="str">
        <x:f>IF(B1807="","Needs decision","Ready")</x:f>
        <x:v>Ready</x:v>
      </x:c>
      <x:c r="D1807" s="6" t="str">
        <x:v>入</x:v>
      </x:c>
      <x:c r="E1807" s="6" t="str">
        <x:v>syowk (D)</x:v>
      </x:c>
      <x:c r="F1807" s="6" t="str">
        <x:v>1</x:v>
      </x:c>
      <x:c r="G1807" s="6" t="str"/>
      <x:c r="H1807" s="6" t="str">
        <x:f>IF(B1807="平","平",IF(B1807="","","仄"))</x:f>
        <x:v>仄</x:v>
      </x:c>
      <x:c r="I1807" s="6" t="str">
        <x:f>IF(D1798="","",IF(AND(ISNUMBER(SEARCH("平",D1798)),OR(ISNUMBER(SEARCH("上",D1798)),ISNUMBER(SEARCH("去",D1798)),ISNUMBER(SEARCH("入",D1798)))),"Ambiguous",IF(ISNUMBER(SEARCH("平",D1798)),"平","仄")))</x:f>
        <x:v>仄</x:v>
      </x:c>
      <x:c r="J1807" s="7" t="str"/>
    </x:row>
    <x:row r="1808">
      <x:c r="A1808" s="5" t="str">
        <x:v>杪</x:v>
      </x:c>
      <x:c r="B1808" s="6" t="str">
        <x:v>上</x:v>
      </x:c>
      <x:c r="C1808" s="6" t="str">
        <x:f>IF(B1808="","Needs decision","Ready")</x:f>
        <x:v>Ready</x:v>
      </x:c>
      <x:c r="D1808" s="6" t="str">
        <x:v>上</x:v>
      </x:c>
      <x:c r="E1808" s="6" t="str">
        <x:v>mjiewX (B)</x:v>
      </x:c>
      <x:c r="F1808" s="6" t="str">
        <x:v>1</x:v>
      </x:c>
      <x:c r="G1808" s="6" t="str"/>
      <x:c r="H1808" s="6" t="str">
        <x:f>IF(B1808="平","平",IF(B1808="","","仄"))</x:f>
        <x:v>仄</x:v>
      </x:c>
      <x:c r="I1808" s="6" t="str">
        <x:f>IF(D1799="","",IF(AND(ISNUMBER(SEARCH("平",D1799)),OR(ISNUMBER(SEARCH("上",D1799)),ISNUMBER(SEARCH("去",D1799)),ISNUMBER(SEARCH("入",D1799)))),"Ambiguous",IF(ISNUMBER(SEARCH("平",D1799)),"平","仄")))</x:f>
        <x:v>仄</x:v>
      </x:c>
      <x:c r="J1808" s="7" t="str"/>
    </x:row>
    <x:row r="1809">
      <x:c r="A1809" s="5" t="str">
        <x:v>杭</x:v>
      </x:c>
      <x:c r="B1809" s="6" t="str">
        <x:v>平</x:v>
      </x:c>
      <x:c r="C1809" s="6" t="str">
        <x:f>IF(B1809="","Needs decision","Ready")</x:f>
        <x:v>Ready</x:v>
      </x:c>
      <x:c r="D1809" s="6" t="str">
        <x:v>平</x:v>
      </x:c>
      <x:c r="E1809" s="6" t="str">
        <x:v>hang (A)</x:v>
      </x:c>
      <x:c r="F1809" s="6" t="str">
        <x:v>1</x:v>
      </x:c>
      <x:c r="G1809" s="6" t="str"/>
      <x:c r="H1809" s="6" t="str">
        <x:f>IF(B1809="平","平",IF(B1809="","","仄"))</x:f>
        <x:v>平</x:v>
      </x:c>
      <x:c r="I1809" s="6" t="str">
        <x:f>IF(D1800="","",IF(AND(ISNUMBER(SEARCH("平",D1800)),OR(ISNUMBER(SEARCH("上",D1800)),ISNUMBER(SEARCH("去",D1800)),ISNUMBER(SEARCH("入",D1800)))),"Ambiguous",IF(ISNUMBER(SEARCH("平",D1800)),"平","仄")))</x:f>
        <x:v>平</x:v>
      </x:c>
      <x:c r="J1809" s="7" t="str"/>
    </x:row>
    <x:row r="1810">
      <x:c r="A1810" s="5" t="str">
        <x:v>杯</x:v>
      </x:c>
      <x:c r="B1810" s="6" t="str">
        <x:v>平</x:v>
      </x:c>
      <x:c r="C1810" s="6" t="str">
        <x:f>IF(B1810="","Needs decision","Ready")</x:f>
        <x:v>Ready</x:v>
      </x:c>
      <x:c r="D1810" s="6" t="str">
        <x:v>平</x:v>
      </x:c>
      <x:c r="E1810" s="6" t="str">
        <x:v>pwoj (A)</x:v>
      </x:c>
      <x:c r="F1810" s="6" t="str">
        <x:v>1</x:v>
      </x:c>
      <x:c r="G1810" s="6" t="str"/>
      <x:c r="H1810" s="6" t="str">
        <x:f>IF(B1810="平","平",IF(B1810="","","仄"))</x:f>
        <x:v>平</x:v>
      </x:c>
      <x:c r="I1810" s="6" t="str">
        <x:f>IF(D1801="","",IF(AND(ISNUMBER(SEARCH("平",D1801)),OR(ISNUMBER(SEARCH("上",D1801)),ISNUMBER(SEARCH("去",D1801)),ISNUMBER(SEARCH("入",D1801)))),"Ambiguous",IF(ISNUMBER(SEARCH("平",D1801)),"平","仄")))</x:f>
        <x:v>平</x:v>
      </x:c>
      <x:c r="J1810" s="7" t="str"/>
    </x:row>
    <x:row r="1811">
      <x:c r="A1811" s="5" t="str">
        <x:v>東</x:v>
      </x:c>
      <x:c r="B1811" s="6" t="str">
        <x:v>平</x:v>
      </x:c>
      <x:c r="C1811" s="6" t="str">
        <x:f>IF(B1811="","Needs decision","Ready")</x:f>
        <x:v>Ready</x:v>
      </x:c>
      <x:c r="D1811" s="6" t="str">
        <x:v>平</x:v>
      </x:c>
      <x:c r="E1811" s="6" t="str">
        <x:v>tuwng (A)</x:v>
      </x:c>
      <x:c r="F1811" s="6" t="str">
        <x:v>1</x:v>
      </x:c>
      <x:c r="G1811" s="6" t="str"/>
      <x:c r="H1811" s="6" t="str">
        <x:f>IF(B1811="平","平",IF(B1811="","","仄"))</x:f>
        <x:v>平</x:v>
      </x:c>
      <x:c r="I1811" s="6" t="str">
        <x:f>IF(D1802="","",IF(AND(ISNUMBER(SEARCH("平",D1802)),OR(ISNUMBER(SEARCH("上",D1802)),ISNUMBER(SEARCH("去",D1802)),ISNUMBER(SEARCH("入",D1802)))),"Ambiguous",IF(ISNUMBER(SEARCH("平",D1802)),"平","仄")))</x:f>
        <x:v>仄</x:v>
      </x:c>
      <x:c r="J1811" s="7" t="str"/>
    </x:row>
    <x:row r="1812">
      <x:c r="A1812" s="5" t="str">
        <x:v>杲</x:v>
      </x:c>
      <x:c r="B1812" s="6" t="str">
        <x:v>上</x:v>
      </x:c>
      <x:c r="C1812" s="6" t="str">
        <x:f>IF(B1812="","Needs decision","Ready")</x:f>
        <x:v>Ready</x:v>
      </x:c>
      <x:c r="D1812" s="6" t="str">
        <x:v>上</x:v>
      </x:c>
      <x:c r="E1812" s="6" t="str">
        <x:v>kawX [qəwʔ] (上)</x:v>
      </x:c>
      <x:c r="F1812" s="6" t="str">
        <x:v>1</x:v>
      </x:c>
      <x:c r="G1812" s="6" t="str">
        <x:v>Tang 300 gap; frequency 2; provisional from Xun Gong</x:v>
      </x:c>
      <x:c r="H1812" s="6" t="str">
        <x:f>IF(B1812="平","平",IF(B1812="","","仄"))</x:f>
        <x:v>仄</x:v>
      </x:c>
      <x:c r="I1812" s="6" t="str">
        <x:f>IF(D1803="","",IF(AND(ISNUMBER(SEARCH("平",D1803)),OR(ISNUMBER(SEARCH("上",D1803)),ISNUMBER(SEARCH("去",D1803)),ISNUMBER(SEARCH("入",D1803)))),"Ambiguous",IF(ISNUMBER(SEARCH("平",D1803)),"平","仄")))</x:f>
        <x:v>仄</x:v>
      </x:c>
      <x:c r="J1812" s="7" t="str">
        <x:v>Xun Gong, Tang 300 gap fill</x:v>
      </x:c>
    </x:row>
    <x:row r="1813">
      <x:c r="A1813" s="5" t="str">
        <x:v>杳</x:v>
      </x:c>
      <x:c r="B1813" s="6" t="str">
        <x:v>上</x:v>
      </x:c>
      <x:c r="C1813" s="6" t="str">
        <x:f>IF(B1813="","Needs decision","Ready")</x:f>
        <x:v>Ready</x:v>
      </x:c>
      <x:c r="D1813" s="6" t="str">
        <x:v>上</x:v>
      </x:c>
      <x:c r="E1813" s="6" t="str">
        <x:v>'ewX [ʔ̙ewʔ] (上)</x:v>
      </x:c>
      <x:c r="F1813" s="6" t="str">
        <x:v>1</x:v>
      </x:c>
      <x:c r="G1813" s="6" t="str">
        <x:v>Tang 300 gap; frequency 2; provisional from Xun Gong</x:v>
      </x:c>
      <x:c r="H1813" s="6" t="str">
        <x:f>IF(B1813="平","平",IF(B1813="","","仄"))</x:f>
        <x:v>仄</x:v>
      </x:c>
      <x:c r="I1813" s="6" t="str">
        <x:f>IF(D1804="","",IF(AND(ISNUMBER(SEARCH("平",D1804)),OR(ISNUMBER(SEARCH("上",D1804)),ISNUMBER(SEARCH("去",D1804)),ISNUMBER(SEARCH("入",D1804)))),"Ambiguous",IF(ISNUMBER(SEARCH("平",D1804)),"平","仄")))</x:f>
        <x:v>仄</x:v>
      </x:c>
      <x:c r="J1813" s="7" t="str">
        <x:v>Xun Gong, Tang 300 gap fill</x:v>
      </x:c>
    </x:row>
    <x:row r="1814">
      <x:c r="A1814" s="5" t="str">
        <x:v>杵</x:v>
      </x:c>
      <x:c r="B1814" s="6" t="str">
        <x:v>上</x:v>
      </x:c>
      <x:c r="C1814" s="6" t="str">
        <x:f>IF(B1814="","Needs decision","Ready")</x:f>
        <x:v>Ready</x:v>
      </x:c>
      <x:c r="D1814" s="6" t="str">
        <x:v>上</x:v>
      </x:c>
      <x:c r="E1814" s="6" t="str">
        <x:v>tsyhoX (B)</x:v>
      </x:c>
      <x:c r="F1814" s="6" t="str">
        <x:v>1</x:v>
      </x:c>
      <x:c r="G1814" s="6" t="str"/>
      <x:c r="H1814" s="6" t="str">
        <x:f>IF(B1814="平","平",IF(B1814="","","仄"))</x:f>
        <x:v>仄</x:v>
      </x:c>
      <x:c r="I1814" s="6" t="str">
        <x:f>IF(D1805="","",IF(AND(ISNUMBER(SEARCH("平",D1805)),OR(ISNUMBER(SEARCH("上",D1805)),ISNUMBER(SEARCH("去",D1805)),ISNUMBER(SEARCH("入",D1805)))),"Ambiguous",IF(ISNUMBER(SEARCH("平",D1805)),"平","仄")))</x:f>
        <x:v>仄</x:v>
      </x:c>
      <x:c r="J1814" s="7" t="str"/>
    </x:row>
    <x:row r="1815">
      <x:c r="A1815" s="5" t="str">
        <x:v>杻</x:v>
      </x:c>
      <x:c r="B1815" s="6" t="str">
        <x:v>上</x:v>
      </x:c>
      <x:c r="C1815" s="6" t="str">
        <x:f>IF(B1815="","Needs decision","Ready")</x:f>
        <x:v>Ready</x:v>
      </x:c>
      <x:c r="D1815" s="6" t="str">
        <x:v>上</x:v>
      </x:c>
      <x:c r="E1815" s="6" t="str">
        <x:v>trhjuwX (B)</x:v>
      </x:c>
      <x:c r="F1815" s="6" t="str">
        <x:v>1</x:v>
      </x:c>
      <x:c r="G1815" s="6" t="str"/>
      <x:c r="H1815" s="6" t="str">
        <x:f>IF(B1815="平","平",IF(B1815="","","仄"))</x:f>
        <x:v>仄</x:v>
      </x:c>
      <x:c r="I1815" s="6" t="str">
        <x:f>IF(D1806="","",IF(AND(ISNUMBER(SEARCH("平",D1806)),OR(ISNUMBER(SEARCH("上",D1806)),ISNUMBER(SEARCH("去",D1806)),ISNUMBER(SEARCH("入",D1806)))),"Ambiguous",IF(ISNUMBER(SEARCH("平",D1806)),"平","仄")))</x:f>
        <x:v>仄</x:v>
      </x:c>
      <x:c r="J1815" s="7" t="str"/>
    </x:row>
    <x:row r="1816">
      <x:c r="A1816" s="5" t="str">
        <x:v>杽</x:v>
      </x:c>
      <x:c r="B1816" s="6" t="str">
        <x:v>上</x:v>
      </x:c>
      <x:c r="C1816" s="6" t="str">
        <x:f>IF(B1816="","Needs decision","Ready")</x:f>
        <x:v>Ready</x:v>
      </x:c>
      <x:c r="D1816" s="6" t="str">
        <x:v>上</x:v>
      </x:c>
      <x:c r="E1816" s="6" t="str">
        <x:v>trhjuwX (B)</x:v>
      </x:c>
      <x:c r="F1816" s="6" t="str">
        <x:v>1</x:v>
      </x:c>
      <x:c r="G1816" s="6" t="str"/>
      <x:c r="H1816" s="6" t="str">
        <x:f>IF(B1816="平","平",IF(B1816="","","仄"))</x:f>
        <x:v>仄</x:v>
      </x:c>
      <x:c r="I1816" s="6" t="str">
        <x:f>IF(D1807="","",IF(AND(ISNUMBER(SEARCH("平",D1807)),OR(ISNUMBER(SEARCH("上",D1807)),ISNUMBER(SEARCH("去",D1807)),ISNUMBER(SEARCH("入",D1807)))),"Ambiguous",IF(ISNUMBER(SEARCH("平",D1807)),"平","仄")))</x:f>
        <x:v>仄</x:v>
      </x:c>
      <x:c r="J1816" s="7" t="str"/>
    </x:row>
    <x:row r="1817">
      <x:c r="A1817" s="5" t="str">
        <x:v>松</x:v>
      </x:c>
      <x:c r="B1817" s="6" t="str">
        <x:v>平</x:v>
      </x:c>
      <x:c r="C1817" s="6" t="str">
        <x:f>IF(B1817="","Needs decision","Ready")</x:f>
        <x:v>Ready</x:v>
      </x:c>
      <x:c r="D1817" s="6" t="str">
        <x:v>平</x:v>
      </x:c>
      <x:c r="E1817" s="6" t="str">
        <x:v>zjowng (A)</x:v>
      </x:c>
      <x:c r="F1817" s="6" t="str">
        <x:v>1</x:v>
      </x:c>
      <x:c r="G1817" s="6" t="str"/>
      <x:c r="H1817" s="6" t="str">
        <x:f>IF(B1817="平","平",IF(B1817="","","仄"))</x:f>
        <x:v>平</x:v>
      </x:c>
      <x:c r="I1817" s="6" t="str">
        <x:f>IF(D1808="","",IF(AND(ISNUMBER(SEARCH("平",D1808)),OR(ISNUMBER(SEARCH("上",D1808)),ISNUMBER(SEARCH("去",D1808)),ISNUMBER(SEARCH("入",D1808)))),"Ambiguous",IF(ISNUMBER(SEARCH("平",D1808)),"平","仄")))</x:f>
        <x:v>仄</x:v>
      </x:c>
      <x:c r="J1817" s="7" t="str"/>
    </x:row>
    <x:row r="1818">
      <x:c r="A1818" s="5" t="str">
        <x:v>板</x:v>
      </x:c>
      <x:c r="B1818" s="6" t="str">
        <x:v>上</x:v>
      </x:c>
      <x:c r="C1818" s="6" t="str">
        <x:f>IF(B1818="","Needs decision","Ready")</x:f>
        <x:v>Ready</x:v>
      </x:c>
      <x:c r="D1818" s="6" t="str">
        <x:v>上</x:v>
      </x:c>
      <x:c r="E1818" s="6" t="str">
        <x:v>paenX (B)</x:v>
      </x:c>
      <x:c r="F1818" s="6" t="str">
        <x:v>1</x:v>
      </x:c>
      <x:c r="G1818" s="6" t="str"/>
      <x:c r="H1818" s="6" t="str">
        <x:f>IF(B1818="平","平",IF(B1818="","","仄"))</x:f>
        <x:v>仄</x:v>
      </x:c>
      <x:c r="I1818" s="6" t="str">
        <x:f>IF(D1809="","",IF(AND(ISNUMBER(SEARCH("平",D1809)),OR(ISNUMBER(SEARCH("上",D1809)),ISNUMBER(SEARCH("去",D1809)),ISNUMBER(SEARCH("入",D1809)))),"Ambiguous",IF(ISNUMBER(SEARCH("平",D1809)),"平","仄")))</x:f>
        <x:v>平</x:v>
      </x:c>
      <x:c r="J1818" s="7" t="str"/>
    </x:row>
    <x:row r="1819">
      <x:c r="A1819" s="5" t="str">
        <x:v>枅</x:v>
      </x:c>
      <x:c r="B1819" s="6" t="str">
        <x:v>平</x:v>
      </x:c>
      <x:c r="C1819" s="6" t="str">
        <x:f>IF(B1819="","Needs decision","Ready")</x:f>
        <x:v>Ready</x:v>
      </x:c>
      <x:c r="D1819" s="6" t="str">
        <x:v>平</x:v>
      </x:c>
      <x:c r="E1819" s="6" t="str">
        <x:v>kej (A); ken (A)</x:v>
      </x:c>
      <x:c r="F1819" s="6" t="str">
        <x:v>2</x:v>
      </x:c>
      <x:c r="G1819" s="6" t="str"/>
      <x:c r="H1819" s="6" t="str">
        <x:f>IF(B1819="平","平",IF(B1819="","","仄"))</x:f>
        <x:v>平</x:v>
      </x:c>
      <x:c r="I1819" s="6" t="str">
        <x:f>IF(D1810="","",IF(AND(ISNUMBER(SEARCH("平",D1810)),OR(ISNUMBER(SEARCH("上",D1810)),ISNUMBER(SEARCH("去",D1810)),ISNUMBER(SEARCH("入",D1810)))),"Ambiguous",IF(ISNUMBER(SEARCH("平",D1810)),"平","仄")))</x:f>
        <x:v>平</x:v>
      </x:c>
      <x:c r="J1819" s="7" t="str"/>
    </x:row>
    <x:row r="1820">
      <x:c r="A1820" s="5" t="str">
        <x:v>枉</x:v>
      </x:c>
      <x:c r="B1820" s="6" t="str">
        <x:v>上</x:v>
      </x:c>
      <x:c r="C1820" s="6" t="str">
        <x:f>IF(B1820="","Needs decision","Ready")</x:f>
        <x:v>Ready</x:v>
      </x:c>
      <x:c r="D1820" s="6" t="str">
        <x:v>上</x:v>
      </x:c>
      <x:c r="E1820" s="6" t="str">
        <x:v>'jwangX (B)</x:v>
      </x:c>
      <x:c r="F1820" s="6" t="str">
        <x:v>1</x:v>
      </x:c>
      <x:c r="G1820" s="6" t="str"/>
      <x:c r="H1820" s="6" t="str">
        <x:f>IF(B1820="平","平",IF(B1820="","","仄"))</x:f>
        <x:v>仄</x:v>
      </x:c>
      <x:c r="I1820" s="6" t="str">
        <x:f>IF(D1811="","",IF(AND(ISNUMBER(SEARCH("平",D1811)),OR(ISNUMBER(SEARCH("上",D1811)),ISNUMBER(SEARCH("去",D1811)),ISNUMBER(SEARCH("入",D1811)))),"Ambiguous",IF(ISNUMBER(SEARCH("平",D1811)),"平","仄")))</x:f>
        <x:v>平</x:v>
      </x:c>
      <x:c r="J1820" s="7" t="str"/>
    </x:row>
    <x:row r="1821">
      <x:c r="A1821" s="5" t="str">
        <x:v>枋</x:v>
      </x:c>
      <x:c r="B1821" s="6" t="str">
        <x:v>去</x:v>
      </x:c>
      <x:c r="C1821" s="6" t="str">
        <x:f>IF(B1821="","Needs decision","Ready")</x:f>
        <x:v>Ready</x:v>
      </x:c>
      <x:c r="D1821" s="6" t="str">
        <x:v>去</x:v>
      </x:c>
      <x:c r="E1821" s="6" t="str">
        <x:v>pjaengH (C)</x:v>
      </x:c>
      <x:c r="F1821" s="6" t="str">
        <x:v>1</x:v>
      </x:c>
      <x:c r="G1821" s="6" t="str"/>
      <x:c r="H1821" s="6" t="str">
        <x:f>IF(B1821="平","平",IF(B1821="","","仄"))</x:f>
        <x:v>仄</x:v>
      </x:c>
      <x:c r="I1821" s="6" t="str">
        <x:f>IF(D1812="","",IF(AND(ISNUMBER(SEARCH("平",D1812)),OR(ISNUMBER(SEARCH("上",D1812)),ISNUMBER(SEARCH("去",D1812)),ISNUMBER(SEARCH("入",D1812)))),"Ambiguous",IF(ISNUMBER(SEARCH("平",D1812)),"平","仄")))</x:f>
        <x:v>仄</x:v>
      </x:c>
      <x:c r="J1821" s="7" t="str"/>
    </x:row>
    <x:row r="1822">
      <x:c r="A1822" s="5" t="str">
        <x:v>析</x:v>
      </x:c>
      <x:c r="B1822" s="6" t="str">
        <x:v>入</x:v>
      </x:c>
      <x:c r="C1822" s="6" t="str">
        <x:f>IF(B1822="","Needs decision","Ready")</x:f>
        <x:v>Ready</x:v>
      </x:c>
      <x:c r="D1822" s="6" t="str">
        <x:v>入</x:v>
      </x:c>
      <x:c r="E1822" s="6" t="str">
        <x:v>sek (D)</x:v>
      </x:c>
      <x:c r="F1822" s="6" t="str">
        <x:v>1</x:v>
      </x:c>
      <x:c r="G1822" s="6" t="str"/>
      <x:c r="H1822" s="6" t="str">
        <x:f>IF(B1822="平","平",IF(B1822="","","仄"))</x:f>
        <x:v>仄</x:v>
      </x:c>
      <x:c r="I1822" s="6" t="str">
        <x:f>IF(D1813="","",IF(AND(ISNUMBER(SEARCH("平",D1813)),OR(ISNUMBER(SEARCH("上",D1813)),ISNUMBER(SEARCH("去",D1813)),ISNUMBER(SEARCH("入",D1813)))),"Ambiguous",IF(ISNUMBER(SEARCH("平",D1813)),"平","仄")))</x:f>
        <x:v>仄</x:v>
      </x:c>
      <x:c r="J1822" s="7" t="str"/>
    </x:row>
    <x:row r="1823">
      <x:c r="A1823" s="5" t="str">
        <x:v>枑</x:v>
      </x:c>
      <x:c r="B1823" s="6" t="str">
        <x:v>去</x:v>
      </x:c>
      <x:c r="C1823" s="6" t="str">
        <x:f>IF(B1823="","Needs decision","Ready")</x:f>
        <x:v>Ready</x:v>
      </x:c>
      <x:c r="D1823" s="6" t="str">
        <x:v>去</x:v>
      </x:c>
      <x:c r="E1823" s="6" t="str">
        <x:v>huH (C)</x:v>
      </x:c>
      <x:c r="F1823" s="6" t="str">
        <x:v>1</x:v>
      </x:c>
      <x:c r="G1823" s="6" t="str"/>
      <x:c r="H1823" s="6" t="str">
        <x:f>IF(B1823="平","平",IF(B1823="","","仄"))</x:f>
        <x:v>仄</x:v>
      </x:c>
      <x:c r="I1823" s="6" t="str">
        <x:f>IF(D1814="","",IF(AND(ISNUMBER(SEARCH("平",D1814)),OR(ISNUMBER(SEARCH("上",D1814)),ISNUMBER(SEARCH("去",D1814)),ISNUMBER(SEARCH("入",D1814)))),"Ambiguous",IF(ISNUMBER(SEARCH("平",D1814)),"平","仄")))</x:f>
        <x:v>仄</x:v>
      </x:c>
      <x:c r="J1823" s="7" t="str"/>
    </x:row>
    <x:row r="1824">
      <x:c r="A1824" s="5" t="str">
        <x:v>枕</x:v>
      </x:c>
      <x:c r="B1824" s="6" t="str"/>
      <x:c r="C1824" s="6" t="str">
        <x:f>IF(B1824="","Needs decision","Ready")</x:f>
        <x:v>Needs decision</x:v>
      </x:c>
      <x:c r="D1824" s="6" t="str">
        <x:v>上/去</x:v>
      </x:c>
      <x:c r="E1824" s="6" t="str">
        <x:v>tsyimX (B); tsyimH (C)</x:v>
      </x:c>
      <x:c r="F1824" s="6" t="str">
        <x:v>2</x:v>
      </x:c>
      <x:c r="G1824" s="6" t="str"/>
      <x:c r="H1824" s="6" t="str">
        <x:f>IF(B1824="平","平",IF(B1824="","","仄"))</x:f>
      </x:c>
      <x:c r="I1824" s="6" t="str">
        <x:f>IF(D1815="","",IF(AND(ISNUMBER(SEARCH("平",D1815)),OR(ISNUMBER(SEARCH("上",D1815)),ISNUMBER(SEARCH("去",D1815)),ISNUMBER(SEARCH("入",D1815)))),"Ambiguous",IF(ISNUMBER(SEARCH("平",D1815)),"平","仄")))</x:f>
        <x:v>仄</x:v>
      </x:c>
      <x:c r="J1824" s="7" t="str"/>
    </x:row>
    <x:row r="1825">
      <x:c r="A1825" s="5" t="str">
        <x:v>林</x:v>
      </x:c>
      <x:c r="B1825" s="6" t="str">
        <x:v>平</x:v>
      </x:c>
      <x:c r="C1825" s="6" t="str">
        <x:f>IF(B1825="","Needs decision","Ready")</x:f>
        <x:v>Ready</x:v>
      </x:c>
      <x:c r="D1825" s="6" t="str">
        <x:v>平</x:v>
      </x:c>
      <x:c r="E1825" s="6" t="str">
        <x:v>lim (A)</x:v>
      </x:c>
      <x:c r="F1825" s="6" t="str">
        <x:v>1</x:v>
      </x:c>
      <x:c r="G1825" s="6" t="str"/>
      <x:c r="H1825" s="6" t="str">
        <x:f>IF(B1825="平","平",IF(B1825="","","仄"))</x:f>
        <x:v>平</x:v>
      </x:c>
      <x:c r="I1825" s="6" t="str">
        <x:f>IF(D1816="","",IF(AND(ISNUMBER(SEARCH("平",D1816)),OR(ISNUMBER(SEARCH("上",D1816)),ISNUMBER(SEARCH("去",D1816)),ISNUMBER(SEARCH("入",D1816)))),"Ambiguous",IF(ISNUMBER(SEARCH("平",D1816)),"平","仄")))</x:f>
        <x:v>仄</x:v>
      </x:c>
      <x:c r="J1825" s="7" t="str"/>
    </x:row>
    <x:row r="1826">
      <x:c r="A1826" s="5" t="str">
        <x:v>枚</x:v>
      </x:c>
      <x:c r="B1826" s="6" t="str">
        <x:v>平</x:v>
      </x:c>
      <x:c r="C1826" s="6" t="str">
        <x:f>IF(B1826="","Needs decision","Ready")</x:f>
        <x:v>Ready</x:v>
      </x:c>
      <x:c r="D1826" s="6" t="str">
        <x:v>平</x:v>
      </x:c>
      <x:c r="E1826" s="6" t="str">
        <x:v>mwoj (A)</x:v>
      </x:c>
      <x:c r="F1826" s="6" t="str">
        <x:v>1</x:v>
      </x:c>
      <x:c r="G1826" s="6" t="str"/>
      <x:c r="H1826" s="6" t="str">
        <x:f>IF(B1826="平","平",IF(B1826="","","仄"))</x:f>
        <x:v>平</x:v>
      </x:c>
      <x:c r="I1826" s="6" t="str">
        <x:f>IF(D1817="","",IF(AND(ISNUMBER(SEARCH("平",D1817)),OR(ISNUMBER(SEARCH("上",D1817)),ISNUMBER(SEARCH("去",D1817)),ISNUMBER(SEARCH("入",D1817)))),"Ambiguous",IF(ISNUMBER(SEARCH("平",D1817)),"平","仄")))</x:f>
        <x:v>平</x:v>
      </x:c>
      <x:c r="J1826" s="7" t="str"/>
    </x:row>
    <x:row r="1827">
      <x:c r="A1827" s="5" t="str">
        <x:v>果</x:v>
      </x:c>
      <x:c r="B1827" s="6" t="str">
        <x:v>上</x:v>
      </x:c>
      <x:c r="C1827" s="6" t="str">
        <x:f>IF(B1827="","Needs decision","Ready")</x:f>
        <x:v>Ready</x:v>
      </x:c>
      <x:c r="D1827" s="6" t="str">
        <x:v>上</x:v>
      </x:c>
      <x:c r="E1827" s="6" t="str">
        <x:v>kwaX (B)</x:v>
      </x:c>
      <x:c r="F1827" s="6" t="str">
        <x:v>1</x:v>
      </x:c>
      <x:c r="G1827" s="6" t="str"/>
      <x:c r="H1827" s="6" t="str">
        <x:f>IF(B1827="平","平",IF(B1827="","","仄"))</x:f>
        <x:v>仄</x:v>
      </x:c>
      <x:c r="I1827" s="6" t="str">
        <x:f>IF(D1818="","",IF(AND(ISNUMBER(SEARCH("平",D1818)),OR(ISNUMBER(SEARCH("上",D1818)),ISNUMBER(SEARCH("去",D1818)),ISNUMBER(SEARCH("入",D1818)))),"Ambiguous",IF(ISNUMBER(SEARCH("平",D1818)),"平","仄")))</x:f>
        <x:v>仄</x:v>
      </x:c>
      <x:c r="J1827" s="7" t="str"/>
    </x:row>
    <x:row r="1828">
      <x:c r="A1828" s="5" t="str">
        <x:v>枝</x:v>
      </x:c>
      <x:c r="B1828" s="6" t="str">
        <x:v>平</x:v>
      </x:c>
      <x:c r="C1828" s="6" t="str">
        <x:f>IF(B1828="","Needs decision","Ready")</x:f>
        <x:v>Ready</x:v>
      </x:c>
      <x:c r="D1828" s="6" t="str">
        <x:v>平</x:v>
      </x:c>
      <x:c r="E1828" s="6" t="str">
        <x:v>tsye (A)</x:v>
      </x:c>
      <x:c r="F1828" s="6" t="str">
        <x:v>1</x:v>
      </x:c>
      <x:c r="G1828" s="6" t="str"/>
      <x:c r="H1828" s="6" t="str">
        <x:f>IF(B1828="平","平",IF(B1828="","","仄"))</x:f>
        <x:v>平</x:v>
      </x:c>
      <x:c r="I1828" s="6" t="str">
        <x:f>IF(D1819="","",IF(AND(ISNUMBER(SEARCH("平",D1819)),OR(ISNUMBER(SEARCH("上",D1819)),ISNUMBER(SEARCH("去",D1819)),ISNUMBER(SEARCH("入",D1819)))),"Ambiguous",IF(ISNUMBER(SEARCH("平",D1819)),"平","仄")))</x:f>
        <x:v>平</x:v>
      </x:c>
      <x:c r="J1828" s="7" t="str"/>
    </x:row>
    <x:row r="1829">
      <x:c r="A1829" s="5" t="str">
        <x:v>枯</x:v>
      </x:c>
      <x:c r="B1829" s="6" t="str">
        <x:v>平</x:v>
      </x:c>
      <x:c r="C1829" s="6" t="str">
        <x:f>IF(B1829="","Needs decision","Ready")</x:f>
        <x:v>Ready</x:v>
      </x:c>
      <x:c r="D1829" s="6" t="str">
        <x:v>平</x:v>
      </x:c>
      <x:c r="E1829" s="6" t="str">
        <x:v>khu (A)</x:v>
      </x:c>
      <x:c r="F1829" s="6" t="str">
        <x:v>1</x:v>
      </x:c>
      <x:c r="G1829" s="6" t="str"/>
      <x:c r="H1829" s="6" t="str">
        <x:f>IF(B1829="平","平",IF(B1829="","","仄"))</x:f>
        <x:v>平</x:v>
      </x:c>
      <x:c r="I1829" s="6" t="str">
        <x:f>IF(D1820="","",IF(AND(ISNUMBER(SEARCH("平",D1820)),OR(ISNUMBER(SEARCH("上",D1820)),ISNUMBER(SEARCH("去",D1820)),ISNUMBER(SEARCH("入",D1820)))),"Ambiguous",IF(ISNUMBER(SEARCH("平",D1820)),"平","仄")))</x:f>
        <x:v>仄</x:v>
      </x:c>
      <x:c r="J1829" s="7" t="str"/>
    </x:row>
    <x:row r="1830">
      <x:c r="A1830" s="5" t="str">
        <x:v>枲</x:v>
      </x:c>
      <x:c r="B1830" s="6" t="str">
        <x:v>上</x:v>
      </x:c>
      <x:c r="C1830" s="6" t="str">
        <x:f>IF(B1830="","Needs decision","Ready")</x:f>
        <x:v>Ready</x:v>
      </x:c>
      <x:c r="D1830" s="6" t="str">
        <x:v>上</x:v>
      </x:c>
      <x:c r="E1830" s="6" t="str">
        <x:v>siX (B)</x:v>
      </x:c>
      <x:c r="F1830" s="6" t="str">
        <x:v>1</x:v>
      </x:c>
      <x:c r="G1830" s="6" t="str"/>
      <x:c r="H1830" s="6" t="str">
        <x:f>IF(B1830="平","平",IF(B1830="","","仄"))</x:f>
        <x:v>仄</x:v>
      </x:c>
      <x:c r="I1830" s="6" t="str">
        <x:f>IF(D1821="","",IF(AND(ISNUMBER(SEARCH("平",D1821)),OR(ISNUMBER(SEARCH("上",D1821)),ISNUMBER(SEARCH("去",D1821)),ISNUMBER(SEARCH("入",D1821)))),"Ambiguous",IF(ISNUMBER(SEARCH("平",D1821)),"平","仄")))</x:f>
        <x:v>仄</x:v>
      </x:c>
      <x:c r="J1830" s="7" t="str"/>
    </x:row>
    <x:row r="1831">
      <x:c r="A1831" s="5" t="str">
        <x:v>枸</x:v>
      </x:c>
      <x:c r="B1831" s="6" t="str">
        <x:v>上</x:v>
      </x:c>
      <x:c r="C1831" s="6" t="str">
        <x:f>IF(B1831="","Needs decision","Ready")</x:f>
        <x:v>Ready</x:v>
      </x:c>
      <x:c r="D1831" s="6" t="str">
        <x:v>上</x:v>
      </x:c>
      <x:c r="E1831" s="6" t="str">
        <x:v>kjuX (B)</x:v>
      </x:c>
      <x:c r="F1831" s="6" t="str">
        <x:v>1</x:v>
      </x:c>
      <x:c r="G1831" s="6" t="str"/>
      <x:c r="H1831" s="6" t="str">
        <x:f>IF(B1831="平","平",IF(B1831="","","仄"))</x:f>
        <x:v>仄</x:v>
      </x:c>
      <x:c r="I1831" s="6" t="str">
        <x:f>IF(D1822="","",IF(AND(ISNUMBER(SEARCH("平",D1822)),OR(ISNUMBER(SEARCH("上",D1822)),ISNUMBER(SEARCH("去",D1822)),ISNUMBER(SEARCH("入",D1822)))),"Ambiguous",IF(ISNUMBER(SEARCH("平",D1822)),"平","仄")))</x:f>
        <x:v>仄</x:v>
      </x:c>
      <x:c r="J1831" s="7" t="str"/>
    </x:row>
    <x:row r="1832">
      <x:c r="A1832" s="5" t="str">
        <x:v>枹</x:v>
      </x:c>
      <x:c r="B1832" s="6" t="str">
        <x:v>平</x:v>
      </x:c>
      <x:c r="C1832" s="6" t="str">
        <x:f>IF(B1832="","Needs decision","Ready")</x:f>
        <x:v>Ready</x:v>
      </x:c>
      <x:c r="D1832" s="6" t="str">
        <x:v>平</x:v>
      </x:c>
      <x:c r="E1832" s="6" t="str">
        <x:v>bjuw (A)</x:v>
      </x:c>
      <x:c r="F1832" s="6" t="str">
        <x:v>1</x:v>
      </x:c>
      <x:c r="G1832" s="6" t="str"/>
      <x:c r="H1832" s="6" t="str">
        <x:f>IF(B1832="平","平",IF(B1832="","","仄"))</x:f>
        <x:v>平</x:v>
      </x:c>
      <x:c r="I1832" s="6" t="str">
        <x:f>IF(D1823="","",IF(AND(ISNUMBER(SEARCH("平",D1823)),OR(ISNUMBER(SEARCH("上",D1823)),ISNUMBER(SEARCH("去",D1823)),ISNUMBER(SEARCH("入",D1823)))),"Ambiguous",IF(ISNUMBER(SEARCH("平",D1823)),"平","仄")))</x:f>
        <x:v>仄</x:v>
      </x:c>
      <x:c r="J1832" s="7" t="str"/>
    </x:row>
    <x:row r="1833">
      <x:c r="A1833" s="5" t="str">
        <x:v>枼</x:v>
      </x:c>
      <x:c r="B1833" s="6" t="str">
        <x:v>入</x:v>
      </x:c>
      <x:c r="C1833" s="6" t="str">
        <x:f>IF(B1833="","Needs decision","Ready")</x:f>
        <x:v>Ready</x:v>
      </x:c>
      <x:c r="D1833" s="6" t="str">
        <x:v>入</x:v>
      </x:c>
      <x:c r="E1833" s="6" t="str">
        <x:v>yep (D)</x:v>
      </x:c>
      <x:c r="F1833" s="6" t="str">
        <x:v>1</x:v>
      </x:c>
      <x:c r="G1833" s="6" t="str"/>
      <x:c r="H1833" s="6" t="str">
        <x:f>IF(B1833="平","平",IF(B1833="","","仄"))</x:f>
        <x:v>仄</x:v>
      </x:c>
      <x:c r="I1833" s="6" t="str">
        <x:f>IF(D1824="","",IF(AND(ISNUMBER(SEARCH("平",D1824)),OR(ISNUMBER(SEARCH("上",D1824)),ISNUMBER(SEARCH("去",D1824)),ISNUMBER(SEARCH("入",D1824)))),"Ambiguous",IF(ISNUMBER(SEARCH("平",D1824)),"平","仄")))</x:f>
        <x:v>仄</x:v>
      </x:c>
      <x:c r="J1833" s="7" t="str"/>
    </x:row>
    <x:row r="1834">
      <x:c r="A1834" s="5" t="str">
        <x:v>柄</x:v>
      </x:c>
      <x:c r="B1834" s="6" t="str">
        <x:v>去</x:v>
      </x:c>
      <x:c r="C1834" s="6" t="str">
        <x:f>IF(B1834="","Needs decision","Ready")</x:f>
        <x:v>Ready</x:v>
      </x:c>
      <x:c r="D1834" s="6" t="str">
        <x:v>去</x:v>
      </x:c>
      <x:c r="E1834" s="6" t="str">
        <x:v>pjaengH (C)</x:v>
      </x:c>
      <x:c r="F1834" s="6" t="str">
        <x:v>1</x:v>
      </x:c>
      <x:c r="G1834" s="6" t="str"/>
      <x:c r="H1834" s="6" t="str">
        <x:f>IF(B1834="平","平",IF(B1834="","","仄"))</x:f>
        <x:v>仄</x:v>
      </x:c>
      <x:c r="I1834" s="6" t="str">
        <x:f>IF(D1825="","",IF(AND(ISNUMBER(SEARCH("平",D1825)),OR(ISNUMBER(SEARCH("上",D1825)),ISNUMBER(SEARCH("去",D1825)),ISNUMBER(SEARCH("入",D1825)))),"Ambiguous",IF(ISNUMBER(SEARCH("平",D1825)),"平","仄")))</x:f>
        <x:v>平</x:v>
      </x:c>
      <x:c r="J1834" s="7" t="str"/>
    </x:row>
    <x:row r="1835">
      <x:c r="A1835" s="5" t="str">
        <x:v>柅</x:v>
      </x:c>
      <x:c r="B1835" s="6" t="str"/>
      <x:c r="C1835" s="6" t="str">
        <x:f>IF(B1835="","Needs decision","Ready")</x:f>
        <x:v>Needs decision</x:v>
      </x:c>
      <x:c r="D1835" s="6" t="str">
        <x:v>上/去</x:v>
      </x:c>
      <x:c r="E1835" s="6" t="str">
        <x:v>nrijX (B); nrijH (C)</x:v>
      </x:c>
      <x:c r="F1835" s="6" t="str">
        <x:v>2</x:v>
      </x:c>
      <x:c r="G1835" s="6" t="str"/>
      <x:c r="H1835" s="6" t="str">
        <x:f>IF(B1835="平","平",IF(B1835="","","仄"))</x:f>
      </x:c>
      <x:c r="I1835" s="6" t="str">
        <x:f>IF(D1826="","",IF(AND(ISNUMBER(SEARCH("平",D1826)),OR(ISNUMBER(SEARCH("上",D1826)),ISNUMBER(SEARCH("去",D1826)),ISNUMBER(SEARCH("入",D1826)))),"Ambiguous",IF(ISNUMBER(SEARCH("平",D1826)),"平","仄")))</x:f>
        <x:v>平</x:v>
      </x:c>
      <x:c r="J1835" s="7" t="str"/>
    </x:row>
    <x:row r="1836">
      <x:c r="A1836" s="5" t="str">
        <x:v>柏</x:v>
      </x:c>
      <x:c r="B1836" s="6" t="str">
        <x:v>入</x:v>
      </x:c>
      <x:c r="C1836" s="6" t="str">
        <x:f>IF(B1836="","Needs decision","Ready")</x:f>
        <x:v>Ready</x:v>
      </x:c>
      <x:c r="D1836" s="6" t="str">
        <x:v>入</x:v>
      </x:c>
      <x:c r="E1836" s="6" t="str">
        <x:v>paek (D)</x:v>
      </x:c>
      <x:c r="F1836" s="6" t="str">
        <x:v>1</x:v>
      </x:c>
      <x:c r="G1836" s="6" t="str"/>
      <x:c r="H1836" s="6" t="str">
        <x:f>IF(B1836="平","平",IF(B1836="","","仄"))</x:f>
        <x:v>仄</x:v>
      </x:c>
      <x:c r="I1836" s="6" t="str">
        <x:f>IF(D1827="","",IF(AND(ISNUMBER(SEARCH("平",D1827)),OR(ISNUMBER(SEARCH("上",D1827)),ISNUMBER(SEARCH("去",D1827)),ISNUMBER(SEARCH("入",D1827)))),"Ambiguous",IF(ISNUMBER(SEARCH("平",D1827)),"平","仄")))</x:f>
        <x:v>仄</x:v>
      </x:c>
      <x:c r="J1836" s="7" t="str"/>
    </x:row>
    <x:row r="1837">
      <x:c r="A1837" s="5" t="str">
        <x:v>某</x:v>
      </x:c>
      <x:c r="B1837" s="6" t="str">
        <x:v>上</x:v>
      </x:c>
      <x:c r="C1837" s="6" t="str">
        <x:f>IF(B1837="","Needs decision","Ready")</x:f>
        <x:v>Ready</x:v>
      </x:c>
      <x:c r="D1837" s="6" t="str">
        <x:v>上</x:v>
      </x:c>
      <x:c r="E1837" s="6" t="str">
        <x:v>muwX (B)</x:v>
      </x:c>
      <x:c r="F1837" s="6" t="str">
        <x:v>1</x:v>
      </x:c>
      <x:c r="G1837" s="6" t="str"/>
      <x:c r="H1837" s="6" t="str">
        <x:f>IF(B1837="平","平",IF(B1837="","","仄"))</x:f>
        <x:v>仄</x:v>
      </x:c>
      <x:c r="I1837" s="6" t="str">
        <x:f>IF(D1828="","",IF(AND(ISNUMBER(SEARCH("平",D1828)),OR(ISNUMBER(SEARCH("上",D1828)),ISNUMBER(SEARCH("去",D1828)),ISNUMBER(SEARCH("入",D1828)))),"Ambiguous",IF(ISNUMBER(SEARCH("平",D1828)),"平","仄")))</x:f>
        <x:v>平</x:v>
      </x:c>
      <x:c r="J1837" s="7" t="str"/>
    </x:row>
    <x:row r="1838">
      <x:c r="A1838" s="5" t="str">
        <x:v>染</x:v>
      </x:c>
      <x:c r="B1838" s="6" t="str">
        <x:v>上</x:v>
      </x:c>
      <x:c r="C1838" s="6" t="str">
        <x:f>IF(B1838="","Needs decision","Ready")</x:f>
        <x:v>Ready</x:v>
      </x:c>
      <x:c r="D1838" s="6" t="str">
        <x:v>上</x:v>
      </x:c>
      <x:c r="E1838" s="6" t="str">
        <x:v>nyemX (B)</x:v>
      </x:c>
      <x:c r="F1838" s="6" t="str">
        <x:v>1</x:v>
      </x:c>
      <x:c r="G1838" s="6" t="str"/>
      <x:c r="H1838" s="6" t="str">
        <x:f>IF(B1838="平","平",IF(B1838="","","仄"))</x:f>
        <x:v>仄</x:v>
      </x:c>
      <x:c r="I1838" s="6" t="str">
        <x:f>IF(D1829="","",IF(AND(ISNUMBER(SEARCH("平",D1829)),OR(ISNUMBER(SEARCH("上",D1829)),ISNUMBER(SEARCH("去",D1829)),ISNUMBER(SEARCH("入",D1829)))),"Ambiguous",IF(ISNUMBER(SEARCH("平",D1829)),"平","仄")))</x:f>
        <x:v>平</x:v>
      </x:c>
      <x:c r="J1838" s="7" t="str"/>
    </x:row>
    <x:row r="1839">
      <x:c r="A1839" s="5" t="str">
        <x:v>柔</x:v>
      </x:c>
      <x:c r="B1839" s="6" t="str">
        <x:v>平</x:v>
      </x:c>
      <x:c r="C1839" s="6" t="str">
        <x:f>IF(B1839="","Needs decision","Ready")</x:f>
        <x:v>Ready</x:v>
      </x:c>
      <x:c r="D1839" s="6" t="str">
        <x:v>平</x:v>
      </x:c>
      <x:c r="E1839" s="6" t="str">
        <x:v>nyuw (A)</x:v>
      </x:c>
      <x:c r="F1839" s="6" t="str">
        <x:v>1</x:v>
      </x:c>
      <x:c r="G1839" s="6" t="str"/>
      <x:c r="H1839" s="6" t="str">
        <x:f>IF(B1839="平","平",IF(B1839="","","仄"))</x:f>
        <x:v>平</x:v>
      </x:c>
      <x:c r="I1839" s="6" t="str">
        <x:f>IF(D1830="","",IF(AND(ISNUMBER(SEARCH("平",D1830)),OR(ISNUMBER(SEARCH("上",D1830)),ISNUMBER(SEARCH("去",D1830)),ISNUMBER(SEARCH("入",D1830)))),"Ambiguous",IF(ISNUMBER(SEARCH("平",D1830)),"平","仄")))</x:f>
        <x:v>仄</x:v>
      </x:c>
      <x:c r="J1839" s="7" t="str"/>
    </x:row>
    <x:row r="1840">
      <x:c r="A1840" s="5" t="str">
        <x:v>柘</x:v>
      </x:c>
      <x:c r="B1840" s="6" t="str">
        <x:v>去</x:v>
      </x:c>
      <x:c r="C1840" s="6" t="str">
        <x:f>IF(B1840="","Needs decision","Ready")</x:f>
        <x:v>Ready</x:v>
      </x:c>
      <x:c r="D1840" s="6" t="str">
        <x:v>去</x:v>
      </x:c>
      <x:c r="E1840" s="6" t="str">
        <x:v>tsyaeH (C)</x:v>
      </x:c>
      <x:c r="F1840" s="6" t="str">
        <x:v>1</x:v>
      </x:c>
      <x:c r="G1840" s="6" t="str"/>
      <x:c r="H1840" s="6" t="str">
        <x:f>IF(B1840="平","平",IF(B1840="","","仄"))</x:f>
        <x:v>仄</x:v>
      </x:c>
      <x:c r="I1840" s="6" t="str">
        <x:f>IF(D1831="","",IF(AND(ISNUMBER(SEARCH("平",D1831)),OR(ISNUMBER(SEARCH("上",D1831)),ISNUMBER(SEARCH("去",D1831)),ISNUMBER(SEARCH("入",D1831)))),"Ambiguous",IF(ISNUMBER(SEARCH("平",D1831)),"平","仄")))</x:f>
        <x:v>仄</x:v>
      </x:c>
      <x:c r="J1840" s="7" t="str"/>
    </x:row>
    <x:row r="1841">
      <x:c r="A1841" s="5" t="str">
        <x:v>柙</x:v>
      </x:c>
      <x:c r="B1841" s="6" t="str">
        <x:v>入</x:v>
      </x:c>
      <x:c r="C1841" s="6" t="str">
        <x:f>IF(B1841="","Needs decision","Ready")</x:f>
        <x:v>Ready</x:v>
      </x:c>
      <x:c r="D1841" s="6" t="str">
        <x:v>入</x:v>
      </x:c>
      <x:c r="E1841" s="6" t="str">
        <x:v>haep (D)</x:v>
      </x:c>
      <x:c r="F1841" s="6" t="str">
        <x:v>1</x:v>
      </x:c>
      <x:c r="G1841" s="6" t="str"/>
      <x:c r="H1841" s="6" t="str">
        <x:f>IF(B1841="平","平",IF(B1841="","","仄"))</x:f>
        <x:v>仄</x:v>
      </x:c>
      <x:c r="I1841" s="6" t="str">
        <x:f>IF(D1832="","",IF(AND(ISNUMBER(SEARCH("平",D1832)),OR(ISNUMBER(SEARCH("上",D1832)),ISNUMBER(SEARCH("去",D1832)),ISNUMBER(SEARCH("入",D1832)))),"Ambiguous",IF(ISNUMBER(SEARCH("平",D1832)),"平","仄")))</x:f>
        <x:v>平</x:v>
      </x:c>
      <x:c r="J1841" s="7" t="str"/>
    </x:row>
    <x:row r="1842">
      <x:c r="A1842" s="5" t="str">
        <x:v>柞</x:v>
      </x:c>
      <x:c r="B1842" s="6" t="str">
        <x:v>入</x:v>
      </x:c>
      <x:c r="C1842" s="6" t="str">
        <x:f>IF(B1842="","Needs decision","Ready")</x:f>
        <x:v>Ready</x:v>
      </x:c>
      <x:c r="D1842" s="6" t="str">
        <x:v>入</x:v>
      </x:c>
      <x:c r="E1842" s="6" t="str">
        <x:v>tsraek (D)</x:v>
      </x:c>
      <x:c r="F1842" s="6" t="str">
        <x:v>1</x:v>
      </x:c>
      <x:c r="G1842" s="6" t="str"/>
      <x:c r="H1842" s="6" t="str">
        <x:f>IF(B1842="平","平",IF(B1842="","","仄"))</x:f>
        <x:v>仄</x:v>
      </x:c>
      <x:c r="I1842" s="6" t="str">
        <x:f>IF(D1833="","",IF(AND(ISNUMBER(SEARCH("平",D1833)),OR(ISNUMBER(SEARCH("上",D1833)),ISNUMBER(SEARCH("去",D1833)),ISNUMBER(SEARCH("入",D1833)))),"Ambiguous",IF(ISNUMBER(SEARCH("平",D1833)),"平","仄")))</x:f>
        <x:v>仄</x:v>
      </x:c>
      <x:c r="J1842" s="7" t="str"/>
    </x:row>
    <x:row r="1843">
      <x:c r="A1843" s="5" t="str">
        <x:v>柤</x:v>
      </x:c>
      <x:c r="B1843" s="6" t="str">
        <x:v>平</x:v>
      </x:c>
      <x:c r="C1843" s="6" t="str">
        <x:f>IF(B1843="","Needs decision","Ready")</x:f>
        <x:v>Ready</x:v>
      </x:c>
      <x:c r="D1843" s="6" t="str">
        <x:v>平</x:v>
      </x:c>
      <x:c r="E1843" s="6" t="str">
        <x:v>tsrae (A)</x:v>
      </x:c>
      <x:c r="F1843" s="6" t="str">
        <x:v>1</x:v>
      </x:c>
      <x:c r="G1843" s="6" t="str"/>
      <x:c r="H1843" s="6" t="str">
        <x:f>IF(B1843="平","平",IF(B1843="","","仄"))</x:f>
        <x:v>平</x:v>
      </x:c>
      <x:c r="I1843" s="6" t="str">
        <x:f>IF(D1834="","",IF(AND(ISNUMBER(SEARCH("平",D1834)),OR(ISNUMBER(SEARCH("上",D1834)),ISNUMBER(SEARCH("去",D1834)),ISNUMBER(SEARCH("入",D1834)))),"Ambiguous",IF(ISNUMBER(SEARCH("平",D1834)),"平","仄")))</x:f>
        <x:v>仄</x:v>
      </x:c>
      <x:c r="J1843" s="7" t="str"/>
    </x:row>
    <x:row r="1844">
      <x:c r="A1844" s="5" t="str">
        <x:v>柩</x:v>
      </x:c>
      <x:c r="B1844" s="6" t="str">
        <x:v>去</x:v>
      </x:c>
      <x:c r="C1844" s="6" t="str">
        <x:f>IF(B1844="","Needs decision","Ready")</x:f>
        <x:v>Ready</x:v>
      </x:c>
      <x:c r="D1844" s="6" t="str">
        <x:v>去</x:v>
      </x:c>
      <x:c r="E1844" s="6" t="str">
        <x:v>gjuwH (C)</x:v>
      </x:c>
      <x:c r="F1844" s="6" t="str">
        <x:v>1</x:v>
      </x:c>
      <x:c r="G1844" s="6" t="str"/>
      <x:c r="H1844" s="6" t="str">
        <x:f>IF(B1844="平","平",IF(B1844="","","仄"))</x:f>
        <x:v>仄</x:v>
      </x:c>
      <x:c r="I1844" s="6" t="str">
        <x:f>IF(D1835="","",IF(AND(ISNUMBER(SEARCH("平",D1835)),OR(ISNUMBER(SEARCH("上",D1835)),ISNUMBER(SEARCH("去",D1835)),ISNUMBER(SEARCH("入",D1835)))),"Ambiguous",IF(ISNUMBER(SEARCH("平",D1835)),"平","仄")))</x:f>
        <x:v>仄</x:v>
      </x:c>
      <x:c r="J1844" s="7" t="str"/>
    </x:row>
    <x:row r="1845">
      <x:c r="A1845" s="5" t="str">
        <x:v>柬</x:v>
      </x:c>
      <x:c r="B1845" s="6" t="str">
        <x:v>上</x:v>
      </x:c>
      <x:c r="C1845" s="6" t="str">
        <x:f>IF(B1845="","Needs decision","Ready")</x:f>
        <x:v>Ready</x:v>
      </x:c>
      <x:c r="D1845" s="6" t="str">
        <x:v>上</x:v>
      </x:c>
      <x:c r="E1845" s="6" t="str">
        <x:v>keanX (B)</x:v>
      </x:c>
      <x:c r="F1845" s="6" t="str">
        <x:v>1</x:v>
      </x:c>
      <x:c r="G1845" s="6" t="str"/>
      <x:c r="H1845" s="6" t="str">
        <x:f>IF(B1845="平","平",IF(B1845="","","仄"))</x:f>
        <x:v>仄</x:v>
      </x:c>
      <x:c r="I1845" s="6" t="str">
        <x:f>IF(D1836="","",IF(AND(ISNUMBER(SEARCH("平",D1836)),OR(ISNUMBER(SEARCH("上",D1836)),ISNUMBER(SEARCH("去",D1836)),ISNUMBER(SEARCH("入",D1836)))),"Ambiguous",IF(ISNUMBER(SEARCH("平",D1836)),"平","仄")))</x:f>
        <x:v>仄</x:v>
      </x:c>
      <x:c r="J1845" s="7" t="str"/>
    </x:row>
    <x:row r="1846">
      <x:c r="A1846" s="5" t="str">
        <x:v>柯</x:v>
      </x:c>
      <x:c r="B1846" s="6" t="str">
        <x:v>平</x:v>
      </x:c>
      <x:c r="C1846" s="6" t="str">
        <x:f>IF(B1846="","Needs decision","Ready")</x:f>
        <x:v>Ready</x:v>
      </x:c>
      <x:c r="D1846" s="6" t="str">
        <x:v>平</x:v>
      </x:c>
      <x:c r="E1846" s="6" t="str">
        <x:v>ka (A)</x:v>
      </x:c>
      <x:c r="F1846" s="6" t="str">
        <x:v>1</x:v>
      </x:c>
      <x:c r="G1846" s="6" t="str"/>
      <x:c r="H1846" s="6" t="str">
        <x:f>IF(B1846="平","平",IF(B1846="","","仄"))</x:f>
        <x:v>平</x:v>
      </x:c>
      <x:c r="I1846" s="6" t="str">
        <x:f>IF(D1837="","",IF(AND(ISNUMBER(SEARCH("平",D1837)),OR(ISNUMBER(SEARCH("上",D1837)),ISNUMBER(SEARCH("去",D1837)),ISNUMBER(SEARCH("入",D1837)))),"Ambiguous",IF(ISNUMBER(SEARCH("平",D1837)),"平","仄")))</x:f>
        <x:v>仄</x:v>
      </x:c>
      <x:c r="J1846" s="7" t="str"/>
    </x:row>
    <x:row r="1847">
      <x:c r="A1847" s="5" t="str">
        <x:v>柱</x:v>
      </x:c>
      <x:c r="B1847" s="6" t="str">
        <x:v>上</x:v>
      </x:c>
      <x:c r="C1847" s="6" t="str">
        <x:f>IF(B1847="","Needs decision","Ready")</x:f>
        <x:v>Ready</x:v>
      </x:c>
      <x:c r="D1847" s="6" t="str">
        <x:v>上</x:v>
      </x:c>
      <x:c r="E1847" s="6" t="str">
        <x:v>drjuX (B)</x:v>
      </x:c>
      <x:c r="F1847" s="6" t="str">
        <x:v>1</x:v>
      </x:c>
      <x:c r="G1847" s="6" t="str"/>
      <x:c r="H1847" s="6" t="str">
        <x:f>IF(B1847="平","平",IF(B1847="","","仄"))</x:f>
        <x:v>仄</x:v>
      </x:c>
      <x:c r="I1847" s="6" t="str">
        <x:f>IF(D1838="","",IF(AND(ISNUMBER(SEARCH("平",D1838)),OR(ISNUMBER(SEARCH("上",D1838)),ISNUMBER(SEARCH("去",D1838)),ISNUMBER(SEARCH("入",D1838)))),"Ambiguous",IF(ISNUMBER(SEARCH("平",D1838)),"平","仄")))</x:f>
        <x:v>仄</x:v>
      </x:c>
      <x:c r="J1847" s="7" t="str"/>
    </x:row>
    <x:row r="1848">
      <x:c r="A1848" s="5" t="str">
        <x:v>柲</x:v>
      </x:c>
      <x:c r="B1848" s="6" t="str">
        <x:v>入</x:v>
      </x:c>
      <x:c r="C1848" s="6" t="str">
        <x:f>IF(B1848="","Needs decision","Ready")</x:f>
        <x:v>Ready</x:v>
      </x:c>
      <x:c r="D1848" s="6" t="str">
        <x:v>入</x:v>
      </x:c>
      <x:c r="E1848" s="6" t="str">
        <x:v>pit (D)</x:v>
      </x:c>
      <x:c r="F1848" s="6" t="str">
        <x:v>1</x:v>
      </x:c>
      <x:c r="G1848" s="6" t="str"/>
      <x:c r="H1848" s="6" t="str">
        <x:f>IF(B1848="平","平",IF(B1848="","","仄"))</x:f>
        <x:v>仄</x:v>
      </x:c>
      <x:c r="I1848" s="6" t="str">
        <x:f>IF(D1839="","",IF(AND(ISNUMBER(SEARCH("平",D1839)),OR(ISNUMBER(SEARCH("上",D1839)),ISNUMBER(SEARCH("去",D1839)),ISNUMBER(SEARCH("入",D1839)))),"Ambiguous",IF(ISNUMBER(SEARCH("平",D1839)),"平","仄")))</x:f>
        <x:v>平</x:v>
      </x:c>
      <x:c r="J1848" s="7" t="str"/>
    </x:row>
    <x:row r="1849">
      <x:c r="A1849" s="5" t="str">
        <x:v>柳</x:v>
      </x:c>
      <x:c r="B1849" s="6" t="str">
        <x:v>上</x:v>
      </x:c>
      <x:c r="C1849" s="6" t="str">
        <x:f>IF(B1849="","Needs decision","Ready")</x:f>
        <x:v>Ready</x:v>
      </x:c>
      <x:c r="D1849" s="6" t="str">
        <x:v>上</x:v>
      </x:c>
      <x:c r="E1849" s="6" t="str">
        <x:v>ljuwX (B)</x:v>
      </x:c>
      <x:c r="F1849" s="6" t="str">
        <x:v>1</x:v>
      </x:c>
      <x:c r="G1849" s="6" t="str"/>
      <x:c r="H1849" s="6" t="str">
        <x:f>IF(B1849="平","平",IF(B1849="","","仄"))</x:f>
        <x:v>仄</x:v>
      </x:c>
      <x:c r="I1849" s="6" t="str">
        <x:f>IF(D1840="","",IF(AND(ISNUMBER(SEARCH("平",D1840)),OR(ISNUMBER(SEARCH("上",D1840)),ISNUMBER(SEARCH("去",D1840)),ISNUMBER(SEARCH("入",D1840)))),"Ambiguous",IF(ISNUMBER(SEARCH("平",D1840)),"平","仄")))</x:f>
        <x:v>仄</x:v>
      </x:c>
      <x:c r="J1849" s="7" t="str"/>
    </x:row>
    <x:row r="1850">
      <x:c r="A1850" s="5" t="str">
        <x:v>柴</x:v>
      </x:c>
      <x:c r="B1850" s="6" t="str">
        <x:v>平</x:v>
      </x:c>
      <x:c r="C1850" s="6" t="str">
        <x:f>IF(B1850="","Needs decision","Ready")</x:f>
        <x:v>Ready</x:v>
      </x:c>
      <x:c r="D1850" s="6" t="str">
        <x:v>平</x:v>
      </x:c>
      <x:c r="E1850" s="6" t="str">
        <x:v>dzrea (A)</x:v>
      </x:c>
      <x:c r="F1850" s="6" t="str">
        <x:v>1</x:v>
      </x:c>
      <x:c r="G1850" s="6" t="str"/>
      <x:c r="H1850" s="6" t="str">
        <x:f>IF(B1850="平","平",IF(B1850="","","仄"))</x:f>
        <x:v>平</x:v>
      </x:c>
      <x:c r="I1850" s="6" t="str">
        <x:f>IF(D1841="","",IF(AND(ISNUMBER(SEARCH("平",D1841)),OR(ISNUMBER(SEARCH("上",D1841)),ISNUMBER(SEARCH("去",D1841)),ISNUMBER(SEARCH("入",D1841)))),"Ambiguous",IF(ISNUMBER(SEARCH("平",D1841)),"平","仄")))</x:f>
        <x:v>仄</x:v>
      </x:c>
      <x:c r="J1850" s="7" t="str"/>
    </x:row>
    <x:row r="1851">
      <x:c r="A1851" s="5" t="str">
        <x:v>柿</x:v>
      </x:c>
      <x:c r="B1851" s="6" t="str">
        <x:v>上</x:v>
      </x:c>
      <x:c r="C1851" s="6" t="str">
        <x:f>IF(B1851="","Needs decision","Ready")</x:f>
        <x:v>Ready</x:v>
      </x:c>
      <x:c r="D1851" s="6" t="str">
        <x:v>上</x:v>
      </x:c>
      <x:c r="E1851" s="6" t="str">
        <x:v>dzrijX (B)</x:v>
      </x:c>
      <x:c r="F1851" s="6" t="str">
        <x:v>1</x:v>
      </x:c>
      <x:c r="G1851" s="6" t="str"/>
      <x:c r="H1851" s="6" t="str">
        <x:f>IF(B1851="平","平",IF(B1851="","","仄"))</x:f>
        <x:v>仄</x:v>
      </x:c>
      <x:c r="I1851" s="6" t="str">
        <x:f>IF(D1842="","",IF(AND(ISNUMBER(SEARCH("平",D1842)),OR(ISNUMBER(SEARCH("上",D1842)),ISNUMBER(SEARCH("去",D1842)),ISNUMBER(SEARCH("入",D1842)))),"Ambiguous",IF(ISNUMBER(SEARCH("平",D1842)),"平","仄")))</x:f>
        <x:v>仄</x:v>
      </x:c>
      <x:c r="J1851" s="7" t="str"/>
    </x:row>
    <x:row r="1852">
      <x:c r="A1852" s="5" t="str">
        <x:v>栅</x:v>
      </x:c>
      <x:c r="B1852" s="6" t="str">
        <x:v>入</x:v>
      </x:c>
      <x:c r="C1852" s="6" t="str">
        <x:f>IF(B1852="","Needs decision","Ready")</x:f>
        <x:v>Ready</x:v>
      </x:c>
      <x:c r="D1852" s="6" t="str">
        <x:v>入</x:v>
      </x:c>
      <x:c r="E1852" s="6" t="str">
        <x:v>tsrheak (D)</x:v>
      </x:c>
      <x:c r="F1852" s="6" t="str">
        <x:v>1</x:v>
      </x:c>
      <x:c r="G1852" s="6" t="str"/>
      <x:c r="H1852" s="6" t="str">
        <x:f>IF(B1852="平","平",IF(B1852="","","仄"))</x:f>
        <x:v>仄</x:v>
      </x:c>
      <x:c r="I1852" s="6" t="str">
        <x:f>IF(D1843="","",IF(AND(ISNUMBER(SEARCH("平",D1843)),OR(ISNUMBER(SEARCH("上",D1843)),ISNUMBER(SEARCH("去",D1843)),ISNUMBER(SEARCH("入",D1843)))),"Ambiguous",IF(ISNUMBER(SEARCH("平",D1843)),"平","仄")))</x:f>
        <x:v>平</x:v>
      </x:c>
      <x:c r="J1852" s="7" t="str"/>
    </x:row>
    <x:row r="1853">
      <x:c r="A1853" s="5" t="str">
        <x:v>栖</x:v>
      </x:c>
      <x:c r="B1853" s="6" t="str">
        <x:v>平</x:v>
      </x:c>
      <x:c r="C1853" s="6" t="str">
        <x:f>IF(B1853="","Needs decision","Ready")</x:f>
        <x:v>Ready</x:v>
      </x:c>
      <x:c r="D1853" s="6" t="str">
        <x:v>平</x:v>
      </x:c>
      <x:c r="E1853" s="6" t="str">
        <x:v>sej (A)</x:v>
      </x:c>
      <x:c r="F1853" s="6" t="str">
        <x:v>1</x:v>
      </x:c>
      <x:c r="G1853" s="6" t="str"/>
      <x:c r="H1853" s="6" t="str">
        <x:f>IF(B1853="平","平",IF(B1853="","","仄"))</x:f>
        <x:v>平</x:v>
      </x:c>
      <x:c r="I1853" s="6" t="str">
        <x:f>IF(D1844="","",IF(AND(ISNUMBER(SEARCH("平",D1844)),OR(ISNUMBER(SEARCH("上",D1844)),ISNUMBER(SEARCH("去",D1844)),ISNUMBER(SEARCH("入",D1844)))),"Ambiguous",IF(ISNUMBER(SEARCH("平",D1844)),"平","仄")))</x:f>
        <x:v>仄</x:v>
      </x:c>
      <x:c r="J1853" s="7" t="str"/>
    </x:row>
    <x:row r="1854">
      <x:c r="A1854" s="5" t="str">
        <x:v>栗</x:v>
      </x:c>
      <x:c r="B1854" s="6" t="str">
        <x:v>入</x:v>
      </x:c>
      <x:c r="C1854" s="6" t="str">
        <x:f>IF(B1854="","Needs decision","Ready")</x:f>
        <x:v>Ready</x:v>
      </x:c>
      <x:c r="D1854" s="6" t="str">
        <x:v>入</x:v>
      </x:c>
      <x:c r="E1854" s="6" t="str">
        <x:v>lit (D)</x:v>
      </x:c>
      <x:c r="F1854" s="6" t="str">
        <x:v>1</x:v>
      </x:c>
      <x:c r="G1854" s="6" t="str"/>
      <x:c r="H1854" s="6" t="str">
        <x:f>IF(B1854="平","平",IF(B1854="","","仄"))</x:f>
        <x:v>仄</x:v>
      </x:c>
      <x:c r="I1854" s="6" t="str">
        <x:f>IF(D1845="","",IF(AND(ISNUMBER(SEARCH("平",D1845)),OR(ISNUMBER(SEARCH("上",D1845)),ISNUMBER(SEARCH("去",D1845)),ISNUMBER(SEARCH("入",D1845)))),"Ambiguous",IF(ISNUMBER(SEARCH("平",D1845)),"平","仄")))</x:f>
        <x:v>仄</x:v>
      </x:c>
      <x:c r="J1854" s="7" t="str"/>
    </x:row>
    <x:row r="1855">
      <x:c r="A1855" s="5" t="str">
        <x:v>校</x:v>
      </x:c>
      <x:c r="B1855" s="6" t="str">
        <x:v>去</x:v>
      </x:c>
      <x:c r="C1855" s="6" t="str">
        <x:f>IF(B1855="","Needs decision","Ready")</x:f>
        <x:v>Ready</x:v>
      </x:c>
      <x:c r="D1855" s="6" t="str">
        <x:v>去</x:v>
      </x:c>
      <x:c r="E1855" s="6" t="str">
        <x:v>haewH [ʁaˤwh] (去); kaewH [qaˤwh] (去)</x:v>
      </x:c>
      <x:c r="F1855" s="6" t="str">
        <x:v>2</x:v>
      </x:c>
      <x:c r="G1855" s="6" t="str">
        <x:v>Tang 300 gap; frequency 1; provisional from Xun Gong</x:v>
      </x:c>
      <x:c r="H1855" s="6" t="str">
        <x:f>IF(B1855="平","平",IF(B1855="","","仄"))</x:f>
        <x:v>仄</x:v>
      </x:c>
      <x:c r="I1855" s="6" t="str">
        <x:f>IF(D1846="","",IF(AND(ISNUMBER(SEARCH("平",D1846)),OR(ISNUMBER(SEARCH("上",D1846)),ISNUMBER(SEARCH("去",D1846)),ISNUMBER(SEARCH("入",D1846)))),"Ambiguous",IF(ISNUMBER(SEARCH("平",D1846)),"平","仄")))</x:f>
        <x:v>平</x:v>
      </x:c>
      <x:c r="J1855" s="7" t="str">
        <x:v>Xun Gong, Tang 300 gap fill</x:v>
      </x:c>
    </x:row>
    <x:row r="1856">
      <x:c r="A1856" s="5" t="str">
        <x:v>株</x:v>
      </x:c>
      <x:c r="B1856" s="6" t="str">
        <x:v>平</x:v>
      </x:c>
      <x:c r="C1856" s="6" t="str">
        <x:f>IF(B1856="","Needs decision","Ready")</x:f>
        <x:v>Ready</x:v>
      </x:c>
      <x:c r="D1856" s="6" t="str">
        <x:v>平</x:v>
      </x:c>
      <x:c r="E1856" s="6" t="str">
        <x:v>trju (A)</x:v>
      </x:c>
      <x:c r="F1856" s="6" t="str">
        <x:v>1</x:v>
      </x:c>
      <x:c r="G1856" s="6" t="str"/>
      <x:c r="H1856" s="6" t="str">
        <x:f>IF(B1856="平","平",IF(B1856="","","仄"))</x:f>
        <x:v>平</x:v>
      </x:c>
      <x:c r="I1856" s="6" t="str">
        <x:f>IF(D1847="","",IF(AND(ISNUMBER(SEARCH("平",D1847)),OR(ISNUMBER(SEARCH("上",D1847)),ISNUMBER(SEARCH("去",D1847)),ISNUMBER(SEARCH("入",D1847)))),"Ambiguous",IF(ISNUMBER(SEARCH("平",D1847)),"平","仄")))</x:f>
        <x:v>仄</x:v>
      </x:c>
      <x:c r="J1856" s="7" t="str"/>
    </x:row>
    <x:row r="1857">
      <x:c r="A1857" s="5" t="str">
        <x:v>栫</x:v>
      </x:c>
      <x:c r="B1857" s="6" t="str">
        <x:v>去</x:v>
      </x:c>
      <x:c r="C1857" s="6" t="str">
        <x:f>IF(B1857="","Needs decision","Ready")</x:f>
        <x:v>Ready</x:v>
      </x:c>
      <x:c r="D1857" s="6" t="str">
        <x:v>去</x:v>
      </x:c>
      <x:c r="E1857" s="6" t="str">
        <x:v>dzenH (C)</x:v>
      </x:c>
      <x:c r="F1857" s="6" t="str">
        <x:v>1</x:v>
      </x:c>
      <x:c r="G1857" s="6" t="str"/>
      <x:c r="H1857" s="6" t="str">
        <x:f>IF(B1857="平","平",IF(B1857="","","仄"))</x:f>
        <x:v>仄</x:v>
      </x:c>
      <x:c r="I1857" s="6" t="str">
        <x:f>IF(D1848="","",IF(AND(ISNUMBER(SEARCH("平",D1848)),OR(ISNUMBER(SEARCH("上",D1848)),ISNUMBER(SEARCH("去",D1848)),ISNUMBER(SEARCH("入",D1848)))),"Ambiguous",IF(ISNUMBER(SEARCH("平",D1848)),"平","仄")))</x:f>
        <x:v>仄</x:v>
      </x:c>
      <x:c r="J1857" s="7" t="str"/>
    </x:row>
    <x:row r="1858">
      <x:c r="A1858" s="5" t="str">
        <x:v>核</x:v>
      </x:c>
      <x:c r="B1858" s="6" t="str">
        <x:v>入</x:v>
      </x:c>
      <x:c r="C1858" s="6" t="str">
        <x:f>IF(B1858="","Needs decision","Ready")</x:f>
        <x:v>Ready</x:v>
      </x:c>
      <x:c r="D1858" s="6" t="str">
        <x:v>入</x:v>
      </x:c>
      <x:c r="E1858" s="6" t="str">
        <x:v>heak (D)</x:v>
      </x:c>
      <x:c r="F1858" s="6" t="str">
        <x:v>1</x:v>
      </x:c>
      <x:c r="G1858" s="6" t="str"/>
      <x:c r="H1858" s="6" t="str">
        <x:f>IF(B1858="平","平",IF(B1858="","","仄"))</x:f>
        <x:v>仄</x:v>
      </x:c>
      <x:c r="I1858" s="6" t="str">
        <x:f>IF(D1849="","",IF(AND(ISNUMBER(SEARCH("平",D1849)),OR(ISNUMBER(SEARCH("上",D1849)),ISNUMBER(SEARCH("去",D1849)),ISNUMBER(SEARCH("入",D1849)))),"Ambiguous",IF(ISNUMBER(SEARCH("平",D1849)),"平","仄")))</x:f>
        <x:v>仄</x:v>
      </x:c>
      <x:c r="J1858" s="7" t="str"/>
    </x:row>
    <x:row r="1859">
      <x:c r="A1859" s="5" t="str">
        <x:v>根</x:v>
      </x:c>
      <x:c r="B1859" s="6" t="str">
        <x:v>平</x:v>
      </x:c>
      <x:c r="C1859" s="6" t="str">
        <x:f>IF(B1859="","Needs decision","Ready")</x:f>
        <x:v>Ready</x:v>
      </x:c>
      <x:c r="D1859" s="6" t="str">
        <x:v>平</x:v>
      </x:c>
      <x:c r="E1859" s="6" t="str">
        <x:v>kon (A)</x:v>
      </x:c>
      <x:c r="F1859" s="6" t="str">
        <x:v>1</x:v>
      </x:c>
      <x:c r="G1859" s="6" t="str"/>
      <x:c r="H1859" s="6" t="str">
        <x:f>IF(B1859="平","平",IF(B1859="","","仄"))</x:f>
        <x:v>平</x:v>
      </x:c>
      <x:c r="I1859" s="6" t="str">
        <x:f>IF(D1850="","",IF(AND(ISNUMBER(SEARCH("平",D1850)),OR(ISNUMBER(SEARCH("上",D1850)),ISNUMBER(SEARCH("去",D1850)),ISNUMBER(SEARCH("入",D1850)))),"Ambiguous",IF(ISNUMBER(SEARCH("平",D1850)),"平","仄")))</x:f>
        <x:v>平</x:v>
      </x:c>
      <x:c r="J1859" s="7" t="str"/>
    </x:row>
    <x:row r="1860">
      <x:c r="A1860" s="5" t="str">
        <x:v>格</x:v>
      </x:c>
      <x:c r="B1860" s="6" t="str">
        <x:v>入</x:v>
      </x:c>
      <x:c r="C1860" s="6" t="str">
        <x:f>IF(B1860="","Needs decision","Ready")</x:f>
        <x:v>Ready</x:v>
      </x:c>
      <x:c r="D1860" s="6" t="str">
        <x:v>入</x:v>
      </x:c>
      <x:c r="E1860" s="6" t="str">
        <x:v>kaek (D)</x:v>
      </x:c>
      <x:c r="F1860" s="6" t="str">
        <x:v>1</x:v>
      </x:c>
      <x:c r="G1860" s="6" t="str"/>
      <x:c r="H1860" s="6" t="str">
        <x:f>IF(B1860="平","平",IF(B1860="","","仄"))</x:f>
        <x:v>仄</x:v>
      </x:c>
      <x:c r="I1860" s="6" t="str">
        <x:f>IF(D1851="","",IF(AND(ISNUMBER(SEARCH("平",D1851)),OR(ISNUMBER(SEARCH("上",D1851)),ISNUMBER(SEARCH("去",D1851)),ISNUMBER(SEARCH("入",D1851)))),"Ambiguous",IF(ISNUMBER(SEARCH("平",D1851)),"平","仄")))</x:f>
        <x:v>仄</x:v>
      </x:c>
      <x:c r="J1860" s="7" t="str"/>
    </x:row>
    <x:row r="1861">
      <x:c r="A1861" s="5" t="str">
        <x:v>栽</x:v>
      </x:c>
      <x:c r="B1861" s="6" t="str">
        <x:v>平</x:v>
      </x:c>
      <x:c r="C1861" s="6" t="str">
        <x:f>IF(B1861="","Needs decision","Ready")</x:f>
        <x:v>Ready</x:v>
      </x:c>
      <x:c r="D1861" s="6" t="str">
        <x:v>平</x:v>
      </x:c>
      <x:c r="E1861" s="6" t="str">
        <x:v>tsoj (A)</x:v>
      </x:c>
      <x:c r="F1861" s="6" t="str">
        <x:v>1</x:v>
      </x:c>
      <x:c r="G1861" s="6" t="str"/>
      <x:c r="H1861" s="6" t="str">
        <x:f>IF(B1861="平","平",IF(B1861="","","仄"))</x:f>
        <x:v>平</x:v>
      </x:c>
      <x:c r="I1861" s="6" t="str">
        <x:f>IF(D1852="","",IF(AND(ISNUMBER(SEARCH("平",D1852)),OR(ISNUMBER(SEARCH("上",D1852)),ISNUMBER(SEARCH("去",D1852)),ISNUMBER(SEARCH("入",D1852)))),"Ambiguous",IF(ISNUMBER(SEARCH("平",D1852)),"平","仄")))</x:f>
        <x:v>仄</x:v>
      </x:c>
      <x:c r="J1861" s="7" t="str"/>
    </x:row>
    <x:row r="1862">
      <x:c r="A1862" s="5" t="str">
        <x:v>桀</x:v>
      </x:c>
      <x:c r="B1862" s="6" t="str">
        <x:v>入</x:v>
      </x:c>
      <x:c r="C1862" s="6" t="str">
        <x:f>IF(B1862="","Needs decision","Ready")</x:f>
        <x:v>Ready</x:v>
      </x:c>
      <x:c r="D1862" s="6" t="str">
        <x:v>入</x:v>
      </x:c>
      <x:c r="E1862" s="6" t="str">
        <x:v>gjet (D); kjet (D)</x:v>
      </x:c>
      <x:c r="F1862" s="6" t="str">
        <x:v>2</x:v>
      </x:c>
      <x:c r="G1862" s="6" t="str"/>
      <x:c r="H1862" s="6" t="str">
        <x:f>IF(B1862="平","平",IF(B1862="","","仄"))</x:f>
        <x:v>仄</x:v>
      </x:c>
      <x:c r="I1862" s="6" t="str">
        <x:f>IF(D1853="","",IF(AND(ISNUMBER(SEARCH("平",D1853)),OR(ISNUMBER(SEARCH("上",D1853)),ISNUMBER(SEARCH("去",D1853)),ISNUMBER(SEARCH("入",D1853)))),"Ambiguous",IF(ISNUMBER(SEARCH("平",D1853)),"平","仄")))</x:f>
        <x:v>平</x:v>
      </x:c>
      <x:c r="J1862" s="7" t="str"/>
    </x:row>
    <x:row r="1863">
      <x:c r="A1863" s="5" t="str">
        <x:v>桁</x:v>
      </x:c>
      <x:c r="B1863" s="6" t="str">
        <x:v>平</x:v>
      </x:c>
      <x:c r="C1863" s="6" t="str">
        <x:f>IF(B1863="","Needs decision","Ready")</x:f>
        <x:v>Ready</x:v>
      </x:c>
      <x:c r="D1863" s="6" t="str">
        <x:v>平</x:v>
      </x:c>
      <x:c r="E1863" s="6" t="str">
        <x:v>haeng (A)</x:v>
      </x:c>
      <x:c r="F1863" s="6" t="str">
        <x:v>1</x:v>
      </x:c>
      <x:c r="G1863" s="6" t="str"/>
      <x:c r="H1863" s="6" t="str">
        <x:f>IF(B1863="平","平",IF(B1863="","","仄"))</x:f>
        <x:v>平</x:v>
      </x:c>
      <x:c r="I1863" s="6" t="str">
        <x:f>IF(D1854="","",IF(AND(ISNUMBER(SEARCH("平",D1854)),OR(ISNUMBER(SEARCH("上",D1854)),ISNUMBER(SEARCH("去",D1854)),ISNUMBER(SEARCH("入",D1854)))),"Ambiguous",IF(ISNUMBER(SEARCH("平",D1854)),"平","仄")))</x:f>
        <x:v>仄</x:v>
      </x:c>
      <x:c r="J1863" s="7" t="str"/>
    </x:row>
    <x:row r="1864">
      <x:c r="A1864" s="5" t="str">
        <x:v>桂</x:v>
      </x:c>
      <x:c r="B1864" s="6" t="str">
        <x:v>去</x:v>
      </x:c>
      <x:c r="C1864" s="6" t="str">
        <x:f>IF(B1864="","Needs decision","Ready")</x:f>
        <x:v>Ready</x:v>
      </x:c>
      <x:c r="D1864" s="6" t="str">
        <x:v>去</x:v>
      </x:c>
      <x:c r="E1864" s="6" t="str"/>
      <x:c r="F1864" s="6" t="str"/>
      <x:c r="G1864" s="6" t="str">
        <x:v>Manual user correction/addition</x:v>
      </x:c>
      <x:c r="H1864" s="6" t="str">
        <x:f>IF(B1864="平","平",IF(B1864="","","仄"))</x:f>
        <x:v>仄</x:v>
      </x:c>
      <x:c r="I1864" s="6" t="str">
        <x:f>IF(D1855="","",IF(AND(ISNUMBER(SEARCH("平",D1855)),OR(ISNUMBER(SEARCH("上",D1855)),ISNUMBER(SEARCH("去",D1855)),ISNUMBER(SEARCH("入",D1855)))),"Ambiguous",IF(ISNUMBER(SEARCH("平",D1855)),"平","仄")))</x:f>
        <x:v>仄</x:v>
      </x:c>
      <x:c r="J1864" s="7" t="str">
        <x:v>manual user correction</x:v>
      </x:c>
    </x:row>
    <x:row r="1865">
      <x:c r="A1865" s="5" t="str">
        <x:v>桃</x:v>
      </x:c>
      <x:c r="B1865" s="6" t="str">
        <x:v>平</x:v>
      </x:c>
      <x:c r="C1865" s="6" t="str">
        <x:f>IF(B1865="","Needs decision","Ready")</x:f>
        <x:v>Ready</x:v>
      </x:c>
      <x:c r="D1865" s="6" t="str">
        <x:v>平</x:v>
      </x:c>
      <x:c r="E1865" s="6" t="str">
        <x:v>daw (A)</x:v>
      </x:c>
      <x:c r="F1865" s="6" t="str">
        <x:v>1</x:v>
      </x:c>
      <x:c r="G1865" s="6" t="str"/>
      <x:c r="H1865" s="6" t="str">
        <x:f>IF(B1865="平","平",IF(B1865="","","仄"))</x:f>
        <x:v>平</x:v>
      </x:c>
      <x:c r="I1865" s="6" t="str">
        <x:f>IF(D1856="","",IF(AND(ISNUMBER(SEARCH("平",D1856)),OR(ISNUMBER(SEARCH("上",D1856)),ISNUMBER(SEARCH("去",D1856)),ISNUMBER(SEARCH("入",D1856)))),"Ambiguous",IF(ISNUMBER(SEARCH("平",D1856)),"平","仄")))</x:f>
        <x:v>平</x:v>
      </x:c>
      <x:c r="J1865" s="7" t="str"/>
    </x:row>
    <x:row r="1866">
      <x:c r="A1866" s="5" t="str">
        <x:v>案</x:v>
      </x:c>
      <x:c r="B1866" s="6" t="str">
        <x:v>去</x:v>
      </x:c>
      <x:c r="C1866" s="6" t="str">
        <x:f>IF(B1866="","Needs decision","Ready")</x:f>
        <x:v>Ready</x:v>
      </x:c>
      <x:c r="D1866" s="6" t="str">
        <x:v>去</x:v>
      </x:c>
      <x:c r="E1866" s="6" t="str">
        <x:v>'anH (C)</x:v>
      </x:c>
      <x:c r="F1866" s="6" t="str">
        <x:v>1</x:v>
      </x:c>
      <x:c r="G1866" s="6" t="str"/>
      <x:c r="H1866" s="6" t="str">
        <x:f>IF(B1866="平","平",IF(B1866="","","仄"))</x:f>
        <x:v>仄</x:v>
      </x:c>
      <x:c r="I1866" s="6" t="str">
        <x:f>IF(D1857="","",IF(AND(ISNUMBER(SEARCH("平",D1857)),OR(ISNUMBER(SEARCH("上",D1857)),ISNUMBER(SEARCH("去",D1857)),ISNUMBER(SEARCH("入",D1857)))),"Ambiguous",IF(ISNUMBER(SEARCH("平",D1857)),"平","仄")))</x:f>
        <x:v>仄</x:v>
      </x:c>
      <x:c r="J1866" s="7" t="str"/>
    </x:row>
    <x:row r="1867">
      <x:c r="A1867" s="5" t="str">
        <x:v>桌</x:v>
      </x:c>
      <x:c r="B1867" s="6" t="str">
        <x:v>入</x:v>
      </x:c>
      <x:c r="C1867" s="6" t="str">
        <x:f>IF(B1867="","Needs decision","Ready")</x:f>
        <x:v>Ready</x:v>
      </x:c>
      <x:c r="D1867" s="6" t="str">
        <x:v>入</x:v>
      </x:c>
      <x:c r="E1867" s="6" t="str">
        <x:v>traewk (D)</x:v>
      </x:c>
      <x:c r="F1867" s="6" t="str">
        <x:v>1</x:v>
      </x:c>
      <x:c r="G1867" s="6" t="str"/>
      <x:c r="H1867" s="6" t="str">
        <x:f>IF(B1867="平","平",IF(B1867="","","仄"))</x:f>
        <x:v>仄</x:v>
      </x:c>
      <x:c r="I1867" s="6" t="str">
        <x:f>IF(D1858="","",IF(AND(ISNUMBER(SEARCH("平",D1858)),OR(ISNUMBER(SEARCH("上",D1858)),ISNUMBER(SEARCH("去",D1858)),ISNUMBER(SEARCH("入",D1858)))),"Ambiguous",IF(ISNUMBER(SEARCH("平",D1858)),"平","仄")))</x:f>
        <x:v>仄</x:v>
      </x:c>
      <x:c r="J1867" s="7" t="str"/>
    </x:row>
    <x:row r="1868">
      <x:c r="A1868" s="5" t="str">
        <x:v>桐</x:v>
      </x:c>
      <x:c r="B1868" s="6" t="str">
        <x:v>平</x:v>
      </x:c>
      <x:c r="C1868" s="6" t="str">
        <x:f>IF(B1868="","Needs decision","Ready")</x:f>
        <x:v>Ready</x:v>
      </x:c>
      <x:c r="D1868" s="6" t="str">
        <x:v>平</x:v>
      </x:c>
      <x:c r="E1868" s="6" t="str">
        <x:v>duwng [d̙uŋ] (平)</x:v>
      </x:c>
      <x:c r="F1868" s="6" t="str">
        <x:v>1</x:v>
      </x:c>
      <x:c r="G1868" s="6" t="str">
        <x:v>Tang 300 gap; frequency 3; provisional from Xun Gong</x:v>
      </x:c>
      <x:c r="H1868" s="6" t="str">
        <x:f>IF(B1868="平","平",IF(B1868="","","仄"))</x:f>
        <x:v>平</x:v>
      </x:c>
      <x:c r="I1868" s="6" t="str">
        <x:f>IF(D1859="","",IF(AND(ISNUMBER(SEARCH("平",D1859)),OR(ISNUMBER(SEARCH("上",D1859)),ISNUMBER(SEARCH("去",D1859)),ISNUMBER(SEARCH("入",D1859)))),"Ambiguous",IF(ISNUMBER(SEARCH("平",D1859)),"平","仄")))</x:f>
        <x:v>平</x:v>
      </x:c>
      <x:c r="J1868" s="7" t="str">
        <x:v>Xun Gong, Tang 300 gap fill</x:v>
      </x:c>
    </x:row>
    <x:row r="1869">
      <x:c r="A1869" s="5" t="str">
        <x:v>桑</x:v>
      </x:c>
      <x:c r="B1869" s="6" t="str">
        <x:v>平</x:v>
      </x:c>
      <x:c r="C1869" s="6" t="str">
        <x:f>IF(B1869="","Needs decision","Ready")</x:f>
        <x:v>Ready</x:v>
      </x:c>
      <x:c r="D1869" s="6" t="str">
        <x:v>平</x:v>
      </x:c>
      <x:c r="E1869" s="6" t="str">
        <x:v>sang (A)</x:v>
      </x:c>
      <x:c r="F1869" s="6" t="str">
        <x:v>1</x:v>
      </x:c>
      <x:c r="G1869" s="6" t="str"/>
      <x:c r="H1869" s="6" t="str">
        <x:f>IF(B1869="平","平",IF(B1869="","","仄"))</x:f>
        <x:v>平</x:v>
      </x:c>
      <x:c r="I1869" s="6" t="str">
        <x:f>IF(D1860="","",IF(AND(ISNUMBER(SEARCH("平",D1860)),OR(ISNUMBER(SEARCH("上",D1860)),ISNUMBER(SEARCH("去",D1860)),ISNUMBER(SEARCH("入",D1860)))),"Ambiguous",IF(ISNUMBER(SEARCH("平",D1860)),"平","仄")))</x:f>
        <x:v>仄</x:v>
      </x:c>
      <x:c r="J1869" s="7" t="str"/>
    </x:row>
    <x:row r="1870">
      <x:c r="A1870" s="5" t="str">
        <x:v>桓</x:v>
      </x:c>
      <x:c r="B1870" s="6" t="str">
        <x:v>平</x:v>
      </x:c>
      <x:c r="C1870" s="6" t="str">
        <x:f>IF(B1870="","Needs decision","Ready")</x:f>
        <x:v>Ready</x:v>
      </x:c>
      <x:c r="D1870" s="6" t="str">
        <x:v>平</x:v>
      </x:c>
      <x:c r="E1870" s="6" t="str">
        <x:v>hwan (A)</x:v>
      </x:c>
      <x:c r="F1870" s="6" t="str">
        <x:v>1</x:v>
      </x:c>
      <x:c r="G1870" s="6" t="str"/>
      <x:c r="H1870" s="6" t="str">
        <x:f>IF(B1870="平","平",IF(B1870="","","仄"))</x:f>
        <x:v>平</x:v>
      </x:c>
      <x:c r="I1870" s="6" t="str">
        <x:f>IF(D1861="","",IF(AND(ISNUMBER(SEARCH("平",D1861)),OR(ISNUMBER(SEARCH("上",D1861)),ISNUMBER(SEARCH("去",D1861)),ISNUMBER(SEARCH("入",D1861)))),"Ambiguous",IF(ISNUMBER(SEARCH("平",D1861)),"平","仄")))</x:f>
        <x:v>平</x:v>
      </x:c>
      <x:c r="J1870" s="7" t="str"/>
    </x:row>
    <x:row r="1871">
      <x:c r="A1871" s="5" t="str">
        <x:v>桶</x:v>
      </x:c>
      <x:c r="B1871" s="6" t="str">
        <x:v>上</x:v>
      </x:c>
      <x:c r="C1871" s="6" t="str">
        <x:f>IF(B1871="","Needs decision","Ready")</x:f>
        <x:v>Ready</x:v>
      </x:c>
      <x:c r="D1871" s="6" t="str">
        <x:v>上</x:v>
      </x:c>
      <x:c r="E1871" s="6" t="str">
        <x:v>thuwngX (B)</x:v>
      </x:c>
      <x:c r="F1871" s="6" t="str">
        <x:v>1</x:v>
      </x:c>
      <x:c r="G1871" s="6" t="str"/>
      <x:c r="H1871" s="6" t="str">
        <x:f>IF(B1871="平","平",IF(B1871="","","仄"))</x:f>
        <x:v>仄</x:v>
      </x:c>
      <x:c r="I1871" s="6" t="str">
        <x:f>IF(D1862="","",IF(AND(ISNUMBER(SEARCH("平",D1862)),OR(ISNUMBER(SEARCH("上",D1862)),ISNUMBER(SEARCH("去",D1862)),ISNUMBER(SEARCH("入",D1862)))),"Ambiguous",IF(ISNUMBER(SEARCH("平",D1862)),"平","仄")))</x:f>
        <x:v>仄</x:v>
      </x:c>
      <x:c r="J1871" s="7" t="str"/>
    </x:row>
    <x:row r="1872">
      <x:c r="A1872" s="5" t="str">
        <x:v>桼</x:v>
      </x:c>
      <x:c r="B1872" s="6" t="str">
        <x:v>入</x:v>
      </x:c>
      <x:c r="C1872" s="6" t="str">
        <x:f>IF(B1872="","Needs decision","Ready")</x:f>
        <x:v>Ready</x:v>
      </x:c>
      <x:c r="D1872" s="6" t="str">
        <x:v>入</x:v>
      </x:c>
      <x:c r="E1872" s="6" t="str">
        <x:v>tshit (D)</x:v>
      </x:c>
      <x:c r="F1872" s="6" t="str">
        <x:v>1</x:v>
      </x:c>
      <x:c r="G1872" s="6" t="str"/>
      <x:c r="H1872" s="6" t="str">
        <x:f>IF(B1872="平","平",IF(B1872="","","仄"))</x:f>
        <x:v>仄</x:v>
      </x:c>
      <x:c r="I1872" s="6" t="str">
        <x:f>IF(D1863="","",IF(AND(ISNUMBER(SEARCH("平",D1863)),OR(ISNUMBER(SEARCH("上",D1863)),ISNUMBER(SEARCH("去",D1863)),ISNUMBER(SEARCH("入",D1863)))),"Ambiguous",IF(ISNUMBER(SEARCH("平",D1863)),"平","仄")))</x:f>
        <x:v>平</x:v>
      </x:c>
      <x:c r="J1872" s="7" t="str"/>
    </x:row>
    <x:row r="1873">
      <x:c r="A1873" s="5" t="str">
        <x:v>梁</x:v>
      </x:c>
      <x:c r="B1873" s="6" t="str">
        <x:v>平</x:v>
      </x:c>
      <x:c r="C1873" s="6" t="str">
        <x:f>IF(B1873="","Needs decision","Ready")</x:f>
        <x:v>Ready</x:v>
      </x:c>
      <x:c r="D1873" s="6" t="str">
        <x:v>平</x:v>
      </x:c>
      <x:c r="E1873" s="6" t="str">
        <x:v>ljang (A)</x:v>
      </x:c>
      <x:c r="F1873" s="6" t="str">
        <x:v>1</x:v>
      </x:c>
      <x:c r="G1873" s="6" t="str"/>
      <x:c r="H1873" s="6" t="str">
        <x:f>IF(B1873="平","平",IF(B1873="","","仄"))</x:f>
        <x:v>平</x:v>
      </x:c>
      <x:c r="I1873" s="6" t="str">
        <x:f>IF(D1864="","",IF(AND(ISNUMBER(SEARCH("平",D1864)),OR(ISNUMBER(SEARCH("上",D1864)),ISNUMBER(SEARCH("去",D1864)),ISNUMBER(SEARCH("入",D1864)))),"Ambiguous",IF(ISNUMBER(SEARCH("平",D1864)),"平","仄")))</x:f>
        <x:v>仄</x:v>
      </x:c>
      <x:c r="J1873" s="7" t="str"/>
    </x:row>
    <x:row r="1874">
      <x:c r="A1874" s="5" t="str">
        <x:v>梅</x:v>
      </x:c>
      <x:c r="B1874" s="6" t="str">
        <x:v>平</x:v>
      </x:c>
      <x:c r="C1874" s="6" t="str">
        <x:f>IF(B1874="","Needs decision","Ready")</x:f>
        <x:v>Ready</x:v>
      </x:c>
      <x:c r="D1874" s="6" t="str">
        <x:v>平</x:v>
      </x:c>
      <x:c r="E1874" s="6" t="str">
        <x:v>mwoj (A)</x:v>
      </x:c>
      <x:c r="F1874" s="6" t="str">
        <x:v>1</x:v>
      </x:c>
      <x:c r="G1874" s="6" t="str"/>
      <x:c r="H1874" s="6" t="str">
        <x:f>IF(B1874="平","平",IF(B1874="","","仄"))</x:f>
        <x:v>平</x:v>
      </x:c>
      <x:c r="I1874" s="6" t="str">
        <x:f>IF(D1865="","",IF(AND(ISNUMBER(SEARCH("平",D1865)),OR(ISNUMBER(SEARCH("上",D1865)),ISNUMBER(SEARCH("去",D1865)),ISNUMBER(SEARCH("入",D1865)))),"Ambiguous",IF(ISNUMBER(SEARCH("平",D1865)),"平","仄")))</x:f>
        <x:v>平</x:v>
      </x:c>
      <x:c r="J1874" s="7" t="str"/>
    </x:row>
    <x:row r="1875">
      <x:c r="A1875" s="5" t="str">
        <x:v>梓</x:v>
      </x:c>
      <x:c r="B1875" s="6" t="str">
        <x:v>上</x:v>
      </x:c>
      <x:c r="C1875" s="6" t="str">
        <x:f>IF(B1875="","Needs decision","Ready")</x:f>
        <x:v>Ready</x:v>
      </x:c>
      <x:c r="D1875" s="6" t="str">
        <x:v>上</x:v>
      </x:c>
      <x:c r="E1875" s="6" t="str">
        <x:v>tsiX (B)</x:v>
      </x:c>
      <x:c r="F1875" s="6" t="str">
        <x:v>1</x:v>
      </x:c>
      <x:c r="G1875" s="6" t="str"/>
      <x:c r="H1875" s="6" t="str">
        <x:f>IF(B1875="平","平",IF(B1875="","","仄"))</x:f>
        <x:v>仄</x:v>
      </x:c>
      <x:c r="I1875" s="6" t="str">
        <x:f>IF(D1866="","",IF(AND(ISNUMBER(SEARCH("平",D1866)),OR(ISNUMBER(SEARCH("上",D1866)),ISNUMBER(SEARCH("去",D1866)),ISNUMBER(SEARCH("入",D1866)))),"Ambiguous",IF(ISNUMBER(SEARCH("平",D1866)),"平","仄")))</x:f>
        <x:v>仄</x:v>
      </x:c>
      <x:c r="J1875" s="7" t="str"/>
    </x:row>
    <x:row r="1876">
      <x:c r="A1876" s="5" t="str">
        <x:v>梔</x:v>
      </x:c>
      <x:c r="B1876" s="6" t="str">
        <x:v>平</x:v>
      </x:c>
      <x:c r="C1876" s="6" t="str">
        <x:f>IF(B1876="","Needs decision","Ready")</x:f>
        <x:v>Ready</x:v>
      </x:c>
      <x:c r="D1876" s="6" t="str">
        <x:v>平</x:v>
      </x:c>
      <x:c r="E1876" s="6" t="str">
        <x:v>tsye [tɕie] (平)</x:v>
      </x:c>
      <x:c r="F1876" s="6" t="str">
        <x:v>1</x:v>
      </x:c>
      <x:c r="G1876" s="6" t="str">
        <x:v>Tang 300 gap; frequency 1; provisional from Xun Gong</x:v>
      </x:c>
      <x:c r="H1876" s="6" t="str">
        <x:f>IF(B1876="平","平",IF(B1876="","","仄"))</x:f>
        <x:v>平</x:v>
      </x:c>
      <x:c r="I1876" s="6" t="str">
        <x:f>IF(D1867="","",IF(AND(ISNUMBER(SEARCH("平",D1867)),OR(ISNUMBER(SEARCH("上",D1867)),ISNUMBER(SEARCH("去",D1867)),ISNUMBER(SEARCH("入",D1867)))),"Ambiguous",IF(ISNUMBER(SEARCH("平",D1867)),"平","仄")))</x:f>
        <x:v>仄</x:v>
      </x:c>
      <x:c r="J1876" s="7" t="str">
        <x:v>Xun Gong, Tang 300 gap fill</x:v>
      </x:c>
    </x:row>
    <x:row r="1877">
      <x:c r="A1877" s="5" t="str">
        <x:v>梗</x:v>
      </x:c>
      <x:c r="B1877" s="6" t="str">
        <x:v>上</x:v>
      </x:c>
      <x:c r="C1877" s="6" t="str">
        <x:f>IF(B1877="","Needs decision","Ready")</x:f>
        <x:v>Ready</x:v>
      </x:c>
      <x:c r="D1877" s="6" t="str">
        <x:v>上</x:v>
      </x:c>
      <x:c r="E1877" s="6" t="str">
        <x:v>kaengX (B)</x:v>
      </x:c>
      <x:c r="F1877" s="6" t="str">
        <x:v>1</x:v>
      </x:c>
      <x:c r="G1877" s="6" t="str"/>
      <x:c r="H1877" s="6" t="str">
        <x:f>IF(B1877="平","平",IF(B1877="","","仄"))</x:f>
        <x:v>仄</x:v>
      </x:c>
      <x:c r="I1877" s="6" t="str">
        <x:f>IF(D1868="","",IF(AND(ISNUMBER(SEARCH("平",D1868)),OR(ISNUMBER(SEARCH("上",D1868)),ISNUMBER(SEARCH("去",D1868)),ISNUMBER(SEARCH("入",D1868)))),"Ambiguous",IF(ISNUMBER(SEARCH("平",D1868)),"平","仄")))</x:f>
        <x:v>平</x:v>
      </x:c>
      <x:c r="J1877" s="7" t="str"/>
    </x:row>
    <x:row r="1878">
      <x:c r="A1878" s="5" t="str">
        <x:v>梜</x:v>
      </x:c>
      <x:c r="B1878" s="6" t="str">
        <x:v>入</x:v>
      </x:c>
      <x:c r="C1878" s="6" t="str">
        <x:f>IF(B1878="","Needs decision","Ready")</x:f>
        <x:v>Ready</x:v>
      </x:c>
      <x:c r="D1878" s="6" t="str">
        <x:v>入</x:v>
      </x:c>
      <x:c r="E1878" s="6" t="str">
        <x:v>kaep (D); kep (D)</x:v>
      </x:c>
      <x:c r="F1878" s="6" t="str">
        <x:v>2</x:v>
      </x:c>
      <x:c r="G1878" s="6" t="str"/>
      <x:c r="H1878" s="6" t="str">
        <x:f>IF(B1878="平","平",IF(B1878="","","仄"))</x:f>
        <x:v>仄</x:v>
      </x:c>
      <x:c r="I1878" s="6" t="str">
        <x:f>IF(D1869="","",IF(AND(ISNUMBER(SEARCH("平",D1869)),OR(ISNUMBER(SEARCH("上",D1869)),ISNUMBER(SEARCH("去",D1869)),ISNUMBER(SEARCH("入",D1869)))),"Ambiguous",IF(ISNUMBER(SEARCH("平",D1869)),"平","仄")))</x:f>
        <x:v>平</x:v>
      </x:c>
      <x:c r="J1878" s="7" t="str"/>
    </x:row>
    <x:row r="1879">
      <x:c r="A1879" s="5" t="str">
        <x:v>條</x:v>
      </x:c>
      <x:c r="B1879" s="6" t="str">
        <x:v>平</x:v>
      </x:c>
      <x:c r="C1879" s="6" t="str">
        <x:f>IF(B1879="","Needs decision","Ready")</x:f>
        <x:v>Ready</x:v>
      </x:c>
      <x:c r="D1879" s="6" t="str">
        <x:v>平</x:v>
      </x:c>
      <x:c r="E1879" s="6" t="str">
        <x:v>dew (A)</x:v>
      </x:c>
      <x:c r="F1879" s="6" t="str">
        <x:v>1</x:v>
      </x:c>
      <x:c r="G1879" s="6" t="str"/>
      <x:c r="H1879" s="6" t="str">
        <x:f>IF(B1879="平","平",IF(B1879="","","仄"))</x:f>
        <x:v>平</x:v>
      </x:c>
      <x:c r="I1879" s="6" t="str">
        <x:f>IF(D1870="","",IF(AND(ISNUMBER(SEARCH("平",D1870)),OR(ISNUMBER(SEARCH("上",D1870)),ISNUMBER(SEARCH("去",D1870)),ISNUMBER(SEARCH("入",D1870)))),"Ambiguous",IF(ISNUMBER(SEARCH("平",D1870)),"平","仄")))</x:f>
        <x:v>平</x:v>
      </x:c>
      <x:c r="J1879" s="7" t="str"/>
    </x:row>
    <x:row r="1880">
      <x:c r="A1880" s="5" t="str">
        <x:v>梢</x:v>
      </x:c>
      <x:c r="B1880" s="6" t="str">
        <x:v>平</x:v>
      </x:c>
      <x:c r="C1880" s="6" t="str">
        <x:f>IF(B1880="","Needs decision","Ready")</x:f>
        <x:v>Ready</x:v>
      </x:c>
      <x:c r="D1880" s="6" t="str">
        <x:v>平</x:v>
      </x:c>
      <x:c r="E1880" s="6" t="str">
        <x:v>sraew [ʂaˤw] (平)</x:v>
      </x:c>
      <x:c r="F1880" s="6" t="str">
        <x:v>1</x:v>
      </x:c>
      <x:c r="G1880" s="6" t="str">
        <x:v>Tang 300 gap; frequency 1; provisional from Xun Gong</x:v>
      </x:c>
      <x:c r="H1880" s="6" t="str">
        <x:f>IF(B1880="平","平",IF(B1880="","","仄"))</x:f>
        <x:v>平</x:v>
      </x:c>
      <x:c r="I1880" s="6" t="str">
        <x:f>IF(D1871="","",IF(AND(ISNUMBER(SEARCH("平",D1871)),OR(ISNUMBER(SEARCH("上",D1871)),ISNUMBER(SEARCH("去",D1871)),ISNUMBER(SEARCH("入",D1871)))),"Ambiguous",IF(ISNUMBER(SEARCH("平",D1871)),"平","仄")))</x:f>
        <x:v>仄</x:v>
      </x:c>
      <x:c r="J1880" s="7" t="str">
        <x:v>Xun Gong, Tang 300 gap fill</x:v>
      </x:c>
    </x:row>
    <x:row r="1881">
      <x:c r="A1881" s="5" t="str">
        <x:v>梧</x:v>
      </x:c>
      <x:c r="B1881" s="6" t="str">
        <x:v>平</x:v>
      </x:c>
      <x:c r="C1881" s="6" t="str">
        <x:f>IF(B1881="","Needs decision","Ready")</x:f>
        <x:v>Ready</x:v>
      </x:c>
      <x:c r="D1881" s="6" t="str">
        <x:v>平</x:v>
      </x:c>
      <x:c r="E1881" s="6" t="str">
        <x:v>ngu [ɴo] (平)</x:v>
      </x:c>
      <x:c r="F1881" s="6" t="str">
        <x:v>1</x:v>
      </x:c>
      <x:c r="G1881" s="6" t="str">
        <x:v>Tang 300 gap; frequency 3; provisional from Xun Gong</x:v>
      </x:c>
      <x:c r="H1881" s="6" t="str">
        <x:f>IF(B1881="平","平",IF(B1881="","","仄"))</x:f>
        <x:v>平</x:v>
      </x:c>
      <x:c r="I1881" s="6" t="str">
        <x:f>IF(D1872="","",IF(AND(ISNUMBER(SEARCH("平",D1872)),OR(ISNUMBER(SEARCH("上",D1872)),ISNUMBER(SEARCH("去",D1872)),ISNUMBER(SEARCH("入",D1872)))),"Ambiguous",IF(ISNUMBER(SEARCH("平",D1872)),"平","仄")))</x:f>
        <x:v>仄</x:v>
      </x:c>
      <x:c r="J1881" s="7" t="str">
        <x:v>Xun Gong, Tang 300 gap fill</x:v>
      </x:c>
    </x:row>
    <x:row r="1882">
      <x:c r="A1882" s="5" t="str">
        <x:v>梨</x:v>
      </x:c>
      <x:c r="B1882" s="6" t="str">
        <x:v>平</x:v>
      </x:c>
      <x:c r="C1882" s="6" t="str">
        <x:f>IF(B1882="","Needs decision","Ready")</x:f>
        <x:v>Ready</x:v>
      </x:c>
      <x:c r="D1882" s="6" t="str">
        <x:v>平</x:v>
      </x:c>
      <x:c r="E1882" s="6" t="str">
        <x:v>lij [li] (平)</x:v>
      </x:c>
      <x:c r="F1882" s="6" t="str">
        <x:v>1</x:v>
      </x:c>
      <x:c r="G1882" s="6" t="str">
        <x:v>Tang 300 gap; frequency 6; provisional from Xun Gong</x:v>
      </x:c>
      <x:c r="H1882" s="6" t="str">
        <x:f>IF(B1882="平","平",IF(B1882="","","仄"))</x:f>
        <x:v>平</x:v>
      </x:c>
      <x:c r="I1882" s="6" t="str">
        <x:f>IF(D1873="","",IF(AND(ISNUMBER(SEARCH("平",D1873)),OR(ISNUMBER(SEARCH("上",D1873)),ISNUMBER(SEARCH("去",D1873)),ISNUMBER(SEARCH("入",D1873)))),"Ambiguous",IF(ISNUMBER(SEARCH("平",D1873)),"平","仄")))</x:f>
        <x:v>平</x:v>
      </x:c>
      <x:c r="J1882" s="7" t="str">
        <x:v>Xun Gong, Tang 300 gap fill</x:v>
      </x:c>
    </x:row>
    <x:row r="1883">
      <x:c r="A1883" s="5" t="str">
        <x:v>梭</x:v>
      </x:c>
      <x:c r="B1883" s="6" t="str">
        <x:v>平</x:v>
      </x:c>
      <x:c r="C1883" s="6" t="str">
        <x:f>IF(B1883="","Needs decision","Ready")</x:f>
        <x:v>Ready</x:v>
      </x:c>
      <x:c r="D1883" s="6" t="str">
        <x:v>平</x:v>
      </x:c>
      <x:c r="E1883" s="6" t="str">
        <x:v>swa [s̙wɑ] (平)</x:v>
      </x:c>
      <x:c r="F1883" s="6" t="str">
        <x:v>1</x:v>
      </x:c>
      <x:c r="G1883" s="6" t="str">
        <x:v>Tang 300 gap; frequency 1; provisional from Xun Gong</x:v>
      </x:c>
      <x:c r="H1883" s="6" t="str">
        <x:f>IF(B1883="平","平",IF(B1883="","","仄"))</x:f>
        <x:v>平</x:v>
      </x:c>
      <x:c r="I1883" s="6" t="str">
        <x:f>IF(D1874="","",IF(AND(ISNUMBER(SEARCH("平",D1874)),OR(ISNUMBER(SEARCH("上",D1874)),ISNUMBER(SEARCH("去",D1874)),ISNUMBER(SEARCH("入",D1874)))),"Ambiguous",IF(ISNUMBER(SEARCH("平",D1874)),"平","仄")))</x:f>
        <x:v>平</x:v>
      </x:c>
      <x:c r="J1883" s="7" t="str">
        <x:v>Xun Gong, Tang 300 gap fill</x:v>
      </x:c>
    </x:row>
    <x:row r="1884">
      <x:c r="A1884" s="5" t="str">
        <x:v>梯</x:v>
      </x:c>
      <x:c r="B1884" s="6" t="str">
        <x:v>平</x:v>
      </x:c>
      <x:c r="C1884" s="6" t="str">
        <x:f>IF(B1884="","Needs decision","Ready")</x:f>
        <x:v>Ready</x:v>
      </x:c>
      <x:c r="D1884" s="6" t="str">
        <x:v>平</x:v>
      </x:c>
      <x:c r="E1884" s="6" t="str">
        <x:v>thej (A)</x:v>
      </x:c>
      <x:c r="F1884" s="6" t="str">
        <x:v>1</x:v>
      </x:c>
      <x:c r="G1884" s="6" t="str"/>
      <x:c r="H1884" s="6" t="str">
        <x:f>IF(B1884="平","平",IF(B1884="","","仄"))</x:f>
        <x:v>平</x:v>
      </x:c>
      <x:c r="I1884" s="6" t="str">
        <x:f>IF(D1875="","",IF(AND(ISNUMBER(SEARCH("平",D1875)),OR(ISNUMBER(SEARCH("上",D1875)),ISNUMBER(SEARCH("去",D1875)),ISNUMBER(SEARCH("入",D1875)))),"Ambiguous",IF(ISNUMBER(SEARCH("平",D1875)),"平","仄")))</x:f>
        <x:v>仄</x:v>
      </x:c>
      <x:c r="J1884" s="7" t="str"/>
    </x:row>
    <x:row r="1885">
      <x:c r="A1885" s="5" t="str">
        <x:v>械</x:v>
      </x:c>
      <x:c r="B1885" s="6" t="str">
        <x:v>去</x:v>
      </x:c>
      <x:c r="C1885" s="6" t="str">
        <x:f>IF(B1885="","Needs decision","Ready")</x:f>
        <x:v>Ready</x:v>
      </x:c>
      <x:c r="D1885" s="6" t="str">
        <x:v>去</x:v>
      </x:c>
      <x:c r="E1885" s="6" t="str">
        <x:v>heajH (C)</x:v>
      </x:c>
      <x:c r="F1885" s="6" t="str">
        <x:v>1</x:v>
      </x:c>
      <x:c r="G1885" s="6" t="str"/>
      <x:c r="H1885" s="6" t="str">
        <x:f>IF(B1885="平","平",IF(B1885="","","仄"))</x:f>
        <x:v>仄</x:v>
      </x:c>
      <x:c r="I1885" s="6" t="str">
        <x:f>IF(D1876="","",IF(AND(ISNUMBER(SEARCH("平",D1876)),OR(ISNUMBER(SEARCH("上",D1876)),ISNUMBER(SEARCH("去",D1876)),ISNUMBER(SEARCH("入",D1876)))),"Ambiguous",IF(ISNUMBER(SEARCH("平",D1876)),"平","仄")))</x:f>
        <x:v>平</x:v>
      </x:c>
      <x:c r="J1885" s="7" t="str"/>
    </x:row>
    <x:row r="1886">
      <x:c r="A1886" s="5" t="str">
        <x:v>梱</x:v>
      </x:c>
      <x:c r="B1886" s="6" t="str">
        <x:v>上</x:v>
      </x:c>
      <x:c r="C1886" s="6" t="str">
        <x:f>IF(B1886="","Needs decision","Ready")</x:f>
        <x:v>Ready</x:v>
      </x:c>
      <x:c r="D1886" s="6" t="str">
        <x:v>上</x:v>
      </x:c>
      <x:c r="E1886" s="6" t="str">
        <x:v>khwonX (B)</x:v>
      </x:c>
      <x:c r="F1886" s="6" t="str">
        <x:v>1</x:v>
      </x:c>
      <x:c r="G1886" s="6" t="str"/>
      <x:c r="H1886" s="6" t="str">
        <x:f>IF(B1886="平","平",IF(B1886="","","仄"))</x:f>
        <x:v>仄</x:v>
      </x:c>
      <x:c r="I1886" s="6" t="str">
        <x:f>IF(D1877="","",IF(AND(ISNUMBER(SEARCH("平",D1877)),OR(ISNUMBER(SEARCH("上",D1877)),ISNUMBER(SEARCH("去",D1877)),ISNUMBER(SEARCH("入",D1877)))),"Ambiguous",IF(ISNUMBER(SEARCH("平",D1877)),"平","仄")))</x:f>
        <x:v>仄</x:v>
      </x:c>
      <x:c r="J1886" s="7" t="str"/>
    </x:row>
    <x:row r="1887">
      <x:c r="A1887" s="5" t="str">
        <x:v>梳</x:v>
      </x:c>
      <x:c r="B1887" s="6" t="str">
        <x:v>平</x:v>
      </x:c>
      <x:c r="C1887" s="6" t="str">
        <x:f>IF(B1887="","Needs decision","Ready")</x:f>
        <x:v>Ready</x:v>
      </x:c>
      <x:c r="D1887" s="6" t="str">
        <x:v>平</x:v>
      </x:c>
      <x:c r="E1887" s="6" t="str">
        <x:v>srjo (A)</x:v>
      </x:c>
      <x:c r="F1887" s="6" t="str">
        <x:v>1</x:v>
      </x:c>
      <x:c r="G1887" s="6" t="str"/>
      <x:c r="H1887" s="6" t="str">
        <x:f>IF(B1887="平","平",IF(B1887="","","仄"))</x:f>
        <x:v>平</x:v>
      </x:c>
      <x:c r="I1887" s="6" t="str">
        <x:f>IF(D1878="","",IF(AND(ISNUMBER(SEARCH("平",D1878)),OR(ISNUMBER(SEARCH("上",D1878)),ISNUMBER(SEARCH("去",D1878)),ISNUMBER(SEARCH("入",D1878)))),"Ambiguous",IF(ISNUMBER(SEARCH("平",D1878)),"平","仄")))</x:f>
        <x:v>仄</x:v>
      </x:c>
      <x:c r="J1887" s="7" t="str"/>
    </x:row>
    <x:row r="1888">
      <x:c r="A1888" s="5" t="str">
        <x:v>梵</x:v>
      </x:c>
      <x:c r="B1888" s="6" t="str">
        <x:v>去</x:v>
      </x:c>
      <x:c r="C1888" s="6" t="str">
        <x:f>IF(B1888="","Needs decision","Ready")</x:f>
        <x:v>Ready</x:v>
      </x:c>
      <x:c r="D1888" s="6" t="str">
        <x:v>去/平</x:v>
      </x:c>
      <x:c r="E1888" s="6" t="str">
        <x:v>bjomH [並三C凡去] bɨ̯əmh; bjuwng [並三C東平] bɨ̯uŋ</x:v>
      </x:c>
      <x:c r="F1888" s="6" t="str">
        <x:v>2</x:v>
      </x:c>
      <x:c r="G1888" s="6" t="str">
        <x:v>Targeted preliminary fill from Xun Gong; review if uncertain; User workbook edit 2026-09-03</x:v>
      </x:c>
      <x:c r="H1888" s="6" t="str">
        <x:f>IF(B1888="平","平",IF(B1888="","","仄"))</x:f>
        <x:v>仄</x:v>
      </x:c>
      <x:c r="I1888" s="6" t="str">
        <x:f>IF(D1879="","",IF(AND(ISNUMBER(SEARCH("平",D1879)),OR(ISNUMBER(SEARCH("上",D1879)),ISNUMBER(SEARCH("去",D1879)),ISNUMBER(SEARCH("入",D1879)))),"Ambiguous",IF(ISNUMBER(SEARCH("平",D1879)),"平","仄")))</x:f>
        <x:v>平</x:v>
      </x:c>
      <x:c r="J1888" s="7" t="str">
        <x:v>manual user correction</x:v>
      </x:c>
    </x:row>
    <x:row r="1889">
      <x:c r="A1889" s="5" t="str">
        <x:v>棃</x:v>
      </x:c>
      <x:c r="B1889" s="6" t="str">
        <x:v>平</x:v>
      </x:c>
      <x:c r="C1889" s="6" t="str">
        <x:f>IF(B1889="","Needs decision","Ready")</x:f>
        <x:v>Ready</x:v>
      </x:c>
      <x:c r="D1889" s="6" t="str">
        <x:v>平</x:v>
      </x:c>
      <x:c r="E1889" s="6" t="str">
        <x:v>lij (A)</x:v>
      </x:c>
      <x:c r="F1889" s="6" t="str">
        <x:v>1</x:v>
      </x:c>
      <x:c r="G1889" s="6" t="str"/>
      <x:c r="H1889" s="6" t="str">
        <x:f>IF(B1889="平","平",IF(B1889="","","仄"))</x:f>
        <x:v>平</x:v>
      </x:c>
      <x:c r="I1889" s="6" t="str">
        <x:f>IF(D1880="","",IF(AND(ISNUMBER(SEARCH("平",D1880)),OR(ISNUMBER(SEARCH("上",D1880)),ISNUMBER(SEARCH("去",D1880)),ISNUMBER(SEARCH("入",D1880)))),"Ambiguous",IF(ISNUMBER(SEARCH("平",D1880)),"平","仄")))</x:f>
        <x:v>平</x:v>
      </x:c>
      <x:c r="J1889" s="7" t="str"/>
    </x:row>
    <x:row r="1890">
      <x:c r="A1890" s="5" t="str">
        <x:v>棄</x:v>
      </x:c>
      <x:c r="B1890" s="6" t="str">
        <x:v>去</x:v>
      </x:c>
      <x:c r="C1890" s="6" t="str">
        <x:f>IF(B1890="","Needs decision","Ready")</x:f>
        <x:v>Ready</x:v>
      </x:c>
      <x:c r="D1890" s="6" t="str">
        <x:v>去</x:v>
      </x:c>
      <x:c r="E1890" s="6" t="str">
        <x:v>khjijH (C)</x:v>
      </x:c>
      <x:c r="F1890" s="6" t="str">
        <x:v>1</x:v>
      </x:c>
      <x:c r="G1890" s="6" t="str"/>
      <x:c r="H1890" s="6" t="str">
        <x:f>IF(B1890="平","平",IF(B1890="","","仄"))</x:f>
        <x:v>仄</x:v>
      </x:c>
      <x:c r="I1890" s="6" t="str">
        <x:f>IF(D1881="","",IF(AND(ISNUMBER(SEARCH("平",D1881)),OR(ISNUMBER(SEARCH("上",D1881)),ISNUMBER(SEARCH("去",D1881)),ISNUMBER(SEARCH("入",D1881)))),"Ambiguous",IF(ISNUMBER(SEARCH("平",D1881)),"平","仄")))</x:f>
        <x:v>平</x:v>
      </x:c>
      <x:c r="J1890" s="7" t="str"/>
    </x:row>
    <x:row r="1891">
      <x:c r="A1891" s="5" t="str">
        <x:v>棅</x:v>
      </x:c>
      <x:c r="B1891" s="6" t="str">
        <x:v>去</x:v>
      </x:c>
      <x:c r="C1891" s="6" t="str">
        <x:f>IF(B1891="","Needs decision","Ready")</x:f>
        <x:v>Ready</x:v>
      </x:c>
      <x:c r="D1891" s="6" t="str">
        <x:v>去</x:v>
      </x:c>
      <x:c r="E1891" s="6" t="str">
        <x:v>pjaengH (C)</x:v>
      </x:c>
      <x:c r="F1891" s="6" t="str">
        <x:v>1</x:v>
      </x:c>
      <x:c r="G1891" s="6" t="str"/>
      <x:c r="H1891" s="6" t="str">
        <x:f>IF(B1891="平","平",IF(B1891="","","仄"))</x:f>
        <x:v>仄</x:v>
      </x:c>
      <x:c r="I1891" s="6" t="str">
        <x:f>IF(D1882="","",IF(AND(ISNUMBER(SEARCH("平",D1882)),OR(ISNUMBER(SEARCH("上",D1882)),ISNUMBER(SEARCH("去",D1882)),ISNUMBER(SEARCH("入",D1882)))),"Ambiguous",IF(ISNUMBER(SEARCH("平",D1882)),"平","仄")))</x:f>
        <x:v>平</x:v>
      </x:c>
      <x:c r="J1891" s="7" t="str"/>
    </x:row>
    <x:row r="1892">
      <x:c r="A1892" s="5" t="str">
        <x:v>棋</x:v>
      </x:c>
      <x:c r="B1892" s="6" t="str">
        <x:v>平</x:v>
      </x:c>
      <x:c r="C1892" s="6" t="str">
        <x:f>IF(B1892="","Needs decision","Ready")</x:f>
        <x:v>Ready</x:v>
      </x:c>
      <x:c r="D1892" s="6" t="str">
        <x:v>平</x:v>
      </x:c>
      <x:c r="E1892" s="6" t="str">
        <x:v>gi (A)</x:v>
      </x:c>
      <x:c r="F1892" s="6" t="str">
        <x:v>1</x:v>
      </x:c>
      <x:c r="G1892" s="6" t="str"/>
      <x:c r="H1892" s="6" t="str">
        <x:f>IF(B1892="平","平",IF(B1892="","","仄"))</x:f>
        <x:v>平</x:v>
      </x:c>
      <x:c r="I1892" s="6" t="str">
        <x:f>IF(D1883="","",IF(AND(ISNUMBER(SEARCH("平",D1883)),OR(ISNUMBER(SEARCH("上",D1883)),ISNUMBER(SEARCH("去",D1883)),ISNUMBER(SEARCH("入",D1883)))),"Ambiguous",IF(ISNUMBER(SEARCH("平",D1883)),"平","仄")))</x:f>
        <x:v>平</x:v>
      </x:c>
      <x:c r="J1892" s="7" t="str"/>
    </x:row>
    <x:row r="1893">
      <x:c r="A1893" s="5" t="str">
        <x:v>棒</x:v>
      </x:c>
      <x:c r="B1893" s="6" t="str">
        <x:v>上</x:v>
      </x:c>
      <x:c r="C1893" s="6" t="str">
        <x:f>IF(B1893="","Needs decision","Ready")</x:f>
        <x:v>Ready</x:v>
      </x:c>
      <x:c r="D1893" s="6" t="str">
        <x:v>上</x:v>
      </x:c>
      <x:c r="E1893" s="6" t="str"/>
      <x:c r="F1893" s="6" t="str"/>
      <x:c r="G1893" s="6" t="str">
        <x:v>Manual user correction/addition</x:v>
      </x:c>
      <x:c r="H1893" s="6" t="str">
        <x:f>IF(B1893="平","平",IF(B1893="","","仄"))</x:f>
        <x:v>仄</x:v>
      </x:c>
      <x:c r="I1893" s="6" t="str">
        <x:f>IF(D1884="","",IF(AND(ISNUMBER(SEARCH("平",D1884)),OR(ISNUMBER(SEARCH("上",D1884)),ISNUMBER(SEARCH("去",D1884)),ISNUMBER(SEARCH("入",D1884)))),"Ambiguous",IF(ISNUMBER(SEARCH("平",D1884)),"平","仄")))</x:f>
        <x:v>平</x:v>
      </x:c>
      <x:c r="J1893" s="7" t="str">
        <x:v>manual user correction</x:v>
      </x:c>
    </x:row>
    <x:row r="1894">
      <x:c r="A1894" s="5" t="str">
        <x:v>棖</x:v>
      </x:c>
      <x:c r="B1894" s="6" t="str">
        <x:v>平</x:v>
      </x:c>
      <x:c r="C1894" s="6" t="str">
        <x:f>IF(B1894="","Needs decision","Ready")</x:f>
        <x:v>Ready</x:v>
      </x:c>
      <x:c r="D1894" s="6" t="str">
        <x:v>平</x:v>
      </x:c>
      <x:c r="E1894" s="6" t="str">
        <x:v>draeng (A)</x:v>
      </x:c>
      <x:c r="F1894" s="6" t="str">
        <x:v>1</x:v>
      </x:c>
      <x:c r="G1894" s="6" t="str"/>
      <x:c r="H1894" s="6" t="str">
        <x:f>IF(B1894="平","平",IF(B1894="","","仄"))</x:f>
        <x:v>平</x:v>
      </x:c>
      <x:c r="I1894" s="6" t="str">
        <x:f>IF(D1885="","",IF(AND(ISNUMBER(SEARCH("平",D1885)),OR(ISNUMBER(SEARCH("上",D1885)),ISNUMBER(SEARCH("去",D1885)),ISNUMBER(SEARCH("入",D1885)))),"Ambiguous",IF(ISNUMBER(SEARCH("平",D1885)),"平","仄")))</x:f>
        <x:v>仄</x:v>
      </x:c>
      <x:c r="J1894" s="7" t="str"/>
    </x:row>
    <x:row r="1895">
      <x:c r="A1895" s="5" t="str">
        <x:v>棗</x:v>
      </x:c>
      <x:c r="B1895" s="6" t="str">
        <x:v>上</x:v>
      </x:c>
      <x:c r="C1895" s="6" t="str">
        <x:f>IF(B1895="","Needs decision","Ready")</x:f>
        <x:v>Ready</x:v>
      </x:c>
      <x:c r="D1895" s="6" t="str">
        <x:v>上</x:v>
      </x:c>
      <x:c r="E1895" s="6" t="str">
        <x:v>tsawX (B)</x:v>
      </x:c>
      <x:c r="F1895" s="6" t="str">
        <x:v>1</x:v>
      </x:c>
      <x:c r="G1895" s="6" t="str"/>
      <x:c r="H1895" s="6" t="str">
        <x:f>IF(B1895="平","平",IF(B1895="","","仄"))</x:f>
        <x:v>仄</x:v>
      </x:c>
      <x:c r="I1895" s="6" t="str">
        <x:f>IF(D1886="","",IF(AND(ISNUMBER(SEARCH("平",D1886)),OR(ISNUMBER(SEARCH("上",D1886)),ISNUMBER(SEARCH("去",D1886)),ISNUMBER(SEARCH("入",D1886)))),"Ambiguous",IF(ISNUMBER(SEARCH("平",D1886)),"平","仄")))</x:f>
        <x:v>仄</x:v>
      </x:c>
      <x:c r="J1895" s="7" t="str"/>
    </x:row>
    <x:row r="1896">
      <x:c r="A1896" s="5" t="str">
        <x:v>棘</x:v>
      </x:c>
      <x:c r="B1896" s="6" t="str">
        <x:v>入</x:v>
      </x:c>
      <x:c r="C1896" s="6" t="str">
        <x:f>IF(B1896="","Needs decision","Ready")</x:f>
        <x:v>Ready</x:v>
      </x:c>
      <x:c r="D1896" s="6" t="str">
        <x:v>入</x:v>
      </x:c>
      <x:c r="E1896" s="6" t="str">
        <x:v>kik (D)</x:v>
      </x:c>
      <x:c r="F1896" s="6" t="str">
        <x:v>1</x:v>
      </x:c>
      <x:c r="G1896" s="6" t="str"/>
      <x:c r="H1896" s="6" t="str">
        <x:f>IF(B1896="平","平",IF(B1896="","","仄"))</x:f>
        <x:v>仄</x:v>
      </x:c>
      <x:c r="I1896" s="6" t="str">
        <x:f>IF(D1887="","",IF(AND(ISNUMBER(SEARCH("平",D1887)),OR(ISNUMBER(SEARCH("上",D1887)),ISNUMBER(SEARCH("去",D1887)),ISNUMBER(SEARCH("入",D1887)))),"Ambiguous",IF(ISNUMBER(SEARCH("平",D1887)),"平","仄")))</x:f>
        <x:v>平</x:v>
      </x:c>
      <x:c r="J1896" s="7" t="str"/>
    </x:row>
    <x:row r="1897">
      <x:c r="A1897" s="5" t="str">
        <x:v>棟</x:v>
      </x:c>
      <x:c r="B1897" s="6" t="str">
        <x:v>去</x:v>
      </x:c>
      <x:c r="C1897" s="6" t="str">
        <x:f>IF(B1897="","Needs decision","Ready")</x:f>
        <x:v>Ready</x:v>
      </x:c>
      <x:c r="D1897" s="6" t="str">
        <x:v>去</x:v>
      </x:c>
      <x:c r="E1897" s="6" t="str">
        <x:v>tuwngH [t̙uŋh] (去)</x:v>
      </x:c>
      <x:c r="F1897" s="6" t="str">
        <x:v>1</x:v>
      </x:c>
      <x:c r="G1897" s="6" t="str">
        <x:v>Tang 300 gap; frequency 1; provisional from Xun Gong</x:v>
      </x:c>
      <x:c r="H1897" s="6" t="str">
        <x:f>IF(B1897="平","平",IF(B1897="","","仄"))</x:f>
        <x:v>仄</x:v>
      </x:c>
      <x:c r="I1897" s="6" t="str">
        <x:f>IF(D1888="","",IF(AND(ISNUMBER(SEARCH("平",D1888)),OR(ISNUMBER(SEARCH("上",D1888)),ISNUMBER(SEARCH("去",D1888)),ISNUMBER(SEARCH("入",D1888)))),"Ambiguous",IF(ISNUMBER(SEARCH("平",D1888)),"平","仄")))</x:f>
        <x:v>Ambiguous</x:v>
      </x:c>
      <x:c r="J1897" s="7" t="str">
        <x:v>Xun Gong, Tang 300 gap fill</x:v>
      </x:c>
    </x:row>
    <x:row r="1898">
      <x:c r="A1898" s="5" t="str">
        <x:v>棠</x:v>
      </x:c>
      <x:c r="B1898" s="6" t="str">
        <x:v>平</x:v>
      </x:c>
      <x:c r="C1898" s="6" t="str">
        <x:f>IF(B1898="","Needs decision","Ready")</x:f>
        <x:v>Ready</x:v>
      </x:c>
      <x:c r="D1898" s="6" t="str">
        <x:v>平</x:v>
      </x:c>
      <x:c r="E1898" s="6" t="str">
        <x:v>dang (A)</x:v>
      </x:c>
      <x:c r="F1898" s="6" t="str">
        <x:v>1</x:v>
      </x:c>
      <x:c r="G1898" s="6" t="str"/>
      <x:c r="H1898" s="6" t="str">
        <x:f>IF(B1898="平","平",IF(B1898="","","仄"))</x:f>
        <x:v>平</x:v>
      </x:c>
      <x:c r="I1898" s="6" t="str">
        <x:f>IF(D1889="","",IF(AND(ISNUMBER(SEARCH("平",D1889)),OR(ISNUMBER(SEARCH("上",D1889)),ISNUMBER(SEARCH("去",D1889)),ISNUMBER(SEARCH("入",D1889)))),"Ambiguous",IF(ISNUMBER(SEARCH("平",D1889)),"平","仄")))</x:f>
        <x:v>平</x:v>
      </x:c>
      <x:c r="J1898" s="7" t="str"/>
    </x:row>
    <x:row r="1899">
      <x:c r="A1899" s="5" t="str">
        <x:v>棣</x:v>
      </x:c>
      <x:c r="B1899" s="6" t="str">
        <x:v>去</x:v>
      </x:c>
      <x:c r="C1899" s="6" t="str">
        <x:f>IF(B1899="","Needs decision","Ready")</x:f>
        <x:v>Ready</x:v>
      </x:c>
      <x:c r="D1899" s="6" t="str">
        <x:v>去</x:v>
      </x:c>
      <x:c r="E1899" s="6" t="str">
        <x:v>dejH (C)</x:v>
      </x:c>
      <x:c r="F1899" s="6" t="str">
        <x:v>1</x:v>
      </x:c>
      <x:c r="G1899" s="6" t="str"/>
      <x:c r="H1899" s="6" t="str">
        <x:f>IF(B1899="平","平",IF(B1899="","","仄"))</x:f>
        <x:v>仄</x:v>
      </x:c>
      <x:c r="I1899" s="6" t="str">
        <x:f>IF(D1890="","",IF(AND(ISNUMBER(SEARCH("平",D1890)),OR(ISNUMBER(SEARCH("上",D1890)),ISNUMBER(SEARCH("去",D1890)),ISNUMBER(SEARCH("入",D1890)))),"Ambiguous",IF(ISNUMBER(SEARCH("平",D1890)),"平","仄")))</x:f>
        <x:v>仄</x:v>
      </x:c>
      <x:c r="J1899" s="7" t="str"/>
    </x:row>
    <x:row r="1900">
      <x:c r="A1900" s="5" t="str">
        <x:v>棧</x:v>
      </x:c>
      <x:c r="B1900" s="6" t="str"/>
      <x:c r="C1900" s="6" t="str">
        <x:f>IF(B1900="","Needs decision","Ready")</x:f>
        <x:v>Needs decision</x:v>
      </x:c>
      <x:c r="D1900" s="6" t="str">
        <x:v>上/去</x:v>
      </x:c>
      <x:c r="E1900" s="6" t="str">
        <x:v>dzraenX (B); dzraenH (C); dzreanX (B)</x:v>
      </x:c>
      <x:c r="F1900" s="6" t="str">
        <x:v>3</x:v>
      </x:c>
      <x:c r="G1900" s="6" t="str"/>
      <x:c r="H1900" s="6" t="str">
        <x:f>IF(B1900="平","平",IF(B1900="","","仄"))</x:f>
      </x:c>
      <x:c r="I1900" s="6" t="str">
        <x:f>IF(D1891="","",IF(AND(ISNUMBER(SEARCH("平",D1891)),OR(ISNUMBER(SEARCH("上",D1891)),ISNUMBER(SEARCH("去",D1891)),ISNUMBER(SEARCH("入",D1891)))),"Ambiguous",IF(ISNUMBER(SEARCH("平",D1891)),"平","仄")))</x:f>
        <x:v>仄</x:v>
      </x:c>
      <x:c r="J1900" s="7" t="str"/>
    </x:row>
    <x:row r="1901">
      <x:c r="A1901" s="5" t="str">
        <x:v>森</x:v>
      </x:c>
      <x:c r="B1901" s="6" t="str">
        <x:v>平</x:v>
      </x:c>
      <x:c r="C1901" s="6" t="str">
        <x:f>IF(B1901="","Needs decision","Ready")</x:f>
        <x:v>Ready</x:v>
      </x:c>
      <x:c r="D1901" s="6" t="str">
        <x:v>平</x:v>
      </x:c>
      <x:c r="E1901" s="6" t="str">
        <x:v>srim (A)</x:v>
      </x:c>
      <x:c r="F1901" s="6" t="str">
        <x:v>1</x:v>
      </x:c>
      <x:c r="G1901" s="6" t="str"/>
      <x:c r="H1901" s="6" t="str">
        <x:f>IF(B1901="平","平",IF(B1901="","","仄"))</x:f>
        <x:v>平</x:v>
      </x:c>
      <x:c r="I1901" s="6" t="str">
        <x:f>IF(D1892="","",IF(AND(ISNUMBER(SEARCH("平",D1892)),OR(ISNUMBER(SEARCH("上",D1892)),ISNUMBER(SEARCH("去",D1892)),ISNUMBER(SEARCH("入",D1892)))),"Ambiguous",IF(ISNUMBER(SEARCH("平",D1892)),"平","仄")))</x:f>
        <x:v>平</x:v>
      </x:c>
      <x:c r="J1901" s="7" t="str"/>
    </x:row>
    <x:row r="1902">
      <x:c r="A1902" s="5" t="str">
        <x:v>棲</x:v>
      </x:c>
      <x:c r="B1902" s="6" t="str">
        <x:v>平</x:v>
      </x:c>
      <x:c r="C1902" s="6" t="str">
        <x:f>IF(B1902="","Needs decision","Ready")</x:f>
        <x:v>Ready</x:v>
      </x:c>
      <x:c r="D1902" s="6" t="str">
        <x:v>平</x:v>
      </x:c>
      <x:c r="E1902" s="6" t="str">
        <x:v>sej (A)</x:v>
      </x:c>
      <x:c r="F1902" s="6" t="str">
        <x:v>1</x:v>
      </x:c>
      <x:c r="G1902" s="6" t="str"/>
      <x:c r="H1902" s="6" t="str">
        <x:f>IF(B1902="平","平",IF(B1902="","","仄"))</x:f>
        <x:v>平</x:v>
      </x:c>
      <x:c r="I1902" s="6" t="str">
        <x:f>IF(D1893="","",IF(AND(ISNUMBER(SEARCH("平",D1893)),OR(ISNUMBER(SEARCH("上",D1893)),ISNUMBER(SEARCH("去",D1893)),ISNUMBER(SEARCH("入",D1893)))),"Ambiguous",IF(ISNUMBER(SEARCH("平",D1893)),"平","仄")))</x:f>
        <x:v>仄</x:v>
      </x:c>
      <x:c r="J1902" s="7" t="str"/>
    </x:row>
    <x:row r="1903">
      <x:c r="A1903" s="5" t="str">
        <x:v>棹</x:v>
      </x:c>
      <x:c r="B1903" s="6" t="str">
        <x:v>去</x:v>
      </x:c>
      <x:c r="C1903" s="6" t="str">
        <x:f>IF(B1903="","Needs decision","Ready")</x:f>
        <x:v>Ready</x:v>
      </x:c>
      <x:c r="D1903" s="6" t="str">
        <x:v>去</x:v>
      </x:c>
      <x:c r="E1903" s="6" t="str">
        <x:v>draewH [ɖaˤwh] (去)</x:v>
      </x:c>
      <x:c r="F1903" s="6" t="str">
        <x:v>1</x:v>
      </x:c>
      <x:c r="G1903" s="6" t="str">
        <x:v>Tang 300 gap; frequency 3; provisional from Xun Gong</x:v>
      </x:c>
      <x:c r="H1903" s="6" t="str">
        <x:f>IF(B1903="平","平",IF(B1903="","","仄"))</x:f>
        <x:v>仄</x:v>
      </x:c>
      <x:c r="I1903" s="6" t="str">
        <x:f>IF(D1894="","",IF(AND(ISNUMBER(SEARCH("平",D1894)),OR(ISNUMBER(SEARCH("上",D1894)),ISNUMBER(SEARCH("去",D1894)),ISNUMBER(SEARCH("入",D1894)))),"Ambiguous",IF(ISNUMBER(SEARCH("平",D1894)),"平","仄")))</x:f>
        <x:v>平</x:v>
      </x:c>
      <x:c r="J1903" s="7" t="str">
        <x:v>Xun Gong, Tang 300 gap fill</x:v>
      </x:c>
    </x:row>
    <x:row r="1904">
      <x:c r="A1904" s="5" t="str">
        <x:v>棺</x:v>
      </x:c>
      <x:c r="B1904" s="6" t="str">
        <x:v>平</x:v>
      </x:c>
      <x:c r="C1904" s="6" t="str">
        <x:f>IF(B1904="","Needs decision","Ready")</x:f>
        <x:v>Ready</x:v>
      </x:c>
      <x:c r="D1904" s="6" t="str">
        <x:v>平</x:v>
      </x:c>
      <x:c r="E1904" s="6" t="str">
        <x:v>kwan (A)</x:v>
      </x:c>
      <x:c r="F1904" s="6" t="str">
        <x:v>1</x:v>
      </x:c>
      <x:c r="G1904" s="6" t="str"/>
      <x:c r="H1904" s="6" t="str">
        <x:f>IF(B1904="平","平",IF(B1904="","","仄"))</x:f>
        <x:v>平</x:v>
      </x:c>
      <x:c r="I1904" s="6" t="str">
        <x:f>IF(D1895="","",IF(AND(ISNUMBER(SEARCH("平",D1895)),OR(ISNUMBER(SEARCH("上",D1895)),ISNUMBER(SEARCH("去",D1895)),ISNUMBER(SEARCH("入",D1895)))),"Ambiguous",IF(ISNUMBER(SEARCH("平",D1895)),"平","仄")))</x:f>
        <x:v>仄</x:v>
      </x:c>
      <x:c r="J1904" s="7" t="str"/>
    </x:row>
    <x:row r="1905">
      <x:c r="A1905" s="5" t="str">
        <x:v>棼</x:v>
      </x:c>
      <x:c r="B1905" s="6" t="str">
        <x:v>平</x:v>
      </x:c>
      <x:c r="C1905" s="6" t="str">
        <x:f>IF(B1905="","Needs decision","Ready")</x:f>
        <x:v>Ready</x:v>
      </x:c>
      <x:c r="D1905" s="6" t="str">
        <x:v>平</x:v>
      </x:c>
      <x:c r="E1905" s="6" t="str"/>
      <x:c r="F1905" s="6" t="str"/>
      <x:c r="G1905" s="6" t="str">
        <x:v>Manual user correction/addition</x:v>
      </x:c>
      <x:c r="H1905" s="6" t="str">
        <x:f>IF(B1905="平","平",IF(B1905="","","仄"))</x:f>
        <x:v>平</x:v>
      </x:c>
      <x:c r="I1905" s="6" t="str">
        <x:f>IF(D1896="","",IF(AND(ISNUMBER(SEARCH("平",D1896)),OR(ISNUMBER(SEARCH("上",D1896)),ISNUMBER(SEARCH("去",D1896)),ISNUMBER(SEARCH("入",D1896)))),"Ambiguous",IF(ISNUMBER(SEARCH("平",D1896)),"平","仄")))</x:f>
        <x:v>仄</x:v>
      </x:c>
      <x:c r="J1905" s="7" t="str">
        <x:v>manual user correction</x:v>
      </x:c>
    </x:row>
    <x:row r="1906">
      <x:c r="A1906" s="5" t="str">
        <x:v>椄</x:v>
      </x:c>
      <x:c r="B1906" s="6" t="str">
        <x:v>入</x:v>
      </x:c>
      <x:c r="C1906" s="6" t="str">
        <x:f>IF(B1906="","Needs decision","Ready")</x:f>
        <x:v>Ready</x:v>
      </x:c>
      <x:c r="D1906" s="6" t="str">
        <x:v>入</x:v>
      </x:c>
      <x:c r="E1906" s="6" t="str">
        <x:v>tsjep (D)</x:v>
      </x:c>
      <x:c r="F1906" s="6" t="str">
        <x:v>1</x:v>
      </x:c>
      <x:c r="G1906" s="6" t="str"/>
      <x:c r="H1906" s="6" t="str">
        <x:f>IF(B1906="平","平",IF(B1906="","","仄"))</x:f>
        <x:v>仄</x:v>
      </x:c>
      <x:c r="I1906" s="6" t="str">
        <x:f>IF(D1897="","",IF(AND(ISNUMBER(SEARCH("平",D1897)),OR(ISNUMBER(SEARCH("上",D1897)),ISNUMBER(SEARCH("去",D1897)),ISNUMBER(SEARCH("入",D1897)))),"Ambiguous",IF(ISNUMBER(SEARCH("平",D1897)),"平","仄")))</x:f>
        <x:v>仄</x:v>
      </x:c>
      <x:c r="J1906" s="7" t="str"/>
    </x:row>
    <x:row r="1907">
      <x:c r="A1907" s="5" t="str">
        <x:v>椅</x:v>
      </x:c>
      <x:c r="B1907" s="6" t="str">
        <x:v>上</x:v>
      </x:c>
      <x:c r="C1907" s="6" t="str">
        <x:f>IF(B1907="","Needs decision","Ready")</x:f>
        <x:v>Ready</x:v>
      </x:c>
      <x:c r="D1907" s="6" t="str">
        <x:v>上</x:v>
      </x:c>
      <x:c r="E1907" s="6" t="str">
        <x:v>'jeX (B)</x:v>
      </x:c>
      <x:c r="F1907" s="6" t="str">
        <x:v>1</x:v>
      </x:c>
      <x:c r="G1907" s="6" t="str"/>
      <x:c r="H1907" s="6" t="str">
        <x:f>IF(B1907="平","平",IF(B1907="","","仄"))</x:f>
        <x:v>仄</x:v>
      </x:c>
      <x:c r="I1907" s="6" t="str">
        <x:f>IF(D1898="","",IF(AND(ISNUMBER(SEARCH("平",D1898)),OR(ISNUMBER(SEARCH("上",D1898)),ISNUMBER(SEARCH("去",D1898)),ISNUMBER(SEARCH("入",D1898)))),"Ambiguous",IF(ISNUMBER(SEARCH("平",D1898)),"平","仄")))</x:f>
        <x:v>平</x:v>
      </x:c>
      <x:c r="J1907" s="7" t="str"/>
    </x:row>
    <x:row r="1908">
      <x:c r="A1908" s="5" t="str">
        <x:v>植</x:v>
      </x:c>
      <x:c r="B1908" s="6" t="str">
        <x:v>入</x:v>
      </x:c>
      <x:c r="C1908" s="6" t="str">
        <x:f>IF(B1908="","Needs decision","Ready")</x:f>
        <x:v>Ready</x:v>
      </x:c>
      <x:c r="D1908" s="6" t="str">
        <x:v>去/入</x:v>
      </x:c>
      <x:c r="E1908" s="6" t="str">
        <x:v>driH (C); dzyik (D)</x:v>
      </x:c>
      <x:c r="F1908" s="6" t="str">
        <x:v>2</x:v>
      </x:c>
      <x:c r="G1908" s="6" t="str">
        <x:v>User workbook edit 2026-09-03</x:v>
      </x:c>
      <x:c r="H1908" s="6" t="str">
        <x:f>IF(B1908="平","平",IF(B1908="","","仄"))</x:f>
        <x:v>仄</x:v>
      </x:c>
      <x:c r="I1908" s="6" t="str">
        <x:f>IF(D1899="","",IF(AND(ISNUMBER(SEARCH("平",D1899)),OR(ISNUMBER(SEARCH("上",D1899)),ISNUMBER(SEARCH("去",D1899)),ISNUMBER(SEARCH("入",D1899)))),"Ambiguous",IF(ISNUMBER(SEARCH("平",D1899)),"平","仄")))</x:f>
        <x:v>仄</x:v>
      </x:c>
      <x:c r="J1908" s="7" t="str">
        <x:v>manual user correction</x:v>
      </x:c>
    </x:row>
    <x:row r="1909">
      <x:c r="A1909" s="5" t="str">
        <x:v>椎</x:v>
      </x:c>
      <x:c r="B1909" s="6" t="str">
        <x:v>平</x:v>
      </x:c>
      <x:c r="C1909" s="6" t="str">
        <x:f>IF(B1909="","Needs decision","Ready")</x:f>
        <x:v>Ready</x:v>
      </x:c>
      <x:c r="D1909" s="6" t="str">
        <x:v>平</x:v>
      </x:c>
      <x:c r="E1909" s="6" t="str">
        <x:v>drwij (A)</x:v>
      </x:c>
      <x:c r="F1909" s="6" t="str">
        <x:v>1</x:v>
      </x:c>
      <x:c r="G1909" s="6" t="str"/>
      <x:c r="H1909" s="6" t="str">
        <x:f>IF(B1909="平","平",IF(B1909="","","仄"))</x:f>
        <x:v>平</x:v>
      </x:c>
      <x:c r="I1909" s="6" t="str">
        <x:f>IF(D1900="","",IF(AND(ISNUMBER(SEARCH("平",D1900)),OR(ISNUMBER(SEARCH("上",D1900)),ISNUMBER(SEARCH("去",D1900)),ISNUMBER(SEARCH("入",D1900)))),"Ambiguous",IF(ISNUMBER(SEARCH("平",D1900)),"平","仄")))</x:f>
        <x:v>仄</x:v>
      </x:c>
      <x:c r="J1909" s="7" t="str"/>
    </x:row>
    <x:row r="1910">
      <x:c r="A1910" s="5" t="str">
        <x:v>椒</x:v>
      </x:c>
      <x:c r="B1910" s="6" t="str">
        <x:v>平</x:v>
      </x:c>
      <x:c r="C1910" s="6" t="str">
        <x:f>IF(B1910="","Needs decision","Ready")</x:f>
        <x:v>Ready</x:v>
      </x:c>
      <x:c r="D1910" s="6" t="str">
        <x:v>平</x:v>
      </x:c>
      <x:c r="E1910" s="6" t="str">
        <x:v>tsew (A); tsjew (A)</x:v>
      </x:c>
      <x:c r="F1910" s="6" t="str">
        <x:v>2</x:v>
      </x:c>
      <x:c r="G1910" s="6" t="str"/>
      <x:c r="H1910" s="6" t="str">
        <x:f>IF(B1910="平","平",IF(B1910="","","仄"))</x:f>
        <x:v>平</x:v>
      </x:c>
      <x:c r="I1910" s="6" t="str">
        <x:f>IF(D1901="","",IF(AND(ISNUMBER(SEARCH("平",D1901)),OR(ISNUMBER(SEARCH("上",D1901)),ISNUMBER(SEARCH("去",D1901)),ISNUMBER(SEARCH("入",D1901)))),"Ambiguous",IF(ISNUMBER(SEARCH("平",D1901)),"平","仄")))</x:f>
        <x:v>平</x:v>
      </x:c>
      <x:c r="J1910" s="7" t="str"/>
    </x:row>
    <x:row r="1911">
      <x:c r="A1911" s="5" t="str">
        <x:v>椹</x:v>
      </x:c>
      <x:c r="B1911" s="6" t="str">
        <x:v>平</x:v>
      </x:c>
      <x:c r="C1911" s="6" t="str">
        <x:f>IF(B1911="","Needs decision","Ready")</x:f>
        <x:v>Ready</x:v>
      </x:c>
      <x:c r="D1911" s="6" t="str">
        <x:v>平</x:v>
      </x:c>
      <x:c r="E1911" s="6" t="str">
        <x:v>trim (A)</x:v>
      </x:c>
      <x:c r="F1911" s="6" t="str">
        <x:v>1</x:v>
      </x:c>
      <x:c r="G1911" s="6" t="str"/>
      <x:c r="H1911" s="6" t="str">
        <x:f>IF(B1911="平","平",IF(B1911="","","仄"))</x:f>
        <x:v>平</x:v>
      </x:c>
      <x:c r="I1911" s="6" t="str">
        <x:f>IF(D1902="","",IF(AND(ISNUMBER(SEARCH("平",D1902)),OR(ISNUMBER(SEARCH("上",D1902)),ISNUMBER(SEARCH("去",D1902)),ISNUMBER(SEARCH("入",D1902)))),"Ambiguous",IF(ISNUMBER(SEARCH("平",D1902)),"平","仄")))</x:f>
        <x:v>平</x:v>
      </x:c>
      <x:c r="J1911" s="7" t="str"/>
    </x:row>
    <x:row r="1912">
      <x:c r="A1912" s="5" t="str">
        <x:v>椽</x:v>
      </x:c>
      <x:c r="B1912" s="6" t="str">
        <x:v>平</x:v>
      </x:c>
      <x:c r="C1912" s="6" t="str">
        <x:f>IF(B1912="","Needs decision","Ready")</x:f>
        <x:v>Ready</x:v>
      </x:c>
      <x:c r="D1912" s="6" t="str">
        <x:v>平</x:v>
      </x:c>
      <x:c r="E1912" s="6" t="str">
        <x:v>drjwen (A)</x:v>
      </x:c>
      <x:c r="F1912" s="6" t="str">
        <x:v>1</x:v>
      </x:c>
      <x:c r="G1912" s="6" t="str"/>
      <x:c r="H1912" s="6" t="str">
        <x:f>IF(B1912="平","平",IF(B1912="","","仄"))</x:f>
        <x:v>平</x:v>
      </x:c>
      <x:c r="I1912" s="6" t="str">
        <x:f>IF(D1903="","",IF(AND(ISNUMBER(SEARCH("平",D1903)),OR(ISNUMBER(SEARCH("上",D1903)),ISNUMBER(SEARCH("去",D1903)),ISNUMBER(SEARCH("入",D1903)))),"Ambiguous",IF(ISNUMBER(SEARCH("平",D1903)),"平","仄")))</x:f>
        <x:v>仄</x:v>
      </x:c>
      <x:c r="J1912" s="7" t="str"/>
    </x:row>
    <x:row r="1913">
      <x:c r="A1913" s="5" t="str">
        <x:v>楊</x:v>
      </x:c>
      <x:c r="B1913" s="6" t="str">
        <x:v>平</x:v>
      </x:c>
      <x:c r="C1913" s="6" t="str">
        <x:f>IF(B1913="","Needs decision","Ready")</x:f>
        <x:v>Ready</x:v>
      </x:c>
      <x:c r="D1913" s="6" t="str">
        <x:v>平</x:v>
      </x:c>
      <x:c r="E1913" s="6" t="str">
        <x:v>yang (A)</x:v>
      </x:c>
      <x:c r="F1913" s="6" t="str">
        <x:v>1</x:v>
      </x:c>
      <x:c r="G1913" s="6" t="str"/>
      <x:c r="H1913" s="6" t="str">
        <x:f>IF(B1913="平","平",IF(B1913="","","仄"))</x:f>
        <x:v>平</x:v>
      </x:c>
      <x:c r="I1913" s="6" t="str">
        <x:f>IF(D1904="","",IF(AND(ISNUMBER(SEARCH("平",D1904)),OR(ISNUMBER(SEARCH("上",D1904)),ISNUMBER(SEARCH("去",D1904)),ISNUMBER(SEARCH("入",D1904)))),"Ambiguous",IF(ISNUMBER(SEARCH("平",D1904)),"平","仄")))</x:f>
        <x:v>平</x:v>
      </x:c>
      <x:c r="J1913" s="7" t="str"/>
    </x:row>
    <x:row r="1914">
      <x:c r="A1914" s="5" t="str">
        <x:v>楎</x:v>
      </x:c>
      <x:c r="B1914" s="6" t="str">
        <x:v>平</x:v>
      </x:c>
      <x:c r="C1914" s="6" t="str">
        <x:f>IF(B1914="","Needs decision","Ready")</x:f>
        <x:v>Ready</x:v>
      </x:c>
      <x:c r="D1914" s="6" t="str">
        <x:v>平</x:v>
      </x:c>
      <x:c r="E1914" s="6" t="str">
        <x:v>xjw+j (A); hwon (A)</x:v>
      </x:c>
      <x:c r="F1914" s="6" t="str">
        <x:v>2</x:v>
      </x:c>
      <x:c r="G1914" s="6" t="str"/>
      <x:c r="H1914" s="6" t="str">
        <x:f>IF(B1914="平","平",IF(B1914="","","仄"))</x:f>
        <x:v>平</x:v>
      </x:c>
      <x:c r="I1914" s="6" t="str">
        <x:f>IF(D1905="","",IF(AND(ISNUMBER(SEARCH("平",D1905)),OR(ISNUMBER(SEARCH("上",D1905)),ISNUMBER(SEARCH("去",D1905)),ISNUMBER(SEARCH("入",D1905)))),"Ambiguous",IF(ISNUMBER(SEARCH("平",D1905)),"平","仄")))</x:f>
        <x:v>平</x:v>
      </x:c>
      <x:c r="J1914" s="7" t="str"/>
    </x:row>
    <x:row r="1915">
      <x:c r="A1915" s="5" t="str">
        <x:v>楓</x:v>
      </x:c>
      <x:c r="B1915" s="6" t="str">
        <x:v>平</x:v>
      </x:c>
      <x:c r="C1915" s="6" t="str">
        <x:f>IF(B1915="","Needs decision","Ready")</x:f>
        <x:v>Ready</x:v>
      </x:c>
      <x:c r="D1915" s="6" t="str">
        <x:v>平</x:v>
      </x:c>
      <x:c r="E1915" s="6" t="str">
        <x:v>pjuwng [pɨ̯uŋ] (平)</x:v>
      </x:c>
      <x:c r="F1915" s="6" t="str">
        <x:v>1</x:v>
      </x:c>
      <x:c r="G1915" s="6" t="str">
        <x:v>Tang 300 gap; frequency 7; provisional from Xun Gong</x:v>
      </x:c>
      <x:c r="H1915" s="6" t="str">
        <x:f>IF(B1915="平","平",IF(B1915="","","仄"))</x:f>
        <x:v>平</x:v>
      </x:c>
      <x:c r="I1915" s="6" t="str">
        <x:f>IF(D1906="","",IF(AND(ISNUMBER(SEARCH("平",D1906)),OR(ISNUMBER(SEARCH("上",D1906)),ISNUMBER(SEARCH("去",D1906)),ISNUMBER(SEARCH("入",D1906)))),"Ambiguous",IF(ISNUMBER(SEARCH("平",D1906)),"平","仄")))</x:f>
        <x:v>仄</x:v>
      </x:c>
      <x:c r="J1915" s="7" t="str">
        <x:v>Xun Gong, Tang 300 gap fill</x:v>
      </x:c>
    </x:row>
    <x:row r="1916">
      <x:c r="A1916" s="5" t="str">
        <x:v>楔</x:v>
      </x:c>
      <x:c r="B1916" s="6" t="str">
        <x:v>入</x:v>
      </x:c>
      <x:c r="C1916" s="6" t="str">
        <x:f>IF(B1916="","Needs decision","Ready")</x:f>
        <x:v>Ready</x:v>
      </x:c>
      <x:c r="D1916" s="6" t="str">
        <x:v>入</x:v>
      </x:c>
      <x:c r="E1916" s="6" t="str">
        <x:v>set (D)</x:v>
      </x:c>
      <x:c r="F1916" s="6" t="str">
        <x:v>1</x:v>
      </x:c>
      <x:c r="G1916" s="6" t="str"/>
      <x:c r="H1916" s="6" t="str">
        <x:f>IF(B1916="平","平",IF(B1916="","","仄"))</x:f>
        <x:v>仄</x:v>
      </x:c>
      <x:c r="I1916" s="6" t="str">
        <x:f>IF(D1907="","",IF(AND(ISNUMBER(SEARCH("平",D1907)),OR(ISNUMBER(SEARCH("上",D1907)),ISNUMBER(SEARCH("去",D1907)),ISNUMBER(SEARCH("入",D1907)))),"Ambiguous",IF(ISNUMBER(SEARCH("平",D1907)),"平","仄")))</x:f>
        <x:v>仄</x:v>
      </x:c>
      <x:c r="J1916" s="7" t="str"/>
    </x:row>
    <x:row r="1917">
      <x:c r="A1917" s="5" t="str">
        <x:v>楖</x:v>
      </x:c>
      <x:c r="B1917" s="6" t="str">
        <x:v>入</x:v>
      </x:c>
      <x:c r="C1917" s="6" t="str">
        <x:f>IF(B1917="","Needs decision","Ready")</x:f>
        <x:v>Ready</x:v>
      </x:c>
      <x:c r="D1917" s="6" t="str">
        <x:v>入</x:v>
      </x:c>
      <x:c r="E1917" s="6" t="str">
        <x:v>tsrit (D)</x:v>
      </x:c>
      <x:c r="F1917" s="6" t="str">
        <x:v>1</x:v>
      </x:c>
      <x:c r="G1917" s="6" t="str"/>
      <x:c r="H1917" s="6" t="str">
        <x:f>IF(B1917="平","平",IF(B1917="","","仄"))</x:f>
        <x:v>仄</x:v>
      </x:c>
      <x:c r="I1917" s="6" t="str">
        <x:f>IF(D1908="","",IF(AND(ISNUMBER(SEARCH("平",D1908)),OR(ISNUMBER(SEARCH("上",D1908)),ISNUMBER(SEARCH("去",D1908)),ISNUMBER(SEARCH("入",D1908)))),"Ambiguous",IF(ISNUMBER(SEARCH("平",D1908)),"平","仄")))</x:f>
        <x:v>仄</x:v>
      </x:c>
      <x:c r="J1917" s="7" t="str"/>
    </x:row>
    <x:row r="1918">
      <x:c r="A1918" s="5" t="str">
        <x:v>楚</x:v>
      </x:c>
      <x:c r="B1918" s="6" t="str">
        <x:v>上</x:v>
      </x:c>
      <x:c r="C1918" s="6" t="str">
        <x:f>IF(B1918="","Needs decision","Ready")</x:f>
        <x:v>Ready</x:v>
      </x:c>
      <x:c r="D1918" s="6" t="str">
        <x:v>上</x:v>
      </x:c>
      <x:c r="E1918" s="6" t="str">
        <x:v>tsrhjoX (B)</x:v>
      </x:c>
      <x:c r="F1918" s="6" t="str">
        <x:v>1</x:v>
      </x:c>
      <x:c r="G1918" s="6" t="str"/>
      <x:c r="H1918" s="6" t="str">
        <x:f>IF(B1918="平","平",IF(B1918="","","仄"))</x:f>
        <x:v>仄</x:v>
      </x:c>
      <x:c r="I1918" s="6" t="str">
        <x:f>IF(D1909="","",IF(AND(ISNUMBER(SEARCH("平",D1909)),OR(ISNUMBER(SEARCH("上",D1909)),ISNUMBER(SEARCH("去",D1909)),ISNUMBER(SEARCH("入",D1909)))),"Ambiguous",IF(ISNUMBER(SEARCH("平",D1909)),"平","仄")))</x:f>
        <x:v>平</x:v>
      </x:c>
      <x:c r="J1918" s="7" t="str"/>
    </x:row>
    <x:row r="1919">
      <x:c r="A1919" s="5" t="str">
        <x:v>楡</x:v>
      </x:c>
      <x:c r="B1919" s="6" t="str">
        <x:v>平</x:v>
      </x:c>
      <x:c r="C1919" s="6" t="str">
        <x:f>IF(B1919="","Needs decision","Ready")</x:f>
        <x:v>Ready</x:v>
      </x:c>
      <x:c r="D1919" s="6" t="str">
        <x:v>平</x:v>
      </x:c>
      <x:c r="E1919" s="6" t="str"/>
      <x:c r="F1919" s="6" t="str"/>
      <x:c r="G1919" s="6" t="str">
        <x:v>Manual user correction/addition</x:v>
      </x:c>
      <x:c r="H1919" s="6" t="str">
        <x:f>IF(B1919="平","平",IF(B1919="","","仄"))</x:f>
        <x:v>平</x:v>
      </x:c>
      <x:c r="I1919" s="6" t="str">
        <x:f>IF(D1910="","",IF(AND(ISNUMBER(SEARCH("平",D1910)),OR(ISNUMBER(SEARCH("上",D1910)),ISNUMBER(SEARCH("去",D1910)),ISNUMBER(SEARCH("入",D1910)))),"Ambiguous",IF(ISNUMBER(SEARCH("平",D1910)),"平","仄")))</x:f>
        <x:v>平</x:v>
      </x:c>
      <x:c r="J1919" s="7" t="str">
        <x:v>manual user correction</x:v>
      </x:c>
    </x:row>
    <x:row r="1920">
      <x:c r="A1920" s="5" t="str">
        <x:v>楫</x:v>
      </x:c>
      <x:c r="B1920" s="6" t="str">
        <x:v>入</x:v>
      </x:c>
      <x:c r="C1920" s="6" t="str">
        <x:f>IF(B1920="","Needs decision","Ready")</x:f>
        <x:v>Ready</x:v>
      </x:c>
      <x:c r="D1920" s="6" t="str">
        <x:v>入</x:v>
      </x:c>
      <x:c r="E1920" s="6" t="str">
        <x:v>tsjep (D)</x:v>
      </x:c>
      <x:c r="F1920" s="6" t="str">
        <x:v>1</x:v>
      </x:c>
      <x:c r="G1920" s="6" t="str"/>
      <x:c r="H1920" s="6" t="str">
        <x:f>IF(B1920="平","平",IF(B1920="","","仄"))</x:f>
        <x:v>仄</x:v>
      </x:c>
      <x:c r="I1920" s="6" t="str">
        <x:f>IF(D1911="","",IF(AND(ISNUMBER(SEARCH("平",D1911)),OR(ISNUMBER(SEARCH("上",D1911)),ISNUMBER(SEARCH("去",D1911)),ISNUMBER(SEARCH("入",D1911)))),"Ambiguous",IF(ISNUMBER(SEARCH("平",D1911)),"平","仄")))</x:f>
        <x:v>平</x:v>
      </x:c>
      <x:c r="J1920" s="7" t="str"/>
    </x:row>
    <x:row r="1921">
      <x:c r="A1921" s="5" t="str">
        <x:v>業</x:v>
      </x:c>
      <x:c r="B1921" s="6" t="str">
        <x:v>入</x:v>
      </x:c>
      <x:c r="C1921" s="6" t="str">
        <x:f>IF(B1921="","Needs decision","Ready")</x:f>
        <x:v>Ready</x:v>
      </x:c>
      <x:c r="D1921" s="6" t="str">
        <x:v>入</x:v>
      </x:c>
      <x:c r="E1921" s="6" t="str">
        <x:v>ngjaep (D)</x:v>
      </x:c>
      <x:c r="F1921" s="6" t="str">
        <x:v>1</x:v>
      </x:c>
      <x:c r="G1921" s="6" t="str"/>
      <x:c r="H1921" s="6" t="str">
        <x:f>IF(B1921="平","平",IF(B1921="","","仄"))</x:f>
        <x:v>仄</x:v>
      </x:c>
      <x:c r="I1921" s="6" t="str">
        <x:f>IF(D1912="","",IF(AND(ISNUMBER(SEARCH("平",D1912)),OR(ISNUMBER(SEARCH("上",D1912)),ISNUMBER(SEARCH("去",D1912)),ISNUMBER(SEARCH("入",D1912)))),"Ambiguous",IF(ISNUMBER(SEARCH("平",D1912)),"平","仄")))</x:f>
        <x:v>平</x:v>
      </x:c>
      <x:c r="J1921" s="7" t="str"/>
    </x:row>
    <x:row r="1922">
      <x:c r="A1922" s="5" t="str">
        <x:v>楯</x:v>
      </x:c>
      <x:c r="B1922" s="6" t="str">
        <x:v>上</x:v>
      </x:c>
      <x:c r="C1922" s="6" t="str">
        <x:f>IF(B1922="","Needs decision","Ready")</x:f>
        <x:v>Ready</x:v>
      </x:c>
      <x:c r="D1922" s="6" t="str">
        <x:v>上</x:v>
      </x:c>
      <x:c r="E1922" s="6" t="str">
        <x:v>zywinX (B)</x:v>
      </x:c>
      <x:c r="F1922" s="6" t="str">
        <x:v>1</x:v>
      </x:c>
      <x:c r="G1922" s="6" t="str"/>
      <x:c r="H1922" s="6" t="str">
        <x:f>IF(B1922="平","平",IF(B1922="","","仄"))</x:f>
        <x:v>仄</x:v>
      </x:c>
      <x:c r="I1922" s="6" t="str">
        <x:f>IF(D1913="","",IF(AND(ISNUMBER(SEARCH("平",D1913)),OR(ISNUMBER(SEARCH("上",D1913)),ISNUMBER(SEARCH("去",D1913)),ISNUMBER(SEARCH("入",D1913)))),"Ambiguous",IF(ISNUMBER(SEARCH("平",D1913)),"平","仄")))</x:f>
        <x:v>平</x:v>
      </x:c>
      <x:c r="J1922" s="7" t="str"/>
    </x:row>
    <x:row r="1923">
      <x:c r="A1923" s="5" t="str">
        <x:v>極</x:v>
      </x:c>
      <x:c r="B1923" s="6" t="str">
        <x:v>入</x:v>
      </x:c>
      <x:c r="C1923" s="6" t="str">
        <x:f>IF(B1923="","Needs decision","Ready")</x:f>
        <x:v>Ready</x:v>
      </x:c>
      <x:c r="D1923" s="6" t="str">
        <x:v>入</x:v>
      </x:c>
      <x:c r="E1923" s="6" t="str">
        <x:v>gik (D)</x:v>
      </x:c>
      <x:c r="F1923" s="6" t="str">
        <x:v>1</x:v>
      </x:c>
      <x:c r="G1923" s="6" t="str"/>
      <x:c r="H1923" s="6" t="str">
        <x:f>IF(B1923="平","平",IF(B1923="","","仄"))</x:f>
        <x:v>仄</x:v>
      </x:c>
      <x:c r="I1923" s="6" t="str">
        <x:f>IF(D1914="","",IF(AND(ISNUMBER(SEARCH("平",D1914)),OR(ISNUMBER(SEARCH("上",D1914)),ISNUMBER(SEARCH("去",D1914)),ISNUMBER(SEARCH("入",D1914)))),"Ambiguous",IF(ISNUMBER(SEARCH("平",D1914)),"平","仄")))</x:f>
        <x:v>平</x:v>
      </x:c>
      <x:c r="J1923" s="7" t="str"/>
    </x:row>
    <x:row r="1924">
      <x:c r="A1924" s="5" t="str">
        <x:v>楸</x:v>
      </x:c>
      <x:c r="B1924" s="6" t="str">
        <x:v>平</x:v>
      </x:c>
      <x:c r="C1924" s="6" t="str">
        <x:f>IF(B1924="","Needs decision","Ready")</x:f>
        <x:v>Ready</x:v>
      </x:c>
      <x:c r="D1924" s="6" t="str">
        <x:v>平</x:v>
      </x:c>
      <x:c r="E1924" s="6" t="str">
        <x:v>tshjuw [tsʰju] (平)</x:v>
      </x:c>
      <x:c r="F1924" s="6" t="str">
        <x:v>1</x:v>
      </x:c>
      <x:c r="G1924" s="6" t="str">
        <x:v>Tang 300 gap; frequency 1; provisional from Xun Gong</x:v>
      </x:c>
      <x:c r="H1924" s="6" t="str">
        <x:f>IF(B1924="平","平",IF(B1924="","","仄"))</x:f>
        <x:v>平</x:v>
      </x:c>
      <x:c r="I1924" s="6" t="str">
        <x:f>IF(D1915="","",IF(AND(ISNUMBER(SEARCH("平",D1915)),OR(ISNUMBER(SEARCH("上",D1915)),ISNUMBER(SEARCH("去",D1915)),ISNUMBER(SEARCH("入",D1915)))),"Ambiguous",IF(ISNUMBER(SEARCH("平",D1915)),"平","仄")))</x:f>
        <x:v>平</x:v>
      </x:c>
      <x:c r="J1924" s="7" t="str">
        <x:v>Xun Gong, Tang 300 gap fill</x:v>
      </x:c>
    </x:row>
    <x:row r="1925">
      <x:c r="A1925" s="5" t="str">
        <x:v>楹</x:v>
      </x:c>
      <x:c r="B1925" s="6" t="str">
        <x:v>平</x:v>
      </x:c>
      <x:c r="C1925" s="6" t="str">
        <x:f>IF(B1925="","Needs decision","Ready")</x:f>
        <x:v>Ready</x:v>
      </x:c>
      <x:c r="D1925" s="6" t="str">
        <x:v>平</x:v>
      </x:c>
      <x:c r="E1925" s="6" t="str">
        <x:v>yeng (A)</x:v>
      </x:c>
      <x:c r="F1925" s="6" t="str">
        <x:v>1</x:v>
      </x:c>
      <x:c r="G1925" s="6" t="str"/>
      <x:c r="H1925" s="6" t="str">
        <x:f>IF(B1925="平","平",IF(B1925="","","仄"))</x:f>
        <x:v>平</x:v>
      </x:c>
      <x:c r="I1925" s="6" t="str">
        <x:f>IF(D1916="","",IF(AND(ISNUMBER(SEARCH("平",D1916)),OR(ISNUMBER(SEARCH("上",D1916)),ISNUMBER(SEARCH("去",D1916)),ISNUMBER(SEARCH("入",D1916)))),"Ambiguous",IF(ISNUMBER(SEARCH("平",D1916)),"平","仄")))</x:f>
        <x:v>仄</x:v>
      </x:c>
      <x:c r="J1925" s="7" t="str"/>
    </x:row>
    <x:row r="1926">
      <x:c r="A1926" s="5" t="str">
        <x:v>概</x:v>
      </x:c>
      <x:c r="B1926" s="6" t="str">
        <x:v>去</x:v>
      </x:c>
      <x:c r="C1926" s="6" t="str">
        <x:f>IF(B1926="","Needs decision","Ready")</x:f>
        <x:v>Ready</x:v>
      </x:c>
      <x:c r="D1926" s="6" t="str">
        <x:v>去</x:v>
      </x:c>
      <x:c r="E1926" s="6" t="str">
        <x:v>kojH (C)</x:v>
      </x:c>
      <x:c r="F1926" s="6" t="str">
        <x:v>1</x:v>
      </x:c>
      <x:c r="G1926" s="6" t="str"/>
      <x:c r="H1926" s="6" t="str">
        <x:f>IF(B1926="平","平",IF(B1926="","","仄"))</x:f>
        <x:v>仄</x:v>
      </x:c>
      <x:c r="I1926" s="6" t="str">
        <x:f>IF(D1917="","",IF(AND(ISNUMBER(SEARCH("平",D1917)),OR(ISNUMBER(SEARCH("上",D1917)),ISNUMBER(SEARCH("去",D1917)),ISNUMBER(SEARCH("入",D1917)))),"Ambiguous",IF(ISNUMBER(SEARCH("平",D1917)),"平","仄")))</x:f>
        <x:v>仄</x:v>
      </x:c>
      <x:c r="J1926" s="7" t="str"/>
    </x:row>
    <x:row r="1927">
      <x:c r="A1927" s="5" t="str">
        <x:v>榆</x:v>
      </x:c>
      <x:c r="B1927" s="6" t="str">
        <x:v>平</x:v>
      </x:c>
      <x:c r="C1927" s="6" t="str">
        <x:f>IF(B1927="","Needs decision","Ready")</x:f>
        <x:v>Ready</x:v>
      </x:c>
      <x:c r="D1927" s="6" t="str">
        <x:v>平</x:v>
      </x:c>
      <x:c r="E1927" s="6" t="str">
        <x:v>yu (A)</x:v>
      </x:c>
      <x:c r="F1927" s="6" t="str">
        <x:v>1</x:v>
      </x:c>
      <x:c r="G1927" s="6" t="str"/>
      <x:c r="H1927" s="6" t="str">
        <x:f>IF(B1927="平","平",IF(B1927="","","仄"))</x:f>
        <x:v>平</x:v>
      </x:c>
      <x:c r="I1927" s="6" t="str">
        <x:f>IF(D1918="","",IF(AND(ISNUMBER(SEARCH("平",D1918)),OR(ISNUMBER(SEARCH("上",D1918)),ISNUMBER(SEARCH("去",D1918)),ISNUMBER(SEARCH("入",D1918)))),"Ambiguous",IF(ISNUMBER(SEARCH("平",D1918)),"平","仄")))</x:f>
        <x:v>仄</x:v>
      </x:c>
      <x:c r="J1927" s="7" t="str"/>
    </x:row>
    <x:row r="1928">
      <x:c r="A1928" s="5" t="str">
        <x:v>榛</x:v>
      </x:c>
      <x:c r="B1928" s="6" t="str">
        <x:v>平</x:v>
      </x:c>
      <x:c r="C1928" s="6" t="str">
        <x:f>IF(B1928="","Needs decision","Ready")</x:f>
        <x:v>Ready</x:v>
      </x:c>
      <x:c r="D1928" s="6" t="str">
        <x:v>平</x:v>
      </x:c>
      <x:c r="E1928" s="6" t="str">
        <x:v>tsrin (A)</x:v>
      </x:c>
      <x:c r="F1928" s="6" t="str">
        <x:v>1</x:v>
      </x:c>
      <x:c r="G1928" s="6" t="str"/>
      <x:c r="H1928" s="6" t="str">
        <x:f>IF(B1928="平","平",IF(B1928="","","仄"))</x:f>
        <x:v>平</x:v>
      </x:c>
      <x:c r="I1928" s="6" t="str">
        <x:f>IF(D1919="","",IF(AND(ISNUMBER(SEARCH("平",D1919)),OR(ISNUMBER(SEARCH("上",D1919)),ISNUMBER(SEARCH("去",D1919)),ISNUMBER(SEARCH("入",D1919)))),"Ambiguous",IF(ISNUMBER(SEARCH("平",D1919)),"平","仄")))</x:f>
        <x:v>平</x:v>
      </x:c>
      <x:c r="J1928" s="7" t="str"/>
    </x:row>
    <x:row r="1929">
      <x:c r="A1929" s="5" t="str">
        <x:v>榜</x:v>
      </x:c>
      <x:c r="B1929" s="6" t="str">
        <x:v>去</x:v>
      </x:c>
      <x:c r="C1929" s="6" t="str">
        <x:f>IF(B1929="","Needs decision","Ready")</x:f>
        <x:v>Ready</x:v>
      </x:c>
      <x:c r="D1929" s="6" t="str">
        <x:v>去</x:v>
      </x:c>
      <x:c r="E1929" s="6" t="str">
        <x:v>paengH (C)</x:v>
      </x:c>
      <x:c r="F1929" s="6" t="str">
        <x:v>1</x:v>
      </x:c>
      <x:c r="G1929" s="6" t="str"/>
      <x:c r="H1929" s="6" t="str">
        <x:f>IF(B1929="平","平",IF(B1929="","","仄"))</x:f>
        <x:v>仄</x:v>
      </x:c>
      <x:c r="I1929" s="6" t="str">
        <x:f>IF(D1920="","",IF(AND(ISNUMBER(SEARCH("平",D1920)),OR(ISNUMBER(SEARCH("上",D1920)),ISNUMBER(SEARCH("去",D1920)),ISNUMBER(SEARCH("入",D1920)))),"Ambiguous",IF(ISNUMBER(SEARCH("平",D1920)),"平","仄")))</x:f>
        <x:v>仄</x:v>
      </x:c>
      <x:c r="J1929" s="7" t="str"/>
    </x:row>
    <x:row r="1930">
      <x:c r="A1930" s="5" t="str">
        <x:v>榮</x:v>
      </x:c>
      <x:c r="B1930" s="6" t="str">
        <x:v>平</x:v>
      </x:c>
      <x:c r="C1930" s="6" t="str">
        <x:f>IF(B1930="","Needs decision","Ready")</x:f>
        <x:v>Ready</x:v>
      </x:c>
      <x:c r="D1930" s="6" t="str">
        <x:v>平</x:v>
      </x:c>
      <x:c r="E1930" s="6" t="str">
        <x:v>hjwaeng (A)</x:v>
      </x:c>
      <x:c r="F1930" s="6" t="str">
        <x:v>1</x:v>
      </x:c>
      <x:c r="G1930" s="6" t="str"/>
      <x:c r="H1930" s="6" t="str">
        <x:f>IF(B1930="平","平",IF(B1930="","","仄"))</x:f>
        <x:v>平</x:v>
      </x:c>
      <x:c r="I1930" s="6" t="str">
        <x:f>IF(D1921="","",IF(AND(ISNUMBER(SEARCH("平",D1921)),OR(ISNUMBER(SEARCH("上",D1921)),ISNUMBER(SEARCH("去",D1921)),ISNUMBER(SEARCH("入",D1921)))),"Ambiguous",IF(ISNUMBER(SEARCH("平",D1921)),"平","仄")))</x:f>
        <x:v>仄</x:v>
      </x:c>
      <x:c r="J1930" s="7" t="str"/>
    </x:row>
    <x:row r="1931">
      <x:c r="A1931" s="5" t="str">
        <x:v>榴</x:v>
      </x:c>
      <x:c r="B1931" s="6" t="str">
        <x:v>平</x:v>
      </x:c>
      <x:c r="C1931" s="6" t="str">
        <x:f>IF(B1931="","Needs decision","Ready")</x:f>
        <x:v>Ready</x:v>
      </x:c>
      <x:c r="D1931" s="6" t="str">
        <x:v>平</x:v>
      </x:c>
      <x:c r="E1931" s="6" t="str">
        <x:v>ljuw [lju] (平)</x:v>
      </x:c>
      <x:c r="F1931" s="6" t="str">
        <x:v>1</x:v>
      </x:c>
      <x:c r="G1931" s="6" t="str">
        <x:v>Tang 300 gap; frequency 1; provisional from Xun Gong</x:v>
      </x:c>
      <x:c r="H1931" s="6" t="str">
        <x:f>IF(B1931="平","平",IF(B1931="","","仄"))</x:f>
        <x:v>平</x:v>
      </x:c>
      <x:c r="I1931" s="6" t="str">
        <x:f>IF(D1922="","",IF(AND(ISNUMBER(SEARCH("平",D1922)),OR(ISNUMBER(SEARCH("上",D1922)),ISNUMBER(SEARCH("去",D1922)),ISNUMBER(SEARCH("入",D1922)))),"Ambiguous",IF(ISNUMBER(SEARCH("平",D1922)),"平","仄")))</x:f>
        <x:v>仄</x:v>
      </x:c>
      <x:c r="J1931" s="7" t="str">
        <x:v>Xun Gong, Tang 300 gap fill</x:v>
      </x:c>
    </x:row>
    <x:row r="1932">
      <x:c r="A1932" s="5" t="str">
        <x:v>榻</x:v>
      </x:c>
      <x:c r="B1932" s="6" t="str">
        <x:v>入</x:v>
      </x:c>
      <x:c r="C1932" s="6" t="str">
        <x:f>IF(B1932="","Needs decision","Ready")</x:f>
        <x:v>Ready</x:v>
      </x:c>
      <x:c r="D1932" s="6" t="str">
        <x:v>入</x:v>
      </x:c>
      <x:c r="E1932" s="6" t="str"/>
      <x:c r="F1932" s="6" t="str"/>
      <x:c r="G1932" s="6" t="str">
        <x:v>Manual user correction/addition</x:v>
      </x:c>
      <x:c r="H1932" s="6" t="str">
        <x:f>IF(B1932="平","平",IF(B1932="","","仄"))</x:f>
        <x:v>仄</x:v>
      </x:c>
      <x:c r="I1932" s="6" t="str">
        <x:f>IF(D1923="","",IF(AND(ISNUMBER(SEARCH("平",D1923)),OR(ISNUMBER(SEARCH("上",D1923)),ISNUMBER(SEARCH("去",D1923)),ISNUMBER(SEARCH("入",D1923)))),"Ambiguous",IF(ISNUMBER(SEARCH("平",D1923)),"平","仄")))</x:f>
        <x:v>仄</x:v>
      </x:c>
      <x:c r="J1932" s="7" t="str">
        <x:v>manual user correction</x:v>
      </x:c>
    </x:row>
    <x:row r="1933">
      <x:c r="A1933" s="5" t="str">
        <x:v>槃</x:v>
      </x:c>
      <x:c r="B1933" s="6" t="str">
        <x:v>平</x:v>
      </x:c>
      <x:c r="C1933" s="6" t="str">
        <x:f>IF(B1933="","Needs decision","Ready")</x:f>
        <x:v>Ready</x:v>
      </x:c>
      <x:c r="D1933" s="6" t="str">
        <x:v>平</x:v>
      </x:c>
      <x:c r="E1933" s="6" t="str">
        <x:v>ban [並一寒平] b̙ɑn</x:v>
      </x:c>
      <x:c r="F1933" s="6" t="str">
        <x:v>1</x:v>
      </x:c>
      <x:c r="G1933" s="6" t="str">
        <x:v>Targeted preliminary fill from Xun Gong; review if uncertain</x:v>
      </x:c>
      <x:c r="H1933" s="6" t="str">
        <x:f>IF(B1933="平","平",IF(B1933="","","仄"))</x:f>
        <x:v>平</x:v>
      </x:c>
      <x:c r="I1933" s="6" t="str">
        <x:f>IF(D1924="","",IF(AND(ISNUMBER(SEARCH("平",D1924)),OR(ISNUMBER(SEARCH("上",D1924)),ISNUMBER(SEARCH("去",D1924)),ISNUMBER(SEARCH("入",D1924)))),"Ambiguous",IF(ISNUMBER(SEARCH("平",D1924)),"平","仄")))</x:f>
        <x:v>平</x:v>
      </x:c>
      <x:c r="J1933" s="7" t="str">
        <x:v>Xun Gong character-readings.csv</x:v>
      </x:c>
    </x:row>
    <x:row r="1934">
      <x:c r="A1934" s="5" t="str">
        <x:v>槈</x:v>
      </x:c>
      <x:c r="B1934" s="6" t="str">
        <x:v>去</x:v>
      </x:c>
      <x:c r="C1934" s="6" t="str">
        <x:f>IF(B1934="","Needs decision","Ready")</x:f>
        <x:v>Ready</x:v>
      </x:c>
      <x:c r="D1934" s="6" t="str">
        <x:v>去</x:v>
      </x:c>
      <x:c r="E1934" s="6" t="str">
        <x:v>nuwH (C)</x:v>
      </x:c>
      <x:c r="F1934" s="6" t="str">
        <x:v>1</x:v>
      </x:c>
      <x:c r="G1934" s="6" t="str"/>
      <x:c r="H1934" s="6" t="str">
        <x:f>IF(B1934="平","平",IF(B1934="","","仄"))</x:f>
        <x:v>仄</x:v>
      </x:c>
      <x:c r="I1934" s="6" t="str">
        <x:f>IF(D1925="","",IF(AND(ISNUMBER(SEARCH("平",D1925)),OR(ISNUMBER(SEARCH("上",D1925)),ISNUMBER(SEARCH("去",D1925)),ISNUMBER(SEARCH("入",D1925)))),"Ambiguous",IF(ISNUMBER(SEARCH("平",D1925)),"平","仄")))</x:f>
        <x:v>平</x:v>
      </x:c>
      <x:c r="J1934" s="7" t="str"/>
    </x:row>
    <x:row r="1935">
      <x:c r="A1935" s="5" t="str">
        <x:v>構</x:v>
      </x:c>
      <x:c r="B1935" s="6" t="str">
        <x:v>去</x:v>
      </x:c>
      <x:c r="C1935" s="6" t="str">
        <x:f>IF(B1935="","Needs decision","Ready")</x:f>
        <x:v>Ready</x:v>
      </x:c>
      <x:c r="D1935" s="6" t="str">
        <x:v>去</x:v>
      </x:c>
      <x:c r="E1935" s="6" t="str"/>
      <x:c r="F1935" s="6" t="str"/>
      <x:c r="G1935" s="6" t="str">
        <x:v>Manual user correction/addition</x:v>
      </x:c>
      <x:c r="H1935" s="6" t="str">
        <x:f>IF(B1935="平","平",IF(B1935="","","仄"))</x:f>
        <x:v>仄</x:v>
      </x:c>
      <x:c r="I1935" s="6" t="str">
        <x:f>IF(D1926="","",IF(AND(ISNUMBER(SEARCH("平",D1926)),OR(ISNUMBER(SEARCH("上",D1926)),ISNUMBER(SEARCH("去",D1926)),ISNUMBER(SEARCH("入",D1926)))),"Ambiguous",IF(ISNUMBER(SEARCH("平",D1926)),"平","仄")))</x:f>
        <x:v>仄</x:v>
      </x:c>
      <x:c r="J1935" s="7" t="str">
        <x:v>manual user correction</x:v>
      </x:c>
    </x:row>
    <x:row r="1936">
      <x:c r="A1936" s="5" t="str">
        <x:v>槍</x:v>
      </x:c>
      <x:c r="B1936" s="6" t="str">
        <x:v>平</x:v>
      </x:c>
      <x:c r="C1936" s="6" t="str">
        <x:f>IF(B1936="","Needs decision","Ready")</x:f>
        <x:v>Ready</x:v>
      </x:c>
      <x:c r="D1936" s="6" t="str">
        <x:v>平</x:v>
      </x:c>
      <x:c r="E1936" s="6" t="str">
        <x:v>tshjang [tsʰjɑŋ] (平); tsrhaeng [tʂʰaˤŋ] (平)</x:v>
      </x:c>
      <x:c r="F1936" s="6" t="str">
        <x:v>2</x:v>
      </x:c>
      <x:c r="G1936" s="6" t="str">
        <x:v>Tang 300 gap; frequency 1; provisional from Xun Gong</x:v>
      </x:c>
      <x:c r="H1936" s="6" t="str">
        <x:f>IF(B1936="平","平",IF(B1936="","","仄"))</x:f>
        <x:v>平</x:v>
      </x:c>
      <x:c r="I1936" s="6" t="str">
        <x:f>IF(D1927="","",IF(AND(ISNUMBER(SEARCH("平",D1927)),OR(ISNUMBER(SEARCH("上",D1927)),ISNUMBER(SEARCH("去",D1927)),ISNUMBER(SEARCH("入",D1927)))),"Ambiguous",IF(ISNUMBER(SEARCH("平",D1927)),"平","仄")))</x:f>
        <x:v>平</x:v>
      </x:c>
      <x:c r="J1936" s="7" t="str">
        <x:v>Xun Gong, Tang 300 gap fill</x:v>
      </x:c>
    </x:row>
    <x:row r="1937">
      <x:c r="A1937" s="5" t="str">
        <x:v>槎</x:v>
      </x:c>
      <x:c r="B1937" s="6" t="str"/>
      <x:c r="C1937" s="6" t="str">
        <x:f>IF(B1937="","Needs decision","Ready")</x:f>
        <x:v>Needs decision</x:v>
      </x:c>
      <x:c r="D1937" s="6" t="str">
        <x:v>平/上</x:v>
      </x:c>
      <x:c r="E1937" s="6" t="str">
        <x:v>dzrae (A); dzraeX (B)</x:v>
      </x:c>
      <x:c r="F1937" s="6" t="str">
        <x:v>2</x:v>
      </x:c>
      <x:c r="G1937" s="6" t="str"/>
      <x:c r="H1937" s="6" t="str">
        <x:f>IF(B1937="平","平",IF(B1937="","","仄"))</x:f>
      </x:c>
      <x:c r="I1937" s="6" t="str">
        <x:f>IF(D1928="","",IF(AND(ISNUMBER(SEARCH("平",D1928)),OR(ISNUMBER(SEARCH("上",D1928)),ISNUMBER(SEARCH("去",D1928)),ISNUMBER(SEARCH("入",D1928)))),"Ambiguous",IF(ISNUMBER(SEARCH("平",D1928)),"平","仄")))</x:f>
        <x:v>平</x:v>
      </x:c>
      <x:c r="J1937" s="7" t="str"/>
    </x:row>
    <x:row r="1938">
      <x:c r="A1938" s="5" t="str">
        <x:v>槐</x:v>
      </x:c>
      <x:c r="B1938" s="6" t="str">
        <x:v>平</x:v>
      </x:c>
      <x:c r="C1938" s="6" t="str">
        <x:f>IF(B1938="","Needs decision","Ready")</x:f>
        <x:v>Ready</x:v>
      </x:c>
      <x:c r="D1938" s="6" t="str">
        <x:v>平</x:v>
      </x:c>
      <x:c r="E1938" s="6" t="str">
        <x:v>hweaj (A); hwoj (A)</x:v>
      </x:c>
      <x:c r="F1938" s="6" t="str">
        <x:v>2</x:v>
      </x:c>
      <x:c r="G1938" s="6" t="str"/>
      <x:c r="H1938" s="6" t="str">
        <x:f>IF(B1938="平","平",IF(B1938="","","仄"))</x:f>
        <x:v>平</x:v>
      </x:c>
      <x:c r="I1938" s="6" t="str">
        <x:f>IF(D1929="","",IF(AND(ISNUMBER(SEARCH("平",D1929)),OR(ISNUMBER(SEARCH("上",D1929)),ISNUMBER(SEARCH("去",D1929)),ISNUMBER(SEARCH("入",D1929)))),"Ambiguous",IF(ISNUMBER(SEARCH("平",D1929)),"平","仄")))</x:f>
        <x:v>仄</x:v>
      </x:c>
      <x:c r="J1938" s="7" t="str"/>
    </x:row>
    <x:row r="1939">
      <x:c r="A1939" s="5" t="str">
        <x:v>槨</x:v>
      </x:c>
      <x:c r="B1939" s="6" t="str">
        <x:v>入</x:v>
      </x:c>
      <x:c r="C1939" s="6" t="str">
        <x:f>IF(B1939="","Needs decision","Ready")</x:f>
        <x:v>Ready</x:v>
      </x:c>
      <x:c r="D1939" s="6" t="str">
        <x:v>入</x:v>
      </x:c>
      <x:c r="E1939" s="6" t="str">
        <x:v>kwak (D)</x:v>
      </x:c>
      <x:c r="F1939" s="6" t="str">
        <x:v>1</x:v>
      </x:c>
      <x:c r="G1939" s="6" t="str"/>
      <x:c r="H1939" s="6" t="str">
        <x:f>IF(B1939="平","平",IF(B1939="","","仄"))</x:f>
        <x:v>仄</x:v>
      </x:c>
      <x:c r="I1939" s="6" t="str">
        <x:f>IF(D1930="","",IF(AND(ISNUMBER(SEARCH("平",D1930)),OR(ISNUMBER(SEARCH("上",D1930)),ISNUMBER(SEARCH("去",D1930)),ISNUMBER(SEARCH("入",D1930)))),"Ambiguous",IF(ISNUMBER(SEARCH("平",D1930)),"平","仄")))</x:f>
        <x:v>平</x:v>
      </x:c>
      <x:c r="J1939" s="7" t="str"/>
    </x:row>
    <x:row r="1940">
      <x:c r="A1940" s="5" t="str">
        <x:v>槮</x:v>
      </x:c>
      <x:c r="B1940" s="6" t="str">
        <x:v>平</x:v>
      </x:c>
      <x:c r="C1940" s="6" t="str">
        <x:f>IF(B1940="","Needs decision","Ready")</x:f>
        <x:v>Ready</x:v>
      </x:c>
      <x:c r="D1940" s="6" t="str">
        <x:v>平</x:v>
      </x:c>
      <x:c r="E1940" s="6" t="str">
        <x:v>tsrhim (A)</x:v>
      </x:c>
      <x:c r="F1940" s="6" t="str">
        <x:v>1</x:v>
      </x:c>
      <x:c r="G1940" s="6" t="str"/>
      <x:c r="H1940" s="6" t="str">
        <x:f>IF(B1940="平","平",IF(B1940="","","仄"))</x:f>
        <x:v>平</x:v>
      </x:c>
      <x:c r="I1940" s="6" t="str">
        <x:f>IF(D1931="","",IF(AND(ISNUMBER(SEARCH("平",D1931)),OR(ISNUMBER(SEARCH("上",D1931)),ISNUMBER(SEARCH("去",D1931)),ISNUMBER(SEARCH("入",D1931)))),"Ambiguous",IF(ISNUMBER(SEARCH("平",D1931)),"平","仄")))</x:f>
        <x:v>平</x:v>
      </x:c>
      <x:c r="J1940" s="7" t="str"/>
    </x:row>
    <x:row r="1941">
      <x:c r="A1941" s="5" t="str">
        <x:v>槷</x:v>
      </x:c>
      <x:c r="B1941" s="6" t="str">
        <x:v>入</x:v>
      </x:c>
      <x:c r="C1941" s="6" t="str">
        <x:f>IF(B1941="","Needs decision","Ready")</x:f>
        <x:v>Ready</x:v>
      </x:c>
      <x:c r="D1941" s="6" t="str">
        <x:v>入</x:v>
      </x:c>
      <x:c r="E1941" s="6" t="str">
        <x:v>nget (D)</x:v>
      </x:c>
      <x:c r="F1941" s="6" t="str">
        <x:v>1</x:v>
      </x:c>
      <x:c r="G1941" s="6" t="str"/>
      <x:c r="H1941" s="6" t="str">
        <x:f>IF(B1941="平","平",IF(B1941="","","仄"))</x:f>
        <x:v>仄</x:v>
      </x:c>
      <x:c r="I1941" s="6" t="str">
        <x:f>IF(D1932="","",IF(AND(ISNUMBER(SEARCH("平",D1932)),OR(ISNUMBER(SEARCH("上",D1932)),ISNUMBER(SEARCH("去",D1932)),ISNUMBER(SEARCH("入",D1932)))),"Ambiguous",IF(ISNUMBER(SEARCH("平",D1932)),"平","仄")))</x:f>
        <x:v>仄</x:v>
      </x:c>
      <x:c r="J1941" s="7" t="str"/>
    </x:row>
    <x:row r="1942">
      <x:c r="A1942" s="5" t="str">
        <x:v>槿</x:v>
      </x:c>
      <x:c r="B1942" s="6" t="str">
        <x:v>上</x:v>
      </x:c>
      <x:c r="C1942" s="6" t="str">
        <x:f>IF(B1942="","Needs decision","Ready")</x:f>
        <x:v>Ready</x:v>
      </x:c>
      <x:c r="D1942" s="6" t="str">
        <x:v>上</x:v>
      </x:c>
      <x:c r="E1942" s="6" t="str">
        <x:v>kj+nX [kɨnʔ] (上)</x:v>
      </x:c>
      <x:c r="F1942" s="6" t="str">
        <x:v>1</x:v>
      </x:c>
      <x:c r="G1942" s="6" t="str">
        <x:v>Tang 300 gap; frequency 1; provisional from Xun Gong</x:v>
      </x:c>
      <x:c r="H1942" s="6" t="str">
        <x:f>IF(B1942="平","平",IF(B1942="","","仄"))</x:f>
        <x:v>仄</x:v>
      </x:c>
      <x:c r="I1942" s="6" t="str">
        <x:f>IF(D1933="","",IF(AND(ISNUMBER(SEARCH("平",D1933)),OR(ISNUMBER(SEARCH("上",D1933)),ISNUMBER(SEARCH("去",D1933)),ISNUMBER(SEARCH("入",D1933)))),"Ambiguous",IF(ISNUMBER(SEARCH("平",D1933)),"平","仄")))</x:f>
        <x:v>平</x:v>
      </x:c>
      <x:c r="J1942" s="7" t="str">
        <x:v>Xun Gong, Tang 300 gap fill</x:v>
      </x:c>
    </x:row>
    <x:row r="1943">
      <x:c r="A1943" s="5" t="str">
        <x:v>樂</x:v>
      </x:c>
      <x:c r="B1943" s="6" t="str"/>
      <x:c r="C1943" s="6" t="str">
        <x:f>IF(B1943="","Needs decision","Ready")</x:f>
        <x:v>Needs decision</x:v>
      </x:c>
      <x:c r="D1943" s="6" t="str">
        <x:v>入/去</x:v>
      </x:c>
      <x:c r="E1943" s="6" t="str">
        <x:v>lak (D); ngaewH (C); ngaewk (D)</x:v>
      </x:c>
      <x:c r="F1943" s="6" t="str">
        <x:v>3</x:v>
      </x:c>
      <x:c r="G1943" s="6" t="str"/>
      <x:c r="H1943" s="6" t="str">
        <x:f>IF(B1943="平","平",IF(B1943="","","仄"))</x:f>
      </x:c>
      <x:c r="I1943" s="6" t="str">
        <x:f>IF(D1934="","",IF(AND(ISNUMBER(SEARCH("平",D1934)),OR(ISNUMBER(SEARCH("上",D1934)),ISNUMBER(SEARCH("去",D1934)),ISNUMBER(SEARCH("入",D1934)))),"Ambiguous",IF(ISNUMBER(SEARCH("平",D1934)),"平","仄")))</x:f>
        <x:v>仄</x:v>
      </x:c>
      <x:c r="J1943" s="7" t="str"/>
    </x:row>
    <x:row r="1944">
      <x:c r="A1944" s="5" t="str">
        <x:v>樓</x:v>
      </x:c>
      <x:c r="B1944" s="6" t="str">
        <x:v>平</x:v>
      </x:c>
      <x:c r="C1944" s="6" t="str">
        <x:f>IF(B1944="","Needs decision","Ready")</x:f>
        <x:v>Ready</x:v>
      </x:c>
      <x:c r="D1944" s="6" t="str">
        <x:v>平</x:v>
      </x:c>
      <x:c r="E1944" s="6" t="str">
        <x:v>luw [來一侯平] l̙u</x:v>
      </x:c>
      <x:c r="F1944" s="6" t="str">
        <x:v>1</x:v>
      </x:c>
      <x:c r="G1944" s="6" t="str">
        <x:v>Targeted preliminary fill from Xun Gong; review if uncertain</x:v>
      </x:c>
      <x:c r="H1944" s="6" t="str">
        <x:f>IF(B1944="平","平",IF(B1944="","","仄"))</x:f>
        <x:v>平</x:v>
      </x:c>
      <x:c r="I1944" s="6" t="str">
        <x:f>IF(D1935="","",IF(AND(ISNUMBER(SEARCH("平",D1935)),OR(ISNUMBER(SEARCH("上",D1935)),ISNUMBER(SEARCH("去",D1935)),ISNUMBER(SEARCH("入",D1935)))),"Ambiguous",IF(ISNUMBER(SEARCH("平",D1935)),"平","仄")))</x:f>
        <x:v>仄</x:v>
      </x:c>
      <x:c r="J1944" s="7" t="str">
        <x:v>Xun Gong character-readings.csv</x:v>
      </x:c>
    </x:row>
    <x:row r="1945">
      <x:c r="A1945" s="5" t="str">
        <x:v>標</x:v>
      </x:c>
      <x:c r="B1945" s="6" t="str">
        <x:v>平</x:v>
      </x:c>
      <x:c r="C1945" s="6" t="str">
        <x:f>IF(B1945="","Needs decision","Ready")</x:f>
        <x:v>Ready</x:v>
      </x:c>
      <x:c r="D1945" s="6" t="str">
        <x:v>平/上</x:v>
      </x:c>
      <x:c r="E1945" s="6" t="str">
        <x:v>pjiew [pjew] (平); pjiewX [pjewʔ] (上)</x:v>
      </x:c>
      <x:c r="F1945" s="6" t="str">
        <x:v>2</x:v>
      </x:c>
      <x:c r="G1945" s="6" t="str">
        <x:v>Tang 300 gap; frequency 1; ambiguous in Xun Gong; User workbook edit 2026-09-03</x:v>
      </x:c>
      <x:c r="H1945" s="6" t="str">
        <x:f>IF(B1945="平","平",IF(B1945="","","仄"))</x:f>
        <x:v>平</x:v>
      </x:c>
      <x:c r="I1945" s="6" t="str">
        <x:f>IF(D1936="","",IF(AND(ISNUMBER(SEARCH("平",D1936)),OR(ISNUMBER(SEARCH("上",D1936)),ISNUMBER(SEARCH("去",D1936)),ISNUMBER(SEARCH("入",D1936)))),"Ambiguous",IF(ISNUMBER(SEARCH("平",D1936)),"平","仄")))</x:f>
        <x:v>平</x:v>
      </x:c>
      <x:c r="J1945" s="7" t="str">
        <x:v>manual user correction</x:v>
      </x:c>
    </x:row>
    <x:row r="1946">
      <x:c r="A1946" s="5" t="str">
        <x:v>樛</x:v>
      </x:c>
      <x:c r="B1946" s="6" t="str">
        <x:v>平</x:v>
      </x:c>
      <x:c r="C1946" s="6" t="str">
        <x:f>IF(B1946="","Needs decision","Ready")</x:f>
        <x:v>Ready</x:v>
      </x:c>
      <x:c r="D1946" s="6" t="str">
        <x:v>平</x:v>
      </x:c>
      <x:c r="E1946" s="6" t="str">
        <x:v>kjiw (A)</x:v>
      </x:c>
      <x:c r="F1946" s="6" t="str">
        <x:v>1</x:v>
      </x:c>
      <x:c r="G1946" s="6" t="str"/>
      <x:c r="H1946" s="6" t="str">
        <x:f>IF(B1946="平","平",IF(B1946="","","仄"))</x:f>
        <x:v>平</x:v>
      </x:c>
      <x:c r="I1946" s="6" t="str">
        <x:f>IF(D1937="","",IF(AND(ISNUMBER(SEARCH("平",D1937)),OR(ISNUMBER(SEARCH("上",D1937)),ISNUMBER(SEARCH("去",D1937)),ISNUMBER(SEARCH("入",D1937)))),"Ambiguous",IF(ISNUMBER(SEARCH("平",D1937)),"平","仄")))</x:f>
        <x:v>Ambiguous</x:v>
      </x:c>
      <x:c r="J1946" s="7" t="str"/>
    </x:row>
    <x:row r="1947">
      <x:c r="A1947" s="5" t="str">
        <x:v>樞</x:v>
      </x:c>
      <x:c r="B1947" s="6" t="str">
        <x:v>平</x:v>
      </x:c>
      <x:c r="C1947" s="6" t="str">
        <x:f>IF(B1947="","Needs decision","Ready")</x:f>
        <x:v>Ready</x:v>
      </x:c>
      <x:c r="D1947" s="6" t="str">
        <x:v>平</x:v>
      </x:c>
      <x:c r="E1947" s="6" t="str">
        <x:v>'uw (A); tsyhu (A)</x:v>
      </x:c>
      <x:c r="F1947" s="6" t="str">
        <x:v>2</x:v>
      </x:c>
      <x:c r="G1947" s="6" t="str"/>
      <x:c r="H1947" s="6" t="str">
        <x:f>IF(B1947="平","平",IF(B1947="","","仄"))</x:f>
        <x:v>平</x:v>
      </x:c>
      <x:c r="I1947" s="6" t="str">
        <x:f>IF(D1938="","",IF(AND(ISNUMBER(SEARCH("平",D1938)),OR(ISNUMBER(SEARCH("上",D1938)),ISNUMBER(SEARCH("去",D1938)),ISNUMBER(SEARCH("入",D1938)))),"Ambiguous",IF(ISNUMBER(SEARCH("平",D1938)),"平","仄")))</x:f>
        <x:v>平</x:v>
      </x:c>
      <x:c r="J1947" s="7" t="str"/>
    </x:row>
    <x:row r="1948">
      <x:c r="A1948" s="5" t="str">
        <x:v>模</x:v>
      </x:c>
      <x:c r="B1948" s="6" t="str">
        <x:v>平</x:v>
      </x:c>
      <x:c r="C1948" s="6" t="str">
        <x:f>IF(B1948="","Needs decision","Ready")</x:f>
        <x:v>Ready</x:v>
      </x:c>
      <x:c r="D1948" s="6" t="str">
        <x:v>平</x:v>
      </x:c>
      <x:c r="E1948" s="6" t="str">
        <x:v>mu (A)</x:v>
      </x:c>
      <x:c r="F1948" s="6" t="str">
        <x:v>1</x:v>
      </x:c>
      <x:c r="G1948" s="6" t="str"/>
      <x:c r="H1948" s="6" t="str">
        <x:f>IF(B1948="平","平",IF(B1948="","","仄"))</x:f>
        <x:v>平</x:v>
      </x:c>
      <x:c r="I1948" s="6" t="str">
        <x:f>IF(D1939="","",IF(AND(ISNUMBER(SEARCH("平",D1939)),OR(ISNUMBER(SEARCH("上",D1939)),ISNUMBER(SEARCH("去",D1939)),ISNUMBER(SEARCH("入",D1939)))),"Ambiguous",IF(ISNUMBER(SEARCH("平",D1939)),"平","仄")))</x:f>
        <x:v>仄</x:v>
      </x:c>
      <x:c r="J1948" s="7" t="str"/>
    </x:row>
    <x:row r="1949">
      <x:c r="A1949" s="5" t="str">
        <x:v>樴</x:v>
      </x:c>
      <x:c r="B1949" s="6" t="str">
        <x:v>入</x:v>
      </x:c>
      <x:c r="C1949" s="6" t="str">
        <x:f>IF(B1949="","Needs decision","Ready")</x:f>
        <x:v>Ready</x:v>
      </x:c>
      <x:c r="D1949" s="6" t="str">
        <x:v>入</x:v>
      </x:c>
      <x:c r="E1949" s="6" t="str">
        <x:v>tsyik (D)</x:v>
      </x:c>
      <x:c r="F1949" s="6" t="str">
        <x:v>1</x:v>
      </x:c>
      <x:c r="G1949" s="6" t="str"/>
      <x:c r="H1949" s="6" t="str">
        <x:f>IF(B1949="平","平",IF(B1949="","","仄"))</x:f>
        <x:v>仄</x:v>
      </x:c>
      <x:c r="I1949" s="6" t="str">
        <x:f>IF(D1940="","",IF(AND(ISNUMBER(SEARCH("平",D1940)),OR(ISNUMBER(SEARCH("上",D1940)),ISNUMBER(SEARCH("去",D1940)),ISNUMBER(SEARCH("入",D1940)))),"Ambiguous",IF(ISNUMBER(SEARCH("平",D1940)),"平","仄")))</x:f>
        <x:v>平</x:v>
      </x:c>
      <x:c r="J1949" s="7" t="str"/>
    </x:row>
    <x:row r="1950">
      <x:c r="A1950" s="5" t="str">
        <x:v>樵</x:v>
      </x:c>
      <x:c r="B1950" s="6" t="str">
        <x:v>平</x:v>
      </x:c>
      <x:c r="C1950" s="6" t="str">
        <x:f>IF(B1950="","Needs decision","Ready")</x:f>
        <x:v>Ready</x:v>
      </x:c>
      <x:c r="D1950" s="6" t="str">
        <x:v>平</x:v>
      </x:c>
      <x:c r="E1950" s="6" t="str">
        <x:v>dzjew [dzjew] (平)</x:v>
      </x:c>
      <x:c r="F1950" s="6" t="str">
        <x:v>1</x:v>
      </x:c>
      <x:c r="G1950" s="6" t="str">
        <x:v>Tang 300 gap; frequency 6; provisional from Xun Gong</x:v>
      </x:c>
      <x:c r="H1950" s="6" t="str">
        <x:f>IF(B1950="平","平",IF(B1950="","","仄"))</x:f>
        <x:v>平</x:v>
      </x:c>
      <x:c r="I1950" s="6" t="str">
        <x:f>IF(D1941="","",IF(AND(ISNUMBER(SEARCH("平",D1941)),OR(ISNUMBER(SEARCH("上",D1941)),ISNUMBER(SEARCH("去",D1941)),ISNUMBER(SEARCH("入",D1941)))),"Ambiguous",IF(ISNUMBER(SEARCH("平",D1941)),"平","仄")))</x:f>
        <x:v>仄</x:v>
      </x:c>
      <x:c r="J1950" s="7" t="str">
        <x:v>Xun Gong, Tang 300 gap fill</x:v>
      </x:c>
    </x:row>
    <x:row r="1951">
      <x:c r="A1951" s="5" t="str">
        <x:v>樸</x:v>
      </x:c>
      <x:c r="B1951" s="6" t="str">
        <x:v>入</x:v>
      </x:c>
      <x:c r="C1951" s="6" t="str">
        <x:f>IF(B1951="","Needs decision","Ready")</x:f>
        <x:v>Ready</x:v>
      </x:c>
      <x:c r="D1951" s="6" t="str">
        <x:v>入</x:v>
      </x:c>
      <x:c r="E1951" s="6" t="str">
        <x:v>phaewk (D)</x:v>
      </x:c>
      <x:c r="F1951" s="6" t="str">
        <x:v>1</x:v>
      </x:c>
      <x:c r="G1951" s="6" t="str"/>
      <x:c r="H1951" s="6" t="str">
        <x:f>IF(B1951="平","平",IF(B1951="","","仄"))</x:f>
        <x:v>仄</x:v>
      </x:c>
      <x:c r="I1951" s="6" t="str">
        <x:f>IF(D1942="","",IF(AND(ISNUMBER(SEARCH("平",D1942)),OR(ISNUMBER(SEARCH("上",D1942)),ISNUMBER(SEARCH("去",D1942)),ISNUMBER(SEARCH("入",D1942)))),"Ambiguous",IF(ISNUMBER(SEARCH("平",D1942)),"平","仄")))</x:f>
        <x:v>仄</x:v>
      </x:c>
      <x:c r="J1951" s="7" t="str"/>
    </x:row>
    <x:row r="1952">
      <x:c r="A1952" s="5" t="str">
        <x:v>樹</x:v>
      </x:c>
      <x:c r="B1952" s="6" t="str">
        <x:v>去</x:v>
      </x:c>
      <x:c r="C1952" s="6" t="str">
        <x:f>IF(B1952="","Needs decision","Ready")</x:f>
        <x:v>Ready</x:v>
      </x:c>
      <x:c r="D1952" s="6" t="str">
        <x:v>上/去</x:v>
      </x:c>
      <x:c r="E1952" s="6" t="str">
        <x:v>dzyuX (B); dzyuH (C)</x:v>
      </x:c>
      <x:c r="F1952" s="6" t="str">
        <x:v>2</x:v>
      </x:c>
      <x:c r="G1952" s="6" t="str">
        <x:v>User workbook edit 2026-09-03</x:v>
      </x:c>
      <x:c r="H1952" s="6" t="str">
        <x:f>IF(B1952="平","平",IF(B1952="","","仄"))</x:f>
        <x:v>仄</x:v>
      </x:c>
      <x:c r="I1952" s="6" t="str">
        <x:f>IF(D1943="","",IF(AND(ISNUMBER(SEARCH("平",D1943)),OR(ISNUMBER(SEARCH("上",D1943)),ISNUMBER(SEARCH("去",D1943)),ISNUMBER(SEARCH("入",D1943)))),"Ambiguous",IF(ISNUMBER(SEARCH("平",D1943)),"平","仄")))</x:f>
        <x:v>仄</x:v>
      </x:c>
      <x:c r="J1952" s="7" t="str">
        <x:v>manual user correction</x:v>
      </x:c>
    </x:row>
    <x:row r="1953">
      <x:c r="A1953" s="5" t="str">
        <x:v>樽</x:v>
      </x:c>
      <x:c r="B1953" s="6" t="str">
        <x:v>平</x:v>
      </x:c>
      <x:c r="C1953" s="6" t="str">
        <x:f>IF(B1953="","Needs decision","Ready")</x:f>
        <x:v>Ready</x:v>
      </x:c>
      <x:c r="D1953" s="6" t="str">
        <x:v>平</x:v>
      </x:c>
      <x:c r="E1953" s="6" t="str">
        <x:v>tswon (A)</x:v>
      </x:c>
      <x:c r="F1953" s="6" t="str">
        <x:v>1</x:v>
      </x:c>
      <x:c r="G1953" s="6" t="str"/>
      <x:c r="H1953" s="6" t="str">
        <x:f>IF(B1953="平","平",IF(B1953="","","仄"))</x:f>
        <x:v>平</x:v>
      </x:c>
      <x:c r="I1953" s="6" t="str">
        <x:f>IF(D1944="","",IF(AND(ISNUMBER(SEARCH("平",D1944)),OR(ISNUMBER(SEARCH("上",D1944)),ISNUMBER(SEARCH("去",D1944)),ISNUMBER(SEARCH("入",D1944)))),"Ambiguous",IF(ISNUMBER(SEARCH("平",D1944)),"平","仄")))</x:f>
        <x:v>平</x:v>
      </x:c>
      <x:c r="J1953" s="7" t="str"/>
    </x:row>
    <x:row r="1954">
      <x:c r="A1954" s="5" t="str">
        <x:v>橈</x:v>
      </x:c>
      <x:c r="B1954" s="6" t="str"/>
      <x:c r="C1954" s="6" t="str">
        <x:f>IF(B1954="","Needs decision","Ready")</x:f>
        <x:v>Needs decision</x:v>
      </x:c>
      <x:c r="D1954" s="6" t="str">
        <x:v>去/平</x:v>
      </x:c>
      <x:c r="E1954" s="6" t="str">
        <x:v>nraewH (C); nyew (A)</x:v>
      </x:c>
      <x:c r="F1954" s="6" t="str">
        <x:v>2</x:v>
      </x:c>
      <x:c r="G1954" s="6" t="str"/>
      <x:c r="H1954" s="6" t="str">
        <x:f>IF(B1954="平","平",IF(B1954="","","仄"))</x:f>
      </x:c>
      <x:c r="I1954" s="6" t="str">
        <x:f>IF(D1945="","",IF(AND(ISNUMBER(SEARCH("平",D1945)),OR(ISNUMBER(SEARCH("上",D1945)),ISNUMBER(SEARCH("去",D1945)),ISNUMBER(SEARCH("入",D1945)))),"Ambiguous",IF(ISNUMBER(SEARCH("平",D1945)),"平","仄")))</x:f>
        <x:v>Ambiguous</x:v>
      </x:c>
      <x:c r="J1954" s="7" t="str"/>
    </x:row>
    <x:row r="1955">
      <x:c r="A1955" s="5" t="str">
        <x:v>橋</x:v>
      </x:c>
      <x:c r="B1955" s="6" t="str">
        <x:v>平</x:v>
      </x:c>
      <x:c r="C1955" s="6" t="str">
        <x:f>IF(B1955="","Needs decision","Ready")</x:f>
        <x:v>Ready</x:v>
      </x:c>
      <x:c r="D1955" s="6" t="str">
        <x:v>平</x:v>
      </x:c>
      <x:c r="E1955" s="6" t="str">
        <x:v>gjew (A)</x:v>
      </x:c>
      <x:c r="F1955" s="6" t="str">
        <x:v>1</x:v>
      </x:c>
      <x:c r="G1955" s="6" t="str"/>
      <x:c r="H1955" s="6" t="str">
        <x:f>IF(B1955="平","平",IF(B1955="","","仄"))</x:f>
        <x:v>平</x:v>
      </x:c>
      <x:c r="I1955" s="6" t="str">
        <x:f>IF(D1946="","",IF(AND(ISNUMBER(SEARCH("平",D1946)),OR(ISNUMBER(SEARCH("上",D1946)),ISNUMBER(SEARCH("去",D1946)),ISNUMBER(SEARCH("入",D1946)))),"Ambiguous",IF(ISNUMBER(SEARCH("平",D1946)),"平","仄")))</x:f>
        <x:v>平</x:v>
      </x:c>
      <x:c r="J1955" s="7" t="str"/>
    </x:row>
    <x:row r="1956">
      <x:c r="A1956" s="5" t="str">
        <x:v>橐</x:v>
      </x:c>
      <x:c r="B1956" s="6" t="str">
        <x:v>入</x:v>
      </x:c>
      <x:c r="C1956" s="6" t="str">
        <x:f>IF(B1956="","Needs decision","Ready")</x:f>
        <x:v>Ready</x:v>
      </x:c>
      <x:c r="D1956" s="6" t="str">
        <x:v>入</x:v>
      </x:c>
      <x:c r="E1956" s="6" t="str">
        <x:v>thak (D)</x:v>
      </x:c>
      <x:c r="F1956" s="6" t="str">
        <x:v>1</x:v>
      </x:c>
      <x:c r="G1956" s="6" t="str"/>
      <x:c r="H1956" s="6" t="str">
        <x:f>IF(B1956="平","平",IF(B1956="","","仄"))</x:f>
        <x:v>仄</x:v>
      </x:c>
      <x:c r="I1956" s="6" t="str">
        <x:f>IF(D1947="","",IF(AND(ISNUMBER(SEARCH("平",D1947)),OR(ISNUMBER(SEARCH("上",D1947)),ISNUMBER(SEARCH("去",D1947)),ISNUMBER(SEARCH("入",D1947)))),"Ambiguous",IF(ISNUMBER(SEARCH("平",D1947)),"平","仄")))</x:f>
        <x:v>平</x:v>
      </x:c>
      <x:c r="J1956" s="7" t="str"/>
    </x:row>
    <x:row r="1957">
      <x:c r="A1957" s="5" t="str">
        <x:v>橘</x:v>
      </x:c>
      <x:c r="B1957" s="6" t="str">
        <x:v>入</x:v>
      </x:c>
      <x:c r="C1957" s="6" t="str">
        <x:f>IF(B1957="","Needs decision","Ready")</x:f>
        <x:v>Ready</x:v>
      </x:c>
      <x:c r="D1957" s="6" t="str">
        <x:v>入</x:v>
      </x:c>
      <x:c r="E1957" s="6" t="str">
        <x:v>kjwit (D)</x:v>
      </x:c>
      <x:c r="F1957" s="6" t="str">
        <x:v>1</x:v>
      </x:c>
      <x:c r="G1957" s="6" t="str"/>
      <x:c r="H1957" s="6" t="str">
        <x:f>IF(B1957="平","平",IF(B1957="","","仄"))</x:f>
        <x:v>仄</x:v>
      </x:c>
      <x:c r="I1957" s="6" t="str">
        <x:f>IF(D1948="","",IF(AND(ISNUMBER(SEARCH("平",D1948)),OR(ISNUMBER(SEARCH("上",D1948)),ISNUMBER(SEARCH("去",D1948)),ISNUMBER(SEARCH("入",D1948)))),"Ambiguous",IF(ISNUMBER(SEARCH("平",D1948)),"平","仄")))</x:f>
        <x:v>平</x:v>
      </x:c>
      <x:c r="J1957" s="7" t="str"/>
    </x:row>
    <x:row r="1958">
      <x:c r="A1958" s="5" t="str">
        <x:v>橙</x:v>
      </x:c>
      <x:c r="B1958" s="6" t="str">
        <x:v>平</x:v>
      </x:c>
      <x:c r="C1958" s="6" t="str">
        <x:f>IF(B1958="","Needs decision","Ready")</x:f>
        <x:v>Ready</x:v>
      </x:c>
      <x:c r="D1958" s="6" t="str">
        <x:v>平</x:v>
      </x:c>
      <x:c r="E1958" s="6" t="str">
        <x:v>dreang (A)</x:v>
      </x:c>
      <x:c r="F1958" s="6" t="str">
        <x:v>1</x:v>
      </x:c>
      <x:c r="G1958" s="6" t="str"/>
      <x:c r="H1958" s="6" t="str">
        <x:f>IF(B1958="平","平",IF(B1958="","","仄"))</x:f>
        <x:v>平</x:v>
      </x:c>
      <x:c r="I1958" s="6" t="str">
        <x:f>IF(D1949="","",IF(AND(ISNUMBER(SEARCH("平",D1949)),OR(ISNUMBER(SEARCH("上",D1949)),ISNUMBER(SEARCH("去",D1949)),ISNUMBER(SEARCH("入",D1949)))),"Ambiguous",IF(ISNUMBER(SEARCH("平",D1949)),"平","仄")))</x:f>
        <x:v>仄</x:v>
      </x:c>
      <x:c r="J1958" s="7" t="str"/>
    </x:row>
    <x:row r="1959">
      <x:c r="A1959" s="5" t="str">
        <x:v>機</x:v>
      </x:c>
      <x:c r="B1959" s="6" t="str">
        <x:v>平</x:v>
      </x:c>
      <x:c r="C1959" s="6" t="str">
        <x:f>IF(B1959="","Needs decision","Ready")</x:f>
        <x:v>Ready</x:v>
      </x:c>
      <x:c r="D1959" s="6" t="str">
        <x:v>平</x:v>
      </x:c>
      <x:c r="E1959" s="6" t="str">
        <x:v>kj+j (A)</x:v>
      </x:c>
      <x:c r="F1959" s="6" t="str">
        <x:v>1</x:v>
      </x:c>
      <x:c r="G1959" s="6" t="str"/>
      <x:c r="H1959" s="6" t="str">
        <x:f>IF(B1959="平","平",IF(B1959="","","仄"))</x:f>
        <x:v>平</x:v>
      </x:c>
      <x:c r="I1959" s="6" t="str">
        <x:f>IF(D1950="","",IF(AND(ISNUMBER(SEARCH("平",D1950)),OR(ISNUMBER(SEARCH("上",D1950)),ISNUMBER(SEARCH("去",D1950)),ISNUMBER(SEARCH("入",D1950)))),"Ambiguous",IF(ISNUMBER(SEARCH("平",D1950)),"平","仄")))</x:f>
        <x:v>平</x:v>
      </x:c>
      <x:c r="J1959" s="7" t="str"/>
    </x:row>
    <x:row r="1960">
      <x:c r="A1960" s="5" t="str">
        <x:v>橡</x:v>
      </x:c>
      <x:c r="B1960" s="6" t="str">
        <x:v>上</x:v>
      </x:c>
      <x:c r="C1960" s="6" t="str">
        <x:f>IF(B1960="","Needs decision","Ready")</x:f>
        <x:v>Ready</x:v>
      </x:c>
      <x:c r="D1960" s="6" t="str">
        <x:v>上</x:v>
      </x:c>
      <x:c r="E1960" s="6" t="str">
        <x:v>zjangX (B)</x:v>
      </x:c>
      <x:c r="F1960" s="6" t="str">
        <x:v>1</x:v>
      </x:c>
      <x:c r="G1960" s="6" t="str"/>
      <x:c r="H1960" s="6" t="str">
        <x:f>IF(B1960="平","平",IF(B1960="","","仄"))</x:f>
        <x:v>仄</x:v>
      </x:c>
      <x:c r="I1960" s="6" t="str">
        <x:f>IF(D1951="","",IF(AND(ISNUMBER(SEARCH("平",D1951)),OR(ISNUMBER(SEARCH("上",D1951)),ISNUMBER(SEARCH("去",D1951)),ISNUMBER(SEARCH("入",D1951)))),"Ambiguous",IF(ISNUMBER(SEARCH("平",D1951)),"平","仄")))</x:f>
        <x:v>仄</x:v>
      </x:c>
      <x:c r="J1960" s="7" t="str"/>
    </x:row>
    <x:row r="1961">
      <x:c r="A1961" s="5" t="str">
        <x:v>橢</x:v>
      </x:c>
      <x:c r="B1961" s="6" t="str">
        <x:v>上</x:v>
      </x:c>
      <x:c r="C1961" s="6" t="str">
        <x:f>IF(B1961="","Needs decision","Ready")</x:f>
        <x:v>Ready</x:v>
      </x:c>
      <x:c r="D1961" s="6" t="str">
        <x:v>上</x:v>
      </x:c>
      <x:c r="E1961" s="6" t="str">
        <x:v>thwaX (B)</x:v>
      </x:c>
      <x:c r="F1961" s="6" t="str">
        <x:v>1</x:v>
      </x:c>
      <x:c r="G1961" s="6" t="str"/>
      <x:c r="H1961" s="6" t="str">
        <x:f>IF(B1961="平","平",IF(B1961="","","仄"))</x:f>
        <x:v>仄</x:v>
      </x:c>
      <x:c r="I1961" s="6" t="str">
        <x:f>IF(D1952="","",IF(AND(ISNUMBER(SEARCH("平",D1952)),OR(ISNUMBER(SEARCH("上",D1952)),ISNUMBER(SEARCH("去",D1952)),ISNUMBER(SEARCH("入",D1952)))),"Ambiguous",IF(ISNUMBER(SEARCH("平",D1952)),"平","仄")))</x:f>
        <x:v>仄</x:v>
      </x:c>
      <x:c r="J1961" s="7" t="str"/>
    </x:row>
    <x:row r="1962">
      <x:c r="A1962" s="5" t="str">
        <x:v>橦</x:v>
      </x:c>
      <x:c r="B1962" s="6" t="str">
        <x:v>平</x:v>
      </x:c>
      <x:c r="C1962" s="6" t="str">
        <x:f>IF(B1962="","Needs decision","Ready")</x:f>
        <x:v>Ready</x:v>
      </x:c>
      <x:c r="D1962" s="6" t="str">
        <x:v>平</x:v>
      </x:c>
      <x:c r="E1962" s="6" t="str">
        <x:v>draewng [ɖoˤŋ] (平); duwng [d̙uŋ] (平); tsyowng [tɕoŋ] (平)</x:v>
      </x:c>
      <x:c r="F1962" s="6" t="str">
        <x:v>3</x:v>
      </x:c>
      <x:c r="G1962" s="6" t="str">
        <x:v>Tang 300 gap; frequency 1; provisional from Xun Gong</x:v>
      </x:c>
      <x:c r="H1962" s="6" t="str">
        <x:f>IF(B1962="平","平",IF(B1962="","","仄"))</x:f>
        <x:v>平</x:v>
      </x:c>
      <x:c r="I1962" s="6" t="str">
        <x:f>IF(D1953="","",IF(AND(ISNUMBER(SEARCH("平",D1953)),OR(ISNUMBER(SEARCH("上",D1953)),ISNUMBER(SEARCH("去",D1953)),ISNUMBER(SEARCH("入",D1953)))),"Ambiguous",IF(ISNUMBER(SEARCH("平",D1953)),"平","仄")))</x:f>
        <x:v>平</x:v>
      </x:c>
      <x:c r="J1962" s="7" t="str">
        <x:v>Xun Gong, Tang 300 gap fill</x:v>
      </x:c>
    </x:row>
    <x:row r="1963">
      <x:c r="A1963" s="5" t="str">
        <x:v>橫</x:v>
      </x:c>
      <x:c r="B1963" s="6" t="str">
        <x:v>平</x:v>
      </x:c>
      <x:c r="C1963" s="6" t="str">
        <x:f>IF(B1963="","Needs decision","Ready")</x:f>
        <x:v>Ready</x:v>
      </x:c>
      <x:c r="D1963" s="6" t="str">
        <x:v>平</x:v>
      </x:c>
      <x:c r="E1963" s="6" t="str">
        <x:v>hwaeng (A)</x:v>
      </x:c>
      <x:c r="F1963" s="6" t="str">
        <x:v>1</x:v>
      </x:c>
      <x:c r="G1963" s="6" t="str"/>
      <x:c r="H1963" s="6" t="str">
        <x:f>IF(B1963="平","平",IF(B1963="","","仄"))</x:f>
        <x:v>平</x:v>
      </x:c>
      <x:c r="I1963" s="6" t="str">
        <x:f>IF(D1954="","",IF(AND(ISNUMBER(SEARCH("平",D1954)),OR(ISNUMBER(SEARCH("上",D1954)),ISNUMBER(SEARCH("去",D1954)),ISNUMBER(SEARCH("入",D1954)))),"Ambiguous",IF(ISNUMBER(SEARCH("平",D1954)),"平","仄")))</x:f>
        <x:v>Ambiguous</x:v>
      </x:c>
      <x:c r="J1963" s="7" t="str"/>
    </x:row>
    <x:row r="1964">
      <x:c r="A1964" s="5" t="str">
        <x:v>檀</x:v>
      </x:c>
      <x:c r="B1964" s="6" t="str">
        <x:v>平</x:v>
      </x:c>
      <x:c r="C1964" s="6" t="str">
        <x:f>IF(B1964="","Needs decision","Ready")</x:f>
        <x:v>Ready</x:v>
      </x:c>
      <x:c r="D1964" s="6" t="str">
        <x:v>平</x:v>
      </x:c>
      <x:c r="E1964" s="6" t="str">
        <x:v>dan [定開一寒平] d̙ɑn</x:v>
      </x:c>
      <x:c r="F1964" s="6" t="str">
        <x:v>1</x:v>
      </x:c>
      <x:c r="G1964" s="6" t="str">
        <x:v>Targeted preliminary fill from Xun Gong; review if uncertain</x:v>
      </x:c>
      <x:c r="H1964" s="6" t="str">
        <x:f>IF(B1964="平","平",IF(B1964="","","仄"))</x:f>
        <x:v>平</x:v>
      </x:c>
      <x:c r="I1964" s="6" t="str">
        <x:f>IF(D1955="","",IF(AND(ISNUMBER(SEARCH("平",D1955)),OR(ISNUMBER(SEARCH("上",D1955)),ISNUMBER(SEARCH("去",D1955)),ISNUMBER(SEARCH("入",D1955)))),"Ambiguous",IF(ISNUMBER(SEARCH("平",D1955)),"平","仄")))</x:f>
        <x:v>平</x:v>
      </x:c>
      <x:c r="J1964" s="7" t="str">
        <x:v>Xun Gong character-readings.csv</x:v>
      </x:c>
    </x:row>
    <x:row r="1965">
      <x:c r="A1965" s="5" t="str">
        <x:v>檄</x:v>
      </x:c>
      <x:c r="B1965" s="6" t="str">
        <x:v>入</x:v>
      </x:c>
      <x:c r="C1965" s="6" t="str">
        <x:f>IF(B1965="","Needs decision","Ready")</x:f>
        <x:v>Ready</x:v>
      </x:c>
      <x:c r="D1965" s="6" t="str">
        <x:v>入</x:v>
      </x:c>
      <x:c r="E1965" s="6" t="str">
        <x:v>hek [ʁek] (入)</x:v>
      </x:c>
      <x:c r="F1965" s="6" t="str">
        <x:v>1</x:v>
      </x:c>
      <x:c r="G1965" s="6" t="str">
        <x:v>Tang 300 gap; frequency 2; provisional from Xun Gong</x:v>
      </x:c>
      <x:c r="H1965" s="6" t="str">
        <x:f>IF(B1965="平","平",IF(B1965="","","仄"))</x:f>
        <x:v>仄</x:v>
      </x:c>
      <x:c r="I1965" s="6" t="str">
        <x:f>IF(D1956="","",IF(AND(ISNUMBER(SEARCH("平",D1956)),OR(ISNUMBER(SEARCH("上",D1956)),ISNUMBER(SEARCH("去",D1956)),ISNUMBER(SEARCH("入",D1956)))),"Ambiguous",IF(ISNUMBER(SEARCH("平",D1956)),"平","仄")))</x:f>
        <x:v>仄</x:v>
      </x:c>
      <x:c r="J1965" s="7" t="str">
        <x:v>Xun Gong, Tang 300 gap fill</x:v>
      </x:c>
    </x:row>
    <x:row r="1966">
      <x:c r="A1966" s="5" t="str">
        <x:v>檐</x:v>
      </x:c>
      <x:c r="B1966" s="6" t="str">
        <x:v>平</x:v>
      </x:c>
      <x:c r="C1966" s="6" t="str">
        <x:f>IF(B1966="","Needs decision","Ready")</x:f>
        <x:v>Ready</x:v>
      </x:c>
      <x:c r="D1966" s="6" t="str">
        <x:v>平</x:v>
      </x:c>
      <x:c r="E1966" s="6" t="str">
        <x:v>yem (A)</x:v>
      </x:c>
      <x:c r="F1966" s="6" t="str">
        <x:v>1</x:v>
      </x:c>
      <x:c r="G1966" s="6" t="str"/>
      <x:c r="H1966" s="6" t="str">
        <x:f>IF(B1966="平","平",IF(B1966="","","仄"))</x:f>
        <x:v>平</x:v>
      </x:c>
      <x:c r="I1966" s="6" t="str">
        <x:f>IF(D1957="","",IF(AND(ISNUMBER(SEARCH("平",D1957)),OR(ISNUMBER(SEARCH("上",D1957)),ISNUMBER(SEARCH("去",D1957)),ISNUMBER(SEARCH("入",D1957)))),"Ambiguous",IF(ISNUMBER(SEARCH("平",D1957)),"平","仄")))</x:f>
        <x:v>仄</x:v>
      </x:c>
      <x:c r="J1966" s="7" t="str"/>
    </x:row>
    <x:row r="1967">
      <x:c r="A1967" s="5" t="str">
        <x:v>檔</x:v>
      </x:c>
      <x:c r="B1967" s="6" t="str">
        <x:v>平</x:v>
      </x:c>
      <x:c r="C1967" s="6" t="str">
        <x:f>IF(B1967="","Needs decision","Ready")</x:f>
        <x:v>Ready</x:v>
      </x:c>
      <x:c r="D1967" s="6" t="str">
        <x:v>平</x:v>
      </x:c>
      <x:c r="E1967" s="6" t="str"/>
      <x:c r="F1967" s="6" t="str"/>
      <x:c r="G1967" s="6" t="str">
        <x:v>Manual user correction/addition</x:v>
      </x:c>
      <x:c r="H1967" s="6" t="str">
        <x:f>IF(B1967="平","平",IF(B1967="","","仄"))</x:f>
        <x:v>平</x:v>
      </x:c>
      <x:c r="I1967" s="6" t="str">
        <x:f>IF(D1958="","",IF(AND(ISNUMBER(SEARCH("平",D1958)),OR(ISNUMBER(SEARCH("上",D1958)),ISNUMBER(SEARCH("去",D1958)),ISNUMBER(SEARCH("入",D1958)))),"Ambiguous",IF(ISNUMBER(SEARCH("平",D1958)),"平","仄")))</x:f>
        <x:v>平</x:v>
      </x:c>
      <x:c r="J1967" s="7" t="str">
        <x:v>manual user correction</x:v>
      </x:c>
    </x:row>
    <x:row r="1968">
      <x:c r="A1968" s="5" t="str">
        <x:v>檖</x:v>
      </x:c>
      <x:c r="B1968" s="6" t="str">
        <x:v>去</x:v>
      </x:c>
      <x:c r="C1968" s="6" t="str">
        <x:f>IF(B1968="","Needs decision","Ready")</x:f>
        <x:v>Ready</x:v>
      </x:c>
      <x:c r="D1968" s="6" t="str">
        <x:v>去</x:v>
      </x:c>
      <x:c r="E1968" s="6" t="str">
        <x:v>zwijH (C)</x:v>
      </x:c>
      <x:c r="F1968" s="6" t="str">
        <x:v>1</x:v>
      </x:c>
      <x:c r="G1968" s="6" t="str"/>
      <x:c r="H1968" s="6" t="str">
        <x:f>IF(B1968="平","平",IF(B1968="","","仄"))</x:f>
        <x:v>仄</x:v>
      </x:c>
      <x:c r="I1968" s="6" t="str">
        <x:f>IF(D1959="","",IF(AND(ISNUMBER(SEARCH("平",D1959)),OR(ISNUMBER(SEARCH("上",D1959)),ISNUMBER(SEARCH("去",D1959)),ISNUMBER(SEARCH("入",D1959)))),"Ambiguous",IF(ISNUMBER(SEARCH("平",D1959)),"平","仄")))</x:f>
        <x:v>平</x:v>
      </x:c>
      <x:c r="J1968" s="7" t="str"/>
    </x:row>
    <x:row r="1969">
      <x:c r="A1969" s="5" t="str">
        <x:v>檜</x:v>
      </x:c>
      <x:c r="B1969" s="6" t="str">
        <x:v>去</x:v>
      </x:c>
      <x:c r="C1969" s="6" t="str">
        <x:f>IF(B1969="","Needs decision","Ready")</x:f>
        <x:v>Ready</x:v>
      </x:c>
      <x:c r="D1969" s="6" t="str">
        <x:v>去</x:v>
      </x:c>
      <x:c r="E1969" s="6" t="str">
        <x:v>kwajH (C)</x:v>
      </x:c>
      <x:c r="F1969" s="6" t="str">
        <x:v>1</x:v>
      </x:c>
      <x:c r="G1969" s="6" t="str"/>
      <x:c r="H1969" s="6" t="str">
        <x:f>IF(B1969="平","平",IF(B1969="","","仄"))</x:f>
        <x:v>仄</x:v>
      </x:c>
      <x:c r="I1969" s="6" t="str">
        <x:f>IF(D1960="","",IF(AND(ISNUMBER(SEARCH("平",D1960)),OR(ISNUMBER(SEARCH("上",D1960)),ISNUMBER(SEARCH("去",D1960)),ISNUMBER(SEARCH("入",D1960)))),"Ambiguous",IF(ISNUMBER(SEARCH("平",D1960)),"平","仄")))</x:f>
        <x:v>仄</x:v>
      </x:c>
      <x:c r="J1969" s="7" t="str"/>
    </x:row>
    <x:row r="1970">
      <x:c r="A1970" s="5" t="str">
        <x:v>檡</x:v>
      </x:c>
      <x:c r="B1970" s="6" t="str">
        <x:v>入</x:v>
      </x:c>
      <x:c r="C1970" s="6" t="str">
        <x:f>IF(B1970="","Needs decision","Ready")</x:f>
        <x:v>Ready</x:v>
      </x:c>
      <x:c r="D1970" s="6" t="str">
        <x:v>入</x:v>
      </x:c>
      <x:c r="E1970" s="6" t="str">
        <x:v>syek (D)</x:v>
      </x:c>
      <x:c r="F1970" s="6" t="str">
        <x:v>1</x:v>
      </x:c>
      <x:c r="G1970" s="6" t="str"/>
      <x:c r="H1970" s="6" t="str">
        <x:f>IF(B1970="平","平",IF(B1970="","","仄"))</x:f>
        <x:v>仄</x:v>
      </x:c>
      <x:c r="I1970" s="6" t="str">
        <x:f>IF(D1961="","",IF(AND(ISNUMBER(SEARCH("平",D1961)),OR(ISNUMBER(SEARCH("上",D1961)),ISNUMBER(SEARCH("去",D1961)),ISNUMBER(SEARCH("入",D1961)))),"Ambiguous",IF(ISNUMBER(SEARCH("平",D1961)),"平","仄")))</x:f>
        <x:v>仄</x:v>
      </x:c>
      <x:c r="J1970" s="7" t="str"/>
    </x:row>
    <x:row r="1971">
      <x:c r="A1971" s="5" t="str">
        <x:v>檢</x:v>
      </x:c>
      <x:c r="B1971" s="6" t="str">
        <x:v>上</x:v>
      </x:c>
      <x:c r="C1971" s="6" t="str">
        <x:f>IF(B1971="","Needs decision","Ready")</x:f>
        <x:v>Ready</x:v>
      </x:c>
      <x:c r="D1971" s="6" t="str">
        <x:v>上</x:v>
      </x:c>
      <x:c r="E1971" s="6" t="str">
        <x:v>kjemX (B)</x:v>
      </x:c>
      <x:c r="F1971" s="6" t="str">
        <x:v>1</x:v>
      </x:c>
      <x:c r="G1971" s="6" t="str"/>
      <x:c r="H1971" s="6" t="str">
        <x:f>IF(B1971="平","平",IF(B1971="","","仄"))</x:f>
        <x:v>仄</x:v>
      </x:c>
      <x:c r="I1971" s="6" t="str">
        <x:f>IF(D1962="","",IF(AND(ISNUMBER(SEARCH("平",D1962)),OR(ISNUMBER(SEARCH("上",D1962)),ISNUMBER(SEARCH("去",D1962)),ISNUMBER(SEARCH("入",D1962)))),"Ambiguous",IF(ISNUMBER(SEARCH("平",D1962)),"平","仄")))</x:f>
        <x:v>平</x:v>
      </x:c>
      <x:c r="J1971" s="7" t="str"/>
    </x:row>
    <x:row r="1972">
      <x:c r="A1972" s="5" t="str">
        <x:v>檣</x:v>
      </x:c>
      <x:c r="B1972" s="6" t="str">
        <x:v>平</x:v>
      </x:c>
      <x:c r="C1972" s="6" t="str">
        <x:f>IF(B1972="","Needs decision","Ready")</x:f>
        <x:v>Ready</x:v>
      </x:c>
      <x:c r="D1972" s="6" t="str">
        <x:v>平</x:v>
      </x:c>
      <x:c r="E1972" s="6" t="str">
        <x:v>dzjang [dzjɑŋ] (平)</x:v>
      </x:c>
      <x:c r="F1972" s="6" t="str">
        <x:v>1</x:v>
      </x:c>
      <x:c r="G1972" s="6" t="str">
        <x:v>Tang 300 gap; frequency 1; provisional from Xun Gong</x:v>
      </x:c>
      <x:c r="H1972" s="6" t="str">
        <x:f>IF(B1972="平","平",IF(B1972="","","仄"))</x:f>
        <x:v>平</x:v>
      </x:c>
      <x:c r="I1972" s="6" t="str">
        <x:f>IF(D1963="","",IF(AND(ISNUMBER(SEARCH("平",D1963)),OR(ISNUMBER(SEARCH("上",D1963)),ISNUMBER(SEARCH("去",D1963)),ISNUMBER(SEARCH("入",D1963)))),"Ambiguous",IF(ISNUMBER(SEARCH("平",D1963)),"平","仄")))</x:f>
        <x:v>平</x:v>
      </x:c>
      <x:c r="J1972" s="7" t="str">
        <x:v>Xun Gong, Tang 300 gap fill</x:v>
      </x:c>
    </x:row>
    <x:row r="1973">
      <x:c r="A1973" s="5" t="str">
        <x:v>檻</x:v>
      </x:c>
      <x:c r="B1973" s="6" t="str">
        <x:v>上</x:v>
      </x:c>
      <x:c r="C1973" s="6" t="str">
        <x:f>IF(B1973="","Needs decision","Ready")</x:f>
        <x:v>Ready</x:v>
      </x:c>
      <x:c r="D1973" s="6" t="str">
        <x:v>上</x:v>
      </x:c>
      <x:c r="E1973" s="6" t="str">
        <x:v>haemX (B); hamX (B)</x:v>
      </x:c>
      <x:c r="F1973" s="6" t="str">
        <x:v>2</x:v>
      </x:c>
      <x:c r="G1973" s="6" t="str"/>
      <x:c r="H1973" s="6" t="str">
        <x:f>IF(B1973="平","平",IF(B1973="","","仄"))</x:f>
        <x:v>仄</x:v>
      </x:c>
      <x:c r="I1973" s="6" t="str">
        <x:f>IF(D1964="","",IF(AND(ISNUMBER(SEARCH("平",D1964)),OR(ISNUMBER(SEARCH("上",D1964)),ISNUMBER(SEARCH("去",D1964)),ISNUMBER(SEARCH("入",D1964)))),"Ambiguous",IF(ISNUMBER(SEARCH("平",D1964)),"平","仄")))</x:f>
        <x:v>平</x:v>
      </x:c>
      <x:c r="J1973" s="7" t="str"/>
    </x:row>
    <x:row r="1974">
      <x:c r="A1974" s="5" t="str">
        <x:v>櫂</x:v>
      </x:c>
      <x:c r="B1974" s="6" t="str">
        <x:v>去</x:v>
      </x:c>
      <x:c r="C1974" s="6" t="str">
        <x:f>IF(B1974="","Needs decision","Ready")</x:f>
        <x:v>Ready</x:v>
      </x:c>
      <x:c r="D1974" s="6" t="str">
        <x:v>去</x:v>
      </x:c>
      <x:c r="E1974" s="6" t="str">
        <x:v>draewH (C)</x:v>
      </x:c>
      <x:c r="F1974" s="6" t="str">
        <x:v>1</x:v>
      </x:c>
      <x:c r="G1974" s="6" t="str"/>
      <x:c r="H1974" s="6" t="str">
        <x:f>IF(B1974="平","平",IF(B1974="","","仄"))</x:f>
        <x:v>仄</x:v>
      </x:c>
      <x:c r="I1974" s="6" t="str">
        <x:f>IF(D1965="","",IF(AND(ISNUMBER(SEARCH("平",D1965)),OR(ISNUMBER(SEARCH("上",D1965)),ISNUMBER(SEARCH("去",D1965)),ISNUMBER(SEARCH("入",D1965)))),"Ambiguous",IF(ISNUMBER(SEARCH("平",D1965)),"平","仄")))</x:f>
        <x:v>仄</x:v>
      </x:c>
      <x:c r="J1974" s="7" t="str"/>
    </x:row>
    <x:row r="1975">
      <x:c r="A1975" s="5" t="str">
        <x:v>櫃</x:v>
      </x:c>
      <x:c r="B1975" s="6" t="str">
        <x:v>去</x:v>
      </x:c>
      <x:c r="C1975" s="6" t="str">
        <x:f>IF(B1975="","Needs decision","Ready")</x:f>
        <x:v>Ready</x:v>
      </x:c>
      <x:c r="D1975" s="6" t="str">
        <x:v>去</x:v>
      </x:c>
      <x:c r="E1975" s="6" t="str">
        <x:v>gwijH (C)</x:v>
      </x:c>
      <x:c r="F1975" s="6" t="str">
        <x:v>1</x:v>
      </x:c>
      <x:c r="G1975" s="6" t="str"/>
      <x:c r="H1975" s="6" t="str">
        <x:f>IF(B1975="平","平",IF(B1975="","","仄"))</x:f>
        <x:v>仄</x:v>
      </x:c>
      <x:c r="I1975" s="6" t="str">
        <x:f>IF(D1966="","",IF(AND(ISNUMBER(SEARCH("平",D1966)),OR(ISNUMBER(SEARCH("上",D1966)),ISNUMBER(SEARCH("去",D1966)),ISNUMBER(SEARCH("入",D1966)))),"Ambiguous",IF(ISNUMBER(SEARCH("平",D1966)),"平","仄")))</x:f>
        <x:v>平</x:v>
      </x:c>
      <x:c r="J1975" s="7" t="str"/>
    </x:row>
    <x:row r="1976">
      <x:c r="A1976" s="5" t="str">
        <x:v>櫓</x:v>
      </x:c>
      <x:c r="B1976" s="6" t="str">
        <x:v>上</x:v>
      </x:c>
      <x:c r="C1976" s="6" t="str">
        <x:f>IF(B1976="","Needs decision","Ready")</x:f>
        <x:v>Ready</x:v>
      </x:c>
      <x:c r="D1976" s="6" t="str">
        <x:v>上</x:v>
      </x:c>
      <x:c r="E1976" s="6" t="str">
        <x:v>luX (B)</x:v>
      </x:c>
      <x:c r="F1976" s="6" t="str">
        <x:v>1</x:v>
      </x:c>
      <x:c r="G1976" s="6" t="str"/>
      <x:c r="H1976" s="6" t="str">
        <x:f>IF(B1976="平","平",IF(B1976="","","仄"))</x:f>
        <x:v>仄</x:v>
      </x:c>
      <x:c r="I1976" s="6" t="str">
        <x:f>IF(D1967="","",IF(AND(ISNUMBER(SEARCH("平",D1967)),OR(ISNUMBER(SEARCH("上",D1967)),ISNUMBER(SEARCH("去",D1967)),ISNUMBER(SEARCH("入",D1967)))),"Ambiguous",IF(ISNUMBER(SEARCH("平",D1967)),"平","仄")))</x:f>
        <x:v>平</x:v>
      </x:c>
      <x:c r="J1976" s="7" t="str"/>
    </x:row>
    <x:row r="1977">
      <x:c r="A1977" s="5" t="str">
        <x:v>櫝</x:v>
      </x:c>
      <x:c r="B1977" s="6" t="str">
        <x:v>入</x:v>
      </x:c>
      <x:c r="C1977" s="6" t="str">
        <x:f>IF(B1977="","Needs decision","Ready")</x:f>
        <x:v>Ready</x:v>
      </x:c>
      <x:c r="D1977" s="6" t="str">
        <x:v>入</x:v>
      </x:c>
      <x:c r="E1977" s="6" t="str">
        <x:v>duwk (D)</x:v>
      </x:c>
      <x:c r="F1977" s="6" t="str">
        <x:v>1</x:v>
      </x:c>
      <x:c r="G1977" s="6" t="str"/>
      <x:c r="H1977" s="6" t="str">
        <x:f>IF(B1977="平","平",IF(B1977="","","仄"))</x:f>
        <x:v>仄</x:v>
      </x:c>
      <x:c r="I1977" s="6" t="str">
        <x:f>IF(D1968="","",IF(AND(ISNUMBER(SEARCH("平",D1968)),OR(ISNUMBER(SEARCH("上",D1968)),ISNUMBER(SEARCH("去",D1968)),ISNUMBER(SEARCH("入",D1968)))),"Ambiguous",IF(ISNUMBER(SEARCH("平",D1968)),"平","仄")))</x:f>
        <x:v>仄</x:v>
      </x:c>
      <x:c r="J1977" s="7" t="str"/>
    </x:row>
    <x:row r="1978">
      <x:c r="A1978" s="5" t="str">
        <x:v>櫟</x:v>
      </x:c>
      <x:c r="B1978" s="6" t="str">
        <x:v>入</x:v>
      </x:c>
      <x:c r="C1978" s="6" t="str">
        <x:f>IF(B1978="","Needs decision","Ready")</x:f>
        <x:v>Ready</x:v>
      </x:c>
      <x:c r="D1978" s="6" t="str">
        <x:v>入</x:v>
      </x:c>
      <x:c r="E1978" s="6" t="str">
        <x:v>lek (D)</x:v>
      </x:c>
      <x:c r="F1978" s="6" t="str">
        <x:v>1</x:v>
      </x:c>
      <x:c r="G1978" s="6" t="str"/>
      <x:c r="H1978" s="6" t="str">
        <x:f>IF(B1978="平","平",IF(B1978="","","仄"))</x:f>
        <x:v>仄</x:v>
      </x:c>
      <x:c r="I1978" s="6" t="str">
        <x:f>IF(D1969="","",IF(AND(ISNUMBER(SEARCH("平",D1969)),OR(ISNUMBER(SEARCH("上",D1969)),ISNUMBER(SEARCH("去",D1969)),ISNUMBER(SEARCH("入",D1969)))),"Ambiguous",IF(ISNUMBER(SEARCH("平",D1969)),"平","仄")))</x:f>
        <x:v>仄</x:v>
      </x:c>
      <x:c r="J1978" s="7" t="str"/>
    </x:row>
    <x:row r="1979">
      <x:c r="A1979" s="5" t="str">
        <x:v>櫪</x:v>
      </x:c>
      <x:c r="B1979" s="6" t="str">
        <x:v>入</x:v>
      </x:c>
      <x:c r="C1979" s="6" t="str">
        <x:f>IF(B1979="","Needs decision","Ready")</x:f>
        <x:v>Ready</x:v>
      </x:c>
      <x:c r="D1979" s="6" t="str">
        <x:v>入</x:v>
      </x:c>
      <x:c r="E1979" s="6" t="str">
        <x:v>lek [l̙ek] (入)</x:v>
      </x:c>
      <x:c r="F1979" s="6" t="str">
        <x:v>1</x:v>
      </x:c>
      <x:c r="G1979" s="6" t="str">
        <x:v>Tang 300 gap; frequency 1; provisional from Xun Gong</x:v>
      </x:c>
      <x:c r="H1979" s="6" t="str">
        <x:f>IF(B1979="平","平",IF(B1979="","","仄"))</x:f>
        <x:v>仄</x:v>
      </x:c>
      <x:c r="I1979" s="6" t="str">
        <x:f>IF(D1970="","",IF(AND(ISNUMBER(SEARCH("平",D1970)),OR(ISNUMBER(SEARCH("上",D1970)),ISNUMBER(SEARCH("去",D1970)),ISNUMBER(SEARCH("入",D1970)))),"Ambiguous",IF(ISNUMBER(SEARCH("平",D1970)),"平","仄")))</x:f>
        <x:v>仄</x:v>
      </x:c>
      <x:c r="J1979" s="7" t="str">
        <x:v>Xun Gong, Tang 300 gap fill</x:v>
      </x:c>
    </x:row>
    <x:row r="1980">
      <x:c r="A1980" s="5" t="str">
        <x:v>櫱</x:v>
      </x:c>
      <x:c r="B1980" s="6" t="str">
        <x:v>入</x:v>
      </x:c>
      <x:c r="C1980" s="6" t="str">
        <x:f>IF(B1980="","Needs decision","Ready")</x:f>
        <x:v>Ready</x:v>
      </x:c>
      <x:c r="D1980" s="6" t="str">
        <x:v>入</x:v>
      </x:c>
      <x:c r="E1980" s="6" t="str">
        <x:v>ngjet (D)</x:v>
      </x:c>
      <x:c r="F1980" s="6" t="str">
        <x:v>1</x:v>
      </x:c>
      <x:c r="G1980" s="6" t="str"/>
      <x:c r="H1980" s="6" t="str">
        <x:f>IF(B1980="平","平",IF(B1980="","","仄"))</x:f>
        <x:v>仄</x:v>
      </x:c>
      <x:c r="I1980" s="6" t="str">
        <x:f>IF(D1971="","",IF(AND(ISNUMBER(SEARCH("平",D1971)),OR(ISNUMBER(SEARCH("上",D1971)),ISNUMBER(SEARCH("去",D1971)),ISNUMBER(SEARCH("入",D1971)))),"Ambiguous",IF(ISNUMBER(SEARCH("平",D1971)),"平","仄")))</x:f>
        <x:v>仄</x:v>
      </x:c>
      <x:c r="J1980" s="7" t="str"/>
    </x:row>
    <x:row r="1981">
      <x:c r="A1981" s="5" t="str">
        <x:v>櫳</x:v>
      </x:c>
      <x:c r="B1981" s="6" t="str">
        <x:v>平</x:v>
      </x:c>
      <x:c r="C1981" s="6" t="str">
        <x:f>IF(B1981="","Needs decision","Ready")</x:f>
        <x:v>Ready</x:v>
      </x:c>
      <x:c r="D1981" s="6" t="str">
        <x:v>平</x:v>
      </x:c>
      <x:c r="E1981" s="6" t="str">
        <x:v>luwng [l̙uŋ] (平)</x:v>
      </x:c>
      <x:c r="F1981" s="6" t="str">
        <x:v>1</x:v>
      </x:c>
      <x:c r="G1981" s="6" t="str">
        <x:v>Tang 300 gap; frequency 1; provisional from Xun Gong</x:v>
      </x:c>
      <x:c r="H1981" s="6" t="str">
        <x:f>IF(B1981="平","平",IF(B1981="","","仄"))</x:f>
        <x:v>平</x:v>
      </x:c>
      <x:c r="I1981" s="6" t="str">
        <x:f>IF(D1972="","",IF(AND(ISNUMBER(SEARCH("平",D1972)),OR(ISNUMBER(SEARCH("上",D1972)),ISNUMBER(SEARCH("去",D1972)),ISNUMBER(SEARCH("入",D1972)))),"Ambiguous",IF(ISNUMBER(SEARCH("平",D1972)),"平","仄")))</x:f>
        <x:v>平</x:v>
      </x:c>
      <x:c r="J1981" s="7" t="str">
        <x:v>Xun Gong, Tang 300 gap fill</x:v>
      </x:c>
    </x:row>
    <x:row r="1982">
      <x:c r="A1982" s="5" t="str">
        <x:v>權</x:v>
      </x:c>
      <x:c r="B1982" s="6" t="str">
        <x:v>平</x:v>
      </x:c>
      <x:c r="C1982" s="6" t="str">
        <x:f>IF(B1982="","Needs decision","Ready")</x:f>
        <x:v>Ready</x:v>
      </x:c>
      <x:c r="D1982" s="6" t="str">
        <x:v>平</x:v>
      </x:c>
      <x:c r="E1982" s="6" t="str">
        <x:v>gjwen (A)</x:v>
      </x:c>
      <x:c r="F1982" s="6" t="str">
        <x:v>1</x:v>
      </x:c>
      <x:c r="G1982" s="6" t="str"/>
      <x:c r="H1982" s="6" t="str">
        <x:f>IF(B1982="平","平",IF(B1982="","","仄"))</x:f>
        <x:v>平</x:v>
      </x:c>
      <x:c r="I1982" s="6" t="str">
        <x:f>IF(D1973="","",IF(AND(ISNUMBER(SEARCH("平",D1973)),OR(ISNUMBER(SEARCH("上",D1973)),ISNUMBER(SEARCH("去",D1973)),ISNUMBER(SEARCH("入",D1973)))),"Ambiguous",IF(ISNUMBER(SEARCH("平",D1973)),"平","仄")))</x:f>
        <x:v>仄</x:v>
      </x:c>
      <x:c r="J1982" s="7" t="str"/>
    </x:row>
    <x:row r="1983">
      <x:c r="A1983" s="5" t="str">
        <x:v>欒</x:v>
      </x:c>
      <x:c r="B1983" s="6" t="str">
        <x:v>平</x:v>
      </x:c>
      <x:c r="C1983" s="6" t="str">
        <x:f>IF(B1983="","Needs decision","Ready")</x:f>
        <x:v>Ready</x:v>
      </x:c>
      <x:c r="D1983" s="6" t="str">
        <x:v>平</x:v>
      </x:c>
      <x:c r="E1983" s="6" t="str">
        <x:v>lwan (A)</x:v>
      </x:c>
      <x:c r="F1983" s="6" t="str">
        <x:v>1</x:v>
      </x:c>
      <x:c r="G1983" s="6" t="str"/>
      <x:c r="H1983" s="6" t="str">
        <x:f>IF(B1983="平","平",IF(B1983="","","仄"))</x:f>
        <x:v>平</x:v>
      </x:c>
      <x:c r="I1983" s="6" t="str">
        <x:f>IF(D1974="","",IF(AND(ISNUMBER(SEARCH("平",D1974)),OR(ISNUMBER(SEARCH("上",D1974)),ISNUMBER(SEARCH("去",D1974)),ISNUMBER(SEARCH("入",D1974)))),"Ambiguous",IF(ISNUMBER(SEARCH("平",D1974)),"平","仄")))</x:f>
        <x:v>仄</x:v>
      </x:c>
      <x:c r="J1983" s="7" t="str"/>
    </x:row>
    <x:row r="1984">
      <x:c r="A1984" s="5" t="str">
        <x:v>欠</x:v>
      </x:c>
      <x:c r="B1984" s="6" t="str">
        <x:v>去</x:v>
      </x:c>
      <x:c r="C1984" s="6" t="str">
        <x:f>IF(B1984="","Needs decision","Ready")</x:f>
        <x:v>Ready</x:v>
      </x:c>
      <x:c r="D1984" s="6" t="str">
        <x:v>去</x:v>
      </x:c>
      <x:c r="E1984" s="6" t="str">
        <x:v>khjomH (C)</x:v>
      </x:c>
      <x:c r="F1984" s="6" t="str">
        <x:v>1</x:v>
      </x:c>
      <x:c r="G1984" s="6" t="str"/>
      <x:c r="H1984" s="6" t="str">
        <x:f>IF(B1984="平","平",IF(B1984="","","仄"))</x:f>
        <x:v>仄</x:v>
      </x:c>
      <x:c r="I1984" s="6" t="str">
        <x:f>IF(D1975="","",IF(AND(ISNUMBER(SEARCH("平",D1975)),OR(ISNUMBER(SEARCH("上",D1975)),ISNUMBER(SEARCH("去",D1975)),ISNUMBER(SEARCH("入",D1975)))),"Ambiguous",IF(ISNUMBER(SEARCH("平",D1975)),"平","仄")))</x:f>
        <x:v>仄</x:v>
      </x:c>
      <x:c r="J1984" s="7" t="str"/>
    </x:row>
    <x:row r="1985">
      <x:c r="A1985" s="5" t="str">
        <x:v>次</x:v>
      </x:c>
      <x:c r="B1985" s="6" t="str">
        <x:v>去</x:v>
      </x:c>
      <x:c r="C1985" s="6" t="str">
        <x:f>IF(B1985="","Needs decision","Ready")</x:f>
        <x:v>Ready</x:v>
      </x:c>
      <x:c r="D1985" s="6" t="str">
        <x:v>去</x:v>
      </x:c>
      <x:c r="E1985" s="6" t="str">
        <x:v>tshijH (C)</x:v>
      </x:c>
      <x:c r="F1985" s="6" t="str">
        <x:v>1</x:v>
      </x:c>
      <x:c r="G1985" s="6" t="str"/>
      <x:c r="H1985" s="6" t="str">
        <x:f>IF(B1985="平","平",IF(B1985="","","仄"))</x:f>
        <x:v>仄</x:v>
      </x:c>
      <x:c r="I1985" s="6" t="str">
        <x:f>IF(D1976="","",IF(AND(ISNUMBER(SEARCH("平",D1976)),OR(ISNUMBER(SEARCH("上",D1976)),ISNUMBER(SEARCH("去",D1976)),ISNUMBER(SEARCH("入",D1976)))),"Ambiguous",IF(ISNUMBER(SEARCH("平",D1976)),"平","仄")))</x:f>
        <x:v>仄</x:v>
      </x:c>
      <x:c r="J1985" s="7" t="str"/>
    </x:row>
    <x:row r="1986">
      <x:c r="A1986" s="5" t="str">
        <x:v>欣</x:v>
      </x:c>
      <x:c r="B1986" s="6" t="str">
        <x:v>平</x:v>
      </x:c>
      <x:c r="C1986" s="6" t="str">
        <x:f>IF(B1986="","Needs decision","Ready")</x:f>
        <x:v>Ready</x:v>
      </x:c>
      <x:c r="D1986" s="6" t="str">
        <x:v>平</x:v>
      </x:c>
      <x:c r="E1986" s="6" t="str">
        <x:v>xj+n (A)</x:v>
      </x:c>
      <x:c r="F1986" s="6" t="str">
        <x:v>1</x:v>
      </x:c>
      <x:c r="G1986" s="6" t="str"/>
      <x:c r="H1986" s="6" t="str">
        <x:f>IF(B1986="平","平",IF(B1986="","","仄"))</x:f>
        <x:v>平</x:v>
      </x:c>
      <x:c r="I1986" s="6" t="str">
        <x:f>IF(D1977="","",IF(AND(ISNUMBER(SEARCH("平",D1977)),OR(ISNUMBER(SEARCH("上",D1977)),ISNUMBER(SEARCH("去",D1977)),ISNUMBER(SEARCH("入",D1977)))),"Ambiguous",IF(ISNUMBER(SEARCH("平",D1977)),"平","仄")))</x:f>
        <x:v>仄</x:v>
      </x:c>
      <x:c r="J1986" s="7" t="str"/>
    </x:row>
    <x:row r="1987">
      <x:c r="A1987" s="5" t="str">
        <x:v>欬</x:v>
      </x:c>
      <x:c r="B1987" s="6" t="str">
        <x:v>去</x:v>
      </x:c>
      <x:c r="C1987" s="6" t="str">
        <x:f>IF(B1987="","Needs decision","Ready")</x:f>
        <x:v>Ready</x:v>
      </x:c>
      <x:c r="D1987" s="6" t="str">
        <x:v>去</x:v>
      </x:c>
      <x:c r="E1987" s="6" t="str">
        <x:v>khojH (C)</x:v>
      </x:c>
      <x:c r="F1987" s="6" t="str">
        <x:v>1</x:v>
      </x:c>
      <x:c r="G1987" s="6" t="str"/>
      <x:c r="H1987" s="6" t="str">
        <x:f>IF(B1987="平","平",IF(B1987="","","仄"))</x:f>
        <x:v>仄</x:v>
      </x:c>
      <x:c r="I1987" s="6" t="str">
        <x:f>IF(D1978="","",IF(AND(ISNUMBER(SEARCH("平",D1978)),OR(ISNUMBER(SEARCH("上",D1978)),ISNUMBER(SEARCH("去",D1978)),ISNUMBER(SEARCH("入",D1978)))),"Ambiguous",IF(ISNUMBER(SEARCH("平",D1978)),"平","仄")))</x:f>
        <x:v>仄</x:v>
      </x:c>
      <x:c r="J1987" s="7" t="str"/>
    </x:row>
    <x:row r="1988">
      <x:c r="A1988" s="5" t="str">
        <x:v>欱</x:v>
      </x:c>
      <x:c r="B1988" s="6" t="str">
        <x:v>入</x:v>
      </x:c>
      <x:c r="C1988" s="6" t="str">
        <x:f>IF(B1988="","Needs decision","Ready")</x:f>
        <x:v>Ready</x:v>
      </x:c>
      <x:c r="D1988" s="6" t="str">
        <x:v>入</x:v>
      </x:c>
      <x:c r="E1988" s="6" t="str">
        <x:v>xop (D)</x:v>
      </x:c>
      <x:c r="F1988" s="6" t="str">
        <x:v>1</x:v>
      </x:c>
      <x:c r="G1988" s="6" t="str"/>
      <x:c r="H1988" s="6" t="str">
        <x:f>IF(B1988="平","平",IF(B1988="","","仄"))</x:f>
        <x:v>仄</x:v>
      </x:c>
      <x:c r="I1988" s="6" t="str">
        <x:f>IF(D1979="","",IF(AND(ISNUMBER(SEARCH("平",D1979)),OR(ISNUMBER(SEARCH("上",D1979)),ISNUMBER(SEARCH("去",D1979)),ISNUMBER(SEARCH("入",D1979)))),"Ambiguous",IF(ISNUMBER(SEARCH("平",D1979)),"平","仄")))</x:f>
        <x:v>仄</x:v>
      </x:c>
      <x:c r="J1988" s="7" t="str"/>
    </x:row>
    <x:row r="1989">
      <x:c r="A1989" s="5" t="str">
        <x:v>欲</x:v>
      </x:c>
      <x:c r="B1989" s="6" t="str">
        <x:v>入</x:v>
      </x:c>
      <x:c r="C1989" s="6" t="str">
        <x:f>IF(B1989="","Needs decision","Ready")</x:f>
        <x:v>Ready</x:v>
      </x:c>
      <x:c r="D1989" s="6" t="str">
        <x:v>入</x:v>
      </x:c>
      <x:c r="E1989" s="6" t="str">
        <x:v>yowk (D)</x:v>
      </x:c>
      <x:c r="F1989" s="6" t="str">
        <x:v>1</x:v>
      </x:c>
      <x:c r="G1989" s="6" t="str"/>
      <x:c r="H1989" s="6" t="str">
        <x:f>IF(B1989="平","平",IF(B1989="","","仄"))</x:f>
        <x:v>仄</x:v>
      </x:c>
      <x:c r="I1989" s="6" t="str">
        <x:f>IF(D1980="","",IF(AND(ISNUMBER(SEARCH("平",D1980)),OR(ISNUMBER(SEARCH("上",D1980)),ISNUMBER(SEARCH("去",D1980)),ISNUMBER(SEARCH("入",D1980)))),"Ambiguous",IF(ISNUMBER(SEARCH("平",D1980)),"平","仄")))</x:f>
        <x:v>仄</x:v>
      </x:c>
      <x:c r="J1989" s="7" t="str"/>
    </x:row>
    <x:row r="1990">
      <x:c r="A1990" s="5" t="str">
        <x:v>欸</x:v>
      </x:c>
      <x:c r="B1990" s="6" t="str"/>
      <x:c r="C1990" s="6" t="str">
        <x:f>IF(B1990="","Needs decision","Ready")</x:f>
        <x:v>Needs decision</x:v>
      </x:c>
      <x:c r="D1990" s="6" t="str">
        <x:v>平/上/去</x:v>
      </x:c>
      <x:c r="E1990" s="6" t="str">
        <x:v>'oj [ʔ̙əj] (平); 'ojX [ʔ̙əjʔ] (上); xeajH [χeˤjh] (去)</x:v>
      </x:c>
      <x:c r="F1990" s="6" t="str">
        <x:v>3</x:v>
      </x:c>
      <x:c r="G1990" s="6" t="str">
        <x:v>Tang 300 gap; frequency 1; ambiguous in Xun Gong</x:v>
      </x:c>
      <x:c r="H1990" s="6" t="str">
        <x:f>IF(B1990="平","平",IF(B1990="","","仄"))</x:f>
      </x:c>
      <x:c r="I1990" s="6" t="str">
        <x:f>IF(D1981="","",IF(AND(ISNUMBER(SEARCH("平",D1981)),OR(ISNUMBER(SEARCH("上",D1981)),ISNUMBER(SEARCH("去",D1981)),ISNUMBER(SEARCH("入",D1981)))),"Ambiguous",IF(ISNUMBER(SEARCH("平",D1981)),"平","仄")))</x:f>
        <x:v>平</x:v>
      </x:c>
      <x:c r="J1990" s="7" t="str">
        <x:v>Xun Gong, Tang 300 gap fill</x:v>
      </x:c>
    </x:row>
    <x:row r="1991">
      <x:c r="A1991" s="5" t="str">
        <x:v>欺</x:v>
      </x:c>
      <x:c r="B1991" s="6" t="str">
        <x:v>平</x:v>
      </x:c>
      <x:c r="C1991" s="6" t="str">
        <x:f>IF(B1991="","Needs decision","Ready")</x:f>
        <x:v>Ready</x:v>
      </x:c>
      <x:c r="D1991" s="6" t="str">
        <x:v>平</x:v>
      </x:c>
      <x:c r="E1991" s="6" t="str">
        <x:v>khi (A)</x:v>
      </x:c>
      <x:c r="F1991" s="6" t="str">
        <x:v>1</x:v>
      </x:c>
      <x:c r="G1991" s="6" t="str"/>
      <x:c r="H1991" s="6" t="str">
        <x:f>IF(B1991="平","平",IF(B1991="","","仄"))</x:f>
        <x:v>平</x:v>
      </x:c>
      <x:c r="I1991" s="6" t="str">
        <x:f>IF(D1982="","",IF(AND(ISNUMBER(SEARCH("平",D1982)),OR(ISNUMBER(SEARCH("上",D1982)),ISNUMBER(SEARCH("去",D1982)),ISNUMBER(SEARCH("入",D1982)))),"Ambiguous",IF(ISNUMBER(SEARCH("平",D1982)),"平","仄")))</x:f>
        <x:v>平</x:v>
      </x:c>
      <x:c r="J1991" s="7" t="str"/>
    </x:row>
    <x:row r="1992">
      <x:c r="A1992" s="5" t="str">
        <x:v>欿</x:v>
      </x:c>
      <x:c r="B1992" s="6" t="str">
        <x:v>上</x:v>
      </x:c>
      <x:c r="C1992" s="6" t="str">
        <x:f>IF(B1992="","Needs decision","Ready")</x:f>
        <x:v>Ready</x:v>
      </x:c>
      <x:c r="D1992" s="6" t="str">
        <x:v>上</x:v>
      </x:c>
      <x:c r="E1992" s="6" t="str">
        <x:v>khomX (B)</x:v>
      </x:c>
      <x:c r="F1992" s="6" t="str">
        <x:v>1</x:v>
      </x:c>
      <x:c r="G1992" s="6" t="str"/>
      <x:c r="H1992" s="6" t="str">
        <x:f>IF(B1992="平","平",IF(B1992="","","仄"))</x:f>
        <x:v>仄</x:v>
      </x:c>
      <x:c r="I1992" s="6" t="str">
        <x:f>IF(D1983="","",IF(AND(ISNUMBER(SEARCH("平",D1983)),OR(ISNUMBER(SEARCH("上",D1983)),ISNUMBER(SEARCH("去",D1983)),ISNUMBER(SEARCH("入",D1983)))),"Ambiguous",IF(ISNUMBER(SEARCH("平",D1983)),"平","仄")))</x:f>
        <x:v>平</x:v>
      </x:c>
      <x:c r="J1992" s="7" t="str"/>
    </x:row>
    <x:row r="1993">
      <x:c r="A1993" s="5" t="str">
        <x:v>歃</x:v>
      </x:c>
      <x:c r="B1993" s="6" t="str">
        <x:v>入</x:v>
      </x:c>
      <x:c r="C1993" s="6" t="str">
        <x:f>IF(B1993="","Needs decision","Ready")</x:f>
        <x:v>Ready</x:v>
      </x:c>
      <x:c r="D1993" s="6" t="str">
        <x:v>入</x:v>
      </x:c>
      <x:c r="E1993" s="6" t="str">
        <x:v>sreap (D); srjep (D)</x:v>
      </x:c>
      <x:c r="F1993" s="6" t="str">
        <x:v>2</x:v>
      </x:c>
      <x:c r="G1993" s="6" t="str"/>
      <x:c r="H1993" s="6" t="str">
        <x:f>IF(B1993="平","平",IF(B1993="","","仄"))</x:f>
        <x:v>仄</x:v>
      </x:c>
      <x:c r="I1993" s="6" t="str">
        <x:f>IF(D1984="","",IF(AND(ISNUMBER(SEARCH("平",D1984)),OR(ISNUMBER(SEARCH("上",D1984)),ISNUMBER(SEARCH("去",D1984)),ISNUMBER(SEARCH("入",D1984)))),"Ambiguous",IF(ISNUMBER(SEARCH("平",D1984)),"平","仄")))</x:f>
        <x:v>仄</x:v>
      </x:c>
      <x:c r="J1993" s="7" t="str"/>
    </x:row>
    <x:row r="1994">
      <x:c r="A1994" s="5" t="str">
        <x:v>歆</x:v>
      </x:c>
      <x:c r="B1994" s="6" t="str">
        <x:v>平</x:v>
      </x:c>
      <x:c r="C1994" s="6" t="str">
        <x:f>IF(B1994="","Needs decision","Ready")</x:f>
        <x:v>Ready</x:v>
      </x:c>
      <x:c r="D1994" s="6" t="str">
        <x:v>平</x:v>
      </x:c>
      <x:c r="E1994" s="6" t="str">
        <x:v>xim (A)</x:v>
      </x:c>
      <x:c r="F1994" s="6" t="str">
        <x:v>1</x:v>
      </x:c>
      <x:c r="G1994" s="6" t="str"/>
      <x:c r="H1994" s="6" t="str">
        <x:f>IF(B1994="平","平",IF(B1994="","","仄"))</x:f>
        <x:v>平</x:v>
      </x:c>
      <x:c r="I1994" s="6" t="str">
        <x:f>IF(D1985="","",IF(AND(ISNUMBER(SEARCH("平",D1985)),OR(ISNUMBER(SEARCH("上",D1985)),ISNUMBER(SEARCH("去",D1985)),ISNUMBER(SEARCH("入",D1985)))),"Ambiguous",IF(ISNUMBER(SEARCH("平",D1985)),"平","仄")))</x:f>
        <x:v>仄</x:v>
      </x:c>
      <x:c r="J1994" s="7" t="str"/>
    </x:row>
    <x:row r="1995">
      <x:c r="A1995" s="5" t="str">
        <x:v>歇</x:v>
      </x:c>
      <x:c r="B1995" s="6" t="str">
        <x:v>入</x:v>
      </x:c>
      <x:c r="C1995" s="6" t="str">
        <x:f>IF(B1995="","Needs decision","Ready")</x:f>
        <x:v>Ready</x:v>
      </x:c>
      <x:c r="D1995" s="6" t="str">
        <x:v>入</x:v>
      </x:c>
      <x:c r="E1995" s="6" t="str">
        <x:v>xjot (D)</x:v>
      </x:c>
      <x:c r="F1995" s="6" t="str">
        <x:v>1</x:v>
      </x:c>
      <x:c r="G1995" s="6" t="str"/>
      <x:c r="H1995" s="6" t="str">
        <x:f>IF(B1995="平","平",IF(B1995="","","仄"))</x:f>
        <x:v>仄</x:v>
      </x:c>
      <x:c r="I1995" s="6" t="str">
        <x:f>IF(D1986="","",IF(AND(ISNUMBER(SEARCH("平",D1986)),OR(ISNUMBER(SEARCH("上",D1986)),ISNUMBER(SEARCH("去",D1986)),ISNUMBER(SEARCH("入",D1986)))),"Ambiguous",IF(ISNUMBER(SEARCH("平",D1986)),"平","仄")))</x:f>
        <x:v>平</x:v>
      </x:c>
      <x:c r="J1995" s="7" t="str"/>
    </x:row>
    <x:row r="1996">
      <x:c r="A1996" s="5" t="str">
        <x:v>歈</x:v>
      </x:c>
      <x:c r="B1996" s="6" t="str">
        <x:v>平</x:v>
      </x:c>
      <x:c r="C1996" s="6" t="str">
        <x:f>IF(B1996="","Needs decision","Ready")</x:f>
        <x:v>Ready</x:v>
      </x:c>
      <x:c r="D1996" s="6" t="str">
        <x:v>平</x:v>
      </x:c>
      <x:c r="E1996" s="6" t="str">
        <x:v>duw (A)</x:v>
      </x:c>
      <x:c r="F1996" s="6" t="str">
        <x:v>1</x:v>
      </x:c>
      <x:c r="G1996" s="6" t="str"/>
      <x:c r="H1996" s="6" t="str">
        <x:f>IF(B1996="平","平",IF(B1996="","","仄"))</x:f>
        <x:v>平</x:v>
      </x:c>
      <x:c r="I1996" s="6" t="str">
        <x:f>IF(D1987="","",IF(AND(ISNUMBER(SEARCH("平",D1987)),OR(ISNUMBER(SEARCH("上",D1987)),ISNUMBER(SEARCH("去",D1987)),ISNUMBER(SEARCH("入",D1987)))),"Ambiguous",IF(ISNUMBER(SEARCH("平",D1987)),"平","仄")))</x:f>
        <x:v>仄</x:v>
      </x:c>
      <x:c r="J1996" s="7" t="str"/>
    </x:row>
    <x:row r="1997">
      <x:c r="A1997" s="5" t="str">
        <x:v>歉</x:v>
      </x:c>
      <x:c r="B1997" s="6" t="str">
        <x:v>去</x:v>
      </x:c>
      <x:c r="C1997" s="6" t="str">
        <x:f>IF(B1997="","Needs decision","Ready")</x:f>
        <x:v>Ready</x:v>
      </x:c>
      <x:c r="D1997" s="6" t="str">
        <x:v>去</x:v>
      </x:c>
      <x:c r="E1997" s="6" t="str">
        <x:v>kheamH (C)</x:v>
      </x:c>
      <x:c r="F1997" s="6" t="str">
        <x:v>1</x:v>
      </x:c>
      <x:c r="G1997" s="6" t="str"/>
      <x:c r="H1997" s="6" t="str">
        <x:f>IF(B1997="平","平",IF(B1997="","","仄"))</x:f>
        <x:v>仄</x:v>
      </x:c>
      <x:c r="I1997" s="6" t="str">
        <x:f>IF(D1988="","",IF(AND(ISNUMBER(SEARCH("平",D1988)),OR(ISNUMBER(SEARCH("上",D1988)),ISNUMBER(SEARCH("去",D1988)),ISNUMBER(SEARCH("入",D1988)))),"Ambiguous",IF(ISNUMBER(SEARCH("平",D1988)),"平","仄")))</x:f>
        <x:v>仄</x:v>
      </x:c>
      <x:c r="J1997" s="7" t="str"/>
    </x:row>
    <x:row r="1998">
      <x:c r="A1998" s="5" t="str">
        <x:v>歌</x:v>
      </x:c>
      <x:c r="B1998" s="6" t="str">
        <x:v>平</x:v>
      </x:c>
      <x:c r="C1998" s="6" t="str">
        <x:f>IF(B1998="","Needs decision","Ready")</x:f>
        <x:v>Ready</x:v>
      </x:c>
      <x:c r="D1998" s="6" t="str">
        <x:v>平</x:v>
      </x:c>
      <x:c r="E1998" s="6" t="str">
        <x:v>ka (A)</x:v>
      </x:c>
      <x:c r="F1998" s="6" t="str">
        <x:v>1</x:v>
      </x:c>
      <x:c r="G1998" s="6" t="str"/>
      <x:c r="H1998" s="6" t="str">
        <x:f>IF(B1998="平","平",IF(B1998="","","仄"))</x:f>
        <x:v>平</x:v>
      </x:c>
      <x:c r="I1998" s="6" t="str">
        <x:f>IF(D1989="","",IF(AND(ISNUMBER(SEARCH("平",D1989)),OR(ISNUMBER(SEARCH("上",D1989)),ISNUMBER(SEARCH("去",D1989)),ISNUMBER(SEARCH("入",D1989)))),"Ambiguous",IF(ISNUMBER(SEARCH("平",D1989)),"平","仄")))</x:f>
        <x:v>仄</x:v>
      </x:c>
      <x:c r="J1998" s="7" t="str"/>
    </x:row>
    <x:row r="1999">
      <x:c r="A1999" s="5" t="str">
        <x:v>歎</x:v>
      </x:c>
      <x:c r="B1999" s="6" t="str">
        <x:v>平</x:v>
      </x:c>
      <x:c r="C1999" s="6" t="str">
        <x:f>IF(B1999="","Needs decision","Ready")</x:f>
        <x:v>Ready</x:v>
      </x:c>
      <x:c r="D1999" s="6" t="str">
        <x:v>平</x:v>
      </x:c>
      <x:c r="E1999" s="6" t="str">
        <x:v>than (A)</x:v>
      </x:c>
      <x:c r="F1999" s="6" t="str">
        <x:v>1</x:v>
      </x:c>
      <x:c r="G1999" s="6" t="str"/>
      <x:c r="H1999" s="6" t="str">
        <x:f>IF(B1999="平","平",IF(B1999="","","仄"))</x:f>
        <x:v>平</x:v>
      </x:c>
      <x:c r="I1999" s="6" t="str">
        <x:f>IF(D1990="","",IF(AND(ISNUMBER(SEARCH("平",D1990)),OR(ISNUMBER(SEARCH("上",D1990)),ISNUMBER(SEARCH("去",D1990)),ISNUMBER(SEARCH("入",D1990)))),"Ambiguous",IF(ISNUMBER(SEARCH("平",D1990)),"平","仄")))</x:f>
        <x:v>Ambiguous</x:v>
      </x:c>
      <x:c r="J1999" s="7" t="str"/>
    </x:row>
    <x:row r="2000">
      <x:c r="A2000" s="5" t="str">
        <x:v>歐</x:v>
      </x:c>
      <x:c r="B2000" s="6" t="str">
        <x:v>平</x:v>
      </x:c>
      <x:c r="C2000" s="6" t="str">
        <x:f>IF(B2000="","Needs decision","Ready")</x:f>
        <x:v>Ready</x:v>
      </x:c>
      <x:c r="D2000" s="6" t="str">
        <x:v>平</x:v>
      </x:c>
      <x:c r="E2000" s="6" t="str"/>
      <x:c r="F2000" s="6" t="str"/>
      <x:c r="G2000" s="6" t="str">
        <x:v>Manual user correction/addition</x:v>
      </x:c>
      <x:c r="H2000" s="6" t="str">
        <x:f>IF(B2000="平","平",IF(B2000="","","仄"))</x:f>
        <x:v>平</x:v>
      </x:c>
      <x:c r="I2000" s="6" t="str">
        <x:f>IF(D1991="","",IF(AND(ISNUMBER(SEARCH("平",D1991)),OR(ISNUMBER(SEARCH("上",D1991)),ISNUMBER(SEARCH("去",D1991)),ISNUMBER(SEARCH("入",D1991)))),"Ambiguous",IF(ISNUMBER(SEARCH("平",D1991)),"平","仄")))</x:f>
        <x:v>平</x:v>
      </x:c>
      <x:c r="J2000" s="7" t="str">
        <x:v>manual user correction</x:v>
      </x:c>
    </x:row>
    <x:row r="2001">
      <x:c r="A2001" s="5" t="str">
        <x:v>歙</x:v>
      </x:c>
      <x:c r="B2001" s="6" t="str">
        <x:v>入</x:v>
      </x:c>
      <x:c r="C2001" s="6" t="str">
        <x:f>IF(B2001="","Needs decision","Ready")</x:f>
        <x:v>Ready</x:v>
      </x:c>
      <x:c r="D2001" s="6" t="str">
        <x:v>入</x:v>
      </x:c>
      <x:c r="E2001" s="6" t="str">
        <x:v>xip (D)</x:v>
      </x:c>
      <x:c r="F2001" s="6" t="str">
        <x:v>1</x:v>
      </x:c>
      <x:c r="G2001" s="6" t="str"/>
      <x:c r="H2001" s="6" t="str">
        <x:f>IF(B2001="平","平",IF(B2001="","","仄"))</x:f>
        <x:v>仄</x:v>
      </x:c>
      <x:c r="I2001" s="6" t="str">
        <x:f>IF(D1992="","",IF(AND(ISNUMBER(SEARCH("平",D1992)),OR(ISNUMBER(SEARCH("上",D1992)),ISNUMBER(SEARCH("去",D1992)),ISNUMBER(SEARCH("入",D1992)))),"Ambiguous",IF(ISNUMBER(SEARCH("平",D1992)),"平","仄")))</x:f>
        <x:v>仄</x:v>
      </x:c>
      <x:c r="J2001" s="7" t="str"/>
    </x:row>
    <x:row r="2002">
      <x:c r="A2002" s="5" t="str">
        <x:v>歛</x:v>
      </x:c>
      <x:c r="B2002" s="6" t="str">
        <x:v>平</x:v>
      </x:c>
      <x:c r="C2002" s="6" t="str">
        <x:f>IF(B2002="","Needs decision","Ready")</x:f>
        <x:v>Ready</x:v>
      </x:c>
      <x:c r="D2002" s="6" t="str">
        <x:v>平</x:v>
      </x:c>
      <x:c r="E2002" s="6" t="str">
        <x:v>xam [χɑm] (平)</x:v>
      </x:c>
      <x:c r="F2002" s="6" t="str">
        <x:v>1</x:v>
      </x:c>
      <x:c r="G2002" s="6" t="str">
        <x:v>Tang 300 gap; frequency 1; provisional from Xun Gong</x:v>
      </x:c>
      <x:c r="H2002" s="6" t="str">
        <x:f>IF(B2002="平","平",IF(B2002="","","仄"))</x:f>
        <x:v>平</x:v>
      </x:c>
      <x:c r="I2002" s="6" t="str">
        <x:f>IF(D1993="","",IF(AND(ISNUMBER(SEARCH("平",D1993)),OR(ISNUMBER(SEARCH("上",D1993)),ISNUMBER(SEARCH("去",D1993)),ISNUMBER(SEARCH("入",D1993)))),"Ambiguous",IF(ISNUMBER(SEARCH("平",D1993)),"平","仄")))</x:f>
        <x:v>仄</x:v>
      </x:c>
      <x:c r="J2002" s="7" t="str">
        <x:v>Xun Gong, Tang 300 gap fill</x:v>
      </x:c>
    </x:row>
    <x:row r="2003">
      <x:c r="A2003" s="5" t="str">
        <x:v>歠</x:v>
      </x:c>
      <x:c r="B2003" s="6" t="str">
        <x:v>入</x:v>
      </x:c>
      <x:c r="C2003" s="6" t="str">
        <x:f>IF(B2003="","Needs decision","Ready")</x:f>
        <x:v>Ready</x:v>
      </x:c>
      <x:c r="D2003" s="6" t="str">
        <x:v>入</x:v>
      </x:c>
      <x:c r="E2003" s="6" t="str">
        <x:v>tsyhwet (D)</x:v>
      </x:c>
      <x:c r="F2003" s="6" t="str">
        <x:v>1</x:v>
      </x:c>
      <x:c r="G2003" s="6" t="str"/>
      <x:c r="H2003" s="6" t="str">
        <x:f>IF(B2003="平","平",IF(B2003="","","仄"))</x:f>
        <x:v>仄</x:v>
      </x:c>
      <x:c r="I2003" s="6" t="str">
        <x:f>IF(D1994="","",IF(AND(ISNUMBER(SEARCH("平",D1994)),OR(ISNUMBER(SEARCH("上",D1994)),ISNUMBER(SEARCH("去",D1994)),ISNUMBER(SEARCH("入",D1994)))),"Ambiguous",IF(ISNUMBER(SEARCH("平",D1994)),"平","仄")))</x:f>
        <x:v>平</x:v>
      </x:c>
      <x:c r="J2003" s="7" t="str"/>
    </x:row>
    <x:row r="2004">
      <x:c r="A2004" s="5" t="str">
        <x:v>歡</x:v>
      </x:c>
      <x:c r="B2004" s="6" t="str">
        <x:v>平</x:v>
      </x:c>
      <x:c r="C2004" s="6" t="str">
        <x:f>IF(B2004="","Needs decision","Ready")</x:f>
        <x:v>Ready</x:v>
      </x:c>
      <x:c r="D2004" s="6" t="str">
        <x:v>平</x:v>
      </x:c>
      <x:c r="E2004" s="6" t="str">
        <x:v>xwan (A)</x:v>
      </x:c>
      <x:c r="F2004" s="6" t="str">
        <x:v>1</x:v>
      </x:c>
      <x:c r="G2004" s="6" t="str"/>
      <x:c r="H2004" s="6" t="str">
        <x:f>IF(B2004="平","平",IF(B2004="","","仄"))</x:f>
        <x:v>平</x:v>
      </x:c>
      <x:c r="I2004" s="6" t="str">
        <x:f>IF(D1995="","",IF(AND(ISNUMBER(SEARCH("平",D1995)),OR(ISNUMBER(SEARCH("上",D1995)),ISNUMBER(SEARCH("去",D1995)),ISNUMBER(SEARCH("入",D1995)))),"Ambiguous",IF(ISNUMBER(SEARCH("平",D1995)),"平","仄")))</x:f>
        <x:v>仄</x:v>
      </x:c>
      <x:c r="J2004" s="7" t="str"/>
    </x:row>
    <x:row r="2005">
      <x:c r="A2005" s="5" t="str">
        <x:v>止</x:v>
      </x:c>
      <x:c r="B2005" s="6" t="str">
        <x:v>上</x:v>
      </x:c>
      <x:c r="C2005" s="6" t="str">
        <x:f>IF(B2005="","Needs decision","Ready")</x:f>
        <x:v>Ready</x:v>
      </x:c>
      <x:c r="D2005" s="6" t="str">
        <x:v>上</x:v>
      </x:c>
      <x:c r="E2005" s="6" t="str">
        <x:v>tsyiX (B)</x:v>
      </x:c>
      <x:c r="F2005" s="6" t="str">
        <x:v>1</x:v>
      </x:c>
      <x:c r="G2005" s="6" t="str"/>
      <x:c r="H2005" s="6" t="str">
        <x:f>IF(B2005="平","平",IF(B2005="","","仄"))</x:f>
        <x:v>仄</x:v>
      </x:c>
      <x:c r="I2005" s="6" t="str">
        <x:f>IF(D1996="","",IF(AND(ISNUMBER(SEARCH("平",D1996)),OR(ISNUMBER(SEARCH("上",D1996)),ISNUMBER(SEARCH("去",D1996)),ISNUMBER(SEARCH("入",D1996)))),"Ambiguous",IF(ISNUMBER(SEARCH("平",D1996)),"平","仄")))</x:f>
        <x:v>平</x:v>
      </x:c>
      <x:c r="J2005" s="7" t="str"/>
    </x:row>
    <x:row r="2006">
      <x:c r="A2006" s="5" t="str">
        <x:v>正</x:v>
      </x:c>
      <x:c r="B2006" s="6" t="str">
        <x:v>去</x:v>
      </x:c>
      <x:c r="C2006" s="6" t="str">
        <x:f>IF(B2006="","Needs decision","Ready")</x:f>
        <x:v>Ready</x:v>
      </x:c>
      <x:c r="D2006" s="6" t="str">
        <x:v>平/去</x:v>
      </x:c>
      <x:c r="E2006" s="6" t="str">
        <x:v>tsyeng (A); tsyengH (C)</x:v>
      </x:c>
      <x:c r="F2006" s="6" t="str">
        <x:v>2</x:v>
      </x:c>
      <x:c r="G2006" s="6" t="str">
        <x:v>User workbook edit 2026-09-03</x:v>
      </x:c>
      <x:c r="H2006" s="6" t="str">
        <x:f>IF(B2006="平","平",IF(B2006="","","仄"))</x:f>
        <x:v>仄</x:v>
      </x:c>
      <x:c r="I2006" s="6" t="str">
        <x:f>IF(D1997="","",IF(AND(ISNUMBER(SEARCH("平",D1997)),OR(ISNUMBER(SEARCH("上",D1997)),ISNUMBER(SEARCH("去",D1997)),ISNUMBER(SEARCH("入",D1997)))),"Ambiguous",IF(ISNUMBER(SEARCH("平",D1997)),"平","仄")))</x:f>
        <x:v>仄</x:v>
      </x:c>
      <x:c r="J2006" s="7" t="str">
        <x:v>manual user correction</x:v>
      </x:c>
    </x:row>
    <x:row r="2007">
      <x:c r="A2007" s="5" t="str">
        <x:v>此</x:v>
      </x:c>
      <x:c r="B2007" s="6" t="str">
        <x:v>上</x:v>
      </x:c>
      <x:c r="C2007" s="6" t="str">
        <x:f>IF(B2007="","Needs decision","Ready")</x:f>
        <x:v>Ready</x:v>
      </x:c>
      <x:c r="D2007" s="6" t="str">
        <x:v>上</x:v>
      </x:c>
      <x:c r="E2007" s="6" t="str">
        <x:v>tshjeX (B)</x:v>
      </x:c>
      <x:c r="F2007" s="6" t="str">
        <x:v>1</x:v>
      </x:c>
      <x:c r="G2007" s="6" t="str"/>
      <x:c r="H2007" s="6" t="str">
        <x:f>IF(B2007="平","平",IF(B2007="","","仄"))</x:f>
        <x:v>仄</x:v>
      </x:c>
      <x:c r="I2007" s="6" t="str">
        <x:f>IF(D1998="","",IF(AND(ISNUMBER(SEARCH("平",D1998)),OR(ISNUMBER(SEARCH("上",D1998)),ISNUMBER(SEARCH("去",D1998)),ISNUMBER(SEARCH("入",D1998)))),"Ambiguous",IF(ISNUMBER(SEARCH("平",D1998)),"平","仄")))</x:f>
        <x:v>平</x:v>
      </x:c>
      <x:c r="J2007" s="7" t="str"/>
    </x:row>
    <x:row r="2008">
      <x:c r="A2008" s="5" t="str">
        <x:v>步</x:v>
      </x:c>
      <x:c r="B2008" s="6" t="str">
        <x:v>去</x:v>
      </x:c>
      <x:c r="C2008" s="6" t="str">
        <x:f>IF(B2008="","Needs decision","Ready")</x:f>
        <x:v>Ready</x:v>
      </x:c>
      <x:c r="D2008" s="6" t="str">
        <x:v>去</x:v>
      </x:c>
      <x:c r="E2008" s="6" t="str">
        <x:v>buH (C)</x:v>
      </x:c>
      <x:c r="F2008" s="6" t="str">
        <x:v>1</x:v>
      </x:c>
      <x:c r="G2008" s="6" t="str"/>
      <x:c r="H2008" s="6" t="str">
        <x:f>IF(B2008="平","平",IF(B2008="","","仄"))</x:f>
        <x:v>仄</x:v>
      </x:c>
      <x:c r="I2008" s="6" t="str">
        <x:f>IF(D1999="","",IF(AND(ISNUMBER(SEARCH("平",D1999)),OR(ISNUMBER(SEARCH("上",D1999)),ISNUMBER(SEARCH("去",D1999)),ISNUMBER(SEARCH("入",D1999)))),"Ambiguous",IF(ISNUMBER(SEARCH("平",D1999)),"平","仄")))</x:f>
        <x:v>平</x:v>
      </x:c>
      <x:c r="J2008" s="7" t="str"/>
    </x:row>
    <x:row r="2009">
      <x:c r="A2009" s="5" t="str">
        <x:v>武</x:v>
      </x:c>
      <x:c r="B2009" s="6" t="str">
        <x:v>上</x:v>
      </x:c>
      <x:c r="C2009" s="6" t="str">
        <x:f>IF(B2009="","Needs decision","Ready")</x:f>
        <x:v>Ready</x:v>
      </x:c>
      <x:c r="D2009" s="6" t="str">
        <x:v>上</x:v>
      </x:c>
      <x:c r="E2009" s="6" t="str">
        <x:v>mjuX (B)</x:v>
      </x:c>
      <x:c r="F2009" s="6" t="str">
        <x:v>1</x:v>
      </x:c>
      <x:c r="G2009" s="6" t="str"/>
      <x:c r="H2009" s="6" t="str">
        <x:f>IF(B2009="平","平",IF(B2009="","","仄"))</x:f>
        <x:v>仄</x:v>
      </x:c>
      <x:c r="I2009" s="6" t="str">
        <x:f>IF(D2000="","",IF(AND(ISNUMBER(SEARCH("平",D2000)),OR(ISNUMBER(SEARCH("上",D2000)),ISNUMBER(SEARCH("去",D2000)),ISNUMBER(SEARCH("入",D2000)))),"Ambiguous",IF(ISNUMBER(SEARCH("平",D2000)),"平","仄")))</x:f>
        <x:v>平</x:v>
      </x:c>
      <x:c r="J2009" s="7" t="str"/>
    </x:row>
    <x:row r="2010">
      <x:c r="A2010" s="5" t="str">
        <x:v>歧</x:v>
      </x:c>
      <x:c r="B2010" s="6" t="str">
        <x:v>平</x:v>
      </x:c>
      <x:c r="C2010" s="6" t="str">
        <x:f>IF(B2010="","Needs decision","Ready")</x:f>
        <x:v>Ready</x:v>
      </x:c>
      <x:c r="D2010" s="6" t="str">
        <x:v>平</x:v>
      </x:c>
      <x:c r="E2010" s="6" t="str">
        <x:v>gjie (A)</x:v>
      </x:c>
      <x:c r="F2010" s="6" t="str">
        <x:v>1</x:v>
      </x:c>
      <x:c r="G2010" s="6" t="str"/>
      <x:c r="H2010" s="6" t="str">
        <x:f>IF(B2010="平","平",IF(B2010="","","仄"))</x:f>
        <x:v>平</x:v>
      </x:c>
      <x:c r="I2010" s="6" t="str">
        <x:f>IF(D2001="","",IF(AND(ISNUMBER(SEARCH("平",D2001)),OR(ISNUMBER(SEARCH("上",D2001)),ISNUMBER(SEARCH("去",D2001)),ISNUMBER(SEARCH("入",D2001)))),"Ambiguous",IF(ISNUMBER(SEARCH("平",D2001)),"平","仄")))</x:f>
        <x:v>仄</x:v>
      </x:c>
      <x:c r="J2010" s="7" t="str"/>
    </x:row>
    <x:row r="2011">
      <x:c r="A2011" s="5" t="str">
        <x:v>歲</x:v>
      </x:c>
      <x:c r="B2011" s="6" t="str">
        <x:v>去</x:v>
      </x:c>
      <x:c r="C2011" s="6" t="str">
        <x:f>IF(B2011="","Needs decision","Ready")</x:f>
        <x:v>Ready</x:v>
      </x:c>
      <x:c r="D2011" s="6" t="str">
        <x:v>去</x:v>
      </x:c>
      <x:c r="E2011" s="6" t="str">
        <x:v>sjwejH (C)</x:v>
      </x:c>
      <x:c r="F2011" s="6" t="str">
        <x:v>1</x:v>
      </x:c>
      <x:c r="G2011" s="6" t="str"/>
      <x:c r="H2011" s="6" t="str">
        <x:f>IF(B2011="平","平",IF(B2011="","","仄"))</x:f>
        <x:v>仄</x:v>
      </x:c>
      <x:c r="I2011" s="6" t="str">
        <x:f>IF(D2002="","",IF(AND(ISNUMBER(SEARCH("平",D2002)),OR(ISNUMBER(SEARCH("上",D2002)),ISNUMBER(SEARCH("去",D2002)),ISNUMBER(SEARCH("入",D2002)))),"Ambiguous",IF(ISNUMBER(SEARCH("平",D2002)),"平","仄")))</x:f>
        <x:v>平</x:v>
      </x:c>
      <x:c r="J2011" s="7" t="str"/>
    </x:row>
    <x:row r="2012">
      <x:c r="A2012" s="5" t="str">
        <x:v>歷</x:v>
      </x:c>
      <x:c r="B2012" s="6" t="str">
        <x:v>入</x:v>
      </x:c>
      <x:c r="C2012" s="6" t="str">
        <x:f>IF(B2012="","Needs decision","Ready")</x:f>
        <x:v>Ready</x:v>
      </x:c>
      <x:c r="D2012" s="6" t="str">
        <x:v>入</x:v>
      </x:c>
      <x:c r="E2012" s="6" t="str">
        <x:v>lek (D)</x:v>
      </x:c>
      <x:c r="F2012" s="6" t="str">
        <x:v>1</x:v>
      </x:c>
      <x:c r="G2012" s="6" t="str"/>
      <x:c r="H2012" s="6" t="str">
        <x:f>IF(B2012="平","平",IF(B2012="","","仄"))</x:f>
        <x:v>仄</x:v>
      </x:c>
      <x:c r="I2012" s="6" t="str">
        <x:f>IF(D2003="","",IF(AND(ISNUMBER(SEARCH("平",D2003)),OR(ISNUMBER(SEARCH("上",D2003)),ISNUMBER(SEARCH("去",D2003)),ISNUMBER(SEARCH("入",D2003)))),"Ambiguous",IF(ISNUMBER(SEARCH("平",D2003)),"平","仄")))</x:f>
        <x:v>仄</x:v>
      </x:c>
      <x:c r="J2012" s="7" t="str"/>
    </x:row>
    <x:row r="2013">
      <x:c r="A2013" s="5" t="str">
        <x:v>歸</x:v>
      </x:c>
      <x:c r="B2013" s="6" t="str">
        <x:v>平</x:v>
      </x:c>
      <x:c r="C2013" s="6" t="str">
        <x:f>IF(B2013="","Needs decision","Ready")</x:f>
        <x:v>Ready</x:v>
      </x:c>
      <x:c r="D2013" s="6" t="str">
        <x:v>平</x:v>
      </x:c>
      <x:c r="E2013" s="6" t="str">
        <x:v>kjw+j (A)</x:v>
      </x:c>
      <x:c r="F2013" s="6" t="str">
        <x:v>1</x:v>
      </x:c>
      <x:c r="G2013" s="6" t="str"/>
      <x:c r="H2013" s="6" t="str">
        <x:f>IF(B2013="平","平",IF(B2013="","","仄"))</x:f>
        <x:v>平</x:v>
      </x:c>
      <x:c r="I2013" s="6" t="str">
        <x:f>IF(D2004="","",IF(AND(ISNUMBER(SEARCH("平",D2004)),OR(ISNUMBER(SEARCH("上",D2004)),ISNUMBER(SEARCH("去",D2004)),ISNUMBER(SEARCH("入",D2004)))),"Ambiguous",IF(ISNUMBER(SEARCH("平",D2004)),"平","仄")))</x:f>
        <x:v>平</x:v>
      </x:c>
      <x:c r="J2013" s="7" t="str"/>
    </x:row>
    <x:row r="2014">
      <x:c r="A2014" s="5" t="str">
        <x:v>死</x:v>
      </x:c>
      <x:c r="B2014" s="6" t="str">
        <x:v>上</x:v>
      </x:c>
      <x:c r="C2014" s="6" t="str">
        <x:f>IF(B2014="","Needs decision","Ready")</x:f>
        <x:v>Ready</x:v>
      </x:c>
      <x:c r="D2014" s="6" t="str">
        <x:v>上</x:v>
      </x:c>
      <x:c r="E2014" s="6" t="str">
        <x:v>sijX (B)</x:v>
      </x:c>
      <x:c r="F2014" s="6" t="str">
        <x:v>1</x:v>
      </x:c>
      <x:c r="G2014" s="6" t="str"/>
      <x:c r="H2014" s="6" t="str">
        <x:f>IF(B2014="平","平",IF(B2014="","","仄"))</x:f>
        <x:v>仄</x:v>
      </x:c>
      <x:c r="I2014" s="6" t="str">
        <x:f>IF(D2005="","",IF(AND(ISNUMBER(SEARCH("平",D2005)),OR(ISNUMBER(SEARCH("上",D2005)),ISNUMBER(SEARCH("去",D2005)),ISNUMBER(SEARCH("入",D2005)))),"Ambiguous",IF(ISNUMBER(SEARCH("平",D2005)),"平","仄")))</x:f>
        <x:v>仄</x:v>
      </x:c>
      <x:c r="J2014" s="7" t="str"/>
    </x:row>
    <x:row r="2015">
      <x:c r="A2015" s="5" t="str">
        <x:v>歾</x:v>
      </x:c>
      <x:c r="B2015" s="6" t="str">
        <x:v>入</x:v>
      </x:c>
      <x:c r="C2015" s="6" t="str">
        <x:f>IF(B2015="","Needs decision","Ready")</x:f>
        <x:v>Ready</x:v>
      </x:c>
      <x:c r="D2015" s="6" t="str">
        <x:v>入</x:v>
      </x:c>
      <x:c r="E2015" s="6" t="str">
        <x:v>mwot (D)</x:v>
      </x:c>
      <x:c r="F2015" s="6" t="str">
        <x:v>1</x:v>
      </x:c>
      <x:c r="G2015" s="6" t="str"/>
      <x:c r="H2015" s="6" t="str">
        <x:f>IF(B2015="平","平",IF(B2015="","","仄"))</x:f>
        <x:v>仄</x:v>
      </x:c>
      <x:c r="I2015" s="6" t="str">
        <x:f>IF(D2006="","",IF(AND(ISNUMBER(SEARCH("平",D2006)),OR(ISNUMBER(SEARCH("上",D2006)),ISNUMBER(SEARCH("去",D2006)),ISNUMBER(SEARCH("入",D2006)))),"Ambiguous",IF(ISNUMBER(SEARCH("平",D2006)),"平","仄")))</x:f>
        <x:v>Ambiguous</x:v>
      </x:c>
      <x:c r="J2015" s="7" t="str"/>
    </x:row>
    <x:row r="2016">
      <x:c r="A2016" s="5" t="str">
        <x:v>歿</x:v>
      </x:c>
      <x:c r="B2016" s="6" t="str">
        <x:v>入</x:v>
      </x:c>
      <x:c r="C2016" s="6" t="str">
        <x:f>IF(B2016="","Needs decision","Ready")</x:f>
        <x:v>Ready</x:v>
      </x:c>
      <x:c r="D2016" s="6" t="str">
        <x:v>入</x:v>
      </x:c>
      <x:c r="E2016" s="6" t="str">
        <x:v>mwot (D)</x:v>
      </x:c>
      <x:c r="F2016" s="6" t="str">
        <x:v>1</x:v>
      </x:c>
      <x:c r="G2016" s="6" t="str"/>
      <x:c r="H2016" s="6" t="str">
        <x:f>IF(B2016="平","平",IF(B2016="","","仄"))</x:f>
        <x:v>仄</x:v>
      </x:c>
      <x:c r="I2016" s="6" t="str">
        <x:f>IF(D2007="","",IF(AND(ISNUMBER(SEARCH("平",D2007)),OR(ISNUMBER(SEARCH("上",D2007)),ISNUMBER(SEARCH("去",D2007)),ISNUMBER(SEARCH("入",D2007)))),"Ambiguous",IF(ISNUMBER(SEARCH("平",D2007)),"平","仄")))</x:f>
        <x:v>仄</x:v>
      </x:c>
      <x:c r="J2016" s="7" t="str"/>
    </x:row>
    <x:row r="2017">
      <x:c r="A2017" s="5" t="str">
        <x:v>殃</x:v>
      </x:c>
      <x:c r="B2017" s="6" t="str">
        <x:v>平</x:v>
      </x:c>
      <x:c r="C2017" s="6" t="str">
        <x:f>IF(B2017="","Needs decision","Ready")</x:f>
        <x:v>Ready</x:v>
      </x:c>
      <x:c r="D2017" s="6" t="str">
        <x:v>平</x:v>
      </x:c>
      <x:c r="E2017" s="6" t="str">
        <x:v>'jang (A)</x:v>
      </x:c>
      <x:c r="F2017" s="6" t="str">
        <x:v>1</x:v>
      </x:c>
      <x:c r="G2017" s="6" t="str"/>
      <x:c r="H2017" s="6" t="str">
        <x:f>IF(B2017="平","平",IF(B2017="","","仄"))</x:f>
        <x:v>平</x:v>
      </x:c>
      <x:c r="I2017" s="6" t="str">
        <x:f>IF(D2008="","",IF(AND(ISNUMBER(SEARCH("平",D2008)),OR(ISNUMBER(SEARCH("上",D2008)),ISNUMBER(SEARCH("去",D2008)),ISNUMBER(SEARCH("入",D2008)))),"Ambiguous",IF(ISNUMBER(SEARCH("平",D2008)),"平","仄")))</x:f>
        <x:v>仄</x:v>
      </x:c>
      <x:c r="J2017" s="7" t="str"/>
    </x:row>
    <x:row r="2018">
      <x:c r="A2018" s="5" t="str">
        <x:v>殄</x:v>
      </x:c>
      <x:c r="B2018" s="6" t="str">
        <x:v>上</x:v>
      </x:c>
      <x:c r="C2018" s="6" t="str">
        <x:f>IF(B2018="","Needs decision","Ready")</x:f>
        <x:v>Ready</x:v>
      </x:c>
      <x:c r="D2018" s="6" t="str">
        <x:v>上</x:v>
      </x:c>
      <x:c r="E2018" s="6" t="str">
        <x:v>denX (B)</x:v>
      </x:c>
      <x:c r="F2018" s="6" t="str">
        <x:v>1</x:v>
      </x:c>
      <x:c r="G2018" s="6" t="str"/>
      <x:c r="H2018" s="6" t="str">
        <x:f>IF(B2018="平","平",IF(B2018="","","仄"))</x:f>
        <x:v>仄</x:v>
      </x:c>
      <x:c r="I2018" s="6" t="str">
        <x:f>IF(D2009="","",IF(AND(ISNUMBER(SEARCH("平",D2009)),OR(ISNUMBER(SEARCH("上",D2009)),ISNUMBER(SEARCH("去",D2009)),ISNUMBER(SEARCH("入",D2009)))),"Ambiguous",IF(ISNUMBER(SEARCH("平",D2009)),"平","仄")))</x:f>
        <x:v>仄</x:v>
      </x:c>
      <x:c r="J2018" s="7" t="str"/>
    </x:row>
    <x:row r="2019">
      <x:c r="A2019" s="5" t="str">
        <x:v>殆</x:v>
      </x:c>
      <x:c r="B2019" s="6" t="str">
        <x:v>上</x:v>
      </x:c>
      <x:c r="C2019" s="6" t="str">
        <x:f>IF(B2019="","Needs decision","Ready")</x:f>
        <x:v>Ready</x:v>
      </x:c>
      <x:c r="D2019" s="6" t="str">
        <x:v>上</x:v>
      </x:c>
      <x:c r="E2019" s="6" t="str">
        <x:v>dojX (B)</x:v>
      </x:c>
      <x:c r="F2019" s="6" t="str">
        <x:v>1</x:v>
      </x:c>
      <x:c r="G2019" s="6" t="str"/>
      <x:c r="H2019" s="6" t="str">
        <x:f>IF(B2019="平","平",IF(B2019="","","仄"))</x:f>
        <x:v>仄</x:v>
      </x:c>
      <x:c r="I2019" s="6" t="str">
        <x:f>IF(D2010="","",IF(AND(ISNUMBER(SEARCH("平",D2010)),OR(ISNUMBER(SEARCH("上",D2010)),ISNUMBER(SEARCH("去",D2010)),ISNUMBER(SEARCH("入",D2010)))),"Ambiguous",IF(ISNUMBER(SEARCH("平",D2010)),"平","仄")))</x:f>
        <x:v>平</x:v>
      </x:c>
      <x:c r="J2019" s="7" t="str"/>
    </x:row>
    <x:row r="2020">
      <x:c r="A2020" s="5" t="str">
        <x:v>殉</x:v>
      </x:c>
      <x:c r="B2020" s="6" t="str">
        <x:v>去</x:v>
      </x:c>
      <x:c r="C2020" s="6" t="str">
        <x:f>IF(B2020="","Needs decision","Ready")</x:f>
        <x:v>Ready</x:v>
      </x:c>
      <x:c r="D2020" s="6" t="str">
        <x:v>去</x:v>
      </x:c>
      <x:c r="E2020" s="6" t="str">
        <x:v>zwinH (C)</x:v>
      </x:c>
      <x:c r="F2020" s="6" t="str">
        <x:v>1</x:v>
      </x:c>
      <x:c r="G2020" s="6" t="str"/>
      <x:c r="H2020" s="6" t="str">
        <x:f>IF(B2020="平","平",IF(B2020="","","仄"))</x:f>
        <x:v>仄</x:v>
      </x:c>
      <x:c r="I2020" s="6" t="str">
        <x:f>IF(D2011="","",IF(AND(ISNUMBER(SEARCH("平",D2011)),OR(ISNUMBER(SEARCH("上",D2011)),ISNUMBER(SEARCH("去",D2011)),ISNUMBER(SEARCH("入",D2011)))),"Ambiguous",IF(ISNUMBER(SEARCH("平",D2011)),"平","仄")))</x:f>
        <x:v>仄</x:v>
      </x:c>
      <x:c r="J2020" s="7" t="str"/>
    </x:row>
    <x:row r="2021">
      <x:c r="A2021" s="5" t="str">
        <x:v>殊</x:v>
      </x:c>
      <x:c r="B2021" s="6" t="str">
        <x:v>平</x:v>
      </x:c>
      <x:c r="C2021" s="6" t="str">
        <x:f>IF(B2021="","Needs decision","Ready")</x:f>
        <x:v>Ready</x:v>
      </x:c>
      <x:c r="D2021" s="6" t="str">
        <x:v>平</x:v>
      </x:c>
      <x:c r="E2021" s="6" t="str">
        <x:v>dzyu (A)</x:v>
      </x:c>
      <x:c r="F2021" s="6" t="str">
        <x:v>1</x:v>
      </x:c>
      <x:c r="G2021" s="6" t="str"/>
      <x:c r="H2021" s="6" t="str">
        <x:f>IF(B2021="平","平",IF(B2021="","","仄"))</x:f>
        <x:v>平</x:v>
      </x:c>
      <x:c r="I2021" s="6" t="str">
        <x:f>IF(D2012="","",IF(AND(ISNUMBER(SEARCH("平",D2012)),OR(ISNUMBER(SEARCH("上",D2012)),ISNUMBER(SEARCH("去",D2012)),ISNUMBER(SEARCH("入",D2012)))),"Ambiguous",IF(ISNUMBER(SEARCH("平",D2012)),"平","仄")))</x:f>
        <x:v>仄</x:v>
      </x:c>
      <x:c r="J2021" s="7" t="str"/>
    </x:row>
    <x:row r="2022">
      <x:c r="A2022" s="5" t="str">
        <x:v>殖</x:v>
      </x:c>
      <x:c r="B2022" s="6" t="str">
        <x:v>入</x:v>
      </x:c>
      <x:c r="C2022" s="6" t="str">
        <x:f>IF(B2022="","Needs decision","Ready")</x:f>
        <x:v>Ready</x:v>
      </x:c>
      <x:c r="D2022" s="6" t="str">
        <x:v>入</x:v>
      </x:c>
      <x:c r="E2022" s="6" t="str">
        <x:v>dzyik (D)</x:v>
      </x:c>
      <x:c r="F2022" s="6" t="str">
        <x:v>1</x:v>
      </x:c>
      <x:c r="G2022" s="6" t="str"/>
      <x:c r="H2022" s="6" t="str">
        <x:f>IF(B2022="平","平",IF(B2022="","","仄"))</x:f>
        <x:v>仄</x:v>
      </x:c>
      <x:c r="I2022" s="6" t="str">
        <x:f>IF(D2013="","",IF(AND(ISNUMBER(SEARCH("平",D2013)),OR(ISNUMBER(SEARCH("上",D2013)),ISNUMBER(SEARCH("去",D2013)),ISNUMBER(SEARCH("入",D2013)))),"Ambiguous",IF(ISNUMBER(SEARCH("平",D2013)),"平","仄")))</x:f>
        <x:v>平</x:v>
      </x:c>
      <x:c r="J2022" s="7" t="str"/>
    </x:row>
    <x:row r="2023">
      <x:c r="A2023" s="5" t="str">
        <x:v>殘</x:v>
      </x:c>
      <x:c r="B2023" s="6" t="str">
        <x:v>平</x:v>
      </x:c>
      <x:c r="C2023" s="6" t="str">
        <x:f>IF(B2023="","Needs decision","Ready")</x:f>
        <x:v>Ready</x:v>
      </x:c>
      <x:c r="D2023" s="6" t="str">
        <x:v>平</x:v>
      </x:c>
      <x:c r="E2023" s="6" t="str">
        <x:v>dzan (A)</x:v>
      </x:c>
      <x:c r="F2023" s="6" t="str">
        <x:v>1</x:v>
      </x:c>
      <x:c r="G2023" s="6" t="str"/>
      <x:c r="H2023" s="6" t="str">
        <x:f>IF(B2023="平","平",IF(B2023="","","仄"))</x:f>
        <x:v>平</x:v>
      </x:c>
      <x:c r="I2023" s="6" t="str">
        <x:f>IF(D2014="","",IF(AND(ISNUMBER(SEARCH("平",D2014)),OR(ISNUMBER(SEARCH("上",D2014)),ISNUMBER(SEARCH("去",D2014)),ISNUMBER(SEARCH("入",D2014)))),"Ambiguous",IF(ISNUMBER(SEARCH("平",D2014)),"平","仄")))</x:f>
        <x:v>仄</x:v>
      </x:c>
      <x:c r="J2023" s="7" t="str"/>
    </x:row>
    <x:row r="2024">
      <x:c r="A2024" s="5" t="str">
        <x:v>殞</x:v>
      </x:c>
      <x:c r="B2024" s="6" t="str">
        <x:v>上</x:v>
      </x:c>
      <x:c r="C2024" s="6" t="str">
        <x:f>IF(B2024="","Needs decision","Ready")</x:f>
        <x:v>Ready</x:v>
      </x:c>
      <x:c r="D2024" s="6" t="str">
        <x:v>上</x:v>
      </x:c>
      <x:c r="E2024" s="6" t="str">
        <x:v>hwinX [wɨ̯inʔ] (上)</x:v>
      </x:c>
      <x:c r="F2024" s="6" t="str">
        <x:v>1</x:v>
      </x:c>
      <x:c r="G2024" s="6" t="str">
        <x:v>Tang 300 gap; frequency 1; provisional from Xun Gong</x:v>
      </x:c>
      <x:c r="H2024" s="6" t="str">
        <x:f>IF(B2024="平","平",IF(B2024="","","仄"))</x:f>
        <x:v>仄</x:v>
      </x:c>
      <x:c r="I2024" s="6" t="str">
        <x:f>IF(D2015="","",IF(AND(ISNUMBER(SEARCH("平",D2015)),OR(ISNUMBER(SEARCH("上",D2015)),ISNUMBER(SEARCH("去",D2015)),ISNUMBER(SEARCH("入",D2015)))),"Ambiguous",IF(ISNUMBER(SEARCH("平",D2015)),"平","仄")))</x:f>
        <x:v>仄</x:v>
      </x:c>
      <x:c r="J2024" s="7" t="str">
        <x:v>Xun Gong, Tang 300 gap fill</x:v>
      </x:c>
    </x:row>
    <x:row r="2025">
      <x:c r="A2025" s="5" t="str">
        <x:v>殣</x:v>
      </x:c>
      <x:c r="B2025" s="6" t="str">
        <x:v>去</x:v>
      </x:c>
      <x:c r="C2025" s="6" t="str">
        <x:f>IF(B2025="","Needs decision","Ready")</x:f>
        <x:v>Ready</x:v>
      </x:c>
      <x:c r="D2025" s="6" t="str">
        <x:v>去</x:v>
      </x:c>
      <x:c r="E2025" s="6" t="str">
        <x:v>ginH (C)</x:v>
      </x:c>
      <x:c r="F2025" s="6" t="str">
        <x:v>1</x:v>
      </x:c>
      <x:c r="G2025" s="6" t="str"/>
      <x:c r="H2025" s="6" t="str">
        <x:f>IF(B2025="平","平",IF(B2025="","","仄"))</x:f>
        <x:v>仄</x:v>
      </x:c>
      <x:c r="I2025" s="6" t="str">
        <x:f>IF(D2016="","",IF(AND(ISNUMBER(SEARCH("平",D2016)),OR(ISNUMBER(SEARCH("上",D2016)),ISNUMBER(SEARCH("去",D2016)),ISNUMBER(SEARCH("入",D2016)))),"Ambiguous",IF(ISNUMBER(SEARCH("平",D2016)),"平","仄")))</x:f>
        <x:v>仄</x:v>
      </x:c>
      <x:c r="J2025" s="7" t="str"/>
    </x:row>
    <x:row r="2026">
      <x:c r="A2026" s="5" t="str">
        <x:v>殲</x:v>
      </x:c>
      <x:c r="B2026" s="6" t="str">
        <x:v>平</x:v>
      </x:c>
      <x:c r="C2026" s="6" t="str">
        <x:f>IF(B2026="","Needs decision","Ready")</x:f>
        <x:v>Ready</x:v>
      </x:c>
      <x:c r="D2026" s="6" t="str">
        <x:v>平</x:v>
      </x:c>
      <x:c r="E2026" s="6" t="str">
        <x:v>tsjem [tsjem] (平)</x:v>
      </x:c>
      <x:c r="F2026" s="6" t="str">
        <x:v>1</x:v>
      </x:c>
      <x:c r="G2026" s="6" t="str">
        <x:v>Tang 300 gap; frequency 1; provisional from Xun Gong</x:v>
      </x:c>
      <x:c r="H2026" s="6" t="str">
        <x:f>IF(B2026="平","平",IF(B2026="","","仄"))</x:f>
        <x:v>平</x:v>
      </x:c>
      <x:c r="I2026" s="6" t="str">
        <x:f>IF(D2017="","",IF(AND(ISNUMBER(SEARCH("平",D2017)),OR(ISNUMBER(SEARCH("上",D2017)),ISNUMBER(SEARCH("去",D2017)),ISNUMBER(SEARCH("入",D2017)))),"Ambiguous",IF(ISNUMBER(SEARCH("平",D2017)),"平","仄")))</x:f>
        <x:v>平</x:v>
      </x:c>
      <x:c r="J2026" s="7" t="str">
        <x:v>Xun Gong, Tang 300 gap fill</x:v>
      </x:c>
    </x:row>
    <x:row r="2027">
      <x:c r="A2027" s="5" t="str">
        <x:v>殳</x:v>
      </x:c>
      <x:c r="B2027" s="6" t="str">
        <x:v>平</x:v>
      </x:c>
      <x:c r="C2027" s="6" t="str">
        <x:f>IF(B2027="","Needs decision","Ready")</x:f>
        <x:v>Ready</x:v>
      </x:c>
      <x:c r="D2027" s="6" t="str">
        <x:v>平</x:v>
      </x:c>
      <x:c r="E2027" s="6" t="str">
        <x:v>dzyu (A)</x:v>
      </x:c>
      <x:c r="F2027" s="6" t="str">
        <x:v>1</x:v>
      </x:c>
      <x:c r="G2027" s="6" t="str"/>
      <x:c r="H2027" s="6" t="str">
        <x:f>IF(B2027="平","平",IF(B2027="","","仄"))</x:f>
        <x:v>平</x:v>
      </x:c>
      <x:c r="I2027" s="6" t="str">
        <x:f>IF(D2018="","",IF(AND(ISNUMBER(SEARCH("平",D2018)),OR(ISNUMBER(SEARCH("上",D2018)),ISNUMBER(SEARCH("去",D2018)),ISNUMBER(SEARCH("入",D2018)))),"Ambiguous",IF(ISNUMBER(SEARCH("平",D2018)),"平","仄")))</x:f>
        <x:v>仄</x:v>
      </x:c>
      <x:c r="J2027" s="7" t="str"/>
    </x:row>
    <x:row r="2028">
      <x:c r="A2028" s="5" t="str">
        <x:v>段</x:v>
      </x:c>
      <x:c r="B2028" s="6" t="str">
        <x:v>去</x:v>
      </x:c>
      <x:c r="C2028" s="6" t="str">
        <x:f>IF(B2028="","Needs decision","Ready")</x:f>
        <x:v>Ready</x:v>
      </x:c>
      <x:c r="D2028" s="6" t="str">
        <x:v>去</x:v>
      </x:c>
      <x:c r="E2028" s="6" t="str">
        <x:v>twanH (C)</x:v>
      </x:c>
      <x:c r="F2028" s="6" t="str">
        <x:v>1</x:v>
      </x:c>
      <x:c r="G2028" s="6" t="str"/>
      <x:c r="H2028" s="6" t="str">
        <x:f>IF(B2028="平","平",IF(B2028="","","仄"))</x:f>
        <x:v>仄</x:v>
      </x:c>
      <x:c r="I2028" s="6" t="str">
        <x:f>IF(D2019="","",IF(AND(ISNUMBER(SEARCH("平",D2019)),OR(ISNUMBER(SEARCH("上",D2019)),ISNUMBER(SEARCH("去",D2019)),ISNUMBER(SEARCH("入",D2019)))),"Ambiguous",IF(ISNUMBER(SEARCH("平",D2019)),"平","仄")))</x:f>
        <x:v>仄</x:v>
      </x:c>
      <x:c r="J2028" s="7" t="str"/>
    </x:row>
    <x:row r="2029">
      <x:c r="A2029" s="5" t="str">
        <x:v>殷</x:v>
      </x:c>
      <x:c r="B2029" s="6" t="str">
        <x:v>平</x:v>
      </x:c>
      <x:c r="C2029" s="6" t="str">
        <x:f>IF(B2029="","Needs decision","Ready")</x:f>
        <x:v>Ready</x:v>
      </x:c>
      <x:c r="D2029" s="6" t="str">
        <x:v>平</x:v>
      </x:c>
      <x:c r="E2029" s="6" t="str">
        <x:v>'ean (A); 'j+n (A)</x:v>
      </x:c>
      <x:c r="F2029" s="6" t="str">
        <x:v>2</x:v>
      </x:c>
      <x:c r="G2029" s="6" t="str"/>
      <x:c r="H2029" s="6" t="str">
        <x:f>IF(B2029="平","平",IF(B2029="","","仄"))</x:f>
        <x:v>平</x:v>
      </x:c>
      <x:c r="I2029" s="6" t="str">
        <x:f>IF(D2020="","",IF(AND(ISNUMBER(SEARCH("平",D2020)),OR(ISNUMBER(SEARCH("上",D2020)),ISNUMBER(SEARCH("去",D2020)),ISNUMBER(SEARCH("入",D2020)))),"Ambiguous",IF(ISNUMBER(SEARCH("平",D2020)),"平","仄")))</x:f>
        <x:v>仄</x:v>
      </x:c>
      <x:c r="J2029" s="7" t="str"/>
    </x:row>
    <x:row r="2030">
      <x:c r="A2030" s="5" t="str">
        <x:v>殸</x:v>
      </x:c>
      <x:c r="B2030" s="6" t="str">
        <x:v>去</x:v>
      </x:c>
      <x:c r="C2030" s="6" t="str">
        <x:f>IF(B2030="","Needs decision","Ready")</x:f>
        <x:v>Ready</x:v>
      </x:c>
      <x:c r="D2030" s="6" t="str">
        <x:v>去</x:v>
      </x:c>
      <x:c r="E2030" s="6" t="str">
        <x:v>khengH (C)</x:v>
      </x:c>
      <x:c r="F2030" s="6" t="str">
        <x:v>1</x:v>
      </x:c>
      <x:c r="G2030" s="6" t="str"/>
      <x:c r="H2030" s="6" t="str">
        <x:f>IF(B2030="平","平",IF(B2030="","","仄"))</x:f>
        <x:v>仄</x:v>
      </x:c>
      <x:c r="I2030" s="6" t="str">
        <x:f>IF(D2021="","",IF(AND(ISNUMBER(SEARCH("平",D2021)),OR(ISNUMBER(SEARCH("上",D2021)),ISNUMBER(SEARCH("去",D2021)),ISNUMBER(SEARCH("入",D2021)))),"Ambiguous",IF(ISNUMBER(SEARCH("平",D2021)),"平","仄")))</x:f>
        <x:v>平</x:v>
      </x:c>
      <x:c r="J2030" s="7" t="str"/>
    </x:row>
    <x:row r="2031">
      <x:c r="A2031" s="5" t="str">
        <x:v>殺</x:v>
      </x:c>
      <x:c r="B2031" s="6" t="str">
        <x:v>入</x:v>
      </x:c>
      <x:c r="C2031" s="6" t="str">
        <x:f>IF(B2031="","Needs decision","Ready")</x:f>
        <x:v>Ready</x:v>
      </x:c>
      <x:c r="D2031" s="6" t="str">
        <x:v>入/去</x:v>
      </x:c>
      <x:c r="E2031" s="6" t="str">
        <x:v>sreat (D); sreajH (C)</x:v>
      </x:c>
      <x:c r="F2031" s="6" t="str">
        <x:v>2</x:v>
      </x:c>
      <x:c r="G2031" s="6" t="str"/>
      <x:c r="H2031" s="6" t="str">
        <x:f>IF(B2031="平","平",IF(B2031="","","仄"))</x:f>
        <x:v>仄</x:v>
      </x:c>
      <x:c r="I2031" s="6" t="str">
        <x:f>IF(D2022="","",IF(AND(ISNUMBER(SEARCH("平",D2022)),OR(ISNUMBER(SEARCH("上",D2022)),ISNUMBER(SEARCH("去",D2022)),ISNUMBER(SEARCH("入",D2022)))),"Ambiguous",IF(ISNUMBER(SEARCH("平",D2022)),"平","仄")))</x:f>
        <x:v>仄</x:v>
      </x:c>
      <x:c r="J2031" s="7" t="str"/>
    </x:row>
    <x:row r="2032">
      <x:c r="A2032" s="5" t="str">
        <x:v>殼</x:v>
      </x:c>
      <x:c r="B2032" s="6" t="str">
        <x:v>入</x:v>
      </x:c>
      <x:c r="C2032" s="6" t="str">
        <x:f>IF(B2032="","Needs decision","Ready")</x:f>
        <x:v>Ready</x:v>
      </x:c>
      <x:c r="D2032" s="6" t="str">
        <x:v>入</x:v>
      </x:c>
      <x:c r="E2032" s="6" t="str">
        <x:v>khaewk (D)</x:v>
      </x:c>
      <x:c r="F2032" s="6" t="str">
        <x:v>1</x:v>
      </x:c>
      <x:c r="G2032" s="6" t="str"/>
      <x:c r="H2032" s="6" t="str">
        <x:f>IF(B2032="平","平",IF(B2032="","","仄"))</x:f>
        <x:v>仄</x:v>
      </x:c>
      <x:c r="I2032" s="6" t="str">
        <x:f>IF(D2023="","",IF(AND(ISNUMBER(SEARCH("平",D2023)),OR(ISNUMBER(SEARCH("上",D2023)),ISNUMBER(SEARCH("去",D2023)),ISNUMBER(SEARCH("入",D2023)))),"Ambiguous",IF(ISNUMBER(SEARCH("平",D2023)),"平","仄")))</x:f>
        <x:v>平</x:v>
      </x:c>
      <x:c r="J2032" s="7" t="str"/>
    </x:row>
    <x:row r="2033">
      <x:c r="A2033" s="5" t="str">
        <x:v>殿</x:v>
      </x:c>
      <x:c r="B2033" s="6" t="str">
        <x:v>去</x:v>
      </x:c>
      <x:c r="C2033" s="6" t="str">
        <x:f>IF(B2033="","Needs decision","Ready")</x:f>
        <x:v>Ready</x:v>
      </x:c>
      <x:c r="D2033" s="6" t="str">
        <x:v>去</x:v>
      </x:c>
      <x:c r="E2033" s="6" t="str">
        <x:v>denH (C); tenH (C)</x:v>
      </x:c>
      <x:c r="F2033" s="6" t="str">
        <x:v>2</x:v>
      </x:c>
      <x:c r="G2033" s="6" t="str"/>
      <x:c r="H2033" s="6" t="str">
        <x:f>IF(B2033="平","平",IF(B2033="","","仄"))</x:f>
        <x:v>仄</x:v>
      </x:c>
      <x:c r="I2033" s="6" t="str">
        <x:f>IF(D2024="","",IF(AND(ISNUMBER(SEARCH("平",D2024)),OR(ISNUMBER(SEARCH("上",D2024)),ISNUMBER(SEARCH("去",D2024)),ISNUMBER(SEARCH("入",D2024)))),"Ambiguous",IF(ISNUMBER(SEARCH("平",D2024)),"平","仄")))</x:f>
        <x:v>仄</x:v>
      </x:c>
      <x:c r="J2033" s="7" t="str"/>
    </x:row>
    <x:row r="2034">
      <x:c r="A2034" s="5" t="str">
        <x:v>毀</x:v>
      </x:c>
      <x:c r="B2034" s="6" t="str">
        <x:v>上</x:v>
      </x:c>
      <x:c r="C2034" s="6" t="str">
        <x:f>IF(B2034="","Needs decision","Ready")</x:f>
        <x:v>Ready</x:v>
      </x:c>
      <x:c r="D2034" s="6" t="str">
        <x:v>上</x:v>
      </x:c>
      <x:c r="E2034" s="6" t="str">
        <x:v>xjweX (B)</x:v>
      </x:c>
      <x:c r="F2034" s="6" t="str">
        <x:v>1</x:v>
      </x:c>
      <x:c r="G2034" s="6" t="str"/>
      <x:c r="H2034" s="6" t="str">
        <x:f>IF(B2034="平","平",IF(B2034="","","仄"))</x:f>
        <x:v>仄</x:v>
      </x:c>
      <x:c r="I2034" s="6" t="str">
        <x:f>IF(D2025="","",IF(AND(ISNUMBER(SEARCH("平",D2025)),OR(ISNUMBER(SEARCH("上",D2025)),ISNUMBER(SEARCH("去",D2025)),ISNUMBER(SEARCH("入",D2025)))),"Ambiguous",IF(ISNUMBER(SEARCH("平",D2025)),"平","仄")))</x:f>
        <x:v>仄</x:v>
      </x:c>
      <x:c r="J2034" s="7" t="str"/>
    </x:row>
    <x:row r="2035">
      <x:c r="A2035" s="5" t="str">
        <x:v>毅</x:v>
      </x:c>
      <x:c r="B2035" s="6" t="str">
        <x:v>去</x:v>
      </x:c>
      <x:c r="C2035" s="6" t="str">
        <x:f>IF(B2035="","Needs decision","Ready")</x:f>
        <x:v>Ready</x:v>
      </x:c>
      <x:c r="D2035" s="6" t="str">
        <x:v>去</x:v>
      </x:c>
      <x:c r="E2035" s="6" t="str">
        <x:v>ngj+jH (C)</x:v>
      </x:c>
      <x:c r="F2035" s="6" t="str">
        <x:v>1</x:v>
      </x:c>
      <x:c r="G2035" s="6" t="str"/>
      <x:c r="H2035" s="6" t="str">
        <x:f>IF(B2035="平","平",IF(B2035="","","仄"))</x:f>
        <x:v>仄</x:v>
      </x:c>
      <x:c r="I2035" s="6" t="str">
        <x:f>IF(D2026="","",IF(AND(ISNUMBER(SEARCH("平",D2026)),OR(ISNUMBER(SEARCH("上",D2026)),ISNUMBER(SEARCH("去",D2026)),ISNUMBER(SEARCH("入",D2026)))),"Ambiguous",IF(ISNUMBER(SEARCH("平",D2026)),"平","仄")))</x:f>
        <x:v>平</x:v>
      </x:c>
      <x:c r="J2035" s="7" t="str"/>
    </x:row>
    <x:row r="2036">
      <x:c r="A2036" s="5" t="str">
        <x:v>毋</x:v>
      </x:c>
      <x:c r="B2036" s="6" t="str">
        <x:v>平</x:v>
      </x:c>
      <x:c r="C2036" s="6" t="str">
        <x:f>IF(B2036="","Needs decision","Ready")</x:f>
        <x:v>Ready</x:v>
      </x:c>
      <x:c r="D2036" s="6" t="str">
        <x:v>平</x:v>
      </x:c>
      <x:c r="E2036" s="6" t="str">
        <x:v>mju (A)</x:v>
      </x:c>
      <x:c r="F2036" s="6" t="str">
        <x:v>1</x:v>
      </x:c>
      <x:c r="G2036" s="6" t="str"/>
      <x:c r="H2036" s="6" t="str">
        <x:f>IF(B2036="平","平",IF(B2036="","","仄"))</x:f>
        <x:v>平</x:v>
      </x:c>
      <x:c r="I2036" s="6" t="str">
        <x:f>IF(D2027="","",IF(AND(ISNUMBER(SEARCH("平",D2027)),OR(ISNUMBER(SEARCH("上",D2027)),ISNUMBER(SEARCH("去",D2027)),ISNUMBER(SEARCH("入",D2027)))),"Ambiguous",IF(ISNUMBER(SEARCH("平",D2027)),"平","仄")))</x:f>
        <x:v>平</x:v>
      </x:c>
      <x:c r="J2036" s="7" t="str"/>
    </x:row>
    <x:row r="2037">
      <x:c r="A2037" s="5" t="str">
        <x:v>母</x:v>
      </x:c>
      <x:c r="B2037" s="6" t="str">
        <x:v>上</x:v>
      </x:c>
      <x:c r="C2037" s="6" t="str">
        <x:f>IF(B2037="","Needs decision","Ready")</x:f>
        <x:v>Ready</x:v>
      </x:c>
      <x:c r="D2037" s="6" t="str">
        <x:v>上</x:v>
      </x:c>
      <x:c r="E2037" s="6" t="str">
        <x:v>muwX (B)</x:v>
      </x:c>
      <x:c r="F2037" s="6" t="str">
        <x:v>1</x:v>
      </x:c>
      <x:c r="G2037" s="6" t="str"/>
      <x:c r="H2037" s="6" t="str">
        <x:f>IF(B2037="平","平",IF(B2037="","","仄"))</x:f>
        <x:v>仄</x:v>
      </x:c>
      <x:c r="I2037" s="6" t="str">
        <x:f>IF(D2028="","",IF(AND(ISNUMBER(SEARCH("平",D2028)),OR(ISNUMBER(SEARCH("上",D2028)),ISNUMBER(SEARCH("去",D2028)),ISNUMBER(SEARCH("入",D2028)))),"Ambiguous",IF(ISNUMBER(SEARCH("平",D2028)),"平","仄")))</x:f>
        <x:v>仄</x:v>
      </x:c>
      <x:c r="J2037" s="7" t="str"/>
    </x:row>
    <x:row r="2038">
      <x:c r="A2038" s="5" t="str">
        <x:v>每</x:v>
      </x:c>
      <x:c r="B2038" s="6" t="str">
        <x:v>上</x:v>
      </x:c>
      <x:c r="C2038" s="6" t="str">
        <x:f>IF(B2038="","Needs decision","Ready")</x:f>
        <x:v>Ready</x:v>
      </x:c>
      <x:c r="D2038" s="6" t="str">
        <x:v>上</x:v>
      </x:c>
      <x:c r="E2038" s="6" t="str">
        <x:v>mwojX (B)</x:v>
      </x:c>
      <x:c r="F2038" s="6" t="str">
        <x:v>1</x:v>
      </x:c>
      <x:c r="G2038" s="6" t="str"/>
      <x:c r="H2038" s="6" t="str">
        <x:f>IF(B2038="平","平",IF(B2038="","","仄"))</x:f>
        <x:v>仄</x:v>
      </x:c>
      <x:c r="I2038" s="6" t="str">
        <x:f>IF(D2029="","",IF(AND(ISNUMBER(SEARCH("平",D2029)),OR(ISNUMBER(SEARCH("上",D2029)),ISNUMBER(SEARCH("去",D2029)),ISNUMBER(SEARCH("入",D2029)))),"Ambiguous",IF(ISNUMBER(SEARCH("平",D2029)),"平","仄")))</x:f>
        <x:v>平</x:v>
      </x:c>
      <x:c r="J2038" s="7" t="str"/>
    </x:row>
    <x:row r="2039">
      <x:c r="A2039" s="5" t="str">
        <x:v>毒</x:v>
      </x:c>
      <x:c r="B2039" s="6" t="str">
        <x:v>入</x:v>
      </x:c>
      <x:c r="C2039" s="6" t="str">
        <x:f>IF(B2039="","Needs decision","Ready")</x:f>
        <x:v>Ready</x:v>
      </x:c>
      <x:c r="D2039" s="6" t="str">
        <x:v>入</x:v>
      </x:c>
      <x:c r="E2039" s="6" t="str">
        <x:v>dowk (D)</x:v>
      </x:c>
      <x:c r="F2039" s="6" t="str">
        <x:v>1</x:v>
      </x:c>
      <x:c r="G2039" s="6" t="str"/>
      <x:c r="H2039" s="6" t="str">
        <x:f>IF(B2039="平","平",IF(B2039="","","仄"))</x:f>
        <x:v>仄</x:v>
      </x:c>
      <x:c r="I2039" s="6" t="str">
        <x:f>IF(D2030="","",IF(AND(ISNUMBER(SEARCH("平",D2030)),OR(ISNUMBER(SEARCH("上",D2030)),ISNUMBER(SEARCH("去",D2030)),ISNUMBER(SEARCH("入",D2030)))),"Ambiguous",IF(ISNUMBER(SEARCH("平",D2030)),"平","仄")))</x:f>
        <x:v>仄</x:v>
      </x:c>
      <x:c r="J2039" s="7" t="str"/>
    </x:row>
    <x:row r="2040">
      <x:c r="A2040" s="5" t="str">
        <x:v>毓</x:v>
      </x:c>
      <x:c r="B2040" s="6" t="str">
        <x:v>入</x:v>
      </x:c>
      <x:c r="C2040" s="6" t="str">
        <x:f>IF(B2040="","Needs decision","Ready")</x:f>
        <x:v>Ready</x:v>
      </x:c>
      <x:c r="D2040" s="6" t="str">
        <x:v>入</x:v>
      </x:c>
      <x:c r="E2040" s="6" t="str">
        <x:v>yuwk (D)</x:v>
      </x:c>
      <x:c r="F2040" s="6" t="str">
        <x:v>1</x:v>
      </x:c>
      <x:c r="G2040" s="6" t="str"/>
      <x:c r="H2040" s="6" t="str">
        <x:f>IF(B2040="平","平",IF(B2040="","","仄"))</x:f>
        <x:v>仄</x:v>
      </x:c>
      <x:c r="I2040" s="6" t="str">
        <x:f>IF(D2031="","",IF(AND(ISNUMBER(SEARCH("平",D2031)),OR(ISNUMBER(SEARCH("上",D2031)),ISNUMBER(SEARCH("去",D2031)),ISNUMBER(SEARCH("入",D2031)))),"Ambiguous",IF(ISNUMBER(SEARCH("平",D2031)),"平","仄")))</x:f>
        <x:v>仄</x:v>
      </x:c>
      <x:c r="J2040" s="7" t="str"/>
    </x:row>
    <x:row r="2041">
      <x:c r="A2041" s="5" t="str">
        <x:v>比</x:v>
      </x:c>
      <x:c r="B2041" s="6" t="str">
        <x:v>上</x:v>
      </x:c>
      <x:c r="C2041" s="6" t="str">
        <x:f>IF(B2041="","Needs decision","Ready")</x:f>
        <x:v>Ready</x:v>
      </x:c>
      <x:c r="D2041" s="6" t="str">
        <x:v>上/去</x:v>
      </x:c>
      <x:c r="E2041" s="6" t="str">
        <x:v>pjijX (B); pjijH (C)</x:v>
      </x:c>
      <x:c r="F2041" s="6" t="str">
        <x:v>2</x:v>
      </x:c>
      <x:c r="G2041" s="6" t="str"/>
      <x:c r="H2041" s="6" t="str">
        <x:f>IF(B2041="平","平",IF(B2041="","","仄"))</x:f>
        <x:v>仄</x:v>
      </x:c>
      <x:c r="I2041" s="6" t="str">
        <x:f>IF(D2032="","",IF(AND(ISNUMBER(SEARCH("平",D2032)),OR(ISNUMBER(SEARCH("上",D2032)),ISNUMBER(SEARCH("去",D2032)),ISNUMBER(SEARCH("入",D2032)))),"Ambiguous",IF(ISNUMBER(SEARCH("平",D2032)),"平","仄")))</x:f>
        <x:v>仄</x:v>
      </x:c>
      <x:c r="J2041" s="7" t="str"/>
    </x:row>
    <x:row r="2042">
      <x:c r="A2042" s="5" t="str">
        <x:v>毖</x:v>
      </x:c>
      <x:c r="B2042" s="6" t="str">
        <x:v>去</x:v>
      </x:c>
      <x:c r="C2042" s="6" t="str">
        <x:f>IF(B2042="","Needs decision","Ready")</x:f>
        <x:v>Ready</x:v>
      </x:c>
      <x:c r="D2042" s="6" t="str">
        <x:v>去</x:v>
      </x:c>
      <x:c r="E2042" s="6" t="str">
        <x:v>pijH (C)</x:v>
      </x:c>
      <x:c r="F2042" s="6" t="str">
        <x:v>1</x:v>
      </x:c>
      <x:c r="G2042" s="6" t="str"/>
      <x:c r="H2042" s="6" t="str">
        <x:f>IF(B2042="平","平",IF(B2042="","","仄"))</x:f>
        <x:v>仄</x:v>
      </x:c>
      <x:c r="I2042" s="6" t="str">
        <x:f>IF(D2033="","",IF(AND(ISNUMBER(SEARCH("平",D2033)),OR(ISNUMBER(SEARCH("上",D2033)),ISNUMBER(SEARCH("去",D2033)),ISNUMBER(SEARCH("入",D2033)))),"Ambiguous",IF(ISNUMBER(SEARCH("平",D2033)),"平","仄")))</x:f>
        <x:v>仄</x:v>
      </x:c>
      <x:c r="J2042" s="7" t="str"/>
    </x:row>
    <x:row r="2043">
      <x:c r="A2043" s="5" t="str">
        <x:v>毗</x:v>
      </x:c>
      <x:c r="B2043" s="6" t="str">
        <x:v>平</x:v>
      </x:c>
      <x:c r="C2043" s="6" t="str">
        <x:f>IF(B2043="","Needs decision","Ready")</x:f>
        <x:v>Ready</x:v>
      </x:c>
      <x:c r="D2043" s="6" t="str">
        <x:v>平</x:v>
      </x:c>
      <x:c r="E2043" s="6" t="str">
        <x:v>bjij (A)</x:v>
      </x:c>
      <x:c r="F2043" s="6" t="str">
        <x:v>1</x:v>
      </x:c>
      <x:c r="G2043" s="6" t="str"/>
      <x:c r="H2043" s="6" t="str">
        <x:f>IF(B2043="平","平",IF(B2043="","","仄"))</x:f>
        <x:v>平</x:v>
      </x:c>
      <x:c r="I2043" s="6" t="str">
        <x:f>IF(D2034="","",IF(AND(ISNUMBER(SEARCH("平",D2034)),OR(ISNUMBER(SEARCH("上",D2034)),ISNUMBER(SEARCH("去",D2034)),ISNUMBER(SEARCH("入",D2034)))),"Ambiguous",IF(ISNUMBER(SEARCH("平",D2034)),"平","仄")))</x:f>
        <x:v>仄</x:v>
      </x:c>
      <x:c r="J2043" s="7" t="str"/>
    </x:row>
    <x:row r="2044">
      <x:c r="A2044" s="5" t="str">
        <x:v>毛</x:v>
      </x:c>
      <x:c r="B2044" s="6" t="str">
        <x:v>平</x:v>
      </x:c>
      <x:c r="C2044" s="6" t="str">
        <x:f>IF(B2044="","Needs decision","Ready")</x:f>
        <x:v>Ready</x:v>
      </x:c>
      <x:c r="D2044" s="6" t="str">
        <x:v>平</x:v>
      </x:c>
      <x:c r="E2044" s="6" t="str">
        <x:v>maw (A)</x:v>
      </x:c>
      <x:c r="F2044" s="6" t="str">
        <x:v>1</x:v>
      </x:c>
      <x:c r="G2044" s="6" t="str"/>
      <x:c r="H2044" s="6" t="str">
        <x:f>IF(B2044="平","平",IF(B2044="","","仄"))</x:f>
        <x:v>平</x:v>
      </x:c>
      <x:c r="I2044" s="6" t="str">
        <x:f>IF(D2035="","",IF(AND(ISNUMBER(SEARCH("平",D2035)),OR(ISNUMBER(SEARCH("上",D2035)),ISNUMBER(SEARCH("去",D2035)),ISNUMBER(SEARCH("入",D2035)))),"Ambiguous",IF(ISNUMBER(SEARCH("平",D2035)),"平","仄")))</x:f>
        <x:v>仄</x:v>
      </x:c>
      <x:c r="J2044" s="7" t="str"/>
    </x:row>
    <x:row r="2045">
      <x:c r="A2045" s="5" t="str">
        <x:v>毫</x:v>
      </x:c>
      <x:c r="B2045" s="6" t="str">
        <x:v>平</x:v>
      </x:c>
      <x:c r="C2045" s="6" t="str">
        <x:f>IF(B2045="","Needs decision","Ready")</x:f>
        <x:v>Ready</x:v>
      </x:c>
      <x:c r="D2045" s="6" t="str">
        <x:v>平</x:v>
      </x:c>
      <x:c r="E2045" s="6" t="str">
        <x:v>haw (A)</x:v>
      </x:c>
      <x:c r="F2045" s="6" t="str">
        <x:v>1</x:v>
      </x:c>
      <x:c r="G2045" s="6" t="str"/>
      <x:c r="H2045" s="6" t="str">
        <x:f>IF(B2045="平","平",IF(B2045="","","仄"))</x:f>
        <x:v>平</x:v>
      </x:c>
      <x:c r="I2045" s="6" t="str">
        <x:f>IF(D2036="","",IF(AND(ISNUMBER(SEARCH("平",D2036)),OR(ISNUMBER(SEARCH("上",D2036)),ISNUMBER(SEARCH("去",D2036)),ISNUMBER(SEARCH("入",D2036)))),"Ambiguous",IF(ISNUMBER(SEARCH("平",D2036)),"平","仄")))</x:f>
        <x:v>平</x:v>
      </x:c>
      <x:c r="J2045" s="7" t="str"/>
    </x:row>
    <x:row r="2046">
      <x:c r="A2046" s="5" t="str">
        <x:v>毳</x:v>
      </x:c>
      <x:c r="B2046" s="6" t="str">
        <x:v>去</x:v>
      </x:c>
      <x:c r="C2046" s="6" t="str">
        <x:f>IF(B2046="","Needs decision","Ready")</x:f>
        <x:v>Ready</x:v>
      </x:c>
      <x:c r="D2046" s="6" t="str">
        <x:v>去</x:v>
      </x:c>
      <x:c r="E2046" s="6" t="str">
        <x:v>tshjwejH (C); tsrhjwejH (C)</x:v>
      </x:c>
      <x:c r="F2046" s="6" t="str">
        <x:v>2</x:v>
      </x:c>
      <x:c r="G2046" s="6" t="str"/>
      <x:c r="H2046" s="6" t="str">
        <x:f>IF(B2046="平","平",IF(B2046="","","仄"))</x:f>
        <x:v>仄</x:v>
      </x:c>
      <x:c r="I2046" s="6" t="str">
        <x:f>IF(D2037="","",IF(AND(ISNUMBER(SEARCH("平",D2037)),OR(ISNUMBER(SEARCH("上",D2037)),ISNUMBER(SEARCH("去",D2037)),ISNUMBER(SEARCH("入",D2037)))),"Ambiguous",IF(ISNUMBER(SEARCH("平",D2037)),"平","仄")))</x:f>
        <x:v>仄</x:v>
      </x:c>
      <x:c r="J2046" s="7" t="str"/>
    </x:row>
    <x:row r="2047">
      <x:c r="A2047" s="5" t="str">
        <x:v>氈</x:v>
      </x:c>
      <x:c r="B2047" s="6" t="str">
        <x:v>平</x:v>
      </x:c>
      <x:c r="C2047" s="6" t="str">
        <x:f>IF(B2047="","Needs decision","Ready")</x:f>
        <x:v>Ready</x:v>
      </x:c>
      <x:c r="D2047" s="6" t="str">
        <x:v>平</x:v>
      </x:c>
      <x:c r="E2047" s="6" t="str">
        <x:v>tsyen (A)</x:v>
      </x:c>
      <x:c r="F2047" s="6" t="str">
        <x:v>1</x:v>
      </x:c>
      <x:c r="G2047" s="6" t="str"/>
      <x:c r="H2047" s="6" t="str">
        <x:f>IF(B2047="平","平",IF(B2047="","","仄"))</x:f>
        <x:v>平</x:v>
      </x:c>
      <x:c r="I2047" s="6" t="str">
        <x:f>IF(D2038="","",IF(AND(ISNUMBER(SEARCH("平",D2038)),OR(ISNUMBER(SEARCH("上",D2038)),ISNUMBER(SEARCH("去",D2038)),ISNUMBER(SEARCH("入",D2038)))),"Ambiguous",IF(ISNUMBER(SEARCH("平",D2038)),"平","仄")))</x:f>
        <x:v>仄</x:v>
      </x:c>
      <x:c r="J2047" s="7" t="str"/>
    </x:row>
    <x:row r="2048">
      <x:c r="A2048" s="5" t="str">
        <x:v>氏</x:v>
      </x:c>
      <x:c r="B2048" s="6" t="str">
        <x:v>上</x:v>
      </x:c>
      <x:c r="C2048" s="6" t="str">
        <x:f>IF(B2048="","Needs decision","Ready")</x:f>
        <x:v>Ready</x:v>
      </x:c>
      <x:c r="D2048" s="6" t="str">
        <x:v>上</x:v>
      </x:c>
      <x:c r="E2048" s="6" t="str">
        <x:v>dzyeX (B)</x:v>
      </x:c>
      <x:c r="F2048" s="6" t="str">
        <x:v>1</x:v>
      </x:c>
      <x:c r="G2048" s="6" t="str"/>
      <x:c r="H2048" s="6" t="str">
        <x:f>IF(B2048="平","平",IF(B2048="","","仄"))</x:f>
        <x:v>仄</x:v>
      </x:c>
      <x:c r="I2048" s="6" t="str">
        <x:f>IF(D2039="","",IF(AND(ISNUMBER(SEARCH("平",D2039)),OR(ISNUMBER(SEARCH("上",D2039)),ISNUMBER(SEARCH("去",D2039)),ISNUMBER(SEARCH("入",D2039)))),"Ambiguous",IF(ISNUMBER(SEARCH("平",D2039)),"平","仄")))</x:f>
        <x:v>仄</x:v>
      </x:c>
      <x:c r="J2048" s="7" t="str"/>
    </x:row>
    <x:row r="2049">
      <x:c r="A2049" s="5" t="str">
        <x:v>氐</x:v>
      </x:c>
      <x:c r="B2049" s="6" t="str"/>
      <x:c r="C2049" s="6" t="str">
        <x:f>IF(B2049="","Needs decision","Ready")</x:f>
        <x:v>Needs decision</x:v>
      </x:c>
      <x:c r="D2049" s="6" t="str">
        <x:v>平/上</x:v>
      </x:c>
      <x:c r="E2049" s="6" t="str">
        <x:v>tej (A); tejX (B)</x:v>
      </x:c>
      <x:c r="F2049" s="6" t="str">
        <x:v>2</x:v>
      </x:c>
      <x:c r="G2049" s="6" t="str"/>
      <x:c r="H2049" s="6" t="str">
        <x:f>IF(B2049="平","平",IF(B2049="","","仄"))</x:f>
      </x:c>
      <x:c r="I2049" s="6" t="str">
        <x:f>IF(D2040="","",IF(AND(ISNUMBER(SEARCH("平",D2040)),OR(ISNUMBER(SEARCH("上",D2040)),ISNUMBER(SEARCH("去",D2040)),ISNUMBER(SEARCH("入",D2040)))),"Ambiguous",IF(ISNUMBER(SEARCH("平",D2040)),"平","仄")))</x:f>
        <x:v>仄</x:v>
      </x:c>
      <x:c r="J2049" s="7" t="str"/>
    </x:row>
    <x:row r="2050">
      <x:c r="A2050" s="5" t="str">
        <x:v>民</x:v>
      </x:c>
      <x:c r="B2050" s="6" t="str">
        <x:v>平</x:v>
      </x:c>
      <x:c r="C2050" s="6" t="str">
        <x:f>IF(B2050="","Needs decision","Ready")</x:f>
        <x:v>Ready</x:v>
      </x:c>
      <x:c r="D2050" s="6" t="str">
        <x:v>平</x:v>
      </x:c>
      <x:c r="E2050" s="6" t="str">
        <x:v>mjin (A)</x:v>
      </x:c>
      <x:c r="F2050" s="6" t="str">
        <x:v>1</x:v>
      </x:c>
      <x:c r="G2050" s="6" t="str"/>
      <x:c r="H2050" s="6" t="str">
        <x:f>IF(B2050="平","平",IF(B2050="","","仄"))</x:f>
        <x:v>平</x:v>
      </x:c>
      <x:c r="I2050" s="6" t="str">
        <x:f>IF(D2041="","",IF(AND(ISNUMBER(SEARCH("平",D2041)),OR(ISNUMBER(SEARCH("上",D2041)),ISNUMBER(SEARCH("去",D2041)),ISNUMBER(SEARCH("入",D2041)))),"Ambiguous",IF(ISNUMBER(SEARCH("平",D2041)),"平","仄")))</x:f>
        <x:v>仄</x:v>
      </x:c>
      <x:c r="J2050" s="7" t="str"/>
    </x:row>
    <x:row r="2051">
      <x:c r="A2051" s="5" t="str">
        <x:v>氓</x:v>
      </x:c>
      <x:c r="B2051" s="6" t="str">
        <x:v>平</x:v>
      </x:c>
      <x:c r="C2051" s="6" t="str">
        <x:f>IF(B2051="","Needs decision","Ready")</x:f>
        <x:v>Ready</x:v>
      </x:c>
      <x:c r="D2051" s="6" t="str">
        <x:v>平</x:v>
      </x:c>
      <x:c r="E2051" s="6" t="str">
        <x:v>meang (A)</x:v>
      </x:c>
      <x:c r="F2051" s="6" t="str">
        <x:v>1</x:v>
      </x:c>
      <x:c r="G2051" s="6" t="str"/>
      <x:c r="H2051" s="6" t="str">
        <x:f>IF(B2051="平","平",IF(B2051="","","仄"))</x:f>
        <x:v>平</x:v>
      </x:c>
      <x:c r="I2051" s="6" t="str">
        <x:f>IF(D2042="","",IF(AND(ISNUMBER(SEARCH("平",D2042)),OR(ISNUMBER(SEARCH("上",D2042)),ISNUMBER(SEARCH("去",D2042)),ISNUMBER(SEARCH("入",D2042)))),"Ambiguous",IF(ISNUMBER(SEARCH("平",D2042)),"平","仄")))</x:f>
        <x:v>仄</x:v>
      </x:c>
      <x:c r="J2051" s="7" t="str"/>
    </x:row>
    <x:row r="2052">
      <x:c r="A2052" s="5" t="str">
        <x:v>气</x:v>
      </x:c>
      <x:c r="B2052" s="6" t="str">
        <x:v>去</x:v>
      </x:c>
      <x:c r="C2052" s="6" t="str">
        <x:f>IF(B2052="","Needs decision","Ready")</x:f>
        <x:v>Ready</x:v>
      </x:c>
      <x:c r="D2052" s="6" t="str">
        <x:v>去</x:v>
      </x:c>
      <x:c r="E2052" s="6" t="str">
        <x:v>khj+jH (C)</x:v>
      </x:c>
      <x:c r="F2052" s="6" t="str">
        <x:v>1</x:v>
      </x:c>
      <x:c r="G2052" s="6" t="str"/>
      <x:c r="H2052" s="6" t="str">
        <x:f>IF(B2052="平","平",IF(B2052="","","仄"))</x:f>
        <x:v>仄</x:v>
      </x:c>
      <x:c r="I2052" s="6" t="str">
        <x:f>IF(D2043="","",IF(AND(ISNUMBER(SEARCH("平",D2043)),OR(ISNUMBER(SEARCH("上",D2043)),ISNUMBER(SEARCH("去",D2043)),ISNUMBER(SEARCH("入",D2043)))),"Ambiguous",IF(ISNUMBER(SEARCH("平",D2043)),"平","仄")))</x:f>
        <x:v>平</x:v>
      </x:c>
      <x:c r="J2052" s="7" t="str"/>
    </x:row>
    <x:row r="2053">
      <x:c r="A2053" s="5" t="str">
        <x:v>氛</x:v>
      </x:c>
      <x:c r="B2053" s="6" t="str">
        <x:v>平</x:v>
      </x:c>
      <x:c r="C2053" s="6" t="str">
        <x:f>IF(B2053="","Needs decision","Ready")</x:f>
        <x:v>Ready</x:v>
      </x:c>
      <x:c r="D2053" s="6" t="str">
        <x:v>平</x:v>
      </x:c>
      <x:c r="E2053" s="6" t="str">
        <x:v>bjun [並三C文平] bɨ̯un; phjun [滂三C文平] pʰɨ̯un</x:v>
      </x:c>
      <x:c r="F2053" s="6" t="str">
        <x:v>2</x:v>
      </x:c>
      <x:c r="G2053" s="6" t="str">
        <x:v>Targeted preliminary fill from Xun Gong; review if uncertain</x:v>
      </x:c>
      <x:c r="H2053" s="6" t="str">
        <x:f>IF(B2053="平","平",IF(B2053="","","仄"))</x:f>
        <x:v>平</x:v>
      </x:c>
      <x:c r="I2053" s="6" t="str">
        <x:f>IF(D2044="","",IF(AND(ISNUMBER(SEARCH("平",D2044)),OR(ISNUMBER(SEARCH("上",D2044)),ISNUMBER(SEARCH("去",D2044)),ISNUMBER(SEARCH("入",D2044)))),"Ambiguous",IF(ISNUMBER(SEARCH("平",D2044)),"平","仄")))</x:f>
        <x:v>平</x:v>
      </x:c>
      <x:c r="J2053" s="7" t="str">
        <x:v>Xun Gong character-readings.csv</x:v>
      </x:c>
    </x:row>
    <x:row r="2054">
      <x:c r="A2054" s="5" t="str">
        <x:v>氣</x:v>
      </x:c>
      <x:c r="B2054" s="6" t="str">
        <x:v>去</x:v>
      </x:c>
      <x:c r="C2054" s="6" t="str">
        <x:f>IF(B2054="","Needs decision","Ready")</x:f>
        <x:v>Ready</x:v>
      </x:c>
      <x:c r="D2054" s="6" t="str">
        <x:v>去</x:v>
      </x:c>
      <x:c r="E2054" s="6" t="str">
        <x:v>khj+jH (C); xj+jH (C)</x:v>
      </x:c>
      <x:c r="F2054" s="6" t="str">
        <x:v>2</x:v>
      </x:c>
      <x:c r="G2054" s="6" t="str"/>
      <x:c r="H2054" s="6" t="str">
        <x:f>IF(B2054="平","平",IF(B2054="","","仄"))</x:f>
        <x:v>仄</x:v>
      </x:c>
      <x:c r="I2054" s="6" t="str">
        <x:f>IF(D2045="","",IF(AND(ISNUMBER(SEARCH("平",D2045)),OR(ISNUMBER(SEARCH("上",D2045)),ISNUMBER(SEARCH("去",D2045)),ISNUMBER(SEARCH("入",D2045)))),"Ambiguous",IF(ISNUMBER(SEARCH("平",D2045)),"平","仄")))</x:f>
        <x:v>平</x:v>
      </x:c>
      <x:c r="J2054" s="7" t="str"/>
    </x:row>
    <x:row r="2055">
      <x:c r="A2055" s="5" t="str">
        <x:v>氳</x:v>
      </x:c>
      <x:c r="B2055" s="6" t="str">
        <x:v>平</x:v>
      </x:c>
      <x:c r="C2055" s="6" t="str">
        <x:f>IF(B2055="","Needs decision","Ready")</x:f>
        <x:v>Ready</x:v>
      </x:c>
      <x:c r="D2055" s="6" t="str">
        <x:v>平</x:v>
      </x:c>
      <x:c r="E2055" s="6" t="str">
        <x:v>'jun [影合三C文平] ʔɨ̯un</x:v>
      </x:c>
      <x:c r="F2055" s="6" t="str">
        <x:v>1</x:v>
      </x:c>
      <x:c r="G2055" s="6" t="str">
        <x:v>Targeted preliminary fill from Xun Gong; review if uncertain</x:v>
      </x:c>
      <x:c r="H2055" s="6" t="str">
        <x:f>IF(B2055="平","平",IF(B2055="","","仄"))</x:f>
        <x:v>平</x:v>
      </x:c>
      <x:c r="I2055" s="6" t="str">
        <x:f>IF(D2046="","",IF(AND(ISNUMBER(SEARCH("平",D2046)),OR(ISNUMBER(SEARCH("上",D2046)),ISNUMBER(SEARCH("去",D2046)),ISNUMBER(SEARCH("入",D2046)))),"Ambiguous",IF(ISNUMBER(SEARCH("平",D2046)),"平","仄")))</x:f>
        <x:v>仄</x:v>
      </x:c>
      <x:c r="J2055" s="7" t="str">
        <x:v>Xun Gong character-readings.csv</x:v>
      </x:c>
    </x:row>
    <x:row r="2056">
      <x:c r="A2056" s="5" t="str">
        <x:v>水</x:v>
      </x:c>
      <x:c r="B2056" s="6" t="str">
        <x:v>上</x:v>
      </x:c>
      <x:c r="C2056" s="6" t="str">
        <x:f>IF(B2056="","Needs decision","Ready")</x:f>
        <x:v>Ready</x:v>
      </x:c>
      <x:c r="D2056" s="6" t="str">
        <x:v>上</x:v>
      </x:c>
      <x:c r="E2056" s="6" t="str">
        <x:v>sywijX (B)</x:v>
      </x:c>
      <x:c r="F2056" s="6" t="str">
        <x:v>1</x:v>
      </x:c>
      <x:c r="G2056" s="6" t="str"/>
      <x:c r="H2056" s="6" t="str">
        <x:f>IF(B2056="平","平",IF(B2056="","","仄"))</x:f>
        <x:v>仄</x:v>
      </x:c>
      <x:c r="I2056" s="6" t="str">
        <x:f>IF(D2047="","",IF(AND(ISNUMBER(SEARCH("平",D2047)),OR(ISNUMBER(SEARCH("上",D2047)),ISNUMBER(SEARCH("去",D2047)),ISNUMBER(SEARCH("入",D2047)))),"Ambiguous",IF(ISNUMBER(SEARCH("平",D2047)),"平","仄")))</x:f>
        <x:v>平</x:v>
      </x:c>
      <x:c r="J2056" s="7" t="str"/>
    </x:row>
    <x:row r="2057">
      <x:c r="A2057" s="5" t="str">
        <x:v>氷</x:v>
      </x:c>
      <x:c r="B2057" s="6" t="str">
        <x:v>平</x:v>
      </x:c>
      <x:c r="C2057" s="6" t="str">
        <x:f>IF(B2057="","Needs decision","Ready")</x:f>
        <x:v>Ready</x:v>
      </x:c>
      <x:c r="D2057" s="6" t="str">
        <x:v>平</x:v>
      </x:c>
      <x:c r="E2057" s="6" t="str">
        <x:v>ping [幫三B蒸平] pɨŋ</x:v>
      </x:c>
      <x:c r="F2057" s="6" t="str">
        <x:v>1</x:v>
      </x:c>
      <x:c r="G2057" s="6" t="str">
        <x:v>Targeted preliminary fill from Xun Gong; review if uncertain (looked up under 冰)</x:v>
      </x:c>
      <x:c r="H2057" s="6" t="str">
        <x:f>IF(B2057="平","平",IF(B2057="","","仄"))</x:f>
        <x:v>平</x:v>
      </x:c>
      <x:c r="I2057" s="6" t="str">
        <x:f>IF(D2048="","",IF(AND(ISNUMBER(SEARCH("平",D2048)),OR(ISNUMBER(SEARCH("上",D2048)),ISNUMBER(SEARCH("去",D2048)),ISNUMBER(SEARCH("入",D2048)))),"Ambiguous",IF(ISNUMBER(SEARCH("平",D2048)),"平","仄")))</x:f>
        <x:v>仄</x:v>
      </x:c>
      <x:c r="J2057" s="7" t="str">
        <x:v>Xun Gong character-readings.csv</x:v>
      </x:c>
    </x:row>
    <x:row r="2058">
      <x:c r="A2058" s="5" t="str">
        <x:v>永</x:v>
      </x:c>
      <x:c r="B2058" s="6" t="str">
        <x:v>上</x:v>
      </x:c>
      <x:c r="C2058" s="6" t="str">
        <x:f>IF(B2058="","Needs decision","Ready")</x:f>
        <x:v>Ready</x:v>
      </x:c>
      <x:c r="D2058" s="6" t="str">
        <x:v>上</x:v>
      </x:c>
      <x:c r="E2058" s="6" t="str">
        <x:v>hjwaengX (B)</x:v>
      </x:c>
      <x:c r="F2058" s="6" t="str">
        <x:v>1</x:v>
      </x:c>
      <x:c r="G2058" s="6" t="str"/>
      <x:c r="H2058" s="6" t="str">
        <x:f>IF(B2058="平","平",IF(B2058="","","仄"))</x:f>
        <x:v>仄</x:v>
      </x:c>
      <x:c r="I2058" s="6" t="str">
        <x:f>IF(D2049="","",IF(AND(ISNUMBER(SEARCH("平",D2049)),OR(ISNUMBER(SEARCH("上",D2049)),ISNUMBER(SEARCH("去",D2049)),ISNUMBER(SEARCH("入",D2049)))),"Ambiguous",IF(ISNUMBER(SEARCH("平",D2049)),"平","仄")))</x:f>
        <x:v>Ambiguous</x:v>
      </x:c>
      <x:c r="J2058" s="7" t="str"/>
    </x:row>
    <x:row r="2059">
      <x:c r="A2059" s="5" t="str">
        <x:v>氾</x:v>
      </x:c>
      <x:c r="B2059" s="6" t="str">
        <x:v>去</x:v>
      </x:c>
      <x:c r="C2059" s="6" t="str">
        <x:f>IF(B2059="","Needs decision","Ready")</x:f>
        <x:v>Ready</x:v>
      </x:c>
      <x:c r="D2059" s="6" t="str">
        <x:v>去</x:v>
      </x:c>
      <x:c r="E2059" s="6" t="str"/>
      <x:c r="F2059" s="6" t="str"/>
      <x:c r="G2059" s="6" t="str">
        <x:v>Manual user correction/addition</x:v>
      </x:c>
      <x:c r="H2059" s="6" t="str">
        <x:f>IF(B2059="平","平",IF(B2059="","","仄"))</x:f>
        <x:v>仄</x:v>
      </x:c>
      <x:c r="I2059" s="6" t="str">
        <x:f>IF(D2050="","",IF(AND(ISNUMBER(SEARCH("平",D2050)),OR(ISNUMBER(SEARCH("上",D2050)),ISNUMBER(SEARCH("去",D2050)),ISNUMBER(SEARCH("入",D2050)))),"Ambiguous",IF(ISNUMBER(SEARCH("平",D2050)),"平","仄")))</x:f>
        <x:v>平</x:v>
      </x:c>
      <x:c r="J2059" s="7" t="str">
        <x:v>manual user correction</x:v>
      </x:c>
    </x:row>
    <x:row r="2060">
      <x:c r="A2060" s="5" t="str">
        <x:v>汀</x:v>
      </x:c>
      <x:c r="B2060" s="6" t="str">
        <x:v>平</x:v>
      </x:c>
      <x:c r="C2060" s="6" t="str">
        <x:f>IF(B2060="","Needs decision","Ready")</x:f>
        <x:v>Ready</x:v>
      </x:c>
      <x:c r="D2060" s="6" t="str">
        <x:v>平</x:v>
      </x:c>
      <x:c r="E2060" s="6" t="str">
        <x:v>theng (A)</x:v>
      </x:c>
      <x:c r="F2060" s="6" t="str">
        <x:v>1</x:v>
      </x:c>
      <x:c r="G2060" s="6" t="str"/>
      <x:c r="H2060" s="6" t="str">
        <x:f>IF(B2060="平","平",IF(B2060="","","仄"))</x:f>
        <x:v>平</x:v>
      </x:c>
      <x:c r="I2060" s="6" t="str">
        <x:f>IF(D2051="","",IF(AND(ISNUMBER(SEARCH("平",D2051)),OR(ISNUMBER(SEARCH("上",D2051)),ISNUMBER(SEARCH("去",D2051)),ISNUMBER(SEARCH("入",D2051)))),"Ambiguous",IF(ISNUMBER(SEARCH("平",D2051)),"平","仄")))</x:f>
        <x:v>平</x:v>
      </x:c>
      <x:c r="J2060" s="7" t="str"/>
    </x:row>
    <x:row r="2061">
      <x:c r="A2061" s="5" t="str">
        <x:v>汁</x:v>
      </x:c>
      <x:c r="B2061" s="6" t="str">
        <x:v>入</x:v>
      </x:c>
      <x:c r="C2061" s="6" t="str">
        <x:f>IF(B2061="","Needs decision","Ready")</x:f>
        <x:v>Ready</x:v>
      </x:c>
      <x:c r="D2061" s="6" t="str">
        <x:v>入</x:v>
      </x:c>
      <x:c r="E2061" s="6" t="str">
        <x:v>tsyip (D)</x:v>
      </x:c>
      <x:c r="F2061" s="6" t="str">
        <x:v>1</x:v>
      </x:c>
      <x:c r="G2061" s="6" t="str"/>
      <x:c r="H2061" s="6" t="str">
        <x:f>IF(B2061="平","平",IF(B2061="","","仄"))</x:f>
        <x:v>仄</x:v>
      </x:c>
      <x:c r="I2061" s="6" t="str">
        <x:f>IF(D2052="","",IF(AND(ISNUMBER(SEARCH("平",D2052)),OR(ISNUMBER(SEARCH("上",D2052)),ISNUMBER(SEARCH("去",D2052)),ISNUMBER(SEARCH("入",D2052)))),"Ambiguous",IF(ISNUMBER(SEARCH("平",D2052)),"平","仄")))</x:f>
        <x:v>仄</x:v>
      </x:c>
      <x:c r="J2061" s="7" t="str"/>
    </x:row>
    <x:row r="2062">
      <x:c r="A2062" s="5" t="str">
        <x:v>求</x:v>
      </x:c>
      <x:c r="B2062" s="6" t="str">
        <x:v>平</x:v>
      </x:c>
      <x:c r="C2062" s="6" t="str">
        <x:f>IF(B2062="","Needs decision","Ready")</x:f>
        <x:v>Ready</x:v>
      </x:c>
      <x:c r="D2062" s="6" t="str">
        <x:v>平</x:v>
      </x:c>
      <x:c r="E2062" s="6" t="str">
        <x:v>gjuw (A)</x:v>
      </x:c>
      <x:c r="F2062" s="6" t="str">
        <x:v>1</x:v>
      </x:c>
      <x:c r="G2062" s="6" t="str"/>
      <x:c r="H2062" s="6" t="str">
        <x:f>IF(B2062="平","平",IF(B2062="","","仄"))</x:f>
        <x:v>平</x:v>
      </x:c>
      <x:c r="I2062" s="6" t="str">
        <x:f>IF(D2053="","",IF(AND(ISNUMBER(SEARCH("平",D2053)),OR(ISNUMBER(SEARCH("上",D2053)),ISNUMBER(SEARCH("去",D2053)),ISNUMBER(SEARCH("入",D2053)))),"Ambiguous",IF(ISNUMBER(SEARCH("平",D2053)),"平","仄")))</x:f>
        <x:v>平</x:v>
      </x:c>
      <x:c r="J2062" s="7" t="str"/>
    </x:row>
    <x:row r="2063">
      <x:c r="A2063" s="5" t="str">
        <x:v>汎</x:v>
      </x:c>
      <x:c r="B2063" s="6" t="str">
        <x:v>平</x:v>
      </x:c>
      <x:c r="C2063" s="6" t="str">
        <x:f>IF(B2063="","Needs decision","Ready")</x:f>
        <x:v>Ready</x:v>
      </x:c>
      <x:c r="D2063" s="6" t="str">
        <x:v>平</x:v>
      </x:c>
      <x:c r="E2063" s="6" t="str">
        <x:v>bjuwng (A)</x:v>
      </x:c>
      <x:c r="F2063" s="6" t="str">
        <x:v>1</x:v>
      </x:c>
      <x:c r="G2063" s="6" t="str"/>
      <x:c r="H2063" s="6" t="str">
        <x:f>IF(B2063="平","平",IF(B2063="","","仄"))</x:f>
        <x:v>平</x:v>
      </x:c>
      <x:c r="I2063" s="6" t="str">
        <x:f>IF(D2054="","",IF(AND(ISNUMBER(SEARCH("平",D2054)),OR(ISNUMBER(SEARCH("上",D2054)),ISNUMBER(SEARCH("去",D2054)),ISNUMBER(SEARCH("入",D2054)))),"Ambiguous",IF(ISNUMBER(SEARCH("平",D2054)),"平","仄")))</x:f>
        <x:v>仄</x:v>
      </x:c>
      <x:c r="J2063" s="7" t="str"/>
    </x:row>
    <x:row r="2064">
      <x:c r="A2064" s="5" t="str">
        <x:v>汗</x:v>
      </x:c>
      <x:c r="B2064" s="6" t="str">
        <x:v>去</x:v>
      </x:c>
      <x:c r="C2064" s="6" t="str">
        <x:f>IF(B2064="","Needs decision","Ready")</x:f>
        <x:v>Ready</x:v>
      </x:c>
      <x:c r="D2064" s="6" t="str">
        <x:v>去</x:v>
      </x:c>
      <x:c r="E2064" s="6" t="str">
        <x:v>hanH (C)</x:v>
      </x:c>
      <x:c r="F2064" s="6" t="str">
        <x:v>1</x:v>
      </x:c>
      <x:c r="G2064" s="6" t="str"/>
      <x:c r="H2064" s="6" t="str">
        <x:f>IF(B2064="平","平",IF(B2064="","","仄"))</x:f>
        <x:v>仄</x:v>
      </x:c>
      <x:c r="I2064" s="6" t="str">
        <x:f>IF(D2055="","",IF(AND(ISNUMBER(SEARCH("平",D2055)),OR(ISNUMBER(SEARCH("上",D2055)),ISNUMBER(SEARCH("去",D2055)),ISNUMBER(SEARCH("入",D2055)))),"Ambiguous",IF(ISNUMBER(SEARCH("平",D2055)),"平","仄")))</x:f>
        <x:v>平</x:v>
      </x:c>
      <x:c r="J2064" s="7" t="str"/>
    </x:row>
    <x:row r="2065">
      <x:c r="A2065" s="5" t="str">
        <x:v>汙</x:v>
      </x:c>
      <x:c r="B2065" s="6" t="str">
        <x:v>平</x:v>
      </x:c>
      <x:c r="C2065" s="6" t="str">
        <x:f>IF(B2065="","Needs decision","Ready")</x:f>
        <x:v>Ready</x:v>
      </x:c>
      <x:c r="D2065" s="6" t="str">
        <x:v>平</x:v>
      </x:c>
      <x:c r="E2065" s="6" t="str">
        <x:v>'wae (A)</x:v>
      </x:c>
      <x:c r="F2065" s="6" t="str">
        <x:v>1</x:v>
      </x:c>
      <x:c r="G2065" s="6" t="str"/>
      <x:c r="H2065" s="6" t="str">
        <x:f>IF(B2065="平","平",IF(B2065="","","仄"))</x:f>
        <x:v>平</x:v>
      </x:c>
      <x:c r="I2065" s="6" t="str">
        <x:f>IF(D2056="","",IF(AND(ISNUMBER(SEARCH("平",D2056)),OR(ISNUMBER(SEARCH("上",D2056)),ISNUMBER(SEARCH("去",D2056)),ISNUMBER(SEARCH("入",D2056)))),"Ambiguous",IF(ISNUMBER(SEARCH("平",D2056)),"平","仄")))</x:f>
        <x:v>仄</x:v>
      </x:c>
      <x:c r="J2065" s="7" t="str"/>
    </x:row>
    <x:row r="2066">
      <x:c r="A2066" s="5" t="str">
        <x:v>汝</x:v>
      </x:c>
      <x:c r="B2066" s="6" t="str">
        <x:v>上</x:v>
      </x:c>
      <x:c r="C2066" s="6" t="str">
        <x:f>IF(B2066="","Needs decision","Ready")</x:f>
        <x:v>Ready</x:v>
      </x:c>
      <x:c r="D2066" s="6" t="str">
        <x:v>上</x:v>
      </x:c>
      <x:c r="E2066" s="6" t="str">
        <x:v>nyoX (B)</x:v>
      </x:c>
      <x:c r="F2066" s="6" t="str">
        <x:v>1</x:v>
      </x:c>
      <x:c r="G2066" s="6" t="str"/>
      <x:c r="H2066" s="6" t="str">
        <x:f>IF(B2066="平","平",IF(B2066="","","仄"))</x:f>
        <x:v>仄</x:v>
      </x:c>
      <x:c r="I2066" s="6" t="str">
        <x:f>IF(D2057="","",IF(AND(ISNUMBER(SEARCH("平",D2057)),OR(ISNUMBER(SEARCH("上",D2057)),ISNUMBER(SEARCH("去",D2057)),ISNUMBER(SEARCH("入",D2057)))),"Ambiguous",IF(ISNUMBER(SEARCH("平",D2057)),"平","仄")))</x:f>
        <x:v>平</x:v>
      </x:c>
      <x:c r="J2066" s="7" t="str"/>
    </x:row>
    <x:row r="2067">
      <x:c r="A2067" s="5" t="str">
        <x:v>江</x:v>
      </x:c>
      <x:c r="B2067" s="6" t="str">
        <x:v>平</x:v>
      </x:c>
      <x:c r="C2067" s="6" t="str">
        <x:f>IF(B2067="","Needs decision","Ready")</x:f>
        <x:v>Ready</x:v>
      </x:c>
      <x:c r="D2067" s="6" t="str">
        <x:v>平</x:v>
      </x:c>
      <x:c r="E2067" s="6" t="str">
        <x:v>kaewng (A)</x:v>
      </x:c>
      <x:c r="F2067" s="6" t="str">
        <x:v>1</x:v>
      </x:c>
      <x:c r="G2067" s="6" t="str"/>
      <x:c r="H2067" s="6" t="str">
        <x:f>IF(B2067="平","平",IF(B2067="","","仄"))</x:f>
        <x:v>平</x:v>
      </x:c>
      <x:c r="I2067" s="6" t="str">
        <x:f>IF(D2058="","",IF(AND(ISNUMBER(SEARCH("平",D2058)),OR(ISNUMBER(SEARCH("上",D2058)),ISNUMBER(SEARCH("去",D2058)),ISNUMBER(SEARCH("入",D2058)))),"Ambiguous",IF(ISNUMBER(SEARCH("平",D2058)),"平","仄")))</x:f>
        <x:v>仄</x:v>
      </x:c>
      <x:c r="J2067" s="7" t="str"/>
    </x:row>
    <x:row r="2068">
      <x:c r="A2068" s="5" t="str">
        <x:v>池</x:v>
      </x:c>
      <x:c r="B2068" s="6" t="str">
        <x:v>平</x:v>
      </x:c>
      <x:c r="C2068" s="6" t="str">
        <x:f>IF(B2068="","Needs decision","Ready")</x:f>
        <x:v>Ready</x:v>
      </x:c>
      <x:c r="D2068" s="6" t="str">
        <x:v>平</x:v>
      </x:c>
      <x:c r="E2068" s="6" t="str">
        <x:v>drje (A)</x:v>
      </x:c>
      <x:c r="F2068" s="6" t="str">
        <x:v>1</x:v>
      </x:c>
      <x:c r="G2068" s="6" t="str"/>
      <x:c r="H2068" s="6" t="str">
        <x:f>IF(B2068="平","平",IF(B2068="","","仄"))</x:f>
        <x:v>平</x:v>
      </x:c>
      <x:c r="I2068" s="6" t="str">
        <x:f>IF(D2059="","",IF(AND(ISNUMBER(SEARCH("平",D2059)),OR(ISNUMBER(SEARCH("上",D2059)),ISNUMBER(SEARCH("去",D2059)),ISNUMBER(SEARCH("入",D2059)))),"Ambiguous",IF(ISNUMBER(SEARCH("平",D2059)),"平","仄")))</x:f>
        <x:v>仄</x:v>
      </x:c>
      <x:c r="J2068" s="7" t="str"/>
    </x:row>
    <x:row r="2069">
      <x:c r="A2069" s="5" t="str">
        <x:v>污</x:v>
      </x:c>
      <x:c r="B2069" s="6" t="str">
        <x:v>平</x:v>
      </x:c>
      <x:c r="C2069" s="6" t="str">
        <x:f>IF(B2069="","Needs decision","Ready")</x:f>
        <x:v>Ready</x:v>
      </x:c>
      <x:c r="D2069" s="6" t="str">
        <x:v>平</x:v>
      </x:c>
      <x:c r="E2069" s="6" t="str">
        <x:v>'wae (A)</x:v>
      </x:c>
      <x:c r="F2069" s="6" t="str">
        <x:v>1</x:v>
      </x:c>
      <x:c r="G2069" s="6" t="str"/>
      <x:c r="H2069" s="6" t="str">
        <x:f>IF(B2069="平","平",IF(B2069="","","仄"))</x:f>
        <x:v>平</x:v>
      </x:c>
      <x:c r="I2069" s="6" t="str">
        <x:f>IF(D2060="","",IF(AND(ISNUMBER(SEARCH("平",D2060)),OR(ISNUMBER(SEARCH("上",D2060)),ISNUMBER(SEARCH("去",D2060)),ISNUMBER(SEARCH("入",D2060)))),"Ambiguous",IF(ISNUMBER(SEARCH("平",D2060)),"平","仄")))</x:f>
        <x:v>平</x:v>
      </x:c>
      <x:c r="J2069" s="7" t="str"/>
    </x:row>
    <x:row r="2070">
      <x:c r="A2070" s="5" t="str">
        <x:v>汨</x:v>
      </x:c>
      <x:c r="B2070" s="6" t="str">
        <x:v>入</x:v>
      </x:c>
      <x:c r="C2070" s="6" t="str">
        <x:f>IF(B2070="","Needs decision","Ready")</x:f>
        <x:v>Ready</x:v>
      </x:c>
      <x:c r="D2070" s="6" t="str">
        <x:v>入</x:v>
      </x:c>
      <x:c r="E2070" s="6" t="str">
        <x:v>mek (D)</x:v>
      </x:c>
      <x:c r="F2070" s="6" t="str">
        <x:v>1</x:v>
      </x:c>
      <x:c r="G2070" s="6" t="str"/>
      <x:c r="H2070" s="6" t="str">
        <x:f>IF(B2070="平","平",IF(B2070="","","仄"))</x:f>
        <x:v>仄</x:v>
      </x:c>
      <x:c r="I2070" s="6" t="str">
        <x:f>IF(D2061="","",IF(AND(ISNUMBER(SEARCH("平",D2061)),OR(ISNUMBER(SEARCH("上",D2061)),ISNUMBER(SEARCH("去",D2061)),ISNUMBER(SEARCH("入",D2061)))),"Ambiguous",IF(ISNUMBER(SEARCH("平",D2061)),"平","仄")))</x:f>
        <x:v>仄</x:v>
      </x:c>
      <x:c r="J2070" s="7" t="str"/>
    </x:row>
    <x:row r="2071">
      <x:c r="A2071" s="5" t="str">
        <x:v>汩</x:v>
      </x:c>
      <x:c r="B2071" s="6" t="str">
        <x:v>入</x:v>
      </x:c>
      <x:c r="C2071" s="6" t="str">
        <x:f>IF(B2071="","Needs decision","Ready")</x:f>
        <x:v>Ready</x:v>
      </x:c>
      <x:c r="D2071" s="6" t="str">
        <x:v>入</x:v>
      </x:c>
      <x:c r="E2071" s="6" t="str">
        <x:v>kwot (D); hwit (D)</x:v>
      </x:c>
      <x:c r="F2071" s="6" t="str">
        <x:v>2</x:v>
      </x:c>
      <x:c r="G2071" s="6" t="str"/>
      <x:c r="H2071" s="6" t="str">
        <x:f>IF(B2071="平","平",IF(B2071="","","仄"))</x:f>
        <x:v>仄</x:v>
      </x:c>
      <x:c r="I2071" s="6" t="str">
        <x:f>IF(D2062="","",IF(AND(ISNUMBER(SEARCH("平",D2062)),OR(ISNUMBER(SEARCH("上",D2062)),ISNUMBER(SEARCH("去",D2062)),ISNUMBER(SEARCH("入",D2062)))),"Ambiguous",IF(ISNUMBER(SEARCH("平",D2062)),"平","仄")))</x:f>
        <x:v>平</x:v>
      </x:c>
      <x:c r="J2071" s="7" t="str"/>
    </x:row>
    <x:row r="2072">
      <x:c r="A2072" s="5" t="str">
        <x:v>汪</x:v>
      </x:c>
      <x:c r="B2072" s="6" t="str">
        <x:v>平</x:v>
      </x:c>
      <x:c r="C2072" s="6" t="str">
        <x:f>IF(B2072="","Needs decision","Ready")</x:f>
        <x:v>Ready</x:v>
      </x:c>
      <x:c r="D2072" s="6" t="str">
        <x:v>平</x:v>
      </x:c>
      <x:c r="E2072" s="6" t="str">
        <x:v>'wang (A)</x:v>
      </x:c>
      <x:c r="F2072" s="6" t="str">
        <x:v>1</x:v>
      </x:c>
      <x:c r="G2072" s="6" t="str"/>
      <x:c r="H2072" s="6" t="str">
        <x:f>IF(B2072="平","平",IF(B2072="","","仄"))</x:f>
        <x:v>平</x:v>
      </x:c>
      <x:c r="I2072" s="6" t="str">
        <x:f>IF(D2063="","",IF(AND(ISNUMBER(SEARCH("平",D2063)),OR(ISNUMBER(SEARCH("上",D2063)),ISNUMBER(SEARCH("去",D2063)),ISNUMBER(SEARCH("入",D2063)))),"Ambiguous",IF(ISNUMBER(SEARCH("平",D2063)),"平","仄")))</x:f>
        <x:v>平</x:v>
      </x:c>
      <x:c r="J2072" s="7" t="str"/>
    </x:row>
    <x:row r="2073">
      <x:c r="A2073" s="5" t="str">
        <x:v>汰</x:v>
      </x:c>
      <x:c r="B2073" s="6" t="str">
        <x:v>去</x:v>
      </x:c>
      <x:c r="C2073" s="6" t="str">
        <x:f>IF(B2073="","Needs decision","Ready")</x:f>
        <x:v>Ready</x:v>
      </x:c>
      <x:c r="D2073" s="6" t="str">
        <x:v>去</x:v>
      </x:c>
      <x:c r="E2073" s="6" t="str">
        <x:v>dajH (C)</x:v>
      </x:c>
      <x:c r="F2073" s="6" t="str">
        <x:v>1</x:v>
      </x:c>
      <x:c r="G2073" s="6" t="str"/>
      <x:c r="H2073" s="6" t="str">
        <x:f>IF(B2073="平","平",IF(B2073="","","仄"))</x:f>
        <x:v>仄</x:v>
      </x:c>
      <x:c r="I2073" s="6" t="str">
        <x:f>IF(D2064="","",IF(AND(ISNUMBER(SEARCH("平",D2064)),OR(ISNUMBER(SEARCH("上",D2064)),ISNUMBER(SEARCH("去",D2064)),ISNUMBER(SEARCH("入",D2064)))),"Ambiguous",IF(ISNUMBER(SEARCH("平",D2064)),"平","仄")))</x:f>
        <x:v>仄</x:v>
      </x:c>
      <x:c r="J2073" s="7" t="str"/>
    </x:row>
    <x:row r="2074">
      <x:c r="A2074" s="5" t="str">
        <x:v>汲</x:v>
      </x:c>
      <x:c r="B2074" s="6" t="str">
        <x:v>入</x:v>
      </x:c>
      <x:c r="C2074" s="6" t="str">
        <x:f>IF(B2074="","Needs decision","Ready")</x:f>
        <x:v>Ready</x:v>
      </x:c>
      <x:c r="D2074" s="6" t="str">
        <x:v>入</x:v>
      </x:c>
      <x:c r="E2074" s="6" t="str">
        <x:v>kip [kɨ̯ip] (入)</x:v>
      </x:c>
      <x:c r="F2074" s="6" t="str">
        <x:v>1</x:v>
      </x:c>
      <x:c r="G2074" s="6" t="str">
        <x:v>Tang 300 gap; frequency 3; provisional from Xun Gong</x:v>
      </x:c>
      <x:c r="H2074" s="6" t="str">
        <x:f>IF(B2074="平","平",IF(B2074="","","仄"))</x:f>
        <x:v>仄</x:v>
      </x:c>
      <x:c r="I2074" s="6" t="str">
        <x:f>IF(D2065="","",IF(AND(ISNUMBER(SEARCH("平",D2065)),OR(ISNUMBER(SEARCH("上",D2065)),ISNUMBER(SEARCH("去",D2065)),ISNUMBER(SEARCH("入",D2065)))),"Ambiguous",IF(ISNUMBER(SEARCH("平",D2065)),"平","仄")))</x:f>
        <x:v>平</x:v>
      </x:c>
      <x:c r="J2074" s="7" t="str">
        <x:v>Xun Gong, Tang 300 gap fill</x:v>
      </x:c>
    </x:row>
    <x:row r="2075">
      <x:c r="A2075" s="5" t="str">
        <x:v>汶</x:v>
      </x:c>
      <x:c r="B2075" s="6" t="str">
        <x:v>平</x:v>
      </x:c>
      <x:c r="C2075" s="6" t="str">
        <x:f>IF(B2075="","Needs decision","Ready")</x:f>
        <x:v>Ready</x:v>
      </x:c>
      <x:c r="D2075" s="6" t="str">
        <x:v>平</x:v>
      </x:c>
      <x:c r="E2075" s="6" t="str">
        <x:v>mwon (A)</x:v>
      </x:c>
      <x:c r="F2075" s="6" t="str">
        <x:v>1</x:v>
      </x:c>
      <x:c r="G2075" s="6" t="str"/>
      <x:c r="H2075" s="6" t="str">
        <x:f>IF(B2075="平","平",IF(B2075="","","仄"))</x:f>
        <x:v>平</x:v>
      </x:c>
      <x:c r="I2075" s="6" t="str">
        <x:f>IF(D2066="","",IF(AND(ISNUMBER(SEARCH("平",D2066)),OR(ISNUMBER(SEARCH("上",D2066)),ISNUMBER(SEARCH("去",D2066)),ISNUMBER(SEARCH("入",D2066)))),"Ambiguous",IF(ISNUMBER(SEARCH("平",D2066)),"平","仄")))</x:f>
        <x:v>仄</x:v>
      </x:c>
      <x:c r="J2075" s="7" t="str"/>
    </x:row>
    <x:row r="2076">
      <x:c r="A2076" s="5" t="str">
        <x:v>決</x:v>
      </x:c>
      <x:c r="B2076" s="6" t="str">
        <x:v>入</x:v>
      </x:c>
      <x:c r="C2076" s="6" t="str">
        <x:f>IF(B2076="","Needs decision","Ready")</x:f>
        <x:v>Ready</x:v>
      </x:c>
      <x:c r="D2076" s="6" t="str">
        <x:v>入</x:v>
      </x:c>
      <x:c r="E2076" s="6" t="str">
        <x:v>kwet (D)</x:v>
      </x:c>
      <x:c r="F2076" s="6" t="str">
        <x:v>1</x:v>
      </x:c>
      <x:c r="G2076" s="6" t="str"/>
      <x:c r="H2076" s="6" t="str">
        <x:f>IF(B2076="平","平",IF(B2076="","","仄"))</x:f>
        <x:v>仄</x:v>
      </x:c>
      <x:c r="I2076" s="6" t="str">
        <x:f>IF(D2067="","",IF(AND(ISNUMBER(SEARCH("平",D2067)),OR(ISNUMBER(SEARCH("上",D2067)),ISNUMBER(SEARCH("去",D2067)),ISNUMBER(SEARCH("入",D2067)))),"Ambiguous",IF(ISNUMBER(SEARCH("平",D2067)),"平","仄")))</x:f>
        <x:v>平</x:v>
      </x:c>
      <x:c r="J2076" s="7" t="str"/>
    </x:row>
    <x:row r="2077">
      <x:c r="A2077" s="5" t="str">
        <x:v>沁</x:v>
      </x:c>
      <x:c r="B2077" s="6" t="str">
        <x:v>去</x:v>
      </x:c>
      <x:c r="C2077" s="6" t="str">
        <x:f>IF(B2077="","Needs decision","Ready")</x:f>
        <x:v>Ready</x:v>
      </x:c>
      <x:c r="D2077" s="6" t="str">
        <x:v>去</x:v>
      </x:c>
      <x:c r="E2077" s="6" t="str">
        <x:v>tshimH [tsʰimh] (去)</x:v>
      </x:c>
      <x:c r="F2077" s="6" t="str">
        <x:v>1</x:v>
      </x:c>
      <x:c r="G2077" s="6" t="str">
        <x:v>Tang 300 gap; frequency 5; provisional from Xun Gong</x:v>
      </x:c>
      <x:c r="H2077" s="6" t="str">
        <x:f>IF(B2077="平","平",IF(B2077="","","仄"))</x:f>
        <x:v>仄</x:v>
      </x:c>
      <x:c r="I2077" s="6" t="str">
        <x:f>IF(D2068="","",IF(AND(ISNUMBER(SEARCH("平",D2068)),OR(ISNUMBER(SEARCH("上",D2068)),ISNUMBER(SEARCH("去",D2068)),ISNUMBER(SEARCH("入",D2068)))),"Ambiguous",IF(ISNUMBER(SEARCH("平",D2068)),"平","仄")))</x:f>
        <x:v>平</x:v>
      </x:c>
      <x:c r="J2077" s="7" t="str">
        <x:v>Xun Gong, Tang 300 gap fill</x:v>
      </x:c>
    </x:row>
    <x:row r="2078">
      <x:c r="A2078" s="5" t="str">
        <x:v>沂</x:v>
      </x:c>
      <x:c r="B2078" s="6" t="str">
        <x:v>平</x:v>
      </x:c>
      <x:c r="C2078" s="6" t="str">
        <x:f>IF(B2078="","Needs decision","Ready")</x:f>
        <x:v>Ready</x:v>
      </x:c>
      <x:c r="D2078" s="6" t="str">
        <x:v>平</x:v>
      </x:c>
      <x:c r="E2078" s="6" t="str">
        <x:v>ngj+j (A)</x:v>
      </x:c>
      <x:c r="F2078" s="6" t="str">
        <x:v>1</x:v>
      </x:c>
      <x:c r="G2078" s="6" t="str"/>
      <x:c r="H2078" s="6" t="str">
        <x:f>IF(B2078="平","平",IF(B2078="","","仄"))</x:f>
        <x:v>平</x:v>
      </x:c>
      <x:c r="I2078" s="6" t="str">
        <x:f>IF(D2069="","",IF(AND(ISNUMBER(SEARCH("平",D2069)),OR(ISNUMBER(SEARCH("上",D2069)),ISNUMBER(SEARCH("去",D2069)),ISNUMBER(SEARCH("入",D2069)))),"Ambiguous",IF(ISNUMBER(SEARCH("平",D2069)),"平","仄")))</x:f>
        <x:v>平</x:v>
      </x:c>
      <x:c r="J2078" s="7" t="str"/>
    </x:row>
    <x:row r="2079">
      <x:c r="A2079" s="5" t="str">
        <x:v>沃</x:v>
      </x:c>
      <x:c r="B2079" s="6" t="str">
        <x:v>入</x:v>
      </x:c>
      <x:c r="C2079" s="6" t="str">
        <x:f>IF(B2079="","Needs decision","Ready")</x:f>
        <x:v>Ready</x:v>
      </x:c>
      <x:c r="D2079" s="6" t="str">
        <x:v>入</x:v>
      </x:c>
      <x:c r="E2079" s="6" t="str">
        <x:v>'owk [影一冬入] ʔ̙ok</x:v>
      </x:c>
      <x:c r="F2079" s="6" t="str">
        <x:v>1</x:v>
      </x:c>
      <x:c r="G2079" s="6" t="str">
        <x:v>Targeted preliminary fill from Xun Gong; review if uncertain</x:v>
      </x:c>
      <x:c r="H2079" s="6" t="str">
        <x:f>IF(B2079="平","平",IF(B2079="","","仄"))</x:f>
        <x:v>仄</x:v>
      </x:c>
      <x:c r="I2079" s="6" t="str">
        <x:f>IF(D2070="","",IF(AND(ISNUMBER(SEARCH("平",D2070)),OR(ISNUMBER(SEARCH("上",D2070)),ISNUMBER(SEARCH("去",D2070)),ISNUMBER(SEARCH("入",D2070)))),"Ambiguous",IF(ISNUMBER(SEARCH("平",D2070)),"平","仄")))</x:f>
        <x:v>仄</x:v>
      </x:c>
      <x:c r="J2079" s="7" t="str">
        <x:v>Xun Gong character-readings.csv</x:v>
      </x:c>
    </x:row>
    <x:row r="2080">
      <x:c r="A2080" s="5" t="str">
        <x:v>沈</x:v>
      </x:c>
      <x:c r="B2080" s="6" t="str">
        <x:v>平</x:v>
      </x:c>
      <x:c r="C2080" s="6" t="str">
        <x:f>IF(B2080="","Needs decision","Ready")</x:f>
        <x:v>Ready</x:v>
      </x:c>
      <x:c r="D2080" s="6" t="str">
        <x:v>平/去/上</x:v>
      </x:c>
      <x:c r="E2080" s="6" t="str">
        <x:v>drim (A); drimH (C); syimX (B)</x:v>
      </x:c>
      <x:c r="F2080" s="6" t="str">
        <x:v>3</x:v>
      </x:c>
      <x:c r="G2080" s="6" t="str"/>
      <x:c r="H2080" s="6" t="str">
        <x:f>IF(B2080="平","平",IF(B2080="","","仄"))</x:f>
        <x:v>平</x:v>
      </x:c>
      <x:c r="I2080" s="6" t="str">
        <x:f>IF(D2071="","",IF(AND(ISNUMBER(SEARCH("平",D2071)),OR(ISNUMBER(SEARCH("上",D2071)),ISNUMBER(SEARCH("去",D2071)),ISNUMBER(SEARCH("入",D2071)))),"Ambiguous",IF(ISNUMBER(SEARCH("平",D2071)),"平","仄")))</x:f>
        <x:v>仄</x:v>
      </x:c>
      <x:c r="J2080" s="7" t="str"/>
    </x:row>
    <x:row r="2081">
      <x:c r="A2081" s="5" t="str">
        <x:v>沉</x:v>
      </x:c>
      <x:c r="B2081" s="6" t="str">
        <x:v>平</x:v>
      </x:c>
      <x:c r="C2081" s="6" t="str">
        <x:f>IF(B2081="","Needs decision","Ready")</x:f>
        <x:v>Ready</x:v>
      </x:c>
      <x:c r="D2081" s="6" t="str">
        <x:v>平</x:v>
      </x:c>
      <x:c r="E2081" s="6" t="str"/>
      <x:c r="F2081" s="6" t="str"/>
      <x:c r="G2081" s="6" t="str">
        <x:v>Manual user correction/addition</x:v>
      </x:c>
      <x:c r="H2081" s="6" t="str">
        <x:f>IF(B2081="平","平",IF(B2081="","","仄"))</x:f>
        <x:v>平</x:v>
      </x:c>
      <x:c r="I2081" s="6" t="str">
        <x:f>IF(D2072="","",IF(AND(ISNUMBER(SEARCH("平",D2072)),OR(ISNUMBER(SEARCH("上",D2072)),ISNUMBER(SEARCH("去",D2072)),ISNUMBER(SEARCH("入",D2072)))),"Ambiguous",IF(ISNUMBER(SEARCH("平",D2072)),"平","仄")))</x:f>
        <x:v>平</x:v>
      </x:c>
      <x:c r="J2081" s="7" t="str">
        <x:v>manual user correction</x:v>
      </x:c>
    </x:row>
    <x:row r="2082">
      <x:c r="A2082" s="5" t="str">
        <x:v>沍</x:v>
      </x:c>
      <x:c r="B2082" s="6" t="str">
        <x:v>去</x:v>
      </x:c>
      <x:c r="C2082" s="6" t="str">
        <x:f>IF(B2082="","Needs decision","Ready")</x:f>
        <x:v>Ready</x:v>
      </x:c>
      <x:c r="D2082" s="6" t="str">
        <x:v>去</x:v>
      </x:c>
      <x:c r="E2082" s="6" t="str">
        <x:v>huH (C)</x:v>
      </x:c>
      <x:c r="F2082" s="6" t="str">
        <x:v>1</x:v>
      </x:c>
      <x:c r="G2082" s="6" t="str"/>
      <x:c r="H2082" s="6" t="str">
        <x:f>IF(B2082="平","平",IF(B2082="","","仄"))</x:f>
        <x:v>仄</x:v>
      </x:c>
      <x:c r="I2082" s="6" t="str">
        <x:f>IF(D2073="","",IF(AND(ISNUMBER(SEARCH("平",D2073)),OR(ISNUMBER(SEARCH("上",D2073)),ISNUMBER(SEARCH("去",D2073)),ISNUMBER(SEARCH("入",D2073)))),"Ambiguous",IF(ISNUMBER(SEARCH("平",D2073)),"平","仄")))</x:f>
        <x:v>仄</x:v>
      </x:c>
      <x:c r="J2082" s="7" t="str"/>
    </x:row>
    <x:row r="2083">
      <x:c r="A2083" s="5" t="str">
        <x:v>沐</x:v>
      </x:c>
      <x:c r="B2083" s="6" t="str">
        <x:v>入</x:v>
      </x:c>
      <x:c r="C2083" s="6" t="str">
        <x:f>IF(B2083="","Needs decision","Ready")</x:f>
        <x:v>Ready</x:v>
      </x:c>
      <x:c r="D2083" s="6" t="str">
        <x:v>入</x:v>
      </x:c>
      <x:c r="E2083" s="6" t="str">
        <x:v>muwk [m̙uk] (入)</x:v>
      </x:c>
      <x:c r="F2083" s="6" t="str">
        <x:v>1</x:v>
      </x:c>
      <x:c r="G2083" s="6" t="str">
        <x:v>Tang 300 gap; frequency 2; provisional from Xun Gong</x:v>
      </x:c>
      <x:c r="H2083" s="6" t="str">
        <x:f>IF(B2083="平","平",IF(B2083="","","仄"))</x:f>
        <x:v>仄</x:v>
      </x:c>
      <x:c r="I2083" s="6" t="str">
        <x:f>IF(D2074="","",IF(AND(ISNUMBER(SEARCH("平",D2074)),OR(ISNUMBER(SEARCH("上",D2074)),ISNUMBER(SEARCH("去",D2074)),ISNUMBER(SEARCH("入",D2074)))),"Ambiguous",IF(ISNUMBER(SEARCH("平",D2074)),"平","仄")))</x:f>
        <x:v>仄</x:v>
      </x:c>
      <x:c r="J2083" s="7" t="str">
        <x:v>Xun Gong, Tang 300 gap fill</x:v>
      </x:c>
    </x:row>
    <x:row r="2084">
      <x:c r="A2084" s="5" t="str">
        <x:v>沒</x:v>
      </x:c>
      <x:c r="B2084" s="6" t="str">
        <x:v>入</x:v>
      </x:c>
      <x:c r="C2084" s="6" t="str">
        <x:f>IF(B2084="","Needs decision","Ready")</x:f>
        <x:v>Ready</x:v>
      </x:c>
      <x:c r="D2084" s="6" t="str">
        <x:v>入</x:v>
      </x:c>
      <x:c r="E2084" s="6" t="str">
        <x:v>mwot (D)</x:v>
      </x:c>
      <x:c r="F2084" s="6" t="str">
        <x:v>1</x:v>
      </x:c>
      <x:c r="G2084" s="6" t="str"/>
      <x:c r="H2084" s="6" t="str">
        <x:f>IF(B2084="平","平",IF(B2084="","","仄"))</x:f>
        <x:v>仄</x:v>
      </x:c>
      <x:c r="I2084" s="6" t="str">
        <x:f>IF(D2075="","",IF(AND(ISNUMBER(SEARCH("平",D2075)),OR(ISNUMBER(SEARCH("上",D2075)),ISNUMBER(SEARCH("去",D2075)),ISNUMBER(SEARCH("入",D2075)))),"Ambiguous",IF(ISNUMBER(SEARCH("平",D2075)),"平","仄")))</x:f>
        <x:v>平</x:v>
      </x:c>
      <x:c r="J2084" s="7" t="str"/>
    </x:row>
    <x:row r="2085">
      <x:c r="A2085" s="5" t="str">
        <x:v>沓</x:v>
      </x:c>
      <x:c r="B2085" s="6" t="str">
        <x:v>入</x:v>
      </x:c>
      <x:c r="C2085" s="6" t="str">
        <x:f>IF(B2085="","Needs decision","Ready")</x:f>
        <x:v>Ready</x:v>
      </x:c>
      <x:c r="D2085" s="6" t="str">
        <x:v>入</x:v>
      </x:c>
      <x:c r="E2085" s="6" t="str">
        <x:v>dop (D)</x:v>
      </x:c>
      <x:c r="F2085" s="6" t="str">
        <x:v>1</x:v>
      </x:c>
      <x:c r="G2085" s="6" t="str"/>
      <x:c r="H2085" s="6" t="str">
        <x:f>IF(B2085="平","平",IF(B2085="","","仄"))</x:f>
        <x:v>仄</x:v>
      </x:c>
      <x:c r="I2085" s="6" t="str">
        <x:f>IF(D2076="","",IF(AND(ISNUMBER(SEARCH("平",D2076)),OR(ISNUMBER(SEARCH("上",D2076)),ISNUMBER(SEARCH("去",D2076)),ISNUMBER(SEARCH("入",D2076)))),"Ambiguous",IF(ISNUMBER(SEARCH("平",D2076)),"平","仄")))</x:f>
        <x:v>仄</x:v>
      </x:c>
      <x:c r="J2085" s="7" t="str"/>
    </x:row>
    <x:row r="2086">
      <x:c r="A2086" s="5" t="str">
        <x:v>沔</x:v>
      </x:c>
      <x:c r="B2086" s="6" t="str">
        <x:v>上</x:v>
      </x:c>
      <x:c r="C2086" s="6" t="str">
        <x:f>IF(B2086="","Needs decision","Ready")</x:f>
        <x:v>Ready</x:v>
      </x:c>
      <x:c r="D2086" s="6" t="str">
        <x:v>上</x:v>
      </x:c>
      <x:c r="E2086" s="6" t="str">
        <x:v>mjienX (B)</x:v>
      </x:c>
      <x:c r="F2086" s="6" t="str">
        <x:v>1</x:v>
      </x:c>
      <x:c r="G2086" s="6" t="str"/>
      <x:c r="H2086" s="6" t="str">
        <x:f>IF(B2086="平","平",IF(B2086="","","仄"))</x:f>
        <x:v>仄</x:v>
      </x:c>
      <x:c r="I2086" s="6" t="str">
        <x:f>IF(D2077="","",IF(AND(ISNUMBER(SEARCH("平",D2077)),OR(ISNUMBER(SEARCH("上",D2077)),ISNUMBER(SEARCH("去",D2077)),ISNUMBER(SEARCH("入",D2077)))),"Ambiguous",IF(ISNUMBER(SEARCH("平",D2077)),"平","仄")))</x:f>
        <x:v>仄</x:v>
      </x:c>
      <x:c r="J2086" s="7" t="str"/>
    </x:row>
    <x:row r="2087">
      <x:c r="A2087" s="5" t="str">
        <x:v>沖</x:v>
      </x:c>
      <x:c r="B2087" s="6" t="str">
        <x:v>平</x:v>
      </x:c>
      <x:c r="C2087" s="6" t="str">
        <x:f>IF(B2087="","Needs decision","Ready")</x:f>
        <x:v>Ready</x:v>
      </x:c>
      <x:c r="D2087" s="6" t="str">
        <x:v>平</x:v>
      </x:c>
      <x:c r="E2087" s="6" t="str">
        <x:v>drjuwng (A)</x:v>
      </x:c>
      <x:c r="F2087" s="6" t="str">
        <x:v>1</x:v>
      </x:c>
      <x:c r="G2087" s="6" t="str"/>
      <x:c r="H2087" s="6" t="str">
        <x:f>IF(B2087="平","平",IF(B2087="","","仄"))</x:f>
        <x:v>平</x:v>
      </x:c>
      <x:c r="I2087" s="6" t="str">
        <x:f>IF(D2078="","",IF(AND(ISNUMBER(SEARCH("平",D2078)),OR(ISNUMBER(SEARCH("上",D2078)),ISNUMBER(SEARCH("去",D2078)),ISNUMBER(SEARCH("入",D2078)))),"Ambiguous",IF(ISNUMBER(SEARCH("平",D2078)),"平","仄")))</x:f>
        <x:v>平</x:v>
      </x:c>
      <x:c r="J2087" s="7" t="str"/>
    </x:row>
    <x:row r="2088">
      <x:c r="A2088" s="5" t="str">
        <x:v>沙</x:v>
      </x:c>
      <x:c r="B2088" s="6" t="str">
        <x:v>平</x:v>
      </x:c>
      <x:c r="C2088" s="6" t="str">
        <x:f>IF(B2088="","Needs decision","Ready")</x:f>
        <x:v>Ready</x:v>
      </x:c>
      <x:c r="D2088" s="6" t="str">
        <x:v>平</x:v>
      </x:c>
      <x:c r="E2088" s="6" t="str">
        <x:v>srae (A)</x:v>
      </x:c>
      <x:c r="F2088" s="6" t="str">
        <x:v>1</x:v>
      </x:c>
      <x:c r="G2088" s="6" t="str"/>
      <x:c r="H2088" s="6" t="str">
        <x:f>IF(B2088="平","平",IF(B2088="","","仄"))</x:f>
        <x:v>平</x:v>
      </x:c>
      <x:c r="I2088" s="6" t="str">
        <x:f>IF(D2079="","",IF(AND(ISNUMBER(SEARCH("平",D2079)),OR(ISNUMBER(SEARCH("上",D2079)),ISNUMBER(SEARCH("去",D2079)),ISNUMBER(SEARCH("入",D2079)))),"Ambiguous",IF(ISNUMBER(SEARCH("平",D2079)),"平","仄")))</x:f>
        <x:v>仄</x:v>
      </x:c>
      <x:c r="J2088" s="7" t="str"/>
    </x:row>
    <x:row r="2089">
      <x:c r="A2089" s="5" t="str">
        <x:v>沝</x:v>
      </x:c>
      <x:c r="B2089" s="6" t="str">
        <x:v>上</x:v>
      </x:c>
      <x:c r="C2089" s="6" t="str">
        <x:f>IF(B2089="","Needs decision","Ready")</x:f>
        <x:v>Ready</x:v>
      </x:c>
      <x:c r="D2089" s="6" t="str">
        <x:v>上</x:v>
      </x:c>
      <x:c r="E2089" s="6" t="str">
        <x:v>tsywijX (B)</x:v>
      </x:c>
      <x:c r="F2089" s="6" t="str">
        <x:v>1</x:v>
      </x:c>
      <x:c r="G2089" s="6" t="str"/>
      <x:c r="H2089" s="6" t="str">
        <x:f>IF(B2089="平","平",IF(B2089="","","仄"))</x:f>
        <x:v>仄</x:v>
      </x:c>
      <x:c r="I2089" s="6" t="str">
        <x:f>IF(D2080="","",IF(AND(ISNUMBER(SEARCH("平",D2080)),OR(ISNUMBER(SEARCH("上",D2080)),ISNUMBER(SEARCH("去",D2080)),ISNUMBER(SEARCH("入",D2080)))),"Ambiguous",IF(ISNUMBER(SEARCH("平",D2080)),"平","仄")))</x:f>
        <x:v>Ambiguous</x:v>
      </x:c>
      <x:c r="J2089" s="7" t="str"/>
    </x:row>
    <x:row r="2090">
      <x:c r="A2090" s="5" t="str">
        <x:v>沫</x:v>
      </x:c>
      <x:c r="B2090" s="6" t="str">
        <x:v>入</x:v>
      </x:c>
      <x:c r="C2090" s="6" t="str">
        <x:f>IF(B2090="","Needs decision","Ready")</x:f>
        <x:v>Ready</x:v>
      </x:c>
      <x:c r="D2090" s="6" t="str">
        <x:v>入</x:v>
      </x:c>
      <x:c r="E2090" s="6" t="str">
        <x:v>mat (D)</x:v>
      </x:c>
      <x:c r="F2090" s="6" t="str">
        <x:v>1</x:v>
      </x:c>
      <x:c r="G2090" s="6" t="str"/>
      <x:c r="H2090" s="6" t="str">
        <x:f>IF(B2090="平","平",IF(B2090="","","仄"))</x:f>
        <x:v>仄</x:v>
      </x:c>
      <x:c r="I2090" s="6" t="str">
        <x:f>IF(D2081="","",IF(AND(ISNUMBER(SEARCH("平",D2081)),OR(ISNUMBER(SEARCH("上",D2081)),ISNUMBER(SEARCH("去",D2081)),ISNUMBER(SEARCH("入",D2081)))),"Ambiguous",IF(ISNUMBER(SEARCH("平",D2081)),"平","仄")))</x:f>
        <x:v>平</x:v>
      </x:c>
      <x:c r="J2090" s="7" t="str"/>
    </x:row>
    <x:row r="2091">
      <x:c r="A2091" s="5" t="str">
        <x:v>沮</x:v>
      </x:c>
      <x:c r="B2091" s="6" t="str">
        <x:v>上</x:v>
      </x:c>
      <x:c r="C2091" s="6" t="str">
        <x:f>IF(B2091="","Needs decision","Ready")</x:f>
        <x:v>Ready</x:v>
      </x:c>
      <x:c r="D2091" s="6" t="str">
        <x:v>上</x:v>
      </x:c>
      <x:c r="E2091" s="6" t="str">
        <x:v>dzjoX (B)</x:v>
      </x:c>
      <x:c r="F2091" s="6" t="str">
        <x:v>1</x:v>
      </x:c>
      <x:c r="G2091" s="6" t="str"/>
      <x:c r="H2091" s="6" t="str">
        <x:f>IF(B2091="平","平",IF(B2091="","","仄"))</x:f>
        <x:v>仄</x:v>
      </x:c>
      <x:c r="I2091" s="6" t="str">
        <x:f>IF(D2082="","",IF(AND(ISNUMBER(SEARCH("平",D2082)),OR(ISNUMBER(SEARCH("上",D2082)),ISNUMBER(SEARCH("去",D2082)),ISNUMBER(SEARCH("入",D2082)))),"Ambiguous",IF(ISNUMBER(SEARCH("平",D2082)),"平","仄")))</x:f>
        <x:v>仄</x:v>
      </x:c>
      <x:c r="J2091" s="7" t="str"/>
    </x:row>
    <x:row r="2092">
      <x:c r="A2092" s="5" t="str">
        <x:v>沱</x:v>
      </x:c>
      <x:c r="B2092" s="6" t="str">
        <x:v>平</x:v>
      </x:c>
      <x:c r="C2092" s="6" t="str">
        <x:f>IF(B2092="","Needs decision","Ready")</x:f>
        <x:v>Ready</x:v>
      </x:c>
      <x:c r="D2092" s="6" t="str">
        <x:v>平</x:v>
      </x:c>
      <x:c r="E2092" s="6" t="str">
        <x:v>da (A)</x:v>
      </x:c>
      <x:c r="F2092" s="6" t="str">
        <x:v>1</x:v>
      </x:c>
      <x:c r="G2092" s="6" t="str"/>
      <x:c r="H2092" s="6" t="str">
        <x:f>IF(B2092="平","平",IF(B2092="","","仄"))</x:f>
        <x:v>平</x:v>
      </x:c>
      <x:c r="I2092" s="6" t="str">
        <x:f>IF(D2083="","",IF(AND(ISNUMBER(SEARCH("平",D2083)),OR(ISNUMBER(SEARCH("上",D2083)),ISNUMBER(SEARCH("去",D2083)),ISNUMBER(SEARCH("入",D2083)))),"Ambiguous",IF(ISNUMBER(SEARCH("平",D2083)),"平","仄")))</x:f>
        <x:v>仄</x:v>
      </x:c>
      <x:c r="J2092" s="7" t="str"/>
    </x:row>
    <x:row r="2093">
      <x:c r="A2093" s="5" t="str">
        <x:v>河</x:v>
      </x:c>
      <x:c r="B2093" s="6" t="str">
        <x:v>平</x:v>
      </x:c>
      <x:c r="C2093" s="6" t="str">
        <x:f>IF(B2093="","Needs decision","Ready")</x:f>
        <x:v>Ready</x:v>
      </x:c>
      <x:c r="D2093" s="6" t="str">
        <x:v>平</x:v>
      </x:c>
      <x:c r="E2093" s="6" t="str">
        <x:v>ha (A)</x:v>
      </x:c>
      <x:c r="F2093" s="6" t="str">
        <x:v>1</x:v>
      </x:c>
      <x:c r="G2093" s="6" t="str"/>
      <x:c r="H2093" s="6" t="str">
        <x:f>IF(B2093="平","平",IF(B2093="","","仄"))</x:f>
        <x:v>平</x:v>
      </x:c>
      <x:c r="I2093" s="6" t="str">
        <x:f>IF(D2084="","",IF(AND(ISNUMBER(SEARCH("平",D2084)),OR(ISNUMBER(SEARCH("上",D2084)),ISNUMBER(SEARCH("去",D2084)),ISNUMBER(SEARCH("入",D2084)))),"Ambiguous",IF(ISNUMBER(SEARCH("平",D2084)),"平","仄")))</x:f>
        <x:v>仄</x:v>
      </x:c>
      <x:c r="J2093" s="7" t="str"/>
    </x:row>
    <x:row r="2094">
      <x:c r="A2094" s="5" t="str">
        <x:v>沸</x:v>
      </x:c>
      <x:c r="B2094" s="6" t="str">
        <x:v>去</x:v>
      </x:c>
      <x:c r="C2094" s="6" t="str">
        <x:f>IF(B2094="","Needs decision","Ready")</x:f>
        <x:v>Ready</x:v>
      </x:c>
      <x:c r="D2094" s="6" t="str">
        <x:v>去</x:v>
      </x:c>
      <x:c r="E2094" s="6" t="str">
        <x:v>pj+jH (C)</x:v>
      </x:c>
      <x:c r="F2094" s="6" t="str">
        <x:v>1</x:v>
      </x:c>
      <x:c r="G2094" s="6" t="str"/>
      <x:c r="H2094" s="6" t="str">
        <x:f>IF(B2094="平","平",IF(B2094="","","仄"))</x:f>
        <x:v>仄</x:v>
      </x:c>
      <x:c r="I2094" s="6" t="str">
        <x:f>IF(D2085="","",IF(AND(ISNUMBER(SEARCH("平",D2085)),OR(ISNUMBER(SEARCH("上",D2085)),ISNUMBER(SEARCH("去",D2085)),ISNUMBER(SEARCH("入",D2085)))),"Ambiguous",IF(ISNUMBER(SEARCH("平",D2085)),"平","仄")))</x:f>
        <x:v>仄</x:v>
      </x:c>
      <x:c r="J2094" s="7" t="str"/>
    </x:row>
    <x:row r="2095">
      <x:c r="A2095" s="5" t="str">
        <x:v>油</x:v>
      </x:c>
      <x:c r="B2095" s="6" t="str">
        <x:v>平</x:v>
      </x:c>
      <x:c r="C2095" s="6" t="str">
        <x:f>IF(B2095="","Needs decision","Ready")</x:f>
        <x:v>Ready</x:v>
      </x:c>
      <x:c r="D2095" s="6" t="str">
        <x:v>平</x:v>
      </x:c>
      <x:c r="E2095" s="6" t="str">
        <x:v>yuw (A)</x:v>
      </x:c>
      <x:c r="F2095" s="6" t="str">
        <x:v>1</x:v>
      </x:c>
      <x:c r="G2095" s="6" t="str"/>
      <x:c r="H2095" s="6" t="str">
        <x:f>IF(B2095="平","平",IF(B2095="","","仄"))</x:f>
        <x:v>平</x:v>
      </x:c>
      <x:c r="I2095" s="6" t="str">
        <x:f>IF(D2086="","",IF(AND(ISNUMBER(SEARCH("平",D2086)),OR(ISNUMBER(SEARCH("上",D2086)),ISNUMBER(SEARCH("去",D2086)),ISNUMBER(SEARCH("入",D2086)))),"Ambiguous",IF(ISNUMBER(SEARCH("平",D2086)),"平","仄")))</x:f>
        <x:v>仄</x:v>
      </x:c>
      <x:c r="J2095" s="7" t="str"/>
    </x:row>
    <x:row r="2096">
      <x:c r="A2096" s="5" t="str">
        <x:v>治</x:v>
      </x:c>
      <x:c r="B2096" s="6" t="str">
        <x:v>去</x:v>
      </x:c>
      <x:c r="C2096" s="6" t="str">
        <x:f>IF(B2096="","Needs decision","Ready")</x:f>
        <x:v>Ready</x:v>
      </x:c>
      <x:c r="D2096" s="6" t="str">
        <x:v>平/去</x:v>
      </x:c>
      <x:c r="E2096" s="6" t="str">
        <x:v>dri (A); driH (C)</x:v>
      </x:c>
      <x:c r="F2096" s="6" t="str">
        <x:v>2</x:v>
      </x:c>
      <x:c r="G2096" s="6" t="str"/>
      <x:c r="H2096" s="6" t="str">
        <x:f>IF(B2096="平","平",IF(B2096="","","仄"))</x:f>
        <x:v>仄</x:v>
      </x:c>
      <x:c r="I2096" s="6" t="str">
        <x:f>IF(D2087="","",IF(AND(ISNUMBER(SEARCH("平",D2087)),OR(ISNUMBER(SEARCH("上",D2087)),ISNUMBER(SEARCH("去",D2087)),ISNUMBER(SEARCH("入",D2087)))),"Ambiguous",IF(ISNUMBER(SEARCH("平",D2087)),"平","仄")))</x:f>
        <x:v>平</x:v>
      </x:c>
      <x:c r="J2096" s="7" t="str"/>
    </x:row>
    <x:row r="2097">
      <x:c r="A2097" s="5" t="str">
        <x:v>沼</x:v>
      </x:c>
      <x:c r="B2097" s="6" t="str">
        <x:v>上</x:v>
      </x:c>
      <x:c r="C2097" s="6" t="str">
        <x:f>IF(B2097="","Needs decision","Ready")</x:f>
        <x:v>Ready</x:v>
      </x:c>
      <x:c r="D2097" s="6" t="str">
        <x:v>上</x:v>
      </x:c>
      <x:c r="E2097" s="6" t="str">
        <x:v>tsyewX (B)</x:v>
      </x:c>
      <x:c r="F2097" s="6" t="str">
        <x:v>1</x:v>
      </x:c>
      <x:c r="G2097" s="6" t="str"/>
      <x:c r="H2097" s="6" t="str">
        <x:f>IF(B2097="平","平",IF(B2097="","","仄"))</x:f>
        <x:v>仄</x:v>
      </x:c>
      <x:c r="I2097" s="6" t="str">
        <x:f>IF(D2088="","",IF(AND(ISNUMBER(SEARCH("平",D2088)),OR(ISNUMBER(SEARCH("上",D2088)),ISNUMBER(SEARCH("去",D2088)),ISNUMBER(SEARCH("入",D2088)))),"Ambiguous",IF(ISNUMBER(SEARCH("平",D2088)),"平","仄")))</x:f>
        <x:v>平</x:v>
      </x:c>
      <x:c r="J2097" s="7" t="str"/>
    </x:row>
    <x:row r="2098">
      <x:c r="A2098" s="5" t="str">
        <x:v>沽</x:v>
      </x:c>
      <x:c r="B2098" s="6" t="str"/>
      <x:c r="C2098" s="6" t="str">
        <x:f>IF(B2098="","Needs decision","Ready")</x:f>
        <x:v>Needs decision</x:v>
      </x:c>
      <x:c r="D2098" s="6" t="str">
        <x:v>平/上/去</x:v>
      </x:c>
      <x:c r="E2098" s="6" t="str">
        <x:v>ku [qo] (平); kuH [qoh] (去); kuX [qoʔ] (上)</x:v>
      </x:c>
      <x:c r="F2098" s="6" t="str">
        <x:v>3</x:v>
      </x:c>
      <x:c r="G2098" s="6" t="str">
        <x:v>Tang 300 gap; frequency 2; ambiguous in Xun Gong</x:v>
      </x:c>
      <x:c r="H2098" s="6" t="str">
        <x:f>IF(B2098="平","平",IF(B2098="","","仄"))</x:f>
      </x:c>
      <x:c r="I2098" s="6" t="str">
        <x:f>IF(D2089="","",IF(AND(ISNUMBER(SEARCH("平",D2089)),OR(ISNUMBER(SEARCH("上",D2089)),ISNUMBER(SEARCH("去",D2089)),ISNUMBER(SEARCH("入",D2089)))),"Ambiguous",IF(ISNUMBER(SEARCH("平",D2089)),"平","仄")))</x:f>
        <x:v>仄</x:v>
      </x:c>
      <x:c r="J2098" s="7" t="str">
        <x:v>Xun Gong, Tang 300 gap fill</x:v>
      </x:c>
    </x:row>
    <x:row r="2099">
      <x:c r="A2099" s="5" t="str">
        <x:v>沾</x:v>
      </x:c>
      <x:c r="B2099" s="6" t="str">
        <x:v>平</x:v>
      </x:c>
      <x:c r="C2099" s="6" t="str">
        <x:f>IF(B2099="","Needs decision","Ready")</x:f>
        <x:v>Ready</x:v>
      </x:c>
      <x:c r="D2099" s="6" t="str">
        <x:v>平</x:v>
      </x:c>
      <x:c r="E2099" s="6" t="str">
        <x:v>trjem (A)</x:v>
      </x:c>
      <x:c r="F2099" s="6" t="str">
        <x:v>1</x:v>
      </x:c>
      <x:c r="G2099" s="6" t="str"/>
      <x:c r="H2099" s="6" t="str">
        <x:f>IF(B2099="平","平",IF(B2099="","","仄"))</x:f>
        <x:v>平</x:v>
      </x:c>
      <x:c r="I2099" s="6" t="str">
        <x:f>IF(D2090="","",IF(AND(ISNUMBER(SEARCH("平",D2090)),OR(ISNUMBER(SEARCH("上",D2090)),ISNUMBER(SEARCH("去",D2090)),ISNUMBER(SEARCH("入",D2090)))),"Ambiguous",IF(ISNUMBER(SEARCH("平",D2090)),"平","仄")))</x:f>
        <x:v>仄</x:v>
      </x:c>
      <x:c r="J2099" s="7" t="str"/>
    </x:row>
    <x:row r="2100">
      <x:c r="A2100" s="5" t="str">
        <x:v>沿</x:v>
      </x:c>
      <x:c r="B2100" s="6" t="str">
        <x:v>平</x:v>
      </x:c>
      <x:c r="C2100" s="6" t="str">
        <x:f>IF(B2100="","Needs decision","Ready")</x:f>
        <x:v>Ready</x:v>
      </x:c>
      <x:c r="D2100" s="6" t="str">
        <x:v>平</x:v>
      </x:c>
      <x:c r="E2100" s="6" t="str">
        <x:v>ywen (A)</x:v>
      </x:c>
      <x:c r="F2100" s="6" t="str">
        <x:v>1</x:v>
      </x:c>
      <x:c r="G2100" s="6" t="str"/>
      <x:c r="H2100" s="6" t="str">
        <x:f>IF(B2100="平","平",IF(B2100="","","仄"))</x:f>
        <x:v>平</x:v>
      </x:c>
      <x:c r="I2100" s="6" t="str">
        <x:f>IF(D2091="","",IF(AND(ISNUMBER(SEARCH("平",D2091)),OR(ISNUMBER(SEARCH("上",D2091)),ISNUMBER(SEARCH("去",D2091)),ISNUMBER(SEARCH("入",D2091)))),"Ambiguous",IF(ISNUMBER(SEARCH("平",D2091)),"平","仄")))</x:f>
        <x:v>仄</x:v>
      </x:c>
      <x:c r="J2100" s="7" t="str"/>
    </x:row>
    <x:row r="2101">
      <x:c r="A2101" s="5" t="str">
        <x:v>況</x:v>
      </x:c>
      <x:c r="B2101" s="6" t="str">
        <x:v>去</x:v>
      </x:c>
      <x:c r="C2101" s="6" t="str">
        <x:f>IF(B2101="","Needs decision","Ready")</x:f>
        <x:v>Ready</x:v>
      </x:c>
      <x:c r="D2101" s="6" t="str">
        <x:v>去</x:v>
      </x:c>
      <x:c r="E2101" s="6" t="str">
        <x:v>xjwangH (C)</x:v>
      </x:c>
      <x:c r="F2101" s="6" t="str">
        <x:v>1</x:v>
      </x:c>
      <x:c r="G2101" s="6" t="str"/>
      <x:c r="H2101" s="6" t="str">
        <x:f>IF(B2101="平","平",IF(B2101="","","仄"))</x:f>
        <x:v>仄</x:v>
      </x:c>
      <x:c r="I2101" s="6" t="str">
        <x:f>IF(D2092="","",IF(AND(ISNUMBER(SEARCH("平",D2092)),OR(ISNUMBER(SEARCH("上",D2092)),ISNUMBER(SEARCH("去",D2092)),ISNUMBER(SEARCH("入",D2092)))),"Ambiguous",IF(ISNUMBER(SEARCH("平",D2092)),"平","仄")))</x:f>
        <x:v>平</x:v>
      </x:c>
      <x:c r="J2101" s="7" t="str"/>
    </x:row>
    <x:row r="2102">
      <x:c r="A2102" s="5" t="str">
        <x:v>泄</x:v>
      </x:c>
      <x:c r="B2102" s="6" t="str"/>
      <x:c r="C2102" s="6" t="str">
        <x:f>IF(B2102="","Needs decision","Ready")</x:f>
        <x:v>Needs decision</x:v>
      </x:c>
      <x:c r="D2102" s="6" t="str">
        <x:v>入/去</x:v>
      </x:c>
      <x:c r="E2102" s="6" t="str">
        <x:v>sjet (D); yejH (C)</x:v>
      </x:c>
      <x:c r="F2102" s="6" t="str">
        <x:v>2</x:v>
      </x:c>
      <x:c r="G2102" s="6" t="str"/>
      <x:c r="H2102" s="6" t="str">
        <x:f>IF(B2102="平","平",IF(B2102="","","仄"))</x:f>
      </x:c>
      <x:c r="I2102" s="6" t="str">
        <x:f>IF(D2093="","",IF(AND(ISNUMBER(SEARCH("平",D2093)),OR(ISNUMBER(SEARCH("上",D2093)),ISNUMBER(SEARCH("去",D2093)),ISNUMBER(SEARCH("入",D2093)))),"Ambiguous",IF(ISNUMBER(SEARCH("平",D2093)),"平","仄")))</x:f>
        <x:v>平</x:v>
      </x:c>
      <x:c r="J2102" s="7" t="str"/>
    </x:row>
    <x:row r="2103">
      <x:c r="A2103" s="5" t="str">
        <x:v>泅</x:v>
      </x:c>
      <x:c r="B2103" s="6" t="str">
        <x:v>平</x:v>
      </x:c>
      <x:c r="C2103" s="6" t="str">
        <x:f>IF(B2103="","Needs decision","Ready")</x:f>
        <x:v>Ready</x:v>
      </x:c>
      <x:c r="D2103" s="6" t="str">
        <x:v>平</x:v>
      </x:c>
      <x:c r="E2103" s="6" t="str">
        <x:v>zjuw (A)</x:v>
      </x:c>
      <x:c r="F2103" s="6" t="str">
        <x:v>1</x:v>
      </x:c>
      <x:c r="G2103" s="6" t="str"/>
      <x:c r="H2103" s="6" t="str">
        <x:f>IF(B2103="平","平",IF(B2103="","","仄"))</x:f>
        <x:v>平</x:v>
      </x:c>
      <x:c r="I2103" s="6" t="str">
        <x:f>IF(D2094="","",IF(AND(ISNUMBER(SEARCH("平",D2094)),OR(ISNUMBER(SEARCH("上",D2094)),ISNUMBER(SEARCH("去",D2094)),ISNUMBER(SEARCH("入",D2094)))),"Ambiguous",IF(ISNUMBER(SEARCH("平",D2094)),"平","仄")))</x:f>
        <x:v>仄</x:v>
      </x:c>
      <x:c r="J2103" s="7" t="str"/>
    </x:row>
    <x:row r="2104">
      <x:c r="A2104" s="5" t="str">
        <x:v>泉</x:v>
      </x:c>
      <x:c r="B2104" s="6" t="str">
        <x:v>平</x:v>
      </x:c>
      <x:c r="C2104" s="6" t="str">
        <x:f>IF(B2104="","Needs decision","Ready")</x:f>
        <x:v>Ready</x:v>
      </x:c>
      <x:c r="D2104" s="6" t="str">
        <x:v>平</x:v>
      </x:c>
      <x:c r="E2104" s="6" t="str">
        <x:v>dzjwen (A)</x:v>
      </x:c>
      <x:c r="F2104" s="6" t="str">
        <x:v>1</x:v>
      </x:c>
      <x:c r="G2104" s="6" t="str"/>
      <x:c r="H2104" s="6" t="str">
        <x:f>IF(B2104="平","平",IF(B2104="","","仄"))</x:f>
        <x:v>平</x:v>
      </x:c>
      <x:c r="I2104" s="6" t="str">
        <x:f>IF(D2095="","",IF(AND(ISNUMBER(SEARCH("平",D2095)),OR(ISNUMBER(SEARCH("上",D2095)),ISNUMBER(SEARCH("去",D2095)),ISNUMBER(SEARCH("入",D2095)))),"Ambiguous",IF(ISNUMBER(SEARCH("平",D2095)),"平","仄")))</x:f>
        <x:v>平</x:v>
      </x:c>
      <x:c r="J2104" s="7" t="str"/>
    </x:row>
    <x:row r="2105">
      <x:c r="A2105" s="5" t="str">
        <x:v>泊</x:v>
      </x:c>
      <x:c r="B2105" s="6" t="str">
        <x:v>入</x:v>
      </x:c>
      <x:c r="C2105" s="6" t="str">
        <x:f>IF(B2105="","Needs decision","Ready")</x:f>
        <x:v>Ready</x:v>
      </x:c>
      <x:c r="D2105" s="6" t="str">
        <x:v>入</x:v>
      </x:c>
      <x:c r="E2105" s="6" t="str">
        <x:v>bak (D)</x:v>
      </x:c>
      <x:c r="F2105" s="6" t="str">
        <x:v>1</x:v>
      </x:c>
      <x:c r="G2105" s="6" t="str"/>
      <x:c r="H2105" s="6" t="str">
        <x:f>IF(B2105="平","平",IF(B2105="","","仄"))</x:f>
        <x:v>仄</x:v>
      </x:c>
      <x:c r="I2105" s="6" t="str">
        <x:f>IF(D2096="","",IF(AND(ISNUMBER(SEARCH("平",D2096)),OR(ISNUMBER(SEARCH("上",D2096)),ISNUMBER(SEARCH("去",D2096)),ISNUMBER(SEARCH("入",D2096)))),"Ambiguous",IF(ISNUMBER(SEARCH("平",D2096)),"平","仄")))</x:f>
        <x:v>Ambiguous</x:v>
      </x:c>
      <x:c r="J2105" s="7" t="str"/>
    </x:row>
    <x:row r="2106">
      <x:c r="A2106" s="5" t="str">
        <x:v>法</x:v>
      </x:c>
      <x:c r="B2106" s="6" t="str">
        <x:v>入</x:v>
      </x:c>
      <x:c r="C2106" s="6" t="str">
        <x:f>IF(B2106="","Needs decision","Ready")</x:f>
        <x:v>Ready</x:v>
      </x:c>
      <x:c r="D2106" s="6" t="str">
        <x:v>入</x:v>
      </x:c>
      <x:c r="E2106" s="6" t="str">
        <x:v>pjop (D)</x:v>
      </x:c>
      <x:c r="F2106" s="6" t="str">
        <x:v>1</x:v>
      </x:c>
      <x:c r="G2106" s="6" t="str"/>
      <x:c r="H2106" s="6" t="str">
        <x:f>IF(B2106="平","平",IF(B2106="","","仄"))</x:f>
        <x:v>仄</x:v>
      </x:c>
      <x:c r="I2106" s="6" t="str">
        <x:f>IF(D2097="","",IF(AND(ISNUMBER(SEARCH("平",D2097)),OR(ISNUMBER(SEARCH("上",D2097)),ISNUMBER(SEARCH("去",D2097)),ISNUMBER(SEARCH("入",D2097)))),"Ambiguous",IF(ISNUMBER(SEARCH("平",D2097)),"平","仄")))</x:f>
        <x:v>仄</x:v>
      </x:c>
      <x:c r="J2106" s="7" t="str"/>
    </x:row>
    <x:row r="2107">
      <x:c r="A2107" s="5" t="str">
        <x:v>泗</x:v>
      </x:c>
      <x:c r="B2107" s="6" t="str">
        <x:v>去</x:v>
      </x:c>
      <x:c r="C2107" s="6" t="str">
        <x:f>IF(B2107="","Needs decision","Ready")</x:f>
        <x:v>Ready</x:v>
      </x:c>
      <x:c r="D2107" s="6" t="str">
        <x:v>去</x:v>
      </x:c>
      <x:c r="E2107" s="6" t="str">
        <x:v>sijH [sih] (去)</x:v>
      </x:c>
      <x:c r="F2107" s="6" t="str">
        <x:v>1</x:v>
      </x:c>
      <x:c r="G2107" s="6" t="str">
        <x:v>Tang 300 gap; frequency 1; provisional from Xun Gong</x:v>
      </x:c>
      <x:c r="H2107" s="6" t="str">
        <x:f>IF(B2107="平","平",IF(B2107="","","仄"))</x:f>
        <x:v>仄</x:v>
      </x:c>
      <x:c r="I2107" s="6" t="str">
        <x:f>IF(D2098="","",IF(AND(ISNUMBER(SEARCH("平",D2098)),OR(ISNUMBER(SEARCH("上",D2098)),ISNUMBER(SEARCH("去",D2098)),ISNUMBER(SEARCH("入",D2098)))),"Ambiguous",IF(ISNUMBER(SEARCH("平",D2098)),"平","仄")))</x:f>
        <x:v>Ambiguous</x:v>
      </x:c>
      <x:c r="J2107" s="7" t="str">
        <x:v>Xun Gong, Tang 300 gap fill</x:v>
      </x:c>
    </x:row>
    <x:row r="2108">
      <x:c r="A2108" s="5" t="str">
        <x:v>泚</x:v>
      </x:c>
      <x:c r="B2108" s="6" t="str">
        <x:v>上</x:v>
      </x:c>
      <x:c r="C2108" s="6" t="str">
        <x:f>IF(B2108="","Needs decision","Ready")</x:f>
        <x:v>Ready</x:v>
      </x:c>
      <x:c r="D2108" s="6" t="str">
        <x:v>上</x:v>
      </x:c>
      <x:c r="E2108" s="6" t="str">
        <x:v>tshjeX (B)</x:v>
      </x:c>
      <x:c r="F2108" s="6" t="str">
        <x:v>1</x:v>
      </x:c>
      <x:c r="G2108" s="6" t="str"/>
      <x:c r="H2108" s="6" t="str">
        <x:f>IF(B2108="平","平",IF(B2108="","","仄"))</x:f>
        <x:v>仄</x:v>
      </x:c>
      <x:c r="I2108" s="6" t="str">
        <x:f>IF(D2099="","",IF(AND(ISNUMBER(SEARCH("平",D2099)),OR(ISNUMBER(SEARCH("上",D2099)),ISNUMBER(SEARCH("去",D2099)),ISNUMBER(SEARCH("入",D2099)))),"Ambiguous",IF(ISNUMBER(SEARCH("平",D2099)),"平","仄")))</x:f>
        <x:v>平</x:v>
      </x:c>
      <x:c r="J2108" s="7" t="str"/>
    </x:row>
    <x:row r="2109">
      <x:c r="A2109" s="5" t="str">
        <x:v>泛</x:v>
      </x:c>
      <x:c r="B2109" s="6" t="str">
        <x:v>去</x:v>
      </x:c>
      <x:c r="C2109" s="6" t="str">
        <x:f>IF(B2109="","Needs decision","Ready")</x:f>
        <x:v>Ready</x:v>
      </x:c>
      <x:c r="D2109" s="6" t="str">
        <x:v>去</x:v>
      </x:c>
      <x:c r="E2109" s="6" t="str">
        <x:v>phjomH (C)</x:v>
      </x:c>
      <x:c r="F2109" s="6" t="str">
        <x:v>1</x:v>
      </x:c>
      <x:c r="G2109" s="6" t="str"/>
      <x:c r="H2109" s="6" t="str">
        <x:f>IF(B2109="平","平",IF(B2109="","","仄"))</x:f>
        <x:v>仄</x:v>
      </x:c>
      <x:c r="I2109" s="6" t="str">
        <x:f>IF(D2100="","",IF(AND(ISNUMBER(SEARCH("平",D2100)),OR(ISNUMBER(SEARCH("上",D2100)),ISNUMBER(SEARCH("去",D2100)),ISNUMBER(SEARCH("入",D2100)))),"Ambiguous",IF(ISNUMBER(SEARCH("平",D2100)),"平","仄")))</x:f>
        <x:v>平</x:v>
      </x:c>
      <x:c r="J2109" s="7" t="str"/>
    </x:row>
    <x:row r="2110">
      <x:c r="A2110" s="5" t="str">
        <x:v>泝</x:v>
      </x:c>
      <x:c r="B2110" s="6" t="str">
        <x:v>去</x:v>
      </x:c>
      <x:c r="C2110" s="6" t="str">
        <x:f>IF(B2110="","Needs decision","Ready")</x:f>
        <x:v>Ready</x:v>
      </x:c>
      <x:c r="D2110" s="6" t="str">
        <x:v>去</x:v>
      </x:c>
      <x:c r="E2110" s="6" t="str">
        <x:v>suH (C)</x:v>
      </x:c>
      <x:c r="F2110" s="6" t="str">
        <x:v>1</x:v>
      </x:c>
      <x:c r="G2110" s="6" t="str"/>
      <x:c r="H2110" s="6" t="str">
        <x:f>IF(B2110="平","平",IF(B2110="","","仄"))</x:f>
        <x:v>仄</x:v>
      </x:c>
      <x:c r="I2110" s="6" t="str">
        <x:f>IF(D2101="","",IF(AND(ISNUMBER(SEARCH("平",D2101)),OR(ISNUMBER(SEARCH("上",D2101)),ISNUMBER(SEARCH("去",D2101)),ISNUMBER(SEARCH("入",D2101)))),"Ambiguous",IF(ISNUMBER(SEARCH("平",D2101)),"平","仄")))</x:f>
        <x:v>仄</x:v>
      </x:c>
      <x:c r="J2110" s="7" t="str"/>
    </x:row>
    <x:row r="2111">
      <x:c r="A2111" s="5" t="str">
        <x:v>泠</x:v>
      </x:c>
      <x:c r="B2111" s="6" t="str">
        <x:v>平</x:v>
      </x:c>
      <x:c r="C2111" s="6" t="str">
        <x:f>IF(B2111="","Needs decision","Ready")</x:f>
        <x:v>Ready</x:v>
      </x:c>
      <x:c r="D2111" s="6" t="str">
        <x:v>平</x:v>
      </x:c>
      <x:c r="E2111" s="6" t="str">
        <x:v>leng [l̙eŋ] (平)</x:v>
      </x:c>
      <x:c r="F2111" s="6" t="str">
        <x:v>1</x:v>
      </x:c>
      <x:c r="G2111" s="6" t="str">
        <x:v>Tang 300 gap; frequency 2; provisional from Xun Gong</x:v>
      </x:c>
      <x:c r="H2111" s="6" t="str">
        <x:f>IF(B2111="平","平",IF(B2111="","","仄"))</x:f>
        <x:v>平</x:v>
      </x:c>
      <x:c r="I2111" s="6" t="str">
        <x:f>IF(D2102="","",IF(AND(ISNUMBER(SEARCH("平",D2102)),OR(ISNUMBER(SEARCH("上",D2102)),ISNUMBER(SEARCH("去",D2102)),ISNUMBER(SEARCH("入",D2102)))),"Ambiguous",IF(ISNUMBER(SEARCH("平",D2102)),"平","仄")))</x:f>
        <x:v>仄</x:v>
      </x:c>
      <x:c r="J2111" s="7" t="str">
        <x:v>Xun Gong, Tang 300 gap fill</x:v>
      </x:c>
    </x:row>
    <x:row r="2112">
      <x:c r="A2112" s="5" t="str">
        <x:v>波</x:v>
      </x:c>
      <x:c r="B2112" s="6" t="str">
        <x:v>平</x:v>
      </x:c>
      <x:c r="C2112" s="6" t="str">
        <x:f>IF(B2112="","Needs decision","Ready")</x:f>
        <x:v>Ready</x:v>
      </x:c>
      <x:c r="D2112" s="6" t="str">
        <x:v>平</x:v>
      </x:c>
      <x:c r="E2112" s="6" t="str">
        <x:v>pa (A)</x:v>
      </x:c>
      <x:c r="F2112" s="6" t="str">
        <x:v>1</x:v>
      </x:c>
      <x:c r="G2112" s="6" t="str"/>
      <x:c r="H2112" s="6" t="str">
        <x:f>IF(B2112="平","平",IF(B2112="","","仄"))</x:f>
        <x:v>平</x:v>
      </x:c>
      <x:c r="I2112" s="6" t="str">
        <x:f>IF(D2103="","",IF(AND(ISNUMBER(SEARCH("平",D2103)),OR(ISNUMBER(SEARCH("上",D2103)),ISNUMBER(SEARCH("去",D2103)),ISNUMBER(SEARCH("入",D2103)))),"Ambiguous",IF(ISNUMBER(SEARCH("平",D2103)),"平","仄")))</x:f>
        <x:v>平</x:v>
      </x:c>
      <x:c r="J2112" s="7" t="str"/>
    </x:row>
    <x:row r="2113">
      <x:c r="A2113" s="5" t="str">
        <x:v>泣</x:v>
      </x:c>
      <x:c r="B2113" s="6" t="str">
        <x:v>入</x:v>
      </x:c>
      <x:c r="C2113" s="6" t="str">
        <x:f>IF(B2113="","Needs decision","Ready")</x:f>
        <x:v>Ready</x:v>
      </x:c>
      <x:c r="D2113" s="6" t="str">
        <x:v>入</x:v>
      </x:c>
      <x:c r="E2113" s="6" t="str">
        <x:v>khip (D)</x:v>
      </x:c>
      <x:c r="F2113" s="6" t="str">
        <x:v>1</x:v>
      </x:c>
      <x:c r="G2113" s="6" t="str"/>
      <x:c r="H2113" s="6" t="str">
        <x:f>IF(B2113="平","平",IF(B2113="","","仄"))</x:f>
        <x:v>仄</x:v>
      </x:c>
      <x:c r="I2113" s="6" t="str">
        <x:f>IF(D2104="","",IF(AND(ISNUMBER(SEARCH("平",D2104)),OR(ISNUMBER(SEARCH("上",D2104)),ISNUMBER(SEARCH("去",D2104)),ISNUMBER(SEARCH("入",D2104)))),"Ambiguous",IF(ISNUMBER(SEARCH("平",D2104)),"平","仄")))</x:f>
        <x:v>平</x:v>
      </x:c>
      <x:c r="J2113" s="7" t="str"/>
    </x:row>
    <x:row r="2114">
      <x:c r="A2114" s="5" t="str">
        <x:v>泥</x:v>
      </x:c>
      <x:c r="B2114" s="6" t="str">
        <x:v>平</x:v>
      </x:c>
      <x:c r="C2114" s="6" t="str">
        <x:f>IF(B2114="","Needs decision","Ready")</x:f>
        <x:v>Ready</x:v>
      </x:c>
      <x:c r="D2114" s="6" t="str">
        <x:v>平/去</x:v>
      </x:c>
      <x:c r="E2114" s="6" t="str">
        <x:v>nej (A); nejH (C)</x:v>
      </x:c>
      <x:c r="F2114" s="6" t="str">
        <x:v>2</x:v>
      </x:c>
      <x:c r="G2114" s="6" t="str">
        <x:v>User workbook edit 2026-09-03</x:v>
      </x:c>
      <x:c r="H2114" s="6" t="str">
        <x:f>IF(B2114="平","平",IF(B2114="","","仄"))</x:f>
        <x:v>平</x:v>
      </x:c>
      <x:c r="I2114" s="6" t="str">
        <x:f>IF(D2105="","",IF(AND(ISNUMBER(SEARCH("平",D2105)),OR(ISNUMBER(SEARCH("上",D2105)),ISNUMBER(SEARCH("去",D2105)),ISNUMBER(SEARCH("入",D2105)))),"Ambiguous",IF(ISNUMBER(SEARCH("平",D2105)),"平","仄")))</x:f>
        <x:v>仄</x:v>
      </x:c>
      <x:c r="J2114" s="7" t="str">
        <x:v>manual user correction</x:v>
      </x:c>
    </x:row>
    <x:row r="2115">
      <x:c r="A2115" s="5" t="str">
        <x:v>注</x:v>
      </x:c>
      <x:c r="B2115" s="6" t="str">
        <x:v>去</x:v>
      </x:c>
      <x:c r="C2115" s="6" t="str">
        <x:f>IF(B2115="","Needs decision","Ready")</x:f>
        <x:v>Ready</x:v>
      </x:c>
      <x:c r="D2115" s="6" t="str">
        <x:v>去</x:v>
      </x:c>
      <x:c r="E2115" s="6" t="str">
        <x:v>trjuH (C)</x:v>
      </x:c>
      <x:c r="F2115" s="6" t="str">
        <x:v>1</x:v>
      </x:c>
      <x:c r="G2115" s="6" t="str"/>
      <x:c r="H2115" s="6" t="str">
        <x:f>IF(B2115="平","平",IF(B2115="","","仄"))</x:f>
        <x:v>仄</x:v>
      </x:c>
      <x:c r="I2115" s="6" t="str">
        <x:f>IF(D2106="","",IF(AND(ISNUMBER(SEARCH("平",D2106)),OR(ISNUMBER(SEARCH("上",D2106)),ISNUMBER(SEARCH("去",D2106)),ISNUMBER(SEARCH("入",D2106)))),"Ambiguous",IF(ISNUMBER(SEARCH("平",D2106)),"平","仄")))</x:f>
        <x:v>仄</x:v>
      </x:c>
      <x:c r="J2115" s="7" t="str"/>
    </x:row>
    <x:row r="2116">
      <x:c r="A2116" s="5" t="str">
        <x:v>泯</x:v>
      </x:c>
      <x:c r="B2116" s="6" t="str">
        <x:v>平</x:v>
      </x:c>
      <x:c r="C2116" s="6" t="str">
        <x:f>IF(B2116="","Needs decision","Ready")</x:f>
        <x:v>Ready</x:v>
      </x:c>
      <x:c r="D2116" s="6" t="str">
        <x:v>平</x:v>
      </x:c>
      <x:c r="E2116" s="6" t="str">
        <x:v>mjin (A)</x:v>
      </x:c>
      <x:c r="F2116" s="6" t="str">
        <x:v>1</x:v>
      </x:c>
      <x:c r="G2116" s="6" t="str"/>
      <x:c r="H2116" s="6" t="str">
        <x:f>IF(B2116="平","平",IF(B2116="","","仄"))</x:f>
        <x:v>平</x:v>
      </x:c>
      <x:c r="I2116" s="6" t="str">
        <x:f>IF(D2107="","",IF(AND(ISNUMBER(SEARCH("平",D2107)),OR(ISNUMBER(SEARCH("上",D2107)),ISNUMBER(SEARCH("去",D2107)),ISNUMBER(SEARCH("入",D2107)))),"Ambiguous",IF(ISNUMBER(SEARCH("平",D2107)),"平","仄")))</x:f>
        <x:v>仄</x:v>
      </x:c>
      <x:c r="J2116" s="7" t="str"/>
    </x:row>
    <x:row r="2117">
      <x:c r="A2117" s="5" t="str">
        <x:v>泰</x:v>
      </x:c>
      <x:c r="B2117" s="6" t="str">
        <x:v>去</x:v>
      </x:c>
      <x:c r="C2117" s="6" t="str">
        <x:f>IF(B2117="","Needs decision","Ready")</x:f>
        <x:v>Ready</x:v>
      </x:c>
      <x:c r="D2117" s="6" t="str">
        <x:v>去</x:v>
      </x:c>
      <x:c r="E2117" s="6" t="str">
        <x:v>thajH (C)</x:v>
      </x:c>
      <x:c r="F2117" s="6" t="str">
        <x:v>1</x:v>
      </x:c>
      <x:c r="G2117" s="6" t="str"/>
      <x:c r="H2117" s="6" t="str">
        <x:f>IF(B2117="平","平",IF(B2117="","","仄"))</x:f>
        <x:v>仄</x:v>
      </x:c>
      <x:c r="I2117" s="6" t="str">
        <x:f>IF(D2108="","",IF(AND(ISNUMBER(SEARCH("平",D2108)),OR(ISNUMBER(SEARCH("上",D2108)),ISNUMBER(SEARCH("去",D2108)),ISNUMBER(SEARCH("入",D2108)))),"Ambiguous",IF(ISNUMBER(SEARCH("平",D2108)),"平","仄")))</x:f>
        <x:v>仄</x:v>
      </x:c>
      <x:c r="J2117" s="7" t="str"/>
    </x:row>
    <x:row r="2118">
      <x:c r="A2118" s="5" t="str">
        <x:v>泲</x:v>
      </x:c>
      <x:c r="B2118" s="6" t="str">
        <x:v>上</x:v>
      </x:c>
      <x:c r="C2118" s="6" t="str">
        <x:f>IF(B2118="","Needs decision","Ready")</x:f>
        <x:v>Ready</x:v>
      </x:c>
      <x:c r="D2118" s="6" t="str">
        <x:v>上</x:v>
      </x:c>
      <x:c r="E2118" s="6" t="str">
        <x:v>tsejX (B)</x:v>
      </x:c>
      <x:c r="F2118" s="6" t="str">
        <x:v>1</x:v>
      </x:c>
      <x:c r="G2118" s="6" t="str"/>
      <x:c r="H2118" s="6" t="str">
        <x:f>IF(B2118="平","平",IF(B2118="","","仄"))</x:f>
        <x:v>仄</x:v>
      </x:c>
      <x:c r="I2118" s="6" t="str">
        <x:f>IF(D2109="","",IF(AND(ISNUMBER(SEARCH("平",D2109)),OR(ISNUMBER(SEARCH("上",D2109)),ISNUMBER(SEARCH("去",D2109)),ISNUMBER(SEARCH("入",D2109)))),"Ambiguous",IF(ISNUMBER(SEARCH("平",D2109)),"平","仄")))</x:f>
        <x:v>仄</x:v>
      </x:c>
      <x:c r="J2118" s="7" t="str"/>
    </x:row>
    <x:row r="2119">
      <x:c r="A2119" s="5" t="str">
        <x:v>泳</x:v>
      </x:c>
      <x:c r="B2119" s="6" t="str">
        <x:v>去</x:v>
      </x:c>
      <x:c r="C2119" s="6" t="str">
        <x:f>IF(B2119="","Needs decision","Ready")</x:f>
        <x:v>Ready</x:v>
      </x:c>
      <x:c r="D2119" s="6" t="str">
        <x:v>去</x:v>
      </x:c>
      <x:c r="E2119" s="6" t="str">
        <x:v>hjwaengH (C)</x:v>
      </x:c>
      <x:c r="F2119" s="6" t="str">
        <x:v>1</x:v>
      </x:c>
      <x:c r="G2119" s="6" t="str"/>
      <x:c r="H2119" s="6" t="str">
        <x:f>IF(B2119="平","平",IF(B2119="","","仄"))</x:f>
        <x:v>仄</x:v>
      </x:c>
      <x:c r="I2119" s="6" t="str">
        <x:f>IF(D2110="","",IF(AND(ISNUMBER(SEARCH("平",D2110)),OR(ISNUMBER(SEARCH("上",D2110)),ISNUMBER(SEARCH("去",D2110)),ISNUMBER(SEARCH("入",D2110)))),"Ambiguous",IF(ISNUMBER(SEARCH("平",D2110)),"平","仄")))</x:f>
        <x:v>仄</x:v>
      </x:c>
      <x:c r="J2119" s="7" t="str"/>
    </x:row>
    <x:row r="2120">
      <x:c r="A2120" s="5" t="str">
        <x:v>洄</x:v>
      </x:c>
      <x:c r="B2120" s="6" t="str">
        <x:v>平</x:v>
      </x:c>
      <x:c r="C2120" s="6" t="str">
        <x:f>IF(B2120="","Needs decision","Ready")</x:f>
        <x:v>Ready</x:v>
      </x:c>
      <x:c r="D2120" s="6" t="str">
        <x:v>平</x:v>
      </x:c>
      <x:c r="E2120" s="6" t="str">
        <x:v>hwoj [ʁwəj] (平)</x:v>
      </x:c>
      <x:c r="F2120" s="6" t="str">
        <x:v>1</x:v>
      </x:c>
      <x:c r="G2120" s="6" t="str">
        <x:v>Tang 300 gap; frequency 1; provisional from Xun Gong</x:v>
      </x:c>
      <x:c r="H2120" s="6" t="str">
        <x:f>IF(B2120="平","平",IF(B2120="","","仄"))</x:f>
        <x:v>平</x:v>
      </x:c>
      <x:c r="I2120" s="6" t="str">
        <x:f>IF(D2111="","",IF(AND(ISNUMBER(SEARCH("平",D2111)),OR(ISNUMBER(SEARCH("上",D2111)),ISNUMBER(SEARCH("去",D2111)),ISNUMBER(SEARCH("入",D2111)))),"Ambiguous",IF(ISNUMBER(SEARCH("平",D2111)),"平","仄")))</x:f>
        <x:v>平</x:v>
      </x:c>
      <x:c r="J2120" s="7" t="str">
        <x:v>Xun Gong, Tang 300 gap fill</x:v>
      </x:c>
    </x:row>
    <x:row r="2121">
      <x:c r="A2121" s="5" t="str">
        <x:v>洊</x:v>
      </x:c>
      <x:c r="B2121" s="6" t="str">
        <x:v>去</x:v>
      </x:c>
      <x:c r="C2121" s="6" t="str">
        <x:f>IF(B2121="","Needs decision","Ready")</x:f>
        <x:v>Ready</x:v>
      </x:c>
      <x:c r="D2121" s="6" t="str">
        <x:v>去</x:v>
      </x:c>
      <x:c r="E2121" s="6" t="str">
        <x:v>dzenH (C)</x:v>
      </x:c>
      <x:c r="F2121" s="6" t="str">
        <x:v>1</x:v>
      </x:c>
      <x:c r="G2121" s="6" t="str"/>
      <x:c r="H2121" s="6" t="str">
        <x:f>IF(B2121="平","平",IF(B2121="","","仄"))</x:f>
        <x:v>仄</x:v>
      </x:c>
      <x:c r="I2121" s="6" t="str">
        <x:f>IF(D2112="","",IF(AND(ISNUMBER(SEARCH("平",D2112)),OR(ISNUMBER(SEARCH("上",D2112)),ISNUMBER(SEARCH("去",D2112)),ISNUMBER(SEARCH("入",D2112)))),"Ambiguous",IF(ISNUMBER(SEARCH("平",D2112)),"平","仄")))</x:f>
        <x:v>平</x:v>
      </x:c>
      <x:c r="J2121" s="7" t="str"/>
    </x:row>
    <x:row r="2122">
      <x:c r="A2122" s="5" t="str">
        <x:v>洋</x:v>
      </x:c>
      <x:c r="B2122" s="6" t="str">
        <x:v>平</x:v>
      </x:c>
      <x:c r="C2122" s="6" t="str">
        <x:f>IF(B2122="","Needs decision","Ready")</x:f>
        <x:v>Ready</x:v>
      </x:c>
      <x:c r="D2122" s="6" t="str">
        <x:v>平</x:v>
      </x:c>
      <x:c r="E2122" s="6" t="str">
        <x:v>yang (A)</x:v>
      </x:c>
      <x:c r="F2122" s="6" t="str">
        <x:v>1</x:v>
      </x:c>
      <x:c r="G2122" s="6" t="str"/>
      <x:c r="H2122" s="6" t="str">
        <x:f>IF(B2122="平","平",IF(B2122="","","仄"))</x:f>
        <x:v>平</x:v>
      </x:c>
      <x:c r="I2122" s="6" t="str">
        <x:f>IF(D2113="","",IF(AND(ISNUMBER(SEARCH("平",D2113)),OR(ISNUMBER(SEARCH("上",D2113)),ISNUMBER(SEARCH("去",D2113)),ISNUMBER(SEARCH("入",D2113)))),"Ambiguous",IF(ISNUMBER(SEARCH("平",D2113)),"平","仄")))</x:f>
        <x:v>仄</x:v>
      </x:c>
      <x:c r="J2122" s="7" t="str"/>
    </x:row>
    <x:row r="2123">
      <x:c r="A2123" s="5" t="str">
        <x:v>洒</x:v>
      </x:c>
      <x:c r="B2123" s="6" t="str">
        <x:v>上</x:v>
      </x:c>
      <x:c r="C2123" s="6" t="str">
        <x:f>IF(B2123="","Needs decision","Ready")</x:f>
        <x:v>Ready</x:v>
      </x:c>
      <x:c r="D2123" s="6" t="str">
        <x:v>上</x:v>
      </x:c>
      <x:c r="E2123" s="6" t="str">
        <x:v>sreaX (B); sejX (B)</x:v>
      </x:c>
      <x:c r="F2123" s="6" t="str">
        <x:v>2</x:v>
      </x:c>
      <x:c r="G2123" s="6" t="str"/>
      <x:c r="H2123" s="6" t="str">
        <x:f>IF(B2123="平","平",IF(B2123="","","仄"))</x:f>
        <x:v>仄</x:v>
      </x:c>
      <x:c r="I2123" s="6" t="str">
        <x:f>IF(D2114="","",IF(AND(ISNUMBER(SEARCH("平",D2114)),OR(ISNUMBER(SEARCH("上",D2114)),ISNUMBER(SEARCH("去",D2114)),ISNUMBER(SEARCH("入",D2114)))),"Ambiguous",IF(ISNUMBER(SEARCH("平",D2114)),"平","仄")))</x:f>
        <x:v>Ambiguous</x:v>
      </x:c>
      <x:c r="J2123" s="7" t="str"/>
    </x:row>
    <x:row r="2124">
      <x:c r="A2124" s="5" t="str">
        <x:v>洗</x:v>
      </x:c>
      <x:c r="B2124" s="6" t="str">
        <x:v>上</x:v>
      </x:c>
      <x:c r="C2124" s="6" t="str">
        <x:f>IF(B2124="","Needs decision","Ready")</x:f>
        <x:v>Ready</x:v>
      </x:c>
      <x:c r="D2124" s="6" t="str">
        <x:v>上</x:v>
      </x:c>
      <x:c r="E2124" s="6" t="str">
        <x:v>sejX (B); senX (B)</x:v>
      </x:c>
      <x:c r="F2124" s="6" t="str">
        <x:v>2</x:v>
      </x:c>
      <x:c r="G2124" s="6" t="str"/>
      <x:c r="H2124" s="6" t="str">
        <x:f>IF(B2124="平","平",IF(B2124="","","仄"))</x:f>
        <x:v>仄</x:v>
      </x:c>
      <x:c r="I2124" s="6" t="str">
        <x:f>IF(D2115="","",IF(AND(ISNUMBER(SEARCH("平",D2115)),OR(ISNUMBER(SEARCH("上",D2115)),ISNUMBER(SEARCH("去",D2115)),ISNUMBER(SEARCH("入",D2115)))),"Ambiguous",IF(ISNUMBER(SEARCH("平",D2115)),"平","仄")))</x:f>
        <x:v>仄</x:v>
      </x:c>
      <x:c r="J2124" s="7" t="str"/>
    </x:row>
    <x:row r="2125">
      <x:c r="A2125" s="5" t="str">
        <x:v>洛</x:v>
      </x:c>
      <x:c r="B2125" s="6" t="str">
        <x:v>入</x:v>
      </x:c>
      <x:c r="C2125" s="6" t="str">
        <x:f>IF(B2125="","Needs decision","Ready")</x:f>
        <x:v>Ready</x:v>
      </x:c>
      <x:c r="D2125" s="6" t="str">
        <x:v>入</x:v>
      </x:c>
      <x:c r="E2125" s="6" t="str">
        <x:v>lak [l̙ɑk] (入)</x:v>
      </x:c>
      <x:c r="F2125" s="6" t="str">
        <x:v>1</x:v>
      </x:c>
      <x:c r="G2125" s="6" t="str">
        <x:v>Tang 300 gap; frequency 7; provisional from Xun Gong</x:v>
      </x:c>
      <x:c r="H2125" s="6" t="str">
        <x:f>IF(B2125="平","平",IF(B2125="","","仄"))</x:f>
        <x:v>仄</x:v>
      </x:c>
      <x:c r="I2125" s="6" t="str">
        <x:f>IF(D2116="","",IF(AND(ISNUMBER(SEARCH("平",D2116)),OR(ISNUMBER(SEARCH("上",D2116)),ISNUMBER(SEARCH("去",D2116)),ISNUMBER(SEARCH("入",D2116)))),"Ambiguous",IF(ISNUMBER(SEARCH("平",D2116)),"平","仄")))</x:f>
        <x:v>平</x:v>
      </x:c>
      <x:c r="J2125" s="7" t="str">
        <x:v>Xun Gong, Tang 300 gap fill</x:v>
      </x:c>
    </x:row>
    <x:row r="2126">
      <x:c r="A2126" s="5" t="str">
        <x:v>洞</x:v>
      </x:c>
      <x:c r="B2126" s="6" t="str">
        <x:v>去</x:v>
      </x:c>
      <x:c r="C2126" s="6" t="str">
        <x:f>IF(B2126="","Needs decision","Ready")</x:f>
        <x:v>Ready</x:v>
      </x:c>
      <x:c r="D2126" s="6" t="str">
        <x:v>去/平</x:v>
      </x:c>
      <x:c r="E2126" s="6" t="str">
        <x:v>duwngH [定一東去] d̙uŋh; duwng [定一東平] d̙uŋ</x:v>
      </x:c>
      <x:c r="F2126" s="6" t="str">
        <x:v>2</x:v>
      </x:c>
      <x:c r="G2126" s="6" t="str">
        <x:v>Targeted preliminary fill from Xun Gong; review if uncertain; User workbook edit 2026-09-03</x:v>
      </x:c>
      <x:c r="H2126" s="6" t="str">
        <x:f>IF(B2126="平","平",IF(B2126="","","仄"))</x:f>
        <x:v>仄</x:v>
      </x:c>
      <x:c r="I2126" s="6" t="str">
        <x:f>IF(D2117="","",IF(AND(ISNUMBER(SEARCH("平",D2117)),OR(ISNUMBER(SEARCH("上",D2117)),ISNUMBER(SEARCH("去",D2117)),ISNUMBER(SEARCH("入",D2117)))),"Ambiguous",IF(ISNUMBER(SEARCH("平",D2117)),"平","仄")))</x:f>
        <x:v>仄</x:v>
      </x:c>
      <x:c r="J2126" s="7" t="str">
        <x:v>manual user correction</x:v>
      </x:c>
    </x:row>
    <x:row r="2127">
      <x:c r="A2127" s="5" t="str">
        <x:v>洟</x:v>
      </x:c>
      <x:c r="B2127" s="6" t="str">
        <x:v>去</x:v>
      </x:c>
      <x:c r="C2127" s="6" t="str">
        <x:f>IF(B2127="","Needs decision","Ready")</x:f>
        <x:v>Ready</x:v>
      </x:c>
      <x:c r="D2127" s="6" t="str">
        <x:v>去</x:v>
      </x:c>
      <x:c r="E2127" s="6" t="str">
        <x:v>thejH (C)</x:v>
      </x:c>
      <x:c r="F2127" s="6" t="str">
        <x:v>1</x:v>
      </x:c>
      <x:c r="G2127" s="6" t="str"/>
      <x:c r="H2127" s="6" t="str">
        <x:f>IF(B2127="平","平",IF(B2127="","","仄"))</x:f>
        <x:v>仄</x:v>
      </x:c>
      <x:c r="I2127" s="6" t="str">
        <x:f>IF(D2118="","",IF(AND(ISNUMBER(SEARCH("平",D2118)),OR(ISNUMBER(SEARCH("上",D2118)),ISNUMBER(SEARCH("去",D2118)),ISNUMBER(SEARCH("入",D2118)))),"Ambiguous",IF(ISNUMBER(SEARCH("平",D2118)),"平","仄")))</x:f>
        <x:v>仄</x:v>
      </x:c>
      <x:c r="J2127" s="7" t="str"/>
    </x:row>
    <x:row r="2128">
      <x:c r="A2128" s="5" t="str">
        <x:v>津</x:v>
      </x:c>
      <x:c r="B2128" s="6" t="str">
        <x:v>平</x:v>
      </x:c>
      <x:c r="C2128" s="6" t="str">
        <x:f>IF(B2128="","Needs decision","Ready")</x:f>
        <x:v>Ready</x:v>
      </x:c>
      <x:c r="D2128" s="6" t="str">
        <x:v>平</x:v>
      </x:c>
      <x:c r="E2128" s="6" t="str">
        <x:v>tsin (A)</x:v>
      </x:c>
      <x:c r="F2128" s="6" t="str">
        <x:v>1</x:v>
      </x:c>
      <x:c r="G2128" s="6" t="str"/>
      <x:c r="H2128" s="6" t="str">
        <x:f>IF(B2128="平","平",IF(B2128="","","仄"))</x:f>
        <x:v>平</x:v>
      </x:c>
      <x:c r="I2128" s="6" t="str">
        <x:f>IF(D2119="","",IF(AND(ISNUMBER(SEARCH("平",D2119)),OR(ISNUMBER(SEARCH("上",D2119)),ISNUMBER(SEARCH("去",D2119)),ISNUMBER(SEARCH("入",D2119)))),"Ambiguous",IF(ISNUMBER(SEARCH("平",D2119)),"平","仄")))</x:f>
        <x:v>仄</x:v>
      </x:c>
      <x:c r="J2128" s="7" t="str"/>
    </x:row>
    <x:row r="2129">
      <x:c r="A2129" s="5" t="str">
        <x:v>洧</x:v>
      </x:c>
      <x:c r="B2129" s="6" t="str">
        <x:v>上</x:v>
      </x:c>
      <x:c r="C2129" s="6" t="str">
        <x:f>IF(B2129="","Needs decision","Ready")</x:f>
        <x:v>Ready</x:v>
      </x:c>
      <x:c r="D2129" s="6" t="str">
        <x:v>上</x:v>
      </x:c>
      <x:c r="E2129" s="6" t="str">
        <x:v>hwijX (B)</x:v>
      </x:c>
      <x:c r="F2129" s="6" t="str">
        <x:v>1</x:v>
      </x:c>
      <x:c r="G2129" s="6" t="str"/>
      <x:c r="H2129" s="6" t="str">
        <x:f>IF(B2129="平","平",IF(B2129="","","仄"))</x:f>
        <x:v>仄</x:v>
      </x:c>
      <x:c r="I2129" s="6" t="str">
        <x:f>IF(D2120="","",IF(AND(ISNUMBER(SEARCH("平",D2120)),OR(ISNUMBER(SEARCH("上",D2120)),ISNUMBER(SEARCH("去",D2120)),ISNUMBER(SEARCH("入",D2120)))),"Ambiguous",IF(ISNUMBER(SEARCH("平",D2120)),"平","仄")))</x:f>
        <x:v>平</x:v>
      </x:c>
      <x:c r="J2129" s="7" t="str"/>
    </x:row>
    <x:row r="2130">
      <x:c r="A2130" s="5" t="str">
        <x:v>洫</x:v>
      </x:c>
      <x:c r="B2130" s="6" t="str">
        <x:v>入</x:v>
      </x:c>
      <x:c r="C2130" s="6" t="str">
        <x:f>IF(B2130="","Needs decision","Ready")</x:f>
        <x:v>Ready</x:v>
      </x:c>
      <x:c r="D2130" s="6" t="str">
        <x:v>入</x:v>
      </x:c>
      <x:c r="E2130" s="6" t="str">
        <x:v>xwik (D)</x:v>
      </x:c>
      <x:c r="F2130" s="6" t="str">
        <x:v>1</x:v>
      </x:c>
      <x:c r="G2130" s="6" t="str"/>
      <x:c r="H2130" s="6" t="str">
        <x:f>IF(B2130="平","平",IF(B2130="","","仄"))</x:f>
        <x:v>仄</x:v>
      </x:c>
      <x:c r="I2130" s="6" t="str">
        <x:f>IF(D2121="","",IF(AND(ISNUMBER(SEARCH("平",D2121)),OR(ISNUMBER(SEARCH("上",D2121)),ISNUMBER(SEARCH("去",D2121)),ISNUMBER(SEARCH("入",D2121)))),"Ambiguous",IF(ISNUMBER(SEARCH("平",D2121)),"平","仄")))</x:f>
        <x:v>仄</x:v>
      </x:c>
      <x:c r="J2130" s="7" t="str"/>
    </x:row>
    <x:row r="2131">
      <x:c r="A2131" s="5" t="str">
        <x:v>洮</x:v>
      </x:c>
      <x:c r="B2131" s="6" t="str">
        <x:v>平</x:v>
      </x:c>
      <x:c r="C2131" s="6" t="str">
        <x:f>IF(B2131="","Needs decision","Ready")</x:f>
        <x:v>Ready</x:v>
      </x:c>
      <x:c r="D2131" s="6" t="str">
        <x:v>平</x:v>
      </x:c>
      <x:c r="E2131" s="6" t="str">
        <x:v>thaw [t̙ʰəw] (平); yew [jew] (平)</x:v>
      </x:c>
      <x:c r="F2131" s="6" t="str">
        <x:v>2</x:v>
      </x:c>
      <x:c r="G2131" s="6" t="str">
        <x:v>Tang 300 gap; frequency 3; provisional from Xun Gong</x:v>
      </x:c>
      <x:c r="H2131" s="6" t="str">
        <x:f>IF(B2131="平","平",IF(B2131="","","仄"))</x:f>
        <x:v>平</x:v>
      </x:c>
      <x:c r="I2131" s="6" t="str">
        <x:f>IF(D2122="","",IF(AND(ISNUMBER(SEARCH("平",D2122)),OR(ISNUMBER(SEARCH("上",D2122)),ISNUMBER(SEARCH("去",D2122)),ISNUMBER(SEARCH("入",D2122)))),"Ambiguous",IF(ISNUMBER(SEARCH("平",D2122)),"平","仄")))</x:f>
        <x:v>平</x:v>
      </x:c>
      <x:c r="J2131" s="7" t="str">
        <x:v>Xun Gong, Tang 300 gap fill</x:v>
      </x:c>
    </x:row>
    <x:row r="2132">
      <x:c r="A2132" s="5" t="str">
        <x:v>洲</x:v>
      </x:c>
      <x:c r="B2132" s="6" t="str">
        <x:v>平</x:v>
      </x:c>
      <x:c r="C2132" s="6" t="str">
        <x:f>IF(B2132="","Needs decision","Ready")</x:f>
        <x:v>Ready</x:v>
      </x:c>
      <x:c r="D2132" s="6" t="str">
        <x:v>平</x:v>
      </x:c>
      <x:c r="E2132" s="6" t="str">
        <x:v>tsyuw (A)</x:v>
      </x:c>
      <x:c r="F2132" s="6" t="str">
        <x:v>1</x:v>
      </x:c>
      <x:c r="G2132" s="6" t="str"/>
      <x:c r="H2132" s="6" t="str">
        <x:f>IF(B2132="平","平",IF(B2132="","","仄"))</x:f>
        <x:v>平</x:v>
      </x:c>
      <x:c r="I2132" s="6" t="str">
        <x:f>IF(D2123="","",IF(AND(ISNUMBER(SEARCH("平",D2123)),OR(ISNUMBER(SEARCH("上",D2123)),ISNUMBER(SEARCH("去",D2123)),ISNUMBER(SEARCH("入",D2123)))),"Ambiguous",IF(ISNUMBER(SEARCH("平",D2123)),"平","仄")))</x:f>
        <x:v>仄</x:v>
      </x:c>
      <x:c r="J2132" s="7" t="str"/>
    </x:row>
    <x:row r="2133">
      <x:c r="A2133" s="5" t="str">
        <x:v>洳</x:v>
      </x:c>
      <x:c r="B2133" s="6" t="str"/>
      <x:c r="C2133" s="6" t="str">
        <x:f>IF(B2133="","Needs decision","Ready")</x:f>
        <x:v>Needs decision</x:v>
      </x:c>
      <x:c r="D2133" s="6" t="str">
        <x:v>平/去</x:v>
      </x:c>
      <x:c r="E2133" s="6" t="str">
        <x:v>nyo (A); nyoH (C)</x:v>
      </x:c>
      <x:c r="F2133" s="6" t="str">
        <x:v>2</x:v>
      </x:c>
      <x:c r="G2133" s="6" t="str"/>
      <x:c r="H2133" s="6" t="str">
        <x:f>IF(B2133="平","平",IF(B2133="","","仄"))</x:f>
      </x:c>
      <x:c r="I2133" s="6" t="str">
        <x:f>IF(D2124="","",IF(AND(ISNUMBER(SEARCH("平",D2124)),OR(ISNUMBER(SEARCH("上",D2124)),ISNUMBER(SEARCH("去",D2124)),ISNUMBER(SEARCH("入",D2124)))),"Ambiguous",IF(ISNUMBER(SEARCH("平",D2124)),"平","仄")))</x:f>
        <x:v>仄</x:v>
      </x:c>
      <x:c r="J2133" s="7" t="str"/>
    </x:row>
    <x:row r="2134">
      <x:c r="A2134" s="5" t="str">
        <x:v>洶</x:v>
      </x:c>
      <x:c r="B2134" s="6" t="str">
        <x:v>平</x:v>
      </x:c>
      <x:c r="C2134" s="6" t="str">
        <x:f>IF(B2134="","Needs decision","Ready")</x:f>
        <x:v>Ready</x:v>
      </x:c>
      <x:c r="D2134" s="6" t="str">
        <x:v>平</x:v>
      </x:c>
      <x:c r="E2134" s="6" t="str"/>
      <x:c r="F2134" s="6" t="str"/>
      <x:c r="G2134" s="6" t="str">
        <x:v>Manual user correction/addition</x:v>
      </x:c>
      <x:c r="H2134" s="6" t="str">
        <x:f>IF(B2134="平","平",IF(B2134="","","仄"))</x:f>
        <x:v>平</x:v>
      </x:c>
      <x:c r="I2134" s="6" t="str">
        <x:f>IF(D2125="","",IF(AND(ISNUMBER(SEARCH("平",D2125)),OR(ISNUMBER(SEARCH("上",D2125)),ISNUMBER(SEARCH("去",D2125)),ISNUMBER(SEARCH("入",D2125)))),"Ambiguous",IF(ISNUMBER(SEARCH("平",D2125)),"平","仄")))</x:f>
        <x:v>仄</x:v>
      </x:c>
      <x:c r="J2134" s="7" t="str">
        <x:v>manual user correction</x:v>
      </x:c>
    </x:row>
    <x:row r="2135">
      <x:c r="A2135" s="5" t="str">
        <x:v>洹</x:v>
      </x:c>
      <x:c r="B2135" s="6" t="str">
        <x:v>平</x:v>
      </x:c>
      <x:c r="C2135" s="6" t="str">
        <x:f>IF(B2135="","Needs decision","Ready")</x:f>
        <x:v>Ready</x:v>
      </x:c>
      <x:c r="D2135" s="6" t="str">
        <x:v>平</x:v>
      </x:c>
      <x:c r="E2135" s="6" t="str">
        <x:v>hjwon [云合三C元平] wɨ̯ən; hwan [匣合一寒平] ʁwɑn</x:v>
      </x:c>
      <x:c r="F2135" s="6" t="str">
        <x:v>2</x:v>
      </x:c>
      <x:c r="G2135" s="6" t="str">
        <x:v>Targeted preliminary fill from Xun Gong; review if uncertain</x:v>
      </x:c>
      <x:c r="H2135" s="6" t="str">
        <x:f>IF(B2135="平","平",IF(B2135="","","仄"))</x:f>
        <x:v>平</x:v>
      </x:c>
      <x:c r="I2135" s="6" t="str">
        <x:f>IF(D2126="","",IF(AND(ISNUMBER(SEARCH("平",D2126)),OR(ISNUMBER(SEARCH("上",D2126)),ISNUMBER(SEARCH("去",D2126)),ISNUMBER(SEARCH("入",D2126)))),"Ambiguous",IF(ISNUMBER(SEARCH("平",D2126)),"平","仄")))</x:f>
        <x:v>Ambiguous</x:v>
      </x:c>
      <x:c r="J2135" s="7" t="str">
        <x:v>Xun Gong character-readings.csv</x:v>
      </x:c>
    </x:row>
    <x:row r="2136">
      <x:c r="A2136" s="5" t="str">
        <x:v>活</x:v>
      </x:c>
      <x:c r="B2136" s="6" t="str">
        <x:v>入</x:v>
      </x:c>
      <x:c r="C2136" s="6" t="str">
        <x:f>IF(B2136="","Needs decision","Ready")</x:f>
        <x:v>Ready</x:v>
      </x:c>
      <x:c r="D2136" s="6" t="str">
        <x:v>入</x:v>
      </x:c>
      <x:c r="E2136" s="6" t="str">
        <x:v>hwat (D)</x:v>
      </x:c>
      <x:c r="F2136" s="6" t="str">
        <x:v>1</x:v>
      </x:c>
      <x:c r="G2136" s="6" t="str"/>
      <x:c r="H2136" s="6" t="str">
        <x:f>IF(B2136="平","平",IF(B2136="","","仄"))</x:f>
        <x:v>仄</x:v>
      </x:c>
      <x:c r="I2136" s="6" t="str">
        <x:f>IF(D2127="","",IF(AND(ISNUMBER(SEARCH("平",D2127)),OR(ISNUMBER(SEARCH("上",D2127)),ISNUMBER(SEARCH("去",D2127)),ISNUMBER(SEARCH("入",D2127)))),"Ambiguous",IF(ISNUMBER(SEARCH("平",D2127)),"平","仄")))</x:f>
        <x:v>仄</x:v>
      </x:c>
      <x:c r="J2136" s="7" t="str"/>
    </x:row>
    <x:row r="2137">
      <x:c r="A2137" s="5" t="str">
        <x:v>洽</x:v>
      </x:c>
      <x:c r="B2137" s="6" t="str">
        <x:v>入</x:v>
      </x:c>
      <x:c r="C2137" s="6" t="str">
        <x:f>IF(B2137="","Needs decision","Ready")</x:f>
        <x:v>Ready</x:v>
      </x:c>
      <x:c r="D2137" s="6" t="str">
        <x:v>入</x:v>
      </x:c>
      <x:c r="E2137" s="6" t="str">
        <x:v>heap (D)</x:v>
      </x:c>
      <x:c r="F2137" s="6" t="str">
        <x:v>1</x:v>
      </x:c>
      <x:c r="G2137" s="6" t="str"/>
      <x:c r="H2137" s="6" t="str">
        <x:f>IF(B2137="平","平",IF(B2137="","","仄"))</x:f>
        <x:v>仄</x:v>
      </x:c>
      <x:c r="I2137" s="6" t="str">
        <x:f>IF(D2128="","",IF(AND(ISNUMBER(SEARCH("平",D2128)),OR(ISNUMBER(SEARCH("上",D2128)),ISNUMBER(SEARCH("去",D2128)),ISNUMBER(SEARCH("入",D2128)))),"Ambiguous",IF(ISNUMBER(SEARCH("平",D2128)),"平","仄")))</x:f>
        <x:v>平</x:v>
      </x:c>
      <x:c r="J2137" s="7" t="str"/>
    </x:row>
    <x:row r="2138">
      <x:c r="A2138" s="5" t="str">
        <x:v>派</x:v>
      </x:c>
      <x:c r="B2138" s="6" t="str">
        <x:v>去</x:v>
      </x:c>
      <x:c r="C2138" s="6" t="str">
        <x:f>IF(B2138="","Needs decision","Ready")</x:f>
        <x:v>Ready</x:v>
      </x:c>
      <x:c r="D2138" s="6" t="str">
        <x:v>去</x:v>
      </x:c>
      <x:c r="E2138" s="6" t="str">
        <x:v>pheaH [p̙ʰeˤh] (去)</x:v>
      </x:c>
      <x:c r="F2138" s="6" t="str">
        <x:v>1</x:v>
      </x:c>
      <x:c r="G2138" s="6" t="str">
        <x:v>Tang 300 gap; frequency 1; provisional from Xun Gong</x:v>
      </x:c>
      <x:c r="H2138" s="6" t="str">
        <x:f>IF(B2138="平","平",IF(B2138="","","仄"))</x:f>
        <x:v>仄</x:v>
      </x:c>
      <x:c r="I2138" s="6" t="str">
        <x:f>IF(D2129="","",IF(AND(ISNUMBER(SEARCH("平",D2129)),OR(ISNUMBER(SEARCH("上",D2129)),ISNUMBER(SEARCH("去",D2129)),ISNUMBER(SEARCH("入",D2129)))),"Ambiguous",IF(ISNUMBER(SEARCH("平",D2129)),"平","仄")))</x:f>
        <x:v>仄</x:v>
      </x:c>
      <x:c r="J2138" s="7" t="str">
        <x:v>Xun Gong, Tang 300 gap fill</x:v>
      </x:c>
    </x:row>
    <x:row r="2139">
      <x:c r="A2139" s="5" t="str">
        <x:v>洿</x:v>
      </x:c>
      <x:c r="B2139" s="6" t="str">
        <x:v>平</x:v>
      </x:c>
      <x:c r="C2139" s="6" t="str">
        <x:f>IF(B2139="","Needs decision","Ready")</x:f>
        <x:v>Ready</x:v>
      </x:c>
      <x:c r="D2139" s="6" t="str">
        <x:v>平</x:v>
      </x:c>
      <x:c r="E2139" s="6" t="str">
        <x:v>'u (A)</x:v>
      </x:c>
      <x:c r="F2139" s="6" t="str">
        <x:v>1</x:v>
      </x:c>
      <x:c r="G2139" s="6" t="str"/>
      <x:c r="H2139" s="6" t="str">
        <x:f>IF(B2139="平","平",IF(B2139="","","仄"))</x:f>
        <x:v>平</x:v>
      </x:c>
      <x:c r="I2139" s="6" t="str">
        <x:f>IF(D2130="","",IF(AND(ISNUMBER(SEARCH("平",D2130)),OR(ISNUMBER(SEARCH("上",D2130)),ISNUMBER(SEARCH("去",D2130)),ISNUMBER(SEARCH("入",D2130)))),"Ambiguous",IF(ISNUMBER(SEARCH("平",D2130)),"平","仄")))</x:f>
        <x:v>仄</x:v>
      </x:c>
      <x:c r="J2139" s="7" t="str"/>
    </x:row>
    <x:row r="2140">
      <x:c r="A2140" s="5" t="str">
        <x:v>流</x:v>
      </x:c>
      <x:c r="B2140" s="6" t="str">
        <x:v>平</x:v>
      </x:c>
      <x:c r="C2140" s="6" t="str">
        <x:f>IF(B2140="","Needs decision","Ready")</x:f>
        <x:v>Ready</x:v>
      </x:c>
      <x:c r="D2140" s="6" t="str">
        <x:v>平</x:v>
      </x:c>
      <x:c r="E2140" s="6" t="str">
        <x:v>ljuw (A)</x:v>
      </x:c>
      <x:c r="F2140" s="6" t="str">
        <x:v>1</x:v>
      </x:c>
      <x:c r="G2140" s="6" t="str"/>
      <x:c r="H2140" s="6" t="str">
        <x:f>IF(B2140="平","平",IF(B2140="","","仄"))</x:f>
        <x:v>平</x:v>
      </x:c>
      <x:c r="I2140" s="6" t="str">
        <x:f>IF(D2131="","",IF(AND(ISNUMBER(SEARCH("平",D2131)),OR(ISNUMBER(SEARCH("上",D2131)),ISNUMBER(SEARCH("去",D2131)),ISNUMBER(SEARCH("入",D2131)))),"Ambiguous",IF(ISNUMBER(SEARCH("平",D2131)),"平","仄")))</x:f>
        <x:v>平</x:v>
      </x:c>
      <x:c r="J2140" s="7" t="str"/>
    </x:row>
    <x:row r="2141">
      <x:c r="A2141" s="5" t="str">
        <x:v>浣</x:v>
      </x:c>
      <x:c r="B2141" s="6" t="str">
        <x:v>上</x:v>
      </x:c>
      <x:c r="C2141" s="6" t="str">
        <x:f>IF(B2141="","Needs decision","Ready")</x:f>
        <x:v>Ready</x:v>
      </x:c>
      <x:c r="D2141" s="6" t="str">
        <x:v>上</x:v>
      </x:c>
      <x:c r="E2141" s="6" t="str">
        <x:v>hwanX (B)</x:v>
      </x:c>
      <x:c r="F2141" s="6" t="str">
        <x:v>1</x:v>
      </x:c>
      <x:c r="G2141" s="6" t="str"/>
      <x:c r="H2141" s="6" t="str">
        <x:f>IF(B2141="平","平",IF(B2141="","","仄"))</x:f>
        <x:v>仄</x:v>
      </x:c>
      <x:c r="I2141" s="6" t="str">
        <x:f>IF(D2132="","",IF(AND(ISNUMBER(SEARCH("平",D2132)),OR(ISNUMBER(SEARCH("上",D2132)),ISNUMBER(SEARCH("去",D2132)),ISNUMBER(SEARCH("入",D2132)))),"Ambiguous",IF(ISNUMBER(SEARCH("平",D2132)),"平","仄")))</x:f>
        <x:v>平</x:v>
      </x:c>
      <x:c r="J2141" s="7" t="str"/>
    </x:row>
    <x:row r="2142">
      <x:c r="A2142" s="5" t="str">
        <x:v>浥</x:v>
      </x:c>
      <x:c r="B2142" s="6" t="str">
        <x:v>入</x:v>
      </x:c>
      <x:c r="C2142" s="6" t="str">
        <x:f>IF(B2142="","Needs decision","Ready")</x:f>
        <x:v>Ready</x:v>
      </x:c>
      <x:c r="D2142" s="6" t="str">
        <x:v>入</x:v>
      </x:c>
      <x:c r="E2142" s="6" t="str">
        <x:v>'ip (D)</x:v>
      </x:c>
      <x:c r="F2142" s="6" t="str">
        <x:v>1</x:v>
      </x:c>
      <x:c r="G2142" s="6" t="str"/>
      <x:c r="H2142" s="6" t="str">
        <x:f>IF(B2142="平","平",IF(B2142="","","仄"))</x:f>
        <x:v>仄</x:v>
      </x:c>
      <x:c r="I2142" s="6" t="str">
        <x:f>IF(D2133="","",IF(AND(ISNUMBER(SEARCH("平",D2133)),OR(ISNUMBER(SEARCH("上",D2133)),ISNUMBER(SEARCH("去",D2133)),ISNUMBER(SEARCH("入",D2133)))),"Ambiguous",IF(ISNUMBER(SEARCH("平",D2133)),"平","仄")))</x:f>
        <x:v>Ambiguous</x:v>
      </x:c>
      <x:c r="J2142" s="7" t="str"/>
    </x:row>
    <x:row r="2143">
      <x:c r="A2143" s="5" t="str">
        <x:v>浦</x:v>
      </x:c>
      <x:c r="B2143" s="6" t="str">
        <x:v>上</x:v>
      </x:c>
      <x:c r="C2143" s="6" t="str">
        <x:f>IF(B2143="","Needs decision","Ready")</x:f>
        <x:v>Ready</x:v>
      </x:c>
      <x:c r="D2143" s="6" t="str">
        <x:v>上</x:v>
      </x:c>
      <x:c r="E2143" s="6" t="str">
        <x:v>phuX (B)</x:v>
      </x:c>
      <x:c r="F2143" s="6" t="str">
        <x:v>1</x:v>
      </x:c>
      <x:c r="G2143" s="6" t="str"/>
      <x:c r="H2143" s="6" t="str">
        <x:f>IF(B2143="平","平",IF(B2143="","","仄"))</x:f>
        <x:v>仄</x:v>
      </x:c>
      <x:c r="I2143" s="6" t="str">
        <x:f>IF(D2134="","",IF(AND(ISNUMBER(SEARCH("平",D2134)),OR(ISNUMBER(SEARCH("上",D2134)),ISNUMBER(SEARCH("去",D2134)),ISNUMBER(SEARCH("入",D2134)))),"Ambiguous",IF(ISNUMBER(SEARCH("平",D2134)),"平","仄")))</x:f>
        <x:v>平</x:v>
      </x:c>
      <x:c r="J2143" s="7" t="str"/>
    </x:row>
    <x:row r="2144">
      <x:c r="A2144" s="5" t="str">
        <x:v>浩</x:v>
      </x:c>
      <x:c r="B2144" s="6" t="str">
        <x:v>上</x:v>
      </x:c>
      <x:c r="C2144" s="6" t="str">
        <x:f>IF(B2144="","Needs decision","Ready")</x:f>
        <x:v>Ready</x:v>
      </x:c>
      <x:c r="D2144" s="6" t="str">
        <x:v>上</x:v>
      </x:c>
      <x:c r="E2144" s="6" t="str">
        <x:v>hawX (B)</x:v>
      </x:c>
      <x:c r="F2144" s="6" t="str">
        <x:v>1</x:v>
      </x:c>
      <x:c r="G2144" s="6" t="str"/>
      <x:c r="H2144" s="6" t="str">
        <x:f>IF(B2144="平","平",IF(B2144="","","仄"))</x:f>
        <x:v>仄</x:v>
      </x:c>
      <x:c r="I2144" s="6" t="str">
        <x:f>IF(D2135="","",IF(AND(ISNUMBER(SEARCH("平",D2135)),OR(ISNUMBER(SEARCH("上",D2135)),ISNUMBER(SEARCH("去",D2135)),ISNUMBER(SEARCH("入",D2135)))),"Ambiguous",IF(ISNUMBER(SEARCH("平",D2135)),"平","仄")))</x:f>
        <x:v>平</x:v>
      </x:c>
      <x:c r="J2144" s="7" t="str"/>
    </x:row>
    <x:row r="2145">
      <x:c r="A2145" s="5" t="str">
        <x:v>浪</x:v>
      </x:c>
      <x:c r="B2145" s="6" t="str">
        <x:v>平</x:v>
      </x:c>
      <x:c r="C2145" s="6" t="str">
        <x:f>IF(B2145="","Needs decision","Ready")</x:f>
        <x:v>Ready</x:v>
      </x:c>
      <x:c r="D2145" s="6" t="str">
        <x:v>平</x:v>
      </x:c>
      <x:c r="E2145" s="6" t="str">
        <x:v>lang (A)</x:v>
      </x:c>
      <x:c r="F2145" s="6" t="str">
        <x:v>1</x:v>
      </x:c>
      <x:c r="G2145" s="6" t="str"/>
      <x:c r="H2145" s="6" t="str">
        <x:f>IF(B2145="平","平",IF(B2145="","","仄"))</x:f>
        <x:v>平</x:v>
      </x:c>
      <x:c r="I2145" s="6" t="str">
        <x:f>IF(D2136="","",IF(AND(ISNUMBER(SEARCH("平",D2136)),OR(ISNUMBER(SEARCH("上",D2136)),ISNUMBER(SEARCH("去",D2136)),ISNUMBER(SEARCH("入",D2136)))),"Ambiguous",IF(ISNUMBER(SEARCH("平",D2136)),"平","仄")))</x:f>
        <x:v>仄</x:v>
      </x:c>
      <x:c r="J2145" s="7" t="str"/>
    </x:row>
    <x:row r="2146">
      <x:c r="A2146" s="5" t="str">
        <x:v>浮</x:v>
      </x:c>
      <x:c r="B2146" s="6" t="str">
        <x:v>平</x:v>
      </x:c>
      <x:c r="C2146" s="6" t="str">
        <x:f>IF(B2146="","Needs decision","Ready")</x:f>
        <x:v>Ready</x:v>
      </x:c>
      <x:c r="D2146" s="6" t="str">
        <x:v>平</x:v>
      </x:c>
      <x:c r="E2146" s="6" t="str">
        <x:v>bjuw (A)</x:v>
      </x:c>
      <x:c r="F2146" s="6" t="str">
        <x:v>1</x:v>
      </x:c>
      <x:c r="G2146" s="6" t="str"/>
      <x:c r="H2146" s="6" t="str">
        <x:f>IF(B2146="平","平",IF(B2146="","","仄"))</x:f>
        <x:v>平</x:v>
      </x:c>
      <x:c r="I2146" s="6" t="str">
        <x:f>IF(D2137="","",IF(AND(ISNUMBER(SEARCH("平",D2137)),OR(ISNUMBER(SEARCH("上",D2137)),ISNUMBER(SEARCH("去",D2137)),ISNUMBER(SEARCH("入",D2137)))),"Ambiguous",IF(ISNUMBER(SEARCH("平",D2137)),"平","仄")))</x:f>
        <x:v>仄</x:v>
      </x:c>
      <x:c r="J2146" s="7" t="str"/>
    </x:row>
    <x:row r="2147">
      <x:c r="A2147" s="5" t="str">
        <x:v>浴</x:v>
      </x:c>
      <x:c r="B2147" s="6" t="str">
        <x:v>入</x:v>
      </x:c>
      <x:c r="C2147" s="6" t="str">
        <x:f>IF(B2147="","Needs decision","Ready")</x:f>
        <x:v>Ready</x:v>
      </x:c>
      <x:c r="D2147" s="6" t="str">
        <x:v>入</x:v>
      </x:c>
      <x:c r="E2147" s="6" t="str">
        <x:v>yowk [jok] (入)</x:v>
      </x:c>
      <x:c r="F2147" s="6" t="str">
        <x:v>1</x:v>
      </x:c>
      <x:c r="G2147" s="6" t="str">
        <x:v>Tang 300 gap; frequency 2; provisional from Xun Gong</x:v>
      </x:c>
      <x:c r="H2147" s="6" t="str">
        <x:f>IF(B2147="平","平",IF(B2147="","","仄"))</x:f>
        <x:v>仄</x:v>
      </x:c>
      <x:c r="I2147" s="6" t="str">
        <x:f>IF(D2138="","",IF(AND(ISNUMBER(SEARCH("平",D2138)),OR(ISNUMBER(SEARCH("上",D2138)),ISNUMBER(SEARCH("去",D2138)),ISNUMBER(SEARCH("入",D2138)))),"Ambiguous",IF(ISNUMBER(SEARCH("平",D2138)),"平","仄")))</x:f>
        <x:v>仄</x:v>
      </x:c>
      <x:c r="J2147" s="7" t="str">
        <x:v>Xun Gong, Tang 300 gap fill</x:v>
      </x:c>
    </x:row>
    <x:row r="2148">
      <x:c r="A2148" s="5" t="str">
        <x:v>海</x:v>
      </x:c>
      <x:c r="B2148" s="6" t="str">
        <x:v>上</x:v>
      </x:c>
      <x:c r="C2148" s="6" t="str">
        <x:f>IF(B2148="","Needs decision","Ready")</x:f>
        <x:v>Ready</x:v>
      </x:c>
      <x:c r="D2148" s="6" t="str">
        <x:v>上</x:v>
      </x:c>
      <x:c r="E2148" s="6" t="str">
        <x:v>xojX (B)</x:v>
      </x:c>
      <x:c r="F2148" s="6" t="str">
        <x:v>1</x:v>
      </x:c>
      <x:c r="G2148" s="6" t="str"/>
      <x:c r="H2148" s="6" t="str">
        <x:f>IF(B2148="平","平",IF(B2148="","","仄"))</x:f>
        <x:v>仄</x:v>
      </x:c>
      <x:c r="I2148" s="6" t="str">
        <x:f>IF(D2139="","",IF(AND(ISNUMBER(SEARCH("平",D2139)),OR(ISNUMBER(SEARCH("上",D2139)),ISNUMBER(SEARCH("去",D2139)),ISNUMBER(SEARCH("入",D2139)))),"Ambiguous",IF(ISNUMBER(SEARCH("平",D2139)),"平","仄")))</x:f>
        <x:v>平</x:v>
      </x:c>
      <x:c r="J2148" s="7" t="str"/>
    </x:row>
    <x:row r="2149">
      <x:c r="A2149" s="5" t="str">
        <x:v>浸</x:v>
      </x:c>
      <x:c r="B2149" s="6" t="str">
        <x:v>平</x:v>
      </x:c>
      <x:c r="C2149" s="6" t="str">
        <x:f>IF(B2149="","Needs decision","Ready")</x:f>
        <x:v>Ready</x:v>
      </x:c>
      <x:c r="D2149" s="6" t="str">
        <x:v>平/去</x:v>
      </x:c>
      <x:c r="E2149" s="6" t="str">
        <x:v>tshim [tsʰim] (平); tsimH [tsimh] (去)</x:v>
      </x:c>
      <x:c r="F2149" s="6" t="str">
        <x:v>2</x:v>
      </x:c>
      <x:c r="G2149" s="6" t="str">
        <x:v>Tang 300 gap; frequency 1; ambiguous in Xun Gong; User workbook edit 2026-09-03</x:v>
      </x:c>
      <x:c r="H2149" s="6" t="str">
        <x:f>IF(B2149="平","平",IF(B2149="","","仄"))</x:f>
        <x:v>平</x:v>
      </x:c>
      <x:c r="I2149" s="6" t="str">
        <x:f>IF(D2140="","",IF(AND(ISNUMBER(SEARCH("平",D2140)),OR(ISNUMBER(SEARCH("上",D2140)),ISNUMBER(SEARCH("去",D2140)),ISNUMBER(SEARCH("入",D2140)))),"Ambiguous",IF(ISNUMBER(SEARCH("平",D2140)),"平","仄")))</x:f>
        <x:v>平</x:v>
      </x:c>
      <x:c r="J2149" s="7" t="str">
        <x:v>manual user correction</x:v>
      </x:c>
    </x:row>
    <x:row r="2150">
      <x:c r="A2150" s="5" t="str">
        <x:v>浼</x:v>
      </x:c>
      <x:c r="B2150" s="6" t="str">
        <x:v>上</x:v>
      </x:c>
      <x:c r="C2150" s="6" t="str">
        <x:f>IF(B2150="","Needs decision","Ready")</x:f>
        <x:v>Ready</x:v>
      </x:c>
      <x:c r="D2150" s="6" t="str">
        <x:v>上</x:v>
      </x:c>
      <x:c r="E2150" s="6" t="str">
        <x:v>mwojX (B)</x:v>
      </x:c>
      <x:c r="F2150" s="6" t="str">
        <x:v>1</x:v>
      </x:c>
      <x:c r="G2150" s="6" t="str"/>
      <x:c r="H2150" s="6" t="str">
        <x:f>IF(B2150="平","平",IF(B2150="","","仄"))</x:f>
        <x:v>仄</x:v>
      </x:c>
      <x:c r="I2150" s="6" t="str">
        <x:f>IF(D2141="","",IF(AND(ISNUMBER(SEARCH("平",D2141)),OR(ISNUMBER(SEARCH("上",D2141)),ISNUMBER(SEARCH("去",D2141)),ISNUMBER(SEARCH("入",D2141)))),"Ambiguous",IF(ISNUMBER(SEARCH("平",D2141)),"平","仄")))</x:f>
        <x:v>仄</x:v>
      </x:c>
      <x:c r="J2150" s="7" t="str"/>
    </x:row>
    <x:row r="2151">
      <x:c r="A2151" s="5" t="str">
        <x:v>涂</x:v>
      </x:c>
      <x:c r="B2151" s="6" t="str">
        <x:v>平</x:v>
      </x:c>
      <x:c r="C2151" s="6" t="str">
        <x:f>IF(B2151="","Needs decision","Ready")</x:f>
        <x:v>Ready</x:v>
      </x:c>
      <x:c r="D2151" s="6" t="str">
        <x:v>平</x:v>
      </x:c>
      <x:c r="E2151" s="6" t="str">
        <x:v>du (A)</x:v>
      </x:c>
      <x:c r="F2151" s="6" t="str">
        <x:v>1</x:v>
      </x:c>
      <x:c r="G2151" s="6" t="str"/>
      <x:c r="H2151" s="6" t="str">
        <x:f>IF(B2151="平","平",IF(B2151="","","仄"))</x:f>
        <x:v>平</x:v>
      </x:c>
      <x:c r="I2151" s="6" t="str">
        <x:f>IF(D2142="","",IF(AND(ISNUMBER(SEARCH("平",D2142)),OR(ISNUMBER(SEARCH("上",D2142)),ISNUMBER(SEARCH("去",D2142)),ISNUMBER(SEARCH("入",D2142)))),"Ambiguous",IF(ISNUMBER(SEARCH("平",D2142)),"平","仄")))</x:f>
        <x:v>仄</x:v>
      </x:c>
      <x:c r="J2151" s="7" t="str"/>
    </x:row>
    <x:row r="2152">
      <x:c r="A2152" s="5" t="str">
        <x:v>涅</x:v>
      </x:c>
      <x:c r="B2152" s="6" t="str">
        <x:v>入</x:v>
      </x:c>
      <x:c r="C2152" s="6" t="str">
        <x:f>IF(B2152="","Needs decision","Ready")</x:f>
        <x:v>Ready</x:v>
      </x:c>
      <x:c r="D2152" s="6" t="str">
        <x:v>入</x:v>
      </x:c>
      <x:c r="E2152" s="6" t="str">
        <x:v>net [泥開四先入] n̙et</x:v>
      </x:c>
      <x:c r="F2152" s="6" t="str">
        <x:v>1</x:v>
      </x:c>
      <x:c r="G2152" s="6" t="str">
        <x:v>Targeted preliminary fill from Xun Gong; review if uncertain</x:v>
      </x:c>
      <x:c r="H2152" s="6" t="str">
        <x:f>IF(B2152="平","平",IF(B2152="","","仄"))</x:f>
        <x:v>仄</x:v>
      </x:c>
      <x:c r="I2152" s="6" t="str">
        <x:f>IF(D2143="","",IF(AND(ISNUMBER(SEARCH("平",D2143)),OR(ISNUMBER(SEARCH("上",D2143)),ISNUMBER(SEARCH("去",D2143)),ISNUMBER(SEARCH("入",D2143)))),"Ambiguous",IF(ISNUMBER(SEARCH("平",D2143)),"平","仄")))</x:f>
        <x:v>仄</x:v>
      </x:c>
      <x:c r="J2152" s="7" t="str">
        <x:v>Xun Gong character-readings.csv</x:v>
      </x:c>
    </x:row>
    <x:row r="2153">
      <x:c r="A2153" s="5" t="str">
        <x:v>消</x:v>
      </x:c>
      <x:c r="B2153" s="6" t="str">
        <x:v>平</x:v>
      </x:c>
      <x:c r="C2153" s="6" t="str">
        <x:f>IF(B2153="","Needs decision","Ready")</x:f>
        <x:v>Ready</x:v>
      </x:c>
      <x:c r="D2153" s="6" t="str">
        <x:v>平</x:v>
      </x:c>
      <x:c r="E2153" s="6" t="str">
        <x:v>sjew (A)</x:v>
      </x:c>
      <x:c r="F2153" s="6" t="str">
        <x:v>1</x:v>
      </x:c>
      <x:c r="G2153" s="6" t="str"/>
      <x:c r="H2153" s="6" t="str">
        <x:f>IF(B2153="平","平",IF(B2153="","","仄"))</x:f>
        <x:v>平</x:v>
      </x:c>
      <x:c r="I2153" s="6" t="str">
        <x:f>IF(D2144="","",IF(AND(ISNUMBER(SEARCH("平",D2144)),OR(ISNUMBER(SEARCH("上",D2144)),ISNUMBER(SEARCH("去",D2144)),ISNUMBER(SEARCH("入",D2144)))),"Ambiguous",IF(ISNUMBER(SEARCH("平",D2144)),"平","仄")))</x:f>
        <x:v>仄</x:v>
      </x:c>
      <x:c r="J2153" s="7" t="str"/>
    </x:row>
    <x:row r="2154">
      <x:c r="A2154" s="5" t="str">
        <x:v>涓</x:v>
      </x:c>
      <x:c r="B2154" s="6" t="str">
        <x:v>平</x:v>
      </x:c>
      <x:c r="C2154" s="6" t="str">
        <x:f>IF(B2154="","Needs decision","Ready")</x:f>
        <x:v>Ready</x:v>
      </x:c>
      <x:c r="D2154" s="6" t="str">
        <x:v>平</x:v>
      </x:c>
      <x:c r="E2154" s="6" t="str">
        <x:v>kwen [qwen] (平)</x:v>
      </x:c>
      <x:c r="F2154" s="6" t="str">
        <x:v>1</x:v>
      </x:c>
      <x:c r="G2154" s="6" t="str">
        <x:v>Tang 300 gap; frequency 1; provisional from Xun Gong</x:v>
      </x:c>
      <x:c r="H2154" s="6" t="str">
        <x:f>IF(B2154="平","平",IF(B2154="","","仄"))</x:f>
        <x:v>平</x:v>
      </x:c>
      <x:c r="I2154" s="6" t="str">
        <x:f>IF(D2145="","",IF(AND(ISNUMBER(SEARCH("平",D2145)),OR(ISNUMBER(SEARCH("上",D2145)),ISNUMBER(SEARCH("去",D2145)),ISNUMBER(SEARCH("入",D2145)))),"Ambiguous",IF(ISNUMBER(SEARCH("平",D2145)),"平","仄")))</x:f>
        <x:v>平</x:v>
      </x:c>
      <x:c r="J2154" s="7" t="str">
        <x:v>Xun Gong, Tang 300 gap fill</x:v>
      </x:c>
    </x:row>
    <x:row r="2155">
      <x:c r="A2155" s="5" t="str">
        <x:v>涕</x:v>
      </x:c>
      <x:c r="B2155" s="6" t="str"/>
      <x:c r="C2155" s="6" t="str">
        <x:f>IF(B2155="","Needs decision","Ready")</x:f>
        <x:v>Needs decision</x:v>
      </x:c>
      <x:c r="D2155" s="6" t="str">
        <x:v>上/去</x:v>
      </x:c>
      <x:c r="E2155" s="6" t="str">
        <x:v>thejX (B); thejH (C)</x:v>
      </x:c>
      <x:c r="F2155" s="6" t="str">
        <x:v>2</x:v>
      </x:c>
      <x:c r="G2155" s="6" t="str"/>
      <x:c r="H2155" s="6" t="str">
        <x:f>IF(B2155="平","平",IF(B2155="","","仄"))</x:f>
      </x:c>
      <x:c r="I2155" s="6" t="str">
        <x:f>IF(D2146="","",IF(AND(ISNUMBER(SEARCH("平",D2146)),OR(ISNUMBER(SEARCH("上",D2146)),ISNUMBER(SEARCH("去",D2146)),ISNUMBER(SEARCH("入",D2146)))),"Ambiguous",IF(ISNUMBER(SEARCH("平",D2146)),"平","仄")))</x:f>
        <x:v>平</x:v>
      </x:c>
      <x:c r="J2155" s="7" t="str"/>
    </x:row>
    <x:row r="2156">
      <x:c r="A2156" s="5" t="str">
        <x:v>涯</x:v>
      </x:c>
      <x:c r="B2156" s="6" t="str">
        <x:v>平</x:v>
      </x:c>
      <x:c r="C2156" s="6" t="str">
        <x:f>IF(B2156="","Needs decision","Ready")</x:f>
        <x:v>Ready</x:v>
      </x:c>
      <x:c r="D2156" s="6" t="str">
        <x:v>平</x:v>
      </x:c>
      <x:c r="E2156" s="6" t="str">
        <x:v>ngea (A)</x:v>
      </x:c>
      <x:c r="F2156" s="6" t="str">
        <x:v>1</x:v>
      </x:c>
      <x:c r="G2156" s="6" t="str"/>
      <x:c r="H2156" s="6" t="str">
        <x:f>IF(B2156="平","平",IF(B2156="","","仄"))</x:f>
        <x:v>平</x:v>
      </x:c>
      <x:c r="I2156" s="6" t="str">
        <x:f>IF(D2147="","",IF(AND(ISNUMBER(SEARCH("平",D2147)),OR(ISNUMBER(SEARCH("上",D2147)),ISNUMBER(SEARCH("去",D2147)),ISNUMBER(SEARCH("入",D2147)))),"Ambiguous",IF(ISNUMBER(SEARCH("平",D2147)),"平","仄")))</x:f>
        <x:v>仄</x:v>
      </x:c>
      <x:c r="J2156" s="7" t="str"/>
    </x:row>
    <x:row r="2157">
      <x:c r="A2157" s="5" t="str">
        <x:v>液</x:v>
      </x:c>
      <x:c r="B2157" s="6" t="str">
        <x:v>入</x:v>
      </x:c>
      <x:c r="C2157" s="6" t="str">
        <x:f>IF(B2157="","Needs decision","Ready")</x:f>
        <x:v>Ready</x:v>
      </x:c>
      <x:c r="D2157" s="6" t="str">
        <x:v>入</x:v>
      </x:c>
      <x:c r="E2157" s="6" t="str">
        <x:v>yek (D)</x:v>
      </x:c>
      <x:c r="F2157" s="6" t="str">
        <x:v>1</x:v>
      </x:c>
      <x:c r="G2157" s="6" t="str"/>
      <x:c r="H2157" s="6" t="str">
        <x:f>IF(B2157="平","平",IF(B2157="","","仄"))</x:f>
        <x:v>仄</x:v>
      </x:c>
      <x:c r="I2157" s="6" t="str">
        <x:f>IF(D2148="","",IF(AND(ISNUMBER(SEARCH("平",D2148)),OR(ISNUMBER(SEARCH("上",D2148)),ISNUMBER(SEARCH("去",D2148)),ISNUMBER(SEARCH("入",D2148)))),"Ambiguous",IF(ISNUMBER(SEARCH("平",D2148)),"平","仄")))</x:f>
        <x:v>仄</x:v>
      </x:c>
      <x:c r="J2157" s="7" t="str"/>
    </x:row>
    <x:row r="2158">
      <x:c r="A2158" s="5" t="str">
        <x:v>涵</x:v>
      </x:c>
      <x:c r="B2158" s="6" t="str">
        <x:v>平</x:v>
      </x:c>
      <x:c r="C2158" s="6" t="str">
        <x:f>IF(B2158="","Needs decision","Ready")</x:f>
        <x:v>Ready</x:v>
      </x:c>
      <x:c r="D2158" s="6" t="str">
        <x:v>平</x:v>
      </x:c>
      <x:c r="E2158" s="6" t="str">
        <x:v>hom (A)</x:v>
      </x:c>
      <x:c r="F2158" s="6" t="str">
        <x:v>1</x:v>
      </x:c>
      <x:c r="G2158" s="6" t="str"/>
      <x:c r="H2158" s="6" t="str">
        <x:f>IF(B2158="平","平",IF(B2158="","","仄"))</x:f>
        <x:v>平</x:v>
      </x:c>
      <x:c r="I2158" s="6" t="str">
        <x:f>IF(D2149="","",IF(AND(ISNUMBER(SEARCH("平",D2149)),OR(ISNUMBER(SEARCH("上",D2149)),ISNUMBER(SEARCH("去",D2149)),ISNUMBER(SEARCH("入",D2149)))),"Ambiguous",IF(ISNUMBER(SEARCH("平",D2149)),"平","仄")))</x:f>
        <x:v>Ambiguous</x:v>
      </x:c>
      <x:c r="J2158" s="7" t="str"/>
    </x:row>
    <x:row r="2159">
      <x:c r="A2159" s="5" t="str">
        <x:v>涼</x:v>
      </x:c>
      <x:c r="B2159" s="6" t="str">
        <x:v>平</x:v>
      </x:c>
      <x:c r="C2159" s="6" t="str">
        <x:f>IF(B2159="","Needs decision","Ready")</x:f>
        <x:v>Ready</x:v>
      </x:c>
      <x:c r="D2159" s="6" t="str">
        <x:v>平</x:v>
      </x:c>
      <x:c r="E2159" s="6" t="str">
        <x:v>ljang (A)</x:v>
      </x:c>
      <x:c r="F2159" s="6" t="str">
        <x:v>1</x:v>
      </x:c>
      <x:c r="G2159" s="6" t="str"/>
      <x:c r="H2159" s="6" t="str">
        <x:f>IF(B2159="平","平",IF(B2159="","","仄"))</x:f>
        <x:v>平</x:v>
      </x:c>
      <x:c r="I2159" s="6" t="str">
        <x:f>IF(D2150="","",IF(AND(ISNUMBER(SEARCH("平",D2150)),OR(ISNUMBER(SEARCH("上",D2150)),ISNUMBER(SEARCH("去",D2150)),ISNUMBER(SEARCH("入",D2150)))),"Ambiguous",IF(ISNUMBER(SEARCH("平",D2150)),"平","仄")))</x:f>
        <x:v>仄</x:v>
      </x:c>
      <x:c r="J2159" s="7" t="str"/>
    </x:row>
    <x:row r="2160">
      <x:c r="A2160" s="5" t="str">
        <x:v>淋</x:v>
      </x:c>
      <x:c r="B2160" s="6" t="str">
        <x:v>平</x:v>
      </x:c>
      <x:c r="C2160" s="6" t="str">
        <x:f>IF(B2160="","Needs decision","Ready")</x:f>
        <x:v>Ready</x:v>
      </x:c>
      <x:c r="D2160" s="6" t="str">
        <x:v>平</x:v>
      </x:c>
      <x:c r="E2160" s="6" t="str">
        <x:v>lim (A)</x:v>
      </x:c>
      <x:c r="F2160" s="6" t="str">
        <x:v>1</x:v>
      </x:c>
      <x:c r="G2160" s="6" t="str"/>
      <x:c r="H2160" s="6" t="str">
        <x:f>IF(B2160="平","平",IF(B2160="","","仄"))</x:f>
        <x:v>平</x:v>
      </x:c>
      <x:c r="I2160" s="6" t="str">
        <x:f>IF(D2151="","",IF(AND(ISNUMBER(SEARCH("平",D2151)),OR(ISNUMBER(SEARCH("上",D2151)),ISNUMBER(SEARCH("去",D2151)),ISNUMBER(SEARCH("入",D2151)))),"Ambiguous",IF(ISNUMBER(SEARCH("平",D2151)),"平","仄")))</x:f>
        <x:v>平</x:v>
      </x:c>
      <x:c r="J2160" s="7" t="str"/>
    </x:row>
    <x:row r="2161">
      <x:c r="A2161" s="5" t="str">
        <x:v>淑</x:v>
      </x:c>
      <x:c r="B2161" s="6" t="str">
        <x:v>入</x:v>
      </x:c>
      <x:c r="C2161" s="6" t="str">
        <x:f>IF(B2161="","Needs decision","Ready")</x:f>
        <x:v>Ready</x:v>
      </x:c>
      <x:c r="D2161" s="6" t="str">
        <x:v>入</x:v>
      </x:c>
      <x:c r="E2161" s="6" t="str">
        <x:v>dzyuwk (D)</x:v>
      </x:c>
      <x:c r="F2161" s="6" t="str">
        <x:v>1</x:v>
      </x:c>
      <x:c r="G2161" s="6" t="str"/>
      <x:c r="H2161" s="6" t="str">
        <x:f>IF(B2161="平","平",IF(B2161="","","仄"))</x:f>
        <x:v>仄</x:v>
      </x:c>
      <x:c r="I2161" s="6" t="str">
        <x:f>IF(D2152="","",IF(AND(ISNUMBER(SEARCH("平",D2152)),OR(ISNUMBER(SEARCH("上",D2152)),ISNUMBER(SEARCH("去",D2152)),ISNUMBER(SEARCH("入",D2152)))),"Ambiguous",IF(ISNUMBER(SEARCH("平",D2152)),"平","仄")))</x:f>
        <x:v>仄</x:v>
      </x:c>
      <x:c r="J2161" s="7" t="str"/>
    </x:row>
    <x:row r="2162">
      <x:c r="A2162" s="5" t="str">
        <x:v>淒</x:v>
      </x:c>
      <x:c r="B2162" s="6" t="str">
        <x:v>平</x:v>
      </x:c>
      <x:c r="C2162" s="6" t="str">
        <x:f>IF(B2162="","Needs decision","Ready")</x:f>
        <x:v>Ready</x:v>
      </x:c>
      <x:c r="D2162" s="6" t="str">
        <x:v>平</x:v>
      </x:c>
      <x:c r="E2162" s="6" t="str">
        <x:v>tshej [t̙s̙ʰej] (平)</x:v>
      </x:c>
      <x:c r="F2162" s="6" t="str">
        <x:v>1</x:v>
      </x:c>
      <x:c r="G2162" s="6" t="str">
        <x:v>Tang 300 gap; frequency 9; provisional from Xun Gong</x:v>
      </x:c>
      <x:c r="H2162" s="6" t="str">
        <x:f>IF(B2162="平","平",IF(B2162="","","仄"))</x:f>
        <x:v>平</x:v>
      </x:c>
      <x:c r="I2162" s="6" t="str">
        <x:f>IF(D2153="","",IF(AND(ISNUMBER(SEARCH("平",D2153)),OR(ISNUMBER(SEARCH("上",D2153)),ISNUMBER(SEARCH("去",D2153)),ISNUMBER(SEARCH("入",D2153)))),"Ambiguous",IF(ISNUMBER(SEARCH("平",D2153)),"平","仄")))</x:f>
        <x:v>平</x:v>
      </x:c>
      <x:c r="J2162" s="7" t="str">
        <x:v>Xun Gong, Tang 300 gap fill</x:v>
      </x:c>
    </x:row>
    <x:row r="2163">
      <x:c r="A2163" s="5" t="str">
        <x:v>淚</x:v>
      </x:c>
      <x:c r="B2163" s="6" t="str">
        <x:v>去</x:v>
      </x:c>
      <x:c r="C2163" s="6" t="str">
        <x:f>IF(B2163="","Needs decision","Ready")</x:f>
        <x:v>Ready</x:v>
      </x:c>
      <x:c r="D2163" s="6" t="str">
        <x:v>去</x:v>
      </x:c>
      <x:c r="E2163" s="6" t="str">
        <x:v>lwijH (C)</x:v>
      </x:c>
      <x:c r="F2163" s="6" t="str">
        <x:v>1</x:v>
      </x:c>
      <x:c r="G2163" s="6" t="str"/>
      <x:c r="H2163" s="6" t="str">
        <x:f>IF(B2163="平","平",IF(B2163="","","仄"))</x:f>
        <x:v>仄</x:v>
      </x:c>
      <x:c r="I2163" s="6" t="str">
        <x:f>IF(D2154="","",IF(AND(ISNUMBER(SEARCH("平",D2154)),OR(ISNUMBER(SEARCH("上",D2154)),ISNUMBER(SEARCH("去",D2154)),ISNUMBER(SEARCH("入",D2154)))),"Ambiguous",IF(ISNUMBER(SEARCH("平",D2154)),"平","仄")))</x:f>
        <x:v>平</x:v>
      </x:c>
      <x:c r="J2163" s="7" t="str"/>
    </x:row>
    <x:row r="2164">
      <x:c r="A2164" s="5" t="str">
        <x:v>淠</x:v>
      </x:c>
      <x:c r="B2164" s="6" t="str">
        <x:v>去</x:v>
      </x:c>
      <x:c r="C2164" s="6" t="str">
        <x:f>IF(B2164="","Needs decision","Ready")</x:f>
        <x:v>Ready</x:v>
      </x:c>
      <x:c r="D2164" s="6" t="str">
        <x:v>去</x:v>
      </x:c>
      <x:c r="E2164" s="6" t="str">
        <x:v>phejH (C)</x:v>
      </x:c>
      <x:c r="F2164" s="6" t="str">
        <x:v>1</x:v>
      </x:c>
      <x:c r="G2164" s="6" t="str"/>
      <x:c r="H2164" s="6" t="str">
        <x:f>IF(B2164="平","平",IF(B2164="","","仄"))</x:f>
        <x:v>仄</x:v>
      </x:c>
      <x:c r="I2164" s="6" t="str">
        <x:f>IF(D2155="","",IF(AND(ISNUMBER(SEARCH("平",D2155)),OR(ISNUMBER(SEARCH("上",D2155)),ISNUMBER(SEARCH("去",D2155)),ISNUMBER(SEARCH("入",D2155)))),"Ambiguous",IF(ISNUMBER(SEARCH("平",D2155)),"平","仄")))</x:f>
        <x:v>仄</x:v>
      </x:c>
      <x:c r="J2164" s="7" t="str"/>
    </x:row>
    <x:row r="2165">
      <x:c r="A2165" s="5" t="str">
        <x:v>淡</x:v>
      </x:c>
      <x:c r="B2165" s="6" t="str">
        <x:v>上</x:v>
      </x:c>
      <x:c r="C2165" s="6" t="str">
        <x:f>IF(B2165="","Needs decision","Ready")</x:f>
        <x:v>Ready</x:v>
      </x:c>
      <x:c r="D2165" s="6" t="str">
        <x:v>上</x:v>
      </x:c>
      <x:c r="E2165" s="6" t="str">
        <x:v>damX (B)</x:v>
      </x:c>
      <x:c r="F2165" s="6" t="str">
        <x:v>1</x:v>
      </x:c>
      <x:c r="G2165" s="6" t="str"/>
      <x:c r="H2165" s="6" t="str">
        <x:f>IF(B2165="平","平",IF(B2165="","","仄"))</x:f>
        <x:v>仄</x:v>
      </x:c>
      <x:c r="I2165" s="6" t="str">
        <x:f>IF(D2156="","",IF(AND(ISNUMBER(SEARCH("平",D2156)),OR(ISNUMBER(SEARCH("上",D2156)),ISNUMBER(SEARCH("去",D2156)),ISNUMBER(SEARCH("入",D2156)))),"Ambiguous",IF(ISNUMBER(SEARCH("平",D2156)),"平","仄")))</x:f>
        <x:v>平</x:v>
      </x:c>
      <x:c r="J2165" s="7" t="str"/>
    </x:row>
    <x:row r="2166">
      <x:c r="A2166" s="5" t="str">
        <x:v>淢</x:v>
      </x:c>
      <x:c r="B2166" s="6" t="str">
        <x:v>入</x:v>
      </x:c>
      <x:c r="C2166" s="6" t="str">
        <x:f>IF(B2166="","Needs decision","Ready")</x:f>
        <x:v>Ready</x:v>
      </x:c>
      <x:c r="D2166" s="6" t="str">
        <x:v>入</x:v>
      </x:c>
      <x:c r="E2166" s="6" t="str">
        <x:v>xwik (D)</x:v>
      </x:c>
      <x:c r="F2166" s="6" t="str">
        <x:v>1</x:v>
      </x:c>
      <x:c r="G2166" s="6" t="str"/>
      <x:c r="H2166" s="6" t="str">
        <x:f>IF(B2166="平","平",IF(B2166="","","仄"))</x:f>
        <x:v>仄</x:v>
      </x:c>
      <x:c r="I2166" s="6" t="str">
        <x:f>IF(D2157="","",IF(AND(ISNUMBER(SEARCH("平",D2157)),OR(ISNUMBER(SEARCH("上",D2157)),ISNUMBER(SEARCH("去",D2157)),ISNUMBER(SEARCH("入",D2157)))),"Ambiguous",IF(ISNUMBER(SEARCH("平",D2157)),"平","仄")))</x:f>
        <x:v>仄</x:v>
      </x:c>
      <x:c r="J2166" s="7" t="str"/>
    </x:row>
    <x:row r="2167">
      <x:c r="A2167" s="5" t="str">
        <x:v>淥</x:v>
      </x:c>
      <x:c r="B2167" s="6" t="str">
        <x:v>入</x:v>
      </x:c>
      <x:c r="C2167" s="6" t="str">
        <x:f>IF(B2167="","Needs decision","Ready")</x:f>
        <x:v>Ready</x:v>
      </x:c>
      <x:c r="D2167" s="6" t="str">
        <x:v>入</x:v>
      </x:c>
      <x:c r="E2167" s="6" t="str">
        <x:v>ljowk [ljok] (入); luwk [l̙uk] (入)</x:v>
      </x:c>
      <x:c r="F2167" s="6" t="str">
        <x:v>2</x:v>
      </x:c>
      <x:c r="G2167" s="6" t="str">
        <x:v>Tang 300 gap; frequency 2; provisional from Xun Gong</x:v>
      </x:c>
      <x:c r="H2167" s="6" t="str">
        <x:f>IF(B2167="平","平",IF(B2167="","","仄"))</x:f>
        <x:v>仄</x:v>
      </x:c>
      <x:c r="I2167" s="6" t="str">
        <x:f>IF(D2158="","",IF(AND(ISNUMBER(SEARCH("平",D2158)),OR(ISNUMBER(SEARCH("上",D2158)),ISNUMBER(SEARCH("去",D2158)),ISNUMBER(SEARCH("入",D2158)))),"Ambiguous",IF(ISNUMBER(SEARCH("平",D2158)),"平","仄")))</x:f>
        <x:v>平</x:v>
      </x:c>
      <x:c r="J2167" s="7" t="str">
        <x:v>Xun Gong, Tang 300 gap fill</x:v>
      </x:c>
    </x:row>
    <x:row r="2168">
      <x:c r="A2168" s="5" t="str">
        <x:v>淨</x:v>
      </x:c>
      <x:c r="B2168" s="6" t="str">
        <x:v>去</x:v>
      </x:c>
      <x:c r="C2168" s="6" t="str">
        <x:f>IF(B2168="","Needs decision","Ready")</x:f>
        <x:v>Ready</x:v>
      </x:c>
      <x:c r="D2168" s="6" t="str">
        <x:v>去</x:v>
      </x:c>
      <x:c r="E2168" s="6" t="str">
        <x:v>dzjengH (C)</x:v>
      </x:c>
      <x:c r="F2168" s="6" t="str">
        <x:v>1</x:v>
      </x:c>
      <x:c r="G2168" s="6" t="str"/>
      <x:c r="H2168" s="6" t="str">
        <x:f>IF(B2168="平","平",IF(B2168="","","仄"))</x:f>
        <x:v>仄</x:v>
      </x:c>
      <x:c r="I2168" s="6" t="str">
        <x:f>IF(D2159="","",IF(AND(ISNUMBER(SEARCH("平",D2159)),OR(ISNUMBER(SEARCH("上",D2159)),ISNUMBER(SEARCH("去",D2159)),ISNUMBER(SEARCH("入",D2159)))),"Ambiguous",IF(ISNUMBER(SEARCH("平",D2159)),"平","仄")))</x:f>
        <x:v>平</x:v>
      </x:c>
      <x:c r="J2168" s="7" t="str"/>
    </x:row>
    <x:row r="2169">
      <x:c r="A2169" s="5" t="str">
        <x:v>淩</x:v>
      </x:c>
      <x:c r="B2169" s="6" t="str">
        <x:v>平</x:v>
      </x:c>
      <x:c r="C2169" s="6" t="str">
        <x:f>IF(B2169="","Needs decision","Ready")</x:f>
        <x:v>Ready</x:v>
      </x:c>
      <x:c r="D2169" s="6" t="str">
        <x:v>平</x:v>
      </x:c>
      <x:c r="E2169" s="6" t="str">
        <x:v>ling [ljɨŋ] (平)</x:v>
      </x:c>
      <x:c r="F2169" s="6" t="str">
        <x:v>1</x:v>
      </x:c>
      <x:c r="G2169" s="6" t="str">
        <x:v>Tang 300 gap; frequency 2; provisional from Xun Gong</x:v>
      </x:c>
      <x:c r="H2169" s="6" t="str">
        <x:f>IF(B2169="平","平",IF(B2169="","","仄"))</x:f>
        <x:v>平</x:v>
      </x:c>
      <x:c r="I2169" s="6" t="str">
        <x:f>IF(D2160="","",IF(AND(ISNUMBER(SEARCH("平",D2160)),OR(ISNUMBER(SEARCH("上",D2160)),ISNUMBER(SEARCH("去",D2160)),ISNUMBER(SEARCH("入",D2160)))),"Ambiguous",IF(ISNUMBER(SEARCH("平",D2160)),"平","仄")))</x:f>
        <x:v>平</x:v>
      </x:c>
      <x:c r="J2169" s="7" t="str">
        <x:v>Xun Gong, Tang 300 gap fill</x:v>
      </x:c>
    </x:row>
    <x:row r="2170">
      <x:c r="A2170" s="5" t="str">
        <x:v>淪</x:v>
      </x:c>
      <x:c r="B2170" s="6" t="str">
        <x:v>平</x:v>
      </x:c>
      <x:c r="C2170" s="6" t="str">
        <x:f>IF(B2170="","Needs decision","Ready")</x:f>
        <x:v>Ready</x:v>
      </x:c>
      <x:c r="D2170" s="6" t="str">
        <x:v>平</x:v>
      </x:c>
      <x:c r="E2170" s="6" t="str">
        <x:v>lwin [ljwin] (平)</x:v>
      </x:c>
      <x:c r="F2170" s="6" t="str">
        <x:v>1</x:v>
      </x:c>
      <x:c r="G2170" s="6" t="str">
        <x:v>Tang 300 gap; frequency 1; provisional from Xun Gong</x:v>
      </x:c>
      <x:c r="H2170" s="6" t="str">
        <x:f>IF(B2170="平","平",IF(B2170="","","仄"))</x:f>
        <x:v>平</x:v>
      </x:c>
      <x:c r="I2170" s="6" t="str">
        <x:f>IF(D2161="","",IF(AND(ISNUMBER(SEARCH("平",D2161)),OR(ISNUMBER(SEARCH("上",D2161)),ISNUMBER(SEARCH("去",D2161)),ISNUMBER(SEARCH("入",D2161)))),"Ambiguous",IF(ISNUMBER(SEARCH("平",D2161)),"平","仄")))</x:f>
        <x:v>仄</x:v>
      </x:c>
      <x:c r="J2170" s="7" t="str">
        <x:v>Xun Gong, Tang 300 gap fill</x:v>
      </x:c>
    </x:row>
    <x:row r="2171">
      <x:c r="A2171" s="5" t="str">
        <x:v>淫</x:v>
      </x:c>
      <x:c r="B2171" s="6" t="str">
        <x:v>平</x:v>
      </x:c>
      <x:c r="C2171" s="6" t="str">
        <x:f>IF(B2171="","Needs decision","Ready")</x:f>
        <x:v>Ready</x:v>
      </x:c>
      <x:c r="D2171" s="6" t="str">
        <x:v>平</x:v>
      </x:c>
      <x:c r="E2171" s="6" t="str">
        <x:v>yim (A)</x:v>
      </x:c>
      <x:c r="F2171" s="6" t="str">
        <x:v>1</x:v>
      </x:c>
      <x:c r="G2171" s="6" t="str"/>
      <x:c r="H2171" s="6" t="str">
        <x:f>IF(B2171="平","平",IF(B2171="","","仄"))</x:f>
        <x:v>平</x:v>
      </x:c>
      <x:c r="I2171" s="6" t="str">
        <x:f>IF(D2162="","",IF(AND(ISNUMBER(SEARCH("平",D2162)),OR(ISNUMBER(SEARCH("上",D2162)),ISNUMBER(SEARCH("去",D2162)),ISNUMBER(SEARCH("入",D2162)))),"Ambiguous",IF(ISNUMBER(SEARCH("平",D2162)),"平","仄")))</x:f>
        <x:v>平</x:v>
      </x:c>
      <x:c r="J2171" s="7" t="str"/>
    </x:row>
    <x:row r="2172">
      <x:c r="A2172" s="5" t="str">
        <x:v>淬</x:v>
      </x:c>
      <x:c r="B2172" s="6" t="str">
        <x:v>去</x:v>
      </x:c>
      <x:c r="C2172" s="6" t="str">
        <x:f>IF(B2172="","Needs decision","Ready")</x:f>
        <x:v>Ready</x:v>
      </x:c>
      <x:c r="D2172" s="6" t="str">
        <x:v>去</x:v>
      </x:c>
      <x:c r="E2172" s="6" t="str">
        <x:v>tshwojH (C)</x:v>
      </x:c>
      <x:c r="F2172" s="6" t="str">
        <x:v>1</x:v>
      </x:c>
      <x:c r="G2172" s="6" t="str"/>
      <x:c r="H2172" s="6" t="str">
        <x:f>IF(B2172="平","平",IF(B2172="","","仄"))</x:f>
        <x:v>仄</x:v>
      </x:c>
      <x:c r="I2172" s="6" t="str">
        <x:f>IF(D2163="","",IF(AND(ISNUMBER(SEARCH("平",D2163)),OR(ISNUMBER(SEARCH("上",D2163)),ISNUMBER(SEARCH("去",D2163)),ISNUMBER(SEARCH("入",D2163)))),"Ambiguous",IF(ISNUMBER(SEARCH("平",D2163)),"平","仄")))</x:f>
        <x:v>仄</x:v>
      </x:c>
      <x:c r="J2172" s="7" t="str"/>
    </x:row>
    <x:row r="2173">
      <x:c r="A2173" s="5" t="str">
        <x:v>淮</x:v>
      </x:c>
      <x:c r="B2173" s="6" t="str">
        <x:v>平</x:v>
      </x:c>
      <x:c r="C2173" s="6" t="str">
        <x:f>IF(B2173="","Needs decision","Ready")</x:f>
        <x:v>Ready</x:v>
      </x:c>
      <x:c r="D2173" s="6" t="str">
        <x:v>平</x:v>
      </x:c>
      <x:c r="E2173" s="6" t="str">
        <x:v>hweaj (A)</x:v>
      </x:c>
      <x:c r="F2173" s="6" t="str">
        <x:v>1</x:v>
      </x:c>
      <x:c r="G2173" s="6" t="str"/>
      <x:c r="H2173" s="6" t="str">
        <x:f>IF(B2173="平","平",IF(B2173="","","仄"))</x:f>
        <x:v>平</x:v>
      </x:c>
      <x:c r="I2173" s="6" t="str">
        <x:f>IF(D2164="","",IF(AND(ISNUMBER(SEARCH("平",D2164)),OR(ISNUMBER(SEARCH("上",D2164)),ISNUMBER(SEARCH("去",D2164)),ISNUMBER(SEARCH("入",D2164)))),"Ambiguous",IF(ISNUMBER(SEARCH("平",D2164)),"平","仄")))</x:f>
        <x:v>仄</x:v>
      </x:c>
      <x:c r="J2173" s="7" t="str"/>
    </x:row>
    <x:row r="2174">
      <x:c r="A2174" s="5" t="str">
        <x:v>深</x:v>
      </x:c>
      <x:c r="B2174" s="6" t="str">
        <x:v>平</x:v>
      </x:c>
      <x:c r="C2174" s="6" t="str">
        <x:f>IF(B2174="","Needs decision","Ready")</x:f>
        <x:v>Ready</x:v>
      </x:c>
      <x:c r="D2174" s="6" t="str">
        <x:v>平/去</x:v>
      </x:c>
      <x:c r="E2174" s="6" t="str">
        <x:v>syim (A); syimH (C)</x:v>
      </x:c>
      <x:c r="F2174" s="6" t="str">
        <x:v>2</x:v>
      </x:c>
      <x:c r="G2174" s="6" t="str">
        <x:v>User workbook edit 2026-09-03</x:v>
      </x:c>
      <x:c r="H2174" s="6" t="str">
        <x:f>IF(B2174="平","平",IF(B2174="","","仄"))</x:f>
        <x:v>平</x:v>
      </x:c>
      <x:c r="I2174" s="6" t="str">
        <x:f>IF(D2165="","",IF(AND(ISNUMBER(SEARCH("平",D2165)),OR(ISNUMBER(SEARCH("上",D2165)),ISNUMBER(SEARCH("去",D2165)),ISNUMBER(SEARCH("入",D2165)))),"Ambiguous",IF(ISNUMBER(SEARCH("平",D2165)),"平","仄")))</x:f>
        <x:v>仄</x:v>
      </x:c>
      <x:c r="J2174" s="7" t="str">
        <x:v>manual user correction</x:v>
      </x:c>
    </x:row>
    <x:row r="2175">
      <x:c r="A2175" s="5" t="str">
        <x:v>淳</x:v>
      </x:c>
      <x:c r="B2175" s="6" t="str"/>
      <x:c r="C2175" s="6" t="str">
        <x:f>IF(B2175="","Needs decision","Ready")</x:f>
        <x:v>Needs decision</x:v>
      </x:c>
      <x:c r="D2175" s="6" t="str">
        <x:v>平/上</x:v>
      </x:c>
      <x:c r="E2175" s="6" t="str">
        <x:v>dzywin (A); tsywin (A); tsywinX (B)</x:v>
      </x:c>
      <x:c r="F2175" s="6" t="str">
        <x:v>3</x:v>
      </x:c>
      <x:c r="G2175" s="6" t="str"/>
      <x:c r="H2175" s="6" t="str">
        <x:f>IF(B2175="平","平",IF(B2175="","","仄"))</x:f>
      </x:c>
      <x:c r="I2175" s="6" t="str">
        <x:f>IF(D2166="","",IF(AND(ISNUMBER(SEARCH("平",D2166)),OR(ISNUMBER(SEARCH("上",D2166)),ISNUMBER(SEARCH("去",D2166)),ISNUMBER(SEARCH("入",D2166)))),"Ambiguous",IF(ISNUMBER(SEARCH("平",D2166)),"平","仄")))</x:f>
        <x:v>仄</x:v>
      </x:c>
      <x:c r="J2175" s="7" t="str"/>
    </x:row>
    <x:row r="2176">
      <x:c r="A2176" s="5" t="str">
        <x:v>淵</x:v>
      </x:c>
      <x:c r="B2176" s="6" t="str">
        <x:v>平</x:v>
      </x:c>
      <x:c r="C2176" s="6" t="str">
        <x:f>IF(B2176="","Needs decision","Ready")</x:f>
        <x:v>Ready</x:v>
      </x:c>
      <x:c r="D2176" s="6" t="str">
        <x:v>平</x:v>
      </x:c>
      <x:c r="E2176" s="6" t="str">
        <x:v>'wen (A)</x:v>
      </x:c>
      <x:c r="F2176" s="6" t="str">
        <x:v>1</x:v>
      </x:c>
      <x:c r="G2176" s="6" t="str"/>
      <x:c r="H2176" s="6" t="str">
        <x:f>IF(B2176="平","平",IF(B2176="","","仄"))</x:f>
        <x:v>平</x:v>
      </x:c>
      <x:c r="I2176" s="6" t="str">
        <x:f>IF(D2167="","",IF(AND(ISNUMBER(SEARCH("平",D2167)),OR(ISNUMBER(SEARCH("上",D2167)),ISNUMBER(SEARCH("去",D2167)),ISNUMBER(SEARCH("入",D2167)))),"Ambiguous",IF(ISNUMBER(SEARCH("平",D2167)),"平","仄")))</x:f>
        <x:v>仄</x:v>
      </x:c>
      <x:c r="J2176" s="7" t="str"/>
    </x:row>
    <x:row r="2177">
      <x:c r="A2177" s="5" t="str">
        <x:v>混</x:v>
      </x:c>
      <x:c r="B2177" s="6" t="str">
        <x:v>上</x:v>
      </x:c>
      <x:c r="C2177" s="6" t="str">
        <x:f>IF(B2177="","Needs decision","Ready")</x:f>
        <x:v>Ready</x:v>
      </x:c>
      <x:c r="D2177" s="6" t="str">
        <x:v>上</x:v>
      </x:c>
      <x:c r="E2177" s="6" t="str">
        <x:v>hwonX [ʁwənʔ] (上)</x:v>
      </x:c>
      <x:c r="F2177" s="6" t="str">
        <x:v>1</x:v>
      </x:c>
      <x:c r="G2177" s="6" t="str">
        <x:v>Tang 300 gap; frequency 2; provisional from Xun Gong</x:v>
      </x:c>
      <x:c r="H2177" s="6" t="str">
        <x:f>IF(B2177="平","平",IF(B2177="","","仄"))</x:f>
        <x:v>仄</x:v>
      </x:c>
      <x:c r="I2177" s="6" t="str">
        <x:f>IF(D2168="","",IF(AND(ISNUMBER(SEARCH("平",D2168)),OR(ISNUMBER(SEARCH("上",D2168)),ISNUMBER(SEARCH("去",D2168)),ISNUMBER(SEARCH("入",D2168)))),"Ambiguous",IF(ISNUMBER(SEARCH("平",D2168)),"平","仄")))</x:f>
        <x:v>仄</x:v>
      </x:c>
      <x:c r="J2177" s="7" t="str">
        <x:v>Xun Gong, Tang 300 gap fill</x:v>
      </x:c>
    </x:row>
    <x:row r="2178">
      <x:c r="A2178" s="5" t="str">
        <x:v>淸</x:v>
      </x:c>
      <x:c r="B2178" s="6" t="str">
        <x:v>平</x:v>
      </x:c>
      <x:c r="C2178" s="6" t="str">
        <x:f>IF(B2178="","Needs decision","Ready")</x:f>
        <x:v>Ready</x:v>
      </x:c>
      <x:c r="D2178" s="6" t="str">
        <x:v>平</x:v>
      </x:c>
      <x:c r="E2178" s="6" t="str">
        <x:v>tshjeng [清開三清平] tsʰjaŋ</x:v>
      </x:c>
      <x:c r="F2178" s="6" t="str">
        <x:v>1</x:v>
      </x:c>
      <x:c r="G2178" s="6" t="str">
        <x:v>Targeted preliminary fill from Xun Gong; review if uncertain (looked up under 清)</x:v>
      </x:c>
      <x:c r="H2178" s="6" t="str">
        <x:f>IF(B2178="平","平",IF(B2178="","","仄"))</x:f>
        <x:v>平</x:v>
      </x:c>
      <x:c r="I2178" s="6" t="str">
        <x:f>IF(D2169="","",IF(AND(ISNUMBER(SEARCH("平",D2169)),OR(ISNUMBER(SEARCH("上",D2169)),ISNUMBER(SEARCH("去",D2169)),ISNUMBER(SEARCH("入",D2169)))),"Ambiguous",IF(ISNUMBER(SEARCH("平",D2169)),"平","仄")))</x:f>
        <x:v>平</x:v>
      </x:c>
      <x:c r="J2178" s="7" t="str">
        <x:v>Xun Gong character-readings.csv</x:v>
      </x:c>
    </x:row>
    <x:row r="2179">
      <x:c r="A2179" s="5" t="str">
        <x:v>淹</x:v>
      </x:c>
      <x:c r="B2179" s="6" t="str">
        <x:v>平</x:v>
      </x:c>
      <x:c r="C2179" s="6" t="str">
        <x:f>IF(B2179="","Needs decision","Ready")</x:f>
        <x:v>Ready</x:v>
      </x:c>
      <x:c r="D2179" s="6" t="str">
        <x:v>平</x:v>
      </x:c>
      <x:c r="E2179" s="6" t="str">
        <x:v>'jem (A)</x:v>
      </x:c>
      <x:c r="F2179" s="6" t="str">
        <x:v>1</x:v>
      </x:c>
      <x:c r="G2179" s="6" t="str"/>
      <x:c r="H2179" s="6" t="str">
        <x:f>IF(B2179="平","平",IF(B2179="","","仄"))</x:f>
        <x:v>平</x:v>
      </x:c>
      <x:c r="I2179" s="6" t="str">
        <x:f>IF(D2170="","",IF(AND(ISNUMBER(SEARCH("平",D2170)),OR(ISNUMBER(SEARCH("上",D2170)),ISNUMBER(SEARCH("去",D2170)),ISNUMBER(SEARCH("入",D2170)))),"Ambiguous",IF(ISNUMBER(SEARCH("平",D2170)),"平","仄")))</x:f>
        <x:v>平</x:v>
      </x:c>
      <x:c r="J2179" s="7" t="str"/>
    </x:row>
    <x:row r="2180">
      <x:c r="A2180" s="5" t="str">
        <x:v>淺</x:v>
      </x:c>
      <x:c r="B2180" s="6" t="str">
        <x:v>上</x:v>
      </x:c>
      <x:c r="C2180" s="6" t="str">
        <x:f>IF(B2180="","Needs decision","Ready")</x:f>
        <x:v>Ready</x:v>
      </x:c>
      <x:c r="D2180" s="6" t="str">
        <x:v>上</x:v>
      </x:c>
      <x:c r="E2180" s="6" t="str">
        <x:v>tshjenX (B)</x:v>
      </x:c>
      <x:c r="F2180" s="6" t="str">
        <x:v>1</x:v>
      </x:c>
      <x:c r="G2180" s="6" t="str"/>
      <x:c r="H2180" s="6" t="str">
        <x:f>IF(B2180="平","平",IF(B2180="","","仄"))</x:f>
        <x:v>仄</x:v>
      </x:c>
      <x:c r="I2180" s="6" t="str">
        <x:f>IF(D2171="","",IF(AND(ISNUMBER(SEARCH("平",D2171)),OR(ISNUMBER(SEARCH("上",D2171)),ISNUMBER(SEARCH("去",D2171)),ISNUMBER(SEARCH("入",D2171)))),"Ambiguous",IF(ISNUMBER(SEARCH("平",D2171)),"平","仄")))</x:f>
        <x:v>平</x:v>
      </x:c>
      <x:c r="J2180" s="7" t="str"/>
    </x:row>
    <x:row r="2181">
      <x:c r="A2181" s="5" t="str">
        <x:v>添</x:v>
      </x:c>
      <x:c r="B2181" s="6" t="str">
        <x:v>平</x:v>
      </x:c>
      <x:c r="C2181" s="6" t="str">
        <x:f>IF(B2181="","Needs decision","Ready")</x:f>
        <x:v>Ready</x:v>
      </x:c>
      <x:c r="D2181" s="6" t="str">
        <x:v>平</x:v>
      </x:c>
      <x:c r="E2181" s="6" t="str">
        <x:v>them (A)</x:v>
      </x:c>
      <x:c r="F2181" s="6" t="str">
        <x:v>1</x:v>
      </x:c>
      <x:c r="G2181" s="6" t="str"/>
      <x:c r="H2181" s="6" t="str">
        <x:f>IF(B2181="平","平",IF(B2181="","","仄"))</x:f>
        <x:v>平</x:v>
      </x:c>
      <x:c r="I2181" s="6" t="str">
        <x:f>IF(D2172="","",IF(AND(ISNUMBER(SEARCH("平",D2172)),OR(ISNUMBER(SEARCH("上",D2172)),ISNUMBER(SEARCH("去",D2172)),ISNUMBER(SEARCH("入",D2172)))),"Ambiguous",IF(ISNUMBER(SEARCH("平",D2172)),"平","仄")))</x:f>
        <x:v>仄</x:v>
      </x:c>
      <x:c r="J2181" s="7" t="str"/>
    </x:row>
    <x:row r="2182">
      <x:c r="A2182" s="5" t="str">
        <x:v>淼</x:v>
      </x:c>
      <x:c r="B2182" s="6" t="str">
        <x:v>上</x:v>
      </x:c>
      <x:c r="C2182" s="6" t="str">
        <x:f>IF(B2182="","Needs decision","Ready")</x:f>
        <x:v>Ready</x:v>
      </x:c>
      <x:c r="D2182" s="6" t="str">
        <x:v>上</x:v>
      </x:c>
      <x:c r="E2182" s="6" t="str">
        <x:v>mjiewX [mjewʔ] (上)</x:v>
      </x:c>
      <x:c r="F2182" s="6" t="str">
        <x:v>1</x:v>
      </x:c>
      <x:c r="G2182" s="6" t="str">
        <x:v>Tang 300 gap; frequency 2; provisional from Xun Gong</x:v>
      </x:c>
      <x:c r="H2182" s="6" t="str">
        <x:f>IF(B2182="平","平",IF(B2182="","","仄"))</x:f>
        <x:v>仄</x:v>
      </x:c>
      <x:c r="I2182" s="6" t="str">
        <x:f>IF(D2173="","",IF(AND(ISNUMBER(SEARCH("平",D2173)),OR(ISNUMBER(SEARCH("上",D2173)),ISNUMBER(SEARCH("去",D2173)),ISNUMBER(SEARCH("入",D2173)))),"Ambiguous",IF(ISNUMBER(SEARCH("平",D2173)),"平","仄")))</x:f>
        <x:v>平</x:v>
      </x:c>
      <x:c r="J2182" s="7" t="str">
        <x:v>Xun Gong, Tang 300 gap fill</x:v>
      </x:c>
    </x:row>
    <x:row r="2183">
      <x:c r="A2183" s="5" t="str">
        <x:v>清</x:v>
      </x:c>
      <x:c r="B2183" s="6" t="str">
        <x:v>平</x:v>
      </x:c>
      <x:c r="C2183" s="6" t="str">
        <x:f>IF(B2183="","Needs decision","Ready")</x:f>
        <x:v>Ready</x:v>
      </x:c>
      <x:c r="D2183" s="6" t="str">
        <x:v>平</x:v>
      </x:c>
      <x:c r="E2183" s="6" t="str">
        <x:v>tshjeng (A)</x:v>
      </x:c>
      <x:c r="F2183" s="6" t="str">
        <x:v>1</x:v>
      </x:c>
      <x:c r="G2183" s="6" t="str"/>
      <x:c r="H2183" s="6" t="str">
        <x:f>IF(B2183="平","平",IF(B2183="","","仄"))</x:f>
        <x:v>平</x:v>
      </x:c>
      <x:c r="I2183" s="6" t="str">
        <x:f>IF(D2174="","",IF(AND(ISNUMBER(SEARCH("平",D2174)),OR(ISNUMBER(SEARCH("上",D2174)),ISNUMBER(SEARCH("去",D2174)),ISNUMBER(SEARCH("入",D2174)))),"Ambiguous",IF(ISNUMBER(SEARCH("平",D2174)),"平","仄")))</x:f>
        <x:v>Ambiguous</x:v>
      </x:c>
      <x:c r="J2183" s="7" t="str"/>
    </x:row>
    <x:row r="2184">
      <x:c r="A2184" s="5" t="str">
        <x:v>渙</x:v>
      </x:c>
      <x:c r="B2184" s="6" t="str">
        <x:v>去</x:v>
      </x:c>
      <x:c r="C2184" s="6" t="str">
        <x:f>IF(B2184="","Needs decision","Ready")</x:f>
        <x:v>Ready</x:v>
      </x:c>
      <x:c r="D2184" s="6" t="str">
        <x:v>去</x:v>
      </x:c>
      <x:c r="E2184" s="6" t="str">
        <x:v>xwanH (C)</x:v>
      </x:c>
      <x:c r="F2184" s="6" t="str">
        <x:v>1</x:v>
      </x:c>
      <x:c r="G2184" s="6" t="str"/>
      <x:c r="H2184" s="6" t="str">
        <x:f>IF(B2184="平","平",IF(B2184="","","仄"))</x:f>
        <x:v>仄</x:v>
      </x:c>
      <x:c r="I2184" s="6" t="str">
        <x:f>IF(D2175="","",IF(AND(ISNUMBER(SEARCH("平",D2175)),OR(ISNUMBER(SEARCH("上",D2175)),ISNUMBER(SEARCH("去",D2175)),ISNUMBER(SEARCH("入",D2175)))),"Ambiguous",IF(ISNUMBER(SEARCH("平",D2175)),"平","仄")))</x:f>
        <x:v>Ambiguous</x:v>
      </x:c>
      <x:c r="J2184" s="7" t="str"/>
    </x:row>
    <x:row r="2185">
      <x:c r="A2185" s="5" t="str">
        <x:v>渚</x:v>
      </x:c>
      <x:c r="B2185" s="6" t="str">
        <x:v>上</x:v>
      </x:c>
      <x:c r="C2185" s="6" t="str">
        <x:f>IF(B2185="","Needs decision","Ready")</x:f>
        <x:v>Ready</x:v>
      </x:c>
      <x:c r="D2185" s="6" t="str">
        <x:v>上</x:v>
      </x:c>
      <x:c r="E2185" s="6" t="str">
        <x:v>tsyoX (B)</x:v>
      </x:c>
      <x:c r="F2185" s="6" t="str">
        <x:v>1</x:v>
      </x:c>
      <x:c r="G2185" s="6" t="str"/>
      <x:c r="H2185" s="6" t="str">
        <x:f>IF(B2185="平","平",IF(B2185="","","仄"))</x:f>
        <x:v>仄</x:v>
      </x:c>
      <x:c r="I2185" s="6" t="str">
        <x:f>IF(D2176="","",IF(AND(ISNUMBER(SEARCH("平",D2176)),OR(ISNUMBER(SEARCH("上",D2176)),ISNUMBER(SEARCH("去",D2176)),ISNUMBER(SEARCH("入",D2176)))),"Ambiguous",IF(ISNUMBER(SEARCH("平",D2176)),"平","仄")))</x:f>
        <x:v>平</x:v>
      </x:c>
      <x:c r="J2185" s="7" t="str"/>
    </x:row>
    <x:row r="2186">
      <x:c r="A2186" s="5" t="str">
        <x:v>減</x:v>
      </x:c>
      <x:c r="B2186" s="6" t="str">
        <x:v>上</x:v>
      </x:c>
      <x:c r="C2186" s="6" t="str">
        <x:f>IF(B2186="","Needs decision","Ready")</x:f>
        <x:v>Ready</x:v>
      </x:c>
      <x:c r="D2186" s="6" t="str">
        <x:v>上</x:v>
      </x:c>
      <x:c r="E2186" s="6" t="str">
        <x:v>heamX (B); keamX (B)</x:v>
      </x:c>
      <x:c r="F2186" s="6" t="str">
        <x:v>2</x:v>
      </x:c>
      <x:c r="G2186" s="6" t="str"/>
      <x:c r="H2186" s="6" t="str">
        <x:f>IF(B2186="平","平",IF(B2186="","","仄"))</x:f>
        <x:v>仄</x:v>
      </x:c>
      <x:c r="I2186" s="6" t="str">
        <x:f>IF(D2177="","",IF(AND(ISNUMBER(SEARCH("平",D2177)),OR(ISNUMBER(SEARCH("上",D2177)),ISNUMBER(SEARCH("去",D2177)),ISNUMBER(SEARCH("入",D2177)))),"Ambiguous",IF(ISNUMBER(SEARCH("平",D2177)),"平","仄")))</x:f>
        <x:v>仄</x:v>
      </x:c>
      <x:c r="J2186" s="7" t="str"/>
    </x:row>
    <x:row r="2187">
      <x:c r="A2187" s="5" t="str">
        <x:v>渝</x:v>
      </x:c>
      <x:c r="B2187" s="6" t="str">
        <x:v>平</x:v>
      </x:c>
      <x:c r="C2187" s="6" t="str">
        <x:f>IF(B2187="","Needs decision","Ready")</x:f>
        <x:v>Ready</x:v>
      </x:c>
      <x:c r="D2187" s="6" t="str">
        <x:v>平</x:v>
      </x:c>
      <x:c r="E2187" s="6" t="str">
        <x:v>yu (A)</x:v>
      </x:c>
      <x:c r="F2187" s="6" t="str">
        <x:v>1</x:v>
      </x:c>
      <x:c r="G2187" s="6" t="str"/>
      <x:c r="H2187" s="6" t="str">
        <x:f>IF(B2187="平","平",IF(B2187="","","仄"))</x:f>
        <x:v>平</x:v>
      </x:c>
      <x:c r="I2187" s="6" t="str">
        <x:f>IF(D2178="","",IF(AND(ISNUMBER(SEARCH("平",D2178)),OR(ISNUMBER(SEARCH("上",D2178)),ISNUMBER(SEARCH("去",D2178)),ISNUMBER(SEARCH("入",D2178)))),"Ambiguous",IF(ISNUMBER(SEARCH("平",D2178)),"平","仄")))</x:f>
        <x:v>平</x:v>
      </x:c>
      <x:c r="J2187" s="7" t="str"/>
    </x:row>
    <x:row r="2188">
      <x:c r="A2188" s="5" t="str">
        <x:v>渠</x:v>
      </x:c>
      <x:c r="B2188" s="6" t="str">
        <x:v>平</x:v>
      </x:c>
      <x:c r="C2188" s="6" t="str">
        <x:f>IF(B2188="","Needs decision","Ready")</x:f>
        <x:v>Ready</x:v>
      </x:c>
      <x:c r="D2188" s="6" t="str">
        <x:v>平</x:v>
      </x:c>
      <x:c r="E2188" s="6" t="str">
        <x:v>gjo (A)</x:v>
      </x:c>
      <x:c r="F2188" s="6" t="str">
        <x:v>1</x:v>
      </x:c>
      <x:c r="G2188" s="6" t="str"/>
      <x:c r="H2188" s="6" t="str">
        <x:f>IF(B2188="平","平",IF(B2188="","","仄"))</x:f>
        <x:v>平</x:v>
      </x:c>
      <x:c r="I2188" s="6" t="str">
        <x:f>IF(D2179="","",IF(AND(ISNUMBER(SEARCH("平",D2179)),OR(ISNUMBER(SEARCH("上",D2179)),ISNUMBER(SEARCH("去",D2179)),ISNUMBER(SEARCH("入",D2179)))),"Ambiguous",IF(ISNUMBER(SEARCH("平",D2179)),"平","仄")))</x:f>
        <x:v>平</x:v>
      </x:c>
      <x:c r="J2188" s="7" t="str"/>
    </x:row>
    <x:row r="2189">
      <x:c r="A2189" s="5" t="str">
        <x:v>渡</x:v>
      </x:c>
      <x:c r="B2189" s="6" t="str">
        <x:v>去</x:v>
      </x:c>
      <x:c r="C2189" s="6" t="str">
        <x:f>IF(B2189="","Needs decision","Ready")</x:f>
        <x:v>Ready</x:v>
      </x:c>
      <x:c r="D2189" s="6" t="str">
        <x:v>去</x:v>
      </x:c>
      <x:c r="E2189" s="6" t="str">
        <x:v>duH (C)</x:v>
      </x:c>
      <x:c r="F2189" s="6" t="str">
        <x:v>1</x:v>
      </x:c>
      <x:c r="G2189" s="6" t="str"/>
      <x:c r="H2189" s="6" t="str">
        <x:f>IF(B2189="平","平",IF(B2189="","","仄"))</x:f>
        <x:v>仄</x:v>
      </x:c>
      <x:c r="I2189" s="6" t="str">
        <x:f>IF(D2180="","",IF(AND(ISNUMBER(SEARCH("平",D2180)),OR(ISNUMBER(SEARCH("上",D2180)),ISNUMBER(SEARCH("去",D2180)),ISNUMBER(SEARCH("入",D2180)))),"Ambiguous",IF(ISNUMBER(SEARCH("平",D2180)),"平","仄")))</x:f>
        <x:v>仄</x:v>
      </x:c>
      <x:c r="J2189" s="7" t="str"/>
    </x:row>
    <x:row r="2190">
      <x:c r="A2190" s="5" t="str">
        <x:v>渢</x:v>
      </x:c>
      <x:c r="B2190" s="6" t="str">
        <x:v>平</x:v>
      </x:c>
      <x:c r="C2190" s="6" t="str">
        <x:f>IF(B2190="","Needs decision","Ready")</x:f>
        <x:v>Ready</x:v>
      </x:c>
      <x:c r="D2190" s="6" t="str">
        <x:v>平</x:v>
      </x:c>
      <x:c r="E2190" s="6" t="str">
        <x:v>bjuwng [並三C東平] bɨ̯uŋ</x:v>
      </x:c>
      <x:c r="F2190" s="6" t="str">
        <x:v>1</x:v>
      </x:c>
      <x:c r="G2190" s="6" t="str">
        <x:v>Targeted preliminary fill from Xun Gong; review if uncertain</x:v>
      </x:c>
      <x:c r="H2190" s="6" t="str">
        <x:f>IF(B2190="平","平",IF(B2190="","","仄"))</x:f>
        <x:v>平</x:v>
      </x:c>
      <x:c r="I2190" s="6" t="str">
        <x:f>IF(D2181="","",IF(AND(ISNUMBER(SEARCH("平",D2181)),OR(ISNUMBER(SEARCH("上",D2181)),ISNUMBER(SEARCH("去",D2181)),ISNUMBER(SEARCH("入",D2181)))),"Ambiguous",IF(ISNUMBER(SEARCH("平",D2181)),"平","仄")))</x:f>
        <x:v>平</x:v>
      </x:c>
      <x:c r="J2190" s="7" t="str">
        <x:v>Xun Gong character-readings.csv</x:v>
      </x:c>
    </x:row>
    <x:row r="2191">
      <x:c r="A2191" s="5" t="str">
        <x:v>渥</x:v>
      </x:c>
      <x:c r="B2191" s="6" t="str">
        <x:v>入</x:v>
      </x:c>
      <x:c r="C2191" s="6" t="str">
        <x:f>IF(B2191="","Needs decision","Ready")</x:f>
        <x:v>Ready</x:v>
      </x:c>
      <x:c r="D2191" s="6" t="str">
        <x:v>入</x:v>
      </x:c>
      <x:c r="E2191" s="6" t="str">
        <x:v>'aewk (D)</x:v>
      </x:c>
      <x:c r="F2191" s="6" t="str">
        <x:v>1</x:v>
      </x:c>
      <x:c r="G2191" s="6" t="str"/>
      <x:c r="H2191" s="6" t="str">
        <x:f>IF(B2191="平","平",IF(B2191="","","仄"))</x:f>
        <x:v>仄</x:v>
      </x:c>
      <x:c r="I2191" s="6" t="str">
        <x:f>IF(D2182="","",IF(AND(ISNUMBER(SEARCH("平",D2182)),OR(ISNUMBER(SEARCH("上",D2182)),ISNUMBER(SEARCH("去",D2182)),ISNUMBER(SEARCH("入",D2182)))),"Ambiguous",IF(ISNUMBER(SEARCH("平",D2182)),"平","仄")))</x:f>
        <x:v>仄</x:v>
      </x:c>
      <x:c r="J2191" s="7" t="str"/>
    </x:row>
    <x:row r="2192">
      <x:c r="A2192" s="5" t="str">
        <x:v>温</x:v>
      </x:c>
      <x:c r="B2192" s="6" t="str">
        <x:v>平</x:v>
      </x:c>
      <x:c r="C2192" s="6" t="str">
        <x:f>IF(B2192="","Needs decision","Ready")</x:f>
        <x:v>Ready</x:v>
      </x:c>
      <x:c r="D2192" s="6" t="str">
        <x:v>平</x:v>
      </x:c>
      <x:c r="E2192" s="6" t="str">
        <x:v>'won (A)</x:v>
      </x:c>
      <x:c r="F2192" s="6" t="str">
        <x:v>1</x:v>
      </x:c>
      <x:c r="G2192" s="6" t="str"/>
      <x:c r="H2192" s="6" t="str">
        <x:f>IF(B2192="平","平",IF(B2192="","","仄"))</x:f>
        <x:v>平</x:v>
      </x:c>
      <x:c r="I2192" s="6" t="str">
        <x:f>IF(D2183="","",IF(AND(ISNUMBER(SEARCH("平",D2183)),OR(ISNUMBER(SEARCH("上",D2183)),ISNUMBER(SEARCH("去",D2183)),ISNUMBER(SEARCH("入",D2183)))),"Ambiguous",IF(ISNUMBER(SEARCH("平",D2183)),"平","仄")))</x:f>
        <x:v>平</x:v>
      </x:c>
      <x:c r="J2192" s="7" t="str"/>
    </x:row>
    <x:row r="2193">
      <x:c r="A2193" s="5" t="str">
        <x:v>測</x:v>
      </x:c>
      <x:c r="B2193" s="6" t="str">
        <x:v>入</x:v>
      </x:c>
      <x:c r="C2193" s="6" t="str">
        <x:f>IF(B2193="","Needs decision","Ready")</x:f>
        <x:v>Ready</x:v>
      </x:c>
      <x:c r="D2193" s="6" t="str">
        <x:v>入</x:v>
      </x:c>
      <x:c r="E2193" s="6" t="str">
        <x:v>tsrhik (D)</x:v>
      </x:c>
      <x:c r="F2193" s="6" t="str">
        <x:v>1</x:v>
      </x:c>
      <x:c r="G2193" s="6" t="str"/>
      <x:c r="H2193" s="6" t="str">
        <x:f>IF(B2193="平","平",IF(B2193="","","仄"))</x:f>
        <x:v>仄</x:v>
      </x:c>
      <x:c r="I2193" s="6" t="str">
        <x:f>IF(D2184="","",IF(AND(ISNUMBER(SEARCH("平",D2184)),OR(ISNUMBER(SEARCH("上",D2184)),ISNUMBER(SEARCH("去",D2184)),ISNUMBER(SEARCH("入",D2184)))),"Ambiguous",IF(ISNUMBER(SEARCH("平",D2184)),"平","仄")))</x:f>
        <x:v>仄</x:v>
      </x:c>
      <x:c r="J2193" s="7" t="str"/>
    </x:row>
    <x:row r="2194">
      <x:c r="A2194" s="5" t="str">
        <x:v>渭</x:v>
      </x:c>
      <x:c r="B2194" s="6" t="str">
        <x:v>去</x:v>
      </x:c>
      <x:c r="C2194" s="6" t="str">
        <x:f>IF(B2194="","Needs decision","Ready")</x:f>
        <x:v>Ready</x:v>
      </x:c>
      <x:c r="D2194" s="6" t="str">
        <x:v>去</x:v>
      </x:c>
      <x:c r="E2194" s="6" t="str">
        <x:v>hjw+jH [wɨjh] (去)</x:v>
      </x:c>
      <x:c r="F2194" s="6" t="str">
        <x:v>1</x:v>
      </x:c>
      <x:c r="G2194" s="6" t="str">
        <x:v>Tang 300 gap; frequency 3; provisional from Xun Gong</x:v>
      </x:c>
      <x:c r="H2194" s="6" t="str">
        <x:f>IF(B2194="平","平",IF(B2194="","","仄"))</x:f>
        <x:v>仄</x:v>
      </x:c>
      <x:c r="I2194" s="6" t="str">
        <x:f>IF(D2185="","",IF(AND(ISNUMBER(SEARCH("平",D2185)),OR(ISNUMBER(SEARCH("上",D2185)),ISNUMBER(SEARCH("去",D2185)),ISNUMBER(SEARCH("入",D2185)))),"Ambiguous",IF(ISNUMBER(SEARCH("平",D2185)),"平","仄")))</x:f>
        <x:v>仄</x:v>
      </x:c>
      <x:c r="J2194" s="7" t="str">
        <x:v>Xun Gong, Tang 300 gap fill</x:v>
      </x:c>
    </x:row>
    <x:row r="2195">
      <x:c r="A2195" s="5" t="str">
        <x:v>渴</x:v>
      </x:c>
      <x:c r="B2195" s="6" t="str">
        <x:v>入</x:v>
      </x:c>
      <x:c r="C2195" s="6" t="str">
        <x:f>IF(B2195="","Needs decision","Ready")</x:f>
        <x:v>Ready</x:v>
      </x:c>
      <x:c r="D2195" s="6" t="str">
        <x:v>入</x:v>
      </x:c>
      <x:c r="E2195" s="6" t="str">
        <x:v>khat (D)</x:v>
      </x:c>
      <x:c r="F2195" s="6" t="str">
        <x:v>1</x:v>
      </x:c>
      <x:c r="G2195" s="6" t="str"/>
      <x:c r="H2195" s="6" t="str">
        <x:f>IF(B2195="平","平",IF(B2195="","","仄"))</x:f>
        <x:v>仄</x:v>
      </x:c>
      <x:c r="I2195" s="6" t="str">
        <x:f>IF(D2186="","",IF(AND(ISNUMBER(SEARCH("平",D2186)),OR(ISNUMBER(SEARCH("上",D2186)),ISNUMBER(SEARCH("去",D2186)),ISNUMBER(SEARCH("入",D2186)))),"Ambiguous",IF(ISNUMBER(SEARCH("平",D2186)),"平","仄")))</x:f>
        <x:v>仄</x:v>
      </x:c>
      <x:c r="J2195" s="7" t="str"/>
    </x:row>
    <x:row r="2196">
      <x:c r="A2196" s="5" t="str">
        <x:v>游</x:v>
      </x:c>
      <x:c r="B2196" s="6" t="str">
        <x:v>平</x:v>
      </x:c>
      <x:c r="C2196" s="6" t="str">
        <x:f>IF(B2196="","Needs decision","Ready")</x:f>
        <x:v>Ready</x:v>
      </x:c>
      <x:c r="D2196" s="6" t="str">
        <x:v>平</x:v>
      </x:c>
      <x:c r="E2196" s="6" t="str">
        <x:v>yuw (A)</x:v>
      </x:c>
      <x:c r="F2196" s="6" t="str">
        <x:v>1</x:v>
      </x:c>
      <x:c r="G2196" s="6" t="str"/>
      <x:c r="H2196" s="6" t="str">
        <x:f>IF(B2196="平","平",IF(B2196="","","仄"))</x:f>
        <x:v>平</x:v>
      </x:c>
      <x:c r="I2196" s="6" t="str">
        <x:f>IF(D2187="","",IF(AND(ISNUMBER(SEARCH("平",D2187)),OR(ISNUMBER(SEARCH("上",D2187)),ISNUMBER(SEARCH("去",D2187)),ISNUMBER(SEARCH("入",D2187)))),"Ambiguous",IF(ISNUMBER(SEARCH("平",D2187)),"平","仄")))</x:f>
        <x:v>平</x:v>
      </x:c>
      <x:c r="J2196" s="7" t="str"/>
    </x:row>
    <x:row r="2197">
      <x:c r="A2197" s="5" t="str">
        <x:v>渺</x:v>
      </x:c>
      <x:c r="B2197" s="6" t="str">
        <x:v>上</x:v>
      </x:c>
      <x:c r="C2197" s="6" t="str">
        <x:f>IF(B2197="","Needs decision","Ready")</x:f>
        <x:v>Ready</x:v>
      </x:c>
      <x:c r="D2197" s="6" t="str">
        <x:v>上</x:v>
      </x:c>
      <x:c r="E2197" s="6" t="str">
        <x:v>mjiewX (B)</x:v>
      </x:c>
      <x:c r="F2197" s="6" t="str">
        <x:v>1</x:v>
      </x:c>
      <x:c r="G2197" s="6" t="str"/>
      <x:c r="H2197" s="6" t="str">
        <x:f>IF(B2197="平","平",IF(B2197="","","仄"))</x:f>
        <x:v>仄</x:v>
      </x:c>
      <x:c r="I2197" s="6" t="str">
        <x:f>IF(D2188="","",IF(AND(ISNUMBER(SEARCH("平",D2188)),OR(ISNUMBER(SEARCH("上",D2188)),ISNUMBER(SEARCH("去",D2188)),ISNUMBER(SEARCH("入",D2188)))),"Ambiguous",IF(ISNUMBER(SEARCH("平",D2188)),"平","仄")))</x:f>
        <x:v>平</x:v>
      </x:c>
      <x:c r="J2197" s="7" t="str"/>
    </x:row>
    <x:row r="2198">
      <x:c r="A2198" s="5" t="str">
        <x:v>渾</x:v>
      </x:c>
      <x:c r="B2198" s="6" t="str"/>
      <x:c r="C2198" s="6" t="str">
        <x:f>IF(B2198="","Needs decision","Ready")</x:f>
        <x:v>Needs decision</x:v>
      </x:c>
      <x:c r="D2198" s="6" t="str">
        <x:v>平/上</x:v>
      </x:c>
      <x:c r="E2198" s="6" t="str">
        <x:v>hwon (A); hwonX (B)</x:v>
      </x:c>
      <x:c r="F2198" s="6" t="str">
        <x:v>2</x:v>
      </x:c>
      <x:c r="G2198" s="6" t="str"/>
      <x:c r="H2198" s="6" t="str">
        <x:f>IF(B2198="平","平",IF(B2198="","","仄"))</x:f>
      </x:c>
      <x:c r="I2198" s="6" t="str">
        <x:f>IF(D2189="","",IF(AND(ISNUMBER(SEARCH("平",D2189)),OR(ISNUMBER(SEARCH("上",D2189)),ISNUMBER(SEARCH("去",D2189)),ISNUMBER(SEARCH("入",D2189)))),"Ambiguous",IF(ISNUMBER(SEARCH("平",D2189)),"平","仄")))</x:f>
        <x:v>仄</x:v>
      </x:c>
      <x:c r="J2198" s="7" t="str"/>
    </x:row>
    <x:row r="2199">
      <x:c r="A2199" s="5" t="str">
        <x:v>湆</x:v>
      </x:c>
      <x:c r="B2199" s="6" t="str">
        <x:v>入</x:v>
      </x:c>
      <x:c r="C2199" s="6" t="str">
        <x:f>IF(B2199="","Needs decision","Ready")</x:f>
        <x:v>Ready</x:v>
      </x:c>
      <x:c r="D2199" s="6" t="str">
        <x:v>入</x:v>
      </x:c>
      <x:c r="E2199" s="6" t="str">
        <x:v>khip (D)</x:v>
      </x:c>
      <x:c r="F2199" s="6" t="str">
        <x:v>1</x:v>
      </x:c>
      <x:c r="G2199" s="6" t="str"/>
      <x:c r="H2199" s="6" t="str">
        <x:f>IF(B2199="平","平",IF(B2199="","","仄"))</x:f>
        <x:v>仄</x:v>
      </x:c>
      <x:c r="I2199" s="6" t="str">
        <x:f>IF(D2190="","",IF(AND(ISNUMBER(SEARCH("平",D2190)),OR(ISNUMBER(SEARCH("上",D2190)),ISNUMBER(SEARCH("去",D2190)),ISNUMBER(SEARCH("入",D2190)))),"Ambiguous",IF(ISNUMBER(SEARCH("平",D2190)),"平","仄")))</x:f>
        <x:v>平</x:v>
      </x:c>
      <x:c r="J2199" s="7" t="str"/>
    </x:row>
    <x:row r="2200">
      <x:c r="A2200" s="5" t="str">
        <x:v>湊</x:v>
      </x:c>
      <x:c r="B2200" s="6" t="str">
        <x:v>去</x:v>
      </x:c>
      <x:c r="C2200" s="6" t="str">
        <x:f>IF(B2200="","Needs decision","Ready")</x:f>
        <x:v>Ready</x:v>
      </x:c>
      <x:c r="D2200" s="6" t="str">
        <x:v>去</x:v>
      </x:c>
      <x:c r="E2200" s="6" t="str">
        <x:v>tshuwH [t̙s̙ʰuh] (去)</x:v>
      </x:c>
      <x:c r="F2200" s="6" t="str">
        <x:v>1</x:v>
      </x:c>
      <x:c r="G2200" s="6" t="str">
        <x:v>Tang 300 gap; frequency 1; provisional from Xun Gong</x:v>
      </x:c>
      <x:c r="H2200" s="6" t="str">
        <x:f>IF(B2200="平","平",IF(B2200="","","仄"))</x:f>
        <x:v>仄</x:v>
      </x:c>
      <x:c r="I2200" s="6" t="str">
        <x:f>IF(D2191="","",IF(AND(ISNUMBER(SEARCH("平",D2191)),OR(ISNUMBER(SEARCH("上",D2191)),ISNUMBER(SEARCH("去",D2191)),ISNUMBER(SEARCH("入",D2191)))),"Ambiguous",IF(ISNUMBER(SEARCH("平",D2191)),"平","仄")))</x:f>
        <x:v>仄</x:v>
      </x:c>
      <x:c r="J2200" s="7" t="str">
        <x:v>Xun Gong, Tang 300 gap fill</x:v>
      </x:c>
    </x:row>
    <x:row r="2201">
      <x:c r="A2201" s="5" t="str">
        <x:v>湍</x:v>
      </x:c>
      <x:c r="B2201" s="6" t="str">
        <x:v>平</x:v>
      </x:c>
      <x:c r="C2201" s="6" t="str">
        <x:f>IF(B2201="","Needs decision","Ready")</x:f>
        <x:v>Ready</x:v>
      </x:c>
      <x:c r="D2201" s="6" t="str">
        <x:v>平</x:v>
      </x:c>
      <x:c r="E2201" s="6" t="str">
        <x:v>thwan (A)</x:v>
      </x:c>
      <x:c r="F2201" s="6" t="str">
        <x:v>1</x:v>
      </x:c>
      <x:c r="G2201" s="6" t="str"/>
      <x:c r="H2201" s="6" t="str">
        <x:f>IF(B2201="平","平",IF(B2201="","","仄"))</x:f>
        <x:v>平</x:v>
      </x:c>
      <x:c r="I2201" s="6" t="str">
        <x:f>IF(D2192="","",IF(AND(ISNUMBER(SEARCH("平",D2192)),OR(ISNUMBER(SEARCH("上",D2192)),ISNUMBER(SEARCH("去",D2192)),ISNUMBER(SEARCH("入",D2192)))),"Ambiguous",IF(ISNUMBER(SEARCH("平",D2192)),"平","仄")))</x:f>
        <x:v>平</x:v>
      </x:c>
      <x:c r="J2201" s="7" t="str"/>
    </x:row>
    <x:row r="2202">
      <x:c r="A2202" s="5" t="str">
        <x:v>湎</x:v>
      </x:c>
      <x:c r="B2202" s="6" t="str">
        <x:v>上</x:v>
      </x:c>
      <x:c r="C2202" s="6" t="str">
        <x:f>IF(B2202="","Needs decision","Ready")</x:f>
        <x:v>Ready</x:v>
      </x:c>
      <x:c r="D2202" s="6" t="str">
        <x:v>上</x:v>
      </x:c>
      <x:c r="E2202" s="6" t="str">
        <x:v>mjienX (B)</x:v>
      </x:c>
      <x:c r="F2202" s="6" t="str">
        <x:v>1</x:v>
      </x:c>
      <x:c r="G2202" s="6" t="str"/>
      <x:c r="H2202" s="6" t="str">
        <x:f>IF(B2202="平","平",IF(B2202="","","仄"))</x:f>
        <x:v>仄</x:v>
      </x:c>
      <x:c r="I2202" s="6" t="str">
        <x:f>IF(D2193="","",IF(AND(ISNUMBER(SEARCH("平",D2193)),OR(ISNUMBER(SEARCH("上",D2193)),ISNUMBER(SEARCH("去",D2193)),ISNUMBER(SEARCH("入",D2193)))),"Ambiguous",IF(ISNUMBER(SEARCH("平",D2193)),"平","仄")))</x:f>
        <x:v>仄</x:v>
      </x:c>
      <x:c r="J2202" s="7" t="str"/>
    </x:row>
    <x:row r="2203">
      <x:c r="A2203" s="5" t="str">
        <x:v>湑</x:v>
      </x:c>
      <x:c r="B2203" s="6" t="str">
        <x:v>上</x:v>
      </x:c>
      <x:c r="C2203" s="6" t="str">
        <x:f>IF(B2203="","Needs decision","Ready")</x:f>
        <x:v>Ready</x:v>
      </x:c>
      <x:c r="D2203" s="6" t="str">
        <x:v>上</x:v>
      </x:c>
      <x:c r="E2203" s="6" t="str">
        <x:v>sjoX (B)</x:v>
      </x:c>
      <x:c r="F2203" s="6" t="str">
        <x:v>1</x:v>
      </x:c>
      <x:c r="G2203" s="6" t="str"/>
      <x:c r="H2203" s="6" t="str">
        <x:f>IF(B2203="平","平",IF(B2203="","","仄"))</x:f>
        <x:v>仄</x:v>
      </x:c>
      <x:c r="I2203" s="6" t="str">
        <x:f>IF(D2194="","",IF(AND(ISNUMBER(SEARCH("平",D2194)),OR(ISNUMBER(SEARCH("上",D2194)),ISNUMBER(SEARCH("去",D2194)),ISNUMBER(SEARCH("入",D2194)))),"Ambiguous",IF(ISNUMBER(SEARCH("平",D2194)),"平","仄")))</x:f>
        <x:v>仄</x:v>
      </x:c>
      <x:c r="J2203" s="7" t="str"/>
    </x:row>
    <x:row r="2204">
      <x:c r="A2204" s="5" t="str">
        <x:v>湓</x:v>
      </x:c>
      <x:c r="B2204" s="6" t="str"/>
      <x:c r="C2204" s="6" t="str">
        <x:f>IF(B2204="","Needs decision","Ready")</x:f>
        <x:v>Needs decision</x:v>
      </x:c>
      <x:c r="D2204" s="6" t="str">
        <x:v>平/去</x:v>
      </x:c>
      <x:c r="E2204" s="6" t="str">
        <x:v>bwon [b̙wən] (平); phjunH [pʰɨ̯unh] (去); phwonH [p̙ʰwənh] (去)</x:v>
      </x:c>
      <x:c r="F2204" s="6" t="str">
        <x:v>3</x:v>
      </x:c>
      <x:c r="G2204" s="6" t="str">
        <x:v>Tang 300 gap; frequency 1; ambiguous in Xun Gong</x:v>
      </x:c>
      <x:c r="H2204" s="6" t="str">
        <x:f>IF(B2204="平","平",IF(B2204="","","仄"))</x:f>
      </x:c>
      <x:c r="I2204" s="6" t="str">
        <x:f>IF(D2195="","",IF(AND(ISNUMBER(SEARCH("平",D2195)),OR(ISNUMBER(SEARCH("上",D2195)),ISNUMBER(SEARCH("去",D2195)),ISNUMBER(SEARCH("入",D2195)))),"Ambiguous",IF(ISNUMBER(SEARCH("平",D2195)),"平","仄")))</x:f>
        <x:v>仄</x:v>
      </x:c>
      <x:c r="J2204" s="7" t="str">
        <x:v>Xun Gong, Tang 300 gap fill</x:v>
      </x:c>
    </x:row>
    <x:row r="2205">
      <x:c r="A2205" s="5" t="str">
        <x:v>湖</x:v>
      </x:c>
      <x:c r="B2205" s="6" t="str">
        <x:v>平</x:v>
      </x:c>
      <x:c r="C2205" s="6" t="str">
        <x:f>IF(B2205="","Needs decision","Ready")</x:f>
        <x:v>Ready</x:v>
      </x:c>
      <x:c r="D2205" s="6" t="str">
        <x:v>平</x:v>
      </x:c>
      <x:c r="E2205" s="6" t="str">
        <x:v>hu (A)</x:v>
      </x:c>
      <x:c r="F2205" s="6" t="str">
        <x:v>1</x:v>
      </x:c>
      <x:c r="G2205" s="6" t="str"/>
      <x:c r="H2205" s="6" t="str">
        <x:f>IF(B2205="平","平",IF(B2205="","","仄"))</x:f>
        <x:v>平</x:v>
      </x:c>
      <x:c r="I2205" s="6" t="str">
        <x:f>IF(D2196="","",IF(AND(ISNUMBER(SEARCH("平",D2196)),OR(ISNUMBER(SEARCH("上",D2196)),ISNUMBER(SEARCH("去",D2196)),ISNUMBER(SEARCH("入",D2196)))),"Ambiguous",IF(ISNUMBER(SEARCH("平",D2196)),"平","仄")))</x:f>
        <x:v>平</x:v>
      </x:c>
      <x:c r="J2205" s="7" t="str"/>
    </x:row>
    <x:row r="2206">
      <x:c r="A2206" s="5" t="str">
        <x:v>湘</x:v>
      </x:c>
      <x:c r="B2206" s="6" t="str">
        <x:v>平</x:v>
      </x:c>
      <x:c r="C2206" s="6" t="str">
        <x:f>IF(B2206="","Needs decision","Ready")</x:f>
        <x:v>Ready</x:v>
      </x:c>
      <x:c r="D2206" s="6" t="str">
        <x:v>平</x:v>
      </x:c>
      <x:c r="E2206" s="6" t="str"/>
      <x:c r="F2206" s="6" t="str"/>
      <x:c r="G2206" s="6" t="str">
        <x:v>Manual user correction/addition</x:v>
      </x:c>
      <x:c r="H2206" s="6" t="str">
        <x:f>IF(B2206="平","平",IF(B2206="","","仄"))</x:f>
        <x:v>平</x:v>
      </x:c>
      <x:c r="I2206" s="6" t="str">
        <x:f>IF(D2197="","",IF(AND(ISNUMBER(SEARCH("平",D2197)),OR(ISNUMBER(SEARCH("上",D2197)),ISNUMBER(SEARCH("去",D2197)),ISNUMBER(SEARCH("入",D2197)))),"Ambiguous",IF(ISNUMBER(SEARCH("平",D2197)),"平","仄")))</x:f>
        <x:v>仄</x:v>
      </x:c>
      <x:c r="J2206" s="7" t="str">
        <x:v>manual user correction</x:v>
      </x:c>
    </x:row>
    <x:row r="2207">
      <x:c r="A2207" s="5" t="str">
        <x:v>湛</x:v>
      </x:c>
      <x:c r="B2207" s="6" t="str">
        <x:v>上</x:v>
      </x:c>
      <x:c r="C2207" s="6" t="str">
        <x:f>IF(B2207="","Needs decision","Ready")</x:f>
        <x:v>Ready</x:v>
      </x:c>
      <x:c r="D2207" s="6" t="str">
        <x:v>平/上</x:v>
      </x:c>
      <x:c r="E2207" s="6" t="str">
        <x:v>tom [端開一覃平] t̙əm; dreamX [澄開二咸上] ɖeˤmʔ; drim [澄開三侵平] ɖim</x:v>
      </x:c>
      <x:c r="F2207" s="6" t="str">
        <x:v>3</x:v>
      </x:c>
      <x:c r="G2207" s="6" t="str">
        <x:v>Targeted preliminary fill from Xun Gong; review if uncertain</x:v>
      </x:c>
      <x:c r="H2207" s="6" t="str">
        <x:f>IF(B2207="平","平",IF(B2207="","","仄"))</x:f>
        <x:v>仄</x:v>
      </x:c>
      <x:c r="I2207" s="6" t="str">
        <x:f>IF(D2198="","",IF(AND(ISNUMBER(SEARCH("平",D2198)),OR(ISNUMBER(SEARCH("上",D2198)),ISNUMBER(SEARCH("去",D2198)),ISNUMBER(SEARCH("入",D2198)))),"Ambiguous",IF(ISNUMBER(SEARCH("平",D2198)),"平","仄")))</x:f>
        <x:v>Ambiguous</x:v>
      </x:c>
      <x:c r="J2207" s="7" t="str">
        <x:v>Xun Gong character-readings.csv</x:v>
      </x:c>
    </x:row>
    <x:row r="2208">
      <x:c r="A2208" s="5" t="str">
        <x:v>湝</x:v>
      </x:c>
      <x:c r="B2208" s="6" t="str">
        <x:v>平</x:v>
      </x:c>
      <x:c r="C2208" s="6" t="str">
        <x:f>IF(B2208="","Needs decision","Ready")</x:f>
        <x:v>Ready</x:v>
      </x:c>
      <x:c r="D2208" s="6" t="str">
        <x:v>平</x:v>
      </x:c>
      <x:c r="E2208" s="6" t="str">
        <x:v>heaj (A)</x:v>
      </x:c>
      <x:c r="F2208" s="6" t="str">
        <x:v>1</x:v>
      </x:c>
      <x:c r="G2208" s="6" t="str"/>
      <x:c r="H2208" s="6" t="str">
        <x:f>IF(B2208="平","平",IF(B2208="","","仄"))</x:f>
        <x:v>平</x:v>
      </x:c>
      <x:c r="I2208" s="6" t="str">
        <x:f>IF(D2199="","",IF(AND(ISNUMBER(SEARCH("平",D2199)),OR(ISNUMBER(SEARCH("上",D2199)),ISNUMBER(SEARCH("去",D2199)),ISNUMBER(SEARCH("入",D2199)))),"Ambiguous",IF(ISNUMBER(SEARCH("平",D2199)),"平","仄")))</x:f>
        <x:v>仄</x:v>
      </x:c>
      <x:c r="J2208" s="7" t="str"/>
    </x:row>
    <x:row r="2209">
      <x:c r="A2209" s="5" t="str">
        <x:v>湯</x:v>
      </x:c>
      <x:c r="B2209" s="6" t="str">
        <x:v>平</x:v>
      </x:c>
      <x:c r="C2209" s="6" t="str">
        <x:f>IF(B2209="","Needs decision","Ready")</x:f>
        <x:v>Ready</x:v>
      </x:c>
      <x:c r="D2209" s="6" t="str">
        <x:v>平</x:v>
      </x:c>
      <x:c r="E2209" s="6" t="str">
        <x:v>syang (A); thang (A)</x:v>
      </x:c>
      <x:c r="F2209" s="6" t="str">
        <x:v>2</x:v>
      </x:c>
      <x:c r="G2209" s="6" t="str"/>
      <x:c r="H2209" s="6" t="str">
        <x:f>IF(B2209="平","平",IF(B2209="","","仄"))</x:f>
        <x:v>平</x:v>
      </x:c>
      <x:c r="I2209" s="6" t="str">
        <x:f>IF(D2200="","",IF(AND(ISNUMBER(SEARCH("平",D2200)),OR(ISNUMBER(SEARCH("上",D2200)),ISNUMBER(SEARCH("去",D2200)),ISNUMBER(SEARCH("入",D2200)))),"Ambiguous",IF(ISNUMBER(SEARCH("平",D2200)),"平","仄")))</x:f>
        <x:v>仄</x:v>
      </x:c>
      <x:c r="J2209" s="7" t="str"/>
    </x:row>
    <x:row r="2210">
      <x:c r="A2210" s="5" t="str">
        <x:v>湲</x:v>
      </x:c>
      <x:c r="B2210" s="6" t="str">
        <x:v>平</x:v>
      </x:c>
      <x:c r="C2210" s="6" t="str">
        <x:f>IF(B2210="","Needs decision","Ready")</x:f>
        <x:v>Ready</x:v>
      </x:c>
      <x:c r="D2210" s="6" t="str">
        <x:v>平</x:v>
      </x:c>
      <x:c r="E2210" s="6" t="str"/>
      <x:c r="F2210" s="6" t="str"/>
      <x:c r="G2210" s="6" t="str">
        <x:v>Manual user correction/addition</x:v>
      </x:c>
      <x:c r="H2210" s="6" t="str">
        <x:f>IF(B2210="平","平",IF(B2210="","","仄"))</x:f>
        <x:v>平</x:v>
      </x:c>
      <x:c r="I2210" s="6" t="str">
        <x:f>IF(D2201="","",IF(AND(ISNUMBER(SEARCH("平",D2201)),OR(ISNUMBER(SEARCH("上",D2201)),ISNUMBER(SEARCH("去",D2201)),ISNUMBER(SEARCH("入",D2201)))),"Ambiguous",IF(ISNUMBER(SEARCH("平",D2201)),"平","仄")))</x:f>
        <x:v>平</x:v>
      </x:c>
      <x:c r="J2210" s="7" t="str">
        <x:v>manual user correction</x:v>
      </x:c>
    </x:row>
    <x:row r="2211">
      <x:c r="A2211" s="5" t="str">
        <x:v>溉</x:v>
      </x:c>
      <x:c r="B2211" s="6" t="str">
        <x:v>去</x:v>
      </x:c>
      <x:c r="C2211" s="6" t="str">
        <x:f>IF(B2211="","Needs decision","Ready")</x:f>
        <x:v>Ready</x:v>
      </x:c>
      <x:c r="D2211" s="6" t="str">
        <x:v>去</x:v>
      </x:c>
      <x:c r="E2211" s="6" t="str">
        <x:v>kojH (C)</x:v>
      </x:c>
      <x:c r="F2211" s="6" t="str">
        <x:v>1</x:v>
      </x:c>
      <x:c r="G2211" s="6" t="str"/>
      <x:c r="H2211" s="6" t="str">
        <x:f>IF(B2211="平","平",IF(B2211="","","仄"))</x:f>
        <x:v>仄</x:v>
      </x:c>
      <x:c r="I2211" s="6" t="str">
        <x:f>IF(D2202="","",IF(AND(ISNUMBER(SEARCH("平",D2202)),OR(ISNUMBER(SEARCH("上",D2202)),ISNUMBER(SEARCH("去",D2202)),ISNUMBER(SEARCH("入",D2202)))),"Ambiguous",IF(ISNUMBER(SEARCH("平",D2202)),"平","仄")))</x:f>
        <x:v>仄</x:v>
      </x:c>
      <x:c r="J2211" s="7" t="str"/>
    </x:row>
    <x:row r="2212">
      <x:c r="A2212" s="5" t="str">
        <x:v>源</x:v>
      </x:c>
      <x:c r="B2212" s="6" t="str">
        <x:v>平</x:v>
      </x:c>
      <x:c r="C2212" s="6" t="str">
        <x:f>IF(B2212="","Needs decision","Ready")</x:f>
        <x:v>Ready</x:v>
      </x:c>
      <x:c r="D2212" s="6" t="str">
        <x:v>平</x:v>
      </x:c>
      <x:c r="E2212" s="6" t="str">
        <x:v>ngjwon (A)</x:v>
      </x:c>
      <x:c r="F2212" s="6" t="str">
        <x:v>1</x:v>
      </x:c>
      <x:c r="G2212" s="6" t="str"/>
      <x:c r="H2212" s="6" t="str">
        <x:f>IF(B2212="平","平",IF(B2212="","","仄"))</x:f>
        <x:v>平</x:v>
      </x:c>
      <x:c r="I2212" s="6" t="str">
        <x:f>IF(D2203="","",IF(AND(ISNUMBER(SEARCH("平",D2203)),OR(ISNUMBER(SEARCH("上",D2203)),ISNUMBER(SEARCH("去",D2203)),ISNUMBER(SEARCH("入",D2203)))),"Ambiguous",IF(ISNUMBER(SEARCH("平",D2203)),"平","仄")))</x:f>
        <x:v>仄</x:v>
      </x:c>
      <x:c r="J2212" s="7" t="str"/>
    </x:row>
    <x:row r="2213">
      <x:c r="A2213" s="5" t="str">
        <x:v>準</x:v>
      </x:c>
      <x:c r="B2213" s="6" t="str">
        <x:v>上</x:v>
      </x:c>
      <x:c r="C2213" s="6" t="str">
        <x:f>IF(B2213="","Needs decision","Ready")</x:f>
        <x:v>Ready</x:v>
      </x:c>
      <x:c r="D2213" s="6" t="str">
        <x:v>上</x:v>
      </x:c>
      <x:c r="E2213" s="6" t="str">
        <x:v>tsywinX (B)</x:v>
      </x:c>
      <x:c r="F2213" s="6" t="str">
        <x:v>1</x:v>
      </x:c>
      <x:c r="G2213" s="6" t="str"/>
      <x:c r="H2213" s="6" t="str">
        <x:f>IF(B2213="平","平",IF(B2213="","","仄"))</x:f>
        <x:v>仄</x:v>
      </x:c>
      <x:c r="I2213" s="6" t="str">
        <x:f>IF(D2204="","",IF(AND(ISNUMBER(SEARCH("平",D2204)),OR(ISNUMBER(SEARCH("上",D2204)),ISNUMBER(SEARCH("去",D2204)),ISNUMBER(SEARCH("入",D2204)))),"Ambiguous",IF(ISNUMBER(SEARCH("平",D2204)),"平","仄")))</x:f>
        <x:v>Ambiguous</x:v>
      </x:c>
      <x:c r="J2213" s="7" t="str"/>
    </x:row>
    <x:row r="2214">
      <x:c r="A2214" s="5" t="str">
        <x:v>溜</x:v>
      </x:c>
      <x:c r="B2214" s="6" t="str">
        <x:v>去</x:v>
      </x:c>
      <x:c r="C2214" s="6" t="str">
        <x:f>IF(B2214="","Needs decision","Ready")</x:f>
        <x:v>Ready</x:v>
      </x:c>
      <x:c r="D2214" s="6" t="str">
        <x:v>去</x:v>
      </x:c>
      <x:c r="E2214" s="6" t="str">
        <x:v>ljuwH [ljuh] (去)</x:v>
      </x:c>
      <x:c r="F2214" s="6" t="str">
        <x:v>1</x:v>
      </x:c>
      <x:c r="G2214" s="6" t="str">
        <x:v>Tang 300 gap; frequency 1; provisional from Xun Gong</x:v>
      </x:c>
      <x:c r="H2214" s="6" t="str">
        <x:f>IF(B2214="平","平",IF(B2214="","","仄"))</x:f>
        <x:v>仄</x:v>
      </x:c>
      <x:c r="I2214" s="6" t="str">
        <x:f>IF(D2205="","",IF(AND(ISNUMBER(SEARCH("平",D2205)),OR(ISNUMBER(SEARCH("上",D2205)),ISNUMBER(SEARCH("去",D2205)),ISNUMBER(SEARCH("入",D2205)))),"Ambiguous",IF(ISNUMBER(SEARCH("平",D2205)),"平","仄")))</x:f>
        <x:v>平</x:v>
      </x:c>
      <x:c r="J2214" s="7" t="str">
        <x:v>Xun Gong, Tang 300 gap fill</x:v>
      </x:c>
    </x:row>
    <x:row r="2215">
      <x:c r="A2215" s="5" t="str">
        <x:v>溝</x:v>
      </x:c>
      <x:c r="B2215" s="6" t="str">
        <x:v>平</x:v>
      </x:c>
      <x:c r="C2215" s="6" t="str">
        <x:f>IF(B2215="","Needs decision","Ready")</x:f>
        <x:v>Ready</x:v>
      </x:c>
      <x:c r="D2215" s="6" t="str">
        <x:v>平</x:v>
      </x:c>
      <x:c r="E2215" s="6" t="str">
        <x:v>kuw (A)</x:v>
      </x:c>
      <x:c r="F2215" s="6" t="str">
        <x:v>1</x:v>
      </x:c>
      <x:c r="G2215" s="6" t="str"/>
      <x:c r="H2215" s="6" t="str">
        <x:f>IF(B2215="平","平",IF(B2215="","","仄"))</x:f>
        <x:v>平</x:v>
      </x:c>
      <x:c r="I2215" s="6" t="str">
        <x:f>IF(D2206="","",IF(AND(ISNUMBER(SEARCH("平",D2206)),OR(ISNUMBER(SEARCH("上",D2206)),ISNUMBER(SEARCH("去",D2206)),ISNUMBER(SEARCH("入",D2206)))),"Ambiguous",IF(ISNUMBER(SEARCH("平",D2206)),"平","仄")))</x:f>
        <x:v>平</x:v>
      </x:c>
      <x:c r="J2215" s="7" t="str"/>
    </x:row>
    <x:row r="2216">
      <x:c r="A2216" s="5" t="str">
        <x:v>溢</x:v>
      </x:c>
      <x:c r="B2216" s="6" t="str">
        <x:v>入</x:v>
      </x:c>
      <x:c r="C2216" s="6" t="str">
        <x:f>IF(B2216="","Needs decision","Ready")</x:f>
        <x:v>Ready</x:v>
      </x:c>
      <x:c r="D2216" s="6" t="str">
        <x:v>入</x:v>
      </x:c>
      <x:c r="E2216" s="6" t="str">
        <x:v>yit (D)</x:v>
      </x:c>
      <x:c r="F2216" s="6" t="str">
        <x:v>1</x:v>
      </x:c>
      <x:c r="G2216" s="6" t="str"/>
      <x:c r="H2216" s="6" t="str">
        <x:f>IF(B2216="平","平",IF(B2216="","","仄"))</x:f>
        <x:v>仄</x:v>
      </x:c>
      <x:c r="I2216" s="6" t="str">
        <x:f>IF(D2207="","",IF(AND(ISNUMBER(SEARCH("平",D2207)),OR(ISNUMBER(SEARCH("上",D2207)),ISNUMBER(SEARCH("去",D2207)),ISNUMBER(SEARCH("入",D2207)))),"Ambiguous",IF(ISNUMBER(SEARCH("平",D2207)),"平","仄")))</x:f>
        <x:v>Ambiguous</x:v>
      </x:c>
      <x:c r="J2216" s="7" t="str"/>
    </x:row>
    <x:row r="2217">
      <x:c r="A2217" s="5" t="str">
        <x:v>溥</x:v>
      </x:c>
      <x:c r="B2217" s="6" t="str">
        <x:v>上</x:v>
      </x:c>
      <x:c r="C2217" s="6" t="str">
        <x:f>IF(B2217="","Needs decision","Ready")</x:f>
        <x:v>Ready</x:v>
      </x:c>
      <x:c r="D2217" s="6" t="str">
        <x:v>上</x:v>
      </x:c>
      <x:c r="E2217" s="6" t="str"/>
      <x:c r="F2217" s="6" t="str"/>
      <x:c r="G2217" s="6" t="str">
        <x:v>Manual user correction/addition</x:v>
      </x:c>
      <x:c r="H2217" s="6" t="str">
        <x:f>IF(B2217="平","平",IF(B2217="","","仄"))</x:f>
        <x:v>仄</x:v>
      </x:c>
      <x:c r="I2217" s="6" t="str">
        <x:f>IF(D2208="","",IF(AND(ISNUMBER(SEARCH("平",D2208)),OR(ISNUMBER(SEARCH("上",D2208)),ISNUMBER(SEARCH("去",D2208)),ISNUMBER(SEARCH("入",D2208)))),"Ambiguous",IF(ISNUMBER(SEARCH("平",D2208)),"平","仄")))</x:f>
        <x:v>平</x:v>
      </x:c>
      <x:c r="J2217" s="7" t="str">
        <x:v>manual user correction</x:v>
      </x:c>
    </x:row>
    <x:row r="2218">
      <x:c r="A2218" s="5" t="str">
        <x:v>溪</x:v>
      </x:c>
      <x:c r="B2218" s="6" t="str">
        <x:v>平</x:v>
      </x:c>
      <x:c r="C2218" s="6" t="str">
        <x:f>IF(B2218="","Needs decision","Ready")</x:f>
        <x:v>Ready</x:v>
      </x:c>
      <x:c r="D2218" s="6" t="str">
        <x:v>平</x:v>
      </x:c>
      <x:c r="E2218" s="6" t="str">
        <x:v>khej (A)</x:v>
      </x:c>
      <x:c r="F2218" s="6" t="str">
        <x:v>1</x:v>
      </x:c>
      <x:c r="G2218" s="6" t="str"/>
      <x:c r="H2218" s="6" t="str">
        <x:f>IF(B2218="平","平",IF(B2218="","","仄"))</x:f>
        <x:v>平</x:v>
      </x:c>
      <x:c r="I2218" s="6" t="str">
        <x:f>IF(D2209="","",IF(AND(ISNUMBER(SEARCH("平",D2209)),OR(ISNUMBER(SEARCH("上",D2209)),ISNUMBER(SEARCH("去",D2209)),ISNUMBER(SEARCH("入",D2209)))),"Ambiguous",IF(ISNUMBER(SEARCH("平",D2209)),"平","仄")))</x:f>
        <x:v>平</x:v>
      </x:c>
      <x:c r="J2218" s="7" t="str"/>
    </x:row>
    <x:row r="2219">
      <x:c r="A2219" s="5" t="str">
        <x:v>溫</x:v>
      </x:c>
      <x:c r="B2219" s="6" t="str">
        <x:v>平</x:v>
      </x:c>
      <x:c r="C2219" s="6" t="str">
        <x:f>IF(B2219="","Needs decision","Ready")</x:f>
        <x:v>Ready</x:v>
      </x:c>
      <x:c r="D2219" s="6" t="str">
        <x:v>平</x:v>
      </x:c>
      <x:c r="E2219" s="6" t="str">
        <x:v>'won [ʔ̙wən] (平)</x:v>
      </x:c>
      <x:c r="F2219" s="6" t="str">
        <x:v>1</x:v>
      </x:c>
      <x:c r="G2219" s="6" t="str">
        <x:v>Tang 300 gap; frequency 1; provisional from Xun Gong</x:v>
      </x:c>
      <x:c r="H2219" s="6" t="str">
        <x:f>IF(B2219="平","平",IF(B2219="","","仄"))</x:f>
        <x:v>平</x:v>
      </x:c>
      <x:c r="I2219" s="6" t="str">
        <x:f>IF(D2210="","",IF(AND(ISNUMBER(SEARCH("平",D2210)),OR(ISNUMBER(SEARCH("上",D2210)),ISNUMBER(SEARCH("去",D2210)),ISNUMBER(SEARCH("入",D2210)))),"Ambiguous",IF(ISNUMBER(SEARCH("平",D2210)),"平","仄")))</x:f>
        <x:v>平</x:v>
      </x:c>
      <x:c r="J2219" s="7" t="str">
        <x:v>Xun Gong, Tang 300 gap fill</x:v>
      </x:c>
    </x:row>
    <x:row r="2220">
      <x:c r="A2220" s="5" t="str">
        <x:v>溶</x:v>
      </x:c>
      <x:c r="B2220" s="6" t="str">
        <x:v>平</x:v>
      </x:c>
      <x:c r="C2220" s="6" t="str">
        <x:f>IF(B2220="","Needs decision","Ready")</x:f>
        <x:v>Ready</x:v>
      </x:c>
      <x:c r="D2220" s="6" t="str">
        <x:v>平</x:v>
      </x:c>
      <x:c r="E2220" s="6" t="str"/>
      <x:c r="F2220" s="6" t="str"/>
      <x:c r="G2220" s="6" t="str">
        <x:v>Manual user correction/addition</x:v>
      </x:c>
      <x:c r="H2220" s="6" t="str">
        <x:f>IF(B2220="平","平",IF(B2220="","","仄"))</x:f>
        <x:v>平</x:v>
      </x:c>
      <x:c r="I2220" s="6" t="str">
        <x:f>IF(D2211="","",IF(AND(ISNUMBER(SEARCH("平",D2211)),OR(ISNUMBER(SEARCH("上",D2211)),ISNUMBER(SEARCH("去",D2211)),ISNUMBER(SEARCH("入",D2211)))),"Ambiguous",IF(ISNUMBER(SEARCH("平",D2211)),"平","仄")))</x:f>
        <x:v>仄</x:v>
      </x:c>
      <x:c r="J2220" s="7" t="str">
        <x:v>manual user correction</x:v>
      </x:c>
    </x:row>
    <x:row r="2221">
      <x:c r="A2221" s="5" t="str">
        <x:v>溺</x:v>
      </x:c>
      <x:c r="B2221" s="6" t="str">
        <x:v>去</x:v>
      </x:c>
      <x:c r="C2221" s="6" t="str">
        <x:f>IF(B2221="","Needs decision","Ready")</x:f>
        <x:v>Ready</x:v>
      </x:c>
      <x:c r="D2221" s="6" t="str">
        <x:v>入/去</x:v>
      </x:c>
      <x:c r="E2221" s="6" t="str">
        <x:v>nek (D); newH (C)</x:v>
      </x:c>
      <x:c r="F2221" s="6" t="str">
        <x:v>2</x:v>
      </x:c>
      <x:c r="G2221" s="6" t="str"/>
      <x:c r="H2221" s="6" t="str">
        <x:f>IF(B2221="平","平",IF(B2221="","","仄"))</x:f>
        <x:v>仄</x:v>
      </x:c>
      <x:c r="I2221" s="6" t="str">
        <x:f>IF(D2212="","",IF(AND(ISNUMBER(SEARCH("平",D2212)),OR(ISNUMBER(SEARCH("上",D2212)),ISNUMBER(SEARCH("去",D2212)),ISNUMBER(SEARCH("入",D2212)))),"Ambiguous",IF(ISNUMBER(SEARCH("平",D2212)),"平","仄")))</x:f>
        <x:v>平</x:v>
      </x:c>
      <x:c r="J2221" s="7" t="str"/>
    </x:row>
    <x:row r="2222">
      <x:c r="A2222" s="5" t="str">
        <x:v>溼</x:v>
      </x:c>
      <x:c r="B2222" s="6" t="str">
        <x:v>入</x:v>
      </x:c>
      <x:c r="C2222" s="6" t="str">
        <x:f>IF(B2222="","Needs decision","Ready")</x:f>
        <x:v>Ready</x:v>
      </x:c>
      <x:c r="D2222" s="6" t="str">
        <x:v>入</x:v>
      </x:c>
      <x:c r="E2222" s="6" t="str">
        <x:v>syip (D)</x:v>
      </x:c>
      <x:c r="F2222" s="6" t="str">
        <x:v>1</x:v>
      </x:c>
      <x:c r="G2222" s="6" t="str"/>
      <x:c r="H2222" s="6" t="str">
        <x:f>IF(B2222="平","平",IF(B2222="","","仄"))</x:f>
        <x:v>仄</x:v>
      </x:c>
      <x:c r="I2222" s="6" t="str">
        <x:f>IF(D2213="","",IF(AND(ISNUMBER(SEARCH("平",D2213)),OR(ISNUMBER(SEARCH("上",D2213)),ISNUMBER(SEARCH("去",D2213)),ISNUMBER(SEARCH("入",D2213)))),"Ambiguous",IF(ISNUMBER(SEARCH("平",D2213)),"平","仄")))</x:f>
        <x:v>仄</x:v>
      </x:c>
      <x:c r="J2222" s="7" t="str"/>
    </x:row>
    <x:row r="2223">
      <x:c r="A2223" s="5" t="str">
        <x:v>滀</x:v>
      </x:c>
      <x:c r="B2223" s="6" t="str">
        <x:v>入</x:v>
      </x:c>
      <x:c r="C2223" s="6" t="str">
        <x:f>IF(B2223="","Needs decision","Ready")</x:f>
        <x:v>Ready</x:v>
      </x:c>
      <x:c r="D2223" s="6" t="str">
        <x:v>入</x:v>
      </x:c>
      <x:c r="E2223" s="6" t="str">
        <x:v>trhjuwk (D)</x:v>
      </x:c>
      <x:c r="F2223" s="6" t="str">
        <x:v>1</x:v>
      </x:c>
      <x:c r="G2223" s="6" t="str"/>
      <x:c r="H2223" s="6" t="str">
        <x:f>IF(B2223="平","平",IF(B2223="","","仄"))</x:f>
        <x:v>仄</x:v>
      </x:c>
      <x:c r="I2223" s="6" t="str">
        <x:f>IF(D2214="","",IF(AND(ISNUMBER(SEARCH("平",D2214)),OR(ISNUMBER(SEARCH("上",D2214)),ISNUMBER(SEARCH("去",D2214)),ISNUMBER(SEARCH("入",D2214)))),"Ambiguous",IF(ISNUMBER(SEARCH("平",D2214)),"平","仄")))</x:f>
        <x:v>仄</x:v>
      </x:c>
      <x:c r="J2223" s="7" t="str"/>
    </x:row>
    <x:row r="2224">
      <x:c r="A2224" s="5" t="str">
        <x:v>滂</x:v>
      </x:c>
      <x:c r="B2224" s="6" t="str">
        <x:v>平</x:v>
      </x:c>
      <x:c r="C2224" s="6" t="str">
        <x:f>IF(B2224="","Needs decision","Ready")</x:f>
        <x:v>Ready</x:v>
      </x:c>
      <x:c r="D2224" s="6" t="str">
        <x:v>平</x:v>
      </x:c>
      <x:c r="E2224" s="6" t="str"/>
      <x:c r="F2224" s="6" t="str"/>
      <x:c r="G2224" s="6" t="str">
        <x:v>Manual user correction/addition</x:v>
      </x:c>
      <x:c r="H2224" s="6" t="str">
        <x:f>IF(B2224="平","平",IF(B2224="","","仄"))</x:f>
        <x:v>平</x:v>
      </x:c>
      <x:c r="I2224" s="6" t="str">
        <x:f>IF(D2215="","",IF(AND(ISNUMBER(SEARCH("平",D2215)),OR(ISNUMBER(SEARCH("上",D2215)),ISNUMBER(SEARCH("去",D2215)),ISNUMBER(SEARCH("入",D2215)))),"Ambiguous",IF(ISNUMBER(SEARCH("平",D2215)),"平","仄")))</x:f>
        <x:v>平</x:v>
      </x:c>
      <x:c r="J2224" s="7" t="str">
        <x:v>manual user correction</x:v>
      </x:c>
    </x:row>
    <x:row r="2225">
      <x:c r="A2225" s="5" t="str">
        <x:v>滄</x:v>
      </x:c>
      <x:c r="B2225" s="6" t="str">
        <x:v>平</x:v>
      </x:c>
      <x:c r="C2225" s="6" t="str">
        <x:f>IF(B2225="","Needs decision","Ready")</x:f>
        <x:v>Ready</x:v>
      </x:c>
      <x:c r="D2225" s="6" t="str">
        <x:v>平</x:v>
      </x:c>
      <x:c r="E2225" s="6" t="str">
        <x:v>tshang [t̙s̙ʰɑŋ] (平)</x:v>
      </x:c>
      <x:c r="F2225" s="6" t="str">
        <x:v>1</x:v>
      </x:c>
      <x:c r="G2225" s="6" t="str">
        <x:v>Tang 300 gap; frequency 7; provisional from Xun Gong</x:v>
      </x:c>
      <x:c r="H2225" s="6" t="str">
        <x:f>IF(B2225="平","平",IF(B2225="","","仄"))</x:f>
        <x:v>平</x:v>
      </x:c>
      <x:c r="I2225" s="6" t="str">
        <x:f>IF(D2216="","",IF(AND(ISNUMBER(SEARCH("平",D2216)),OR(ISNUMBER(SEARCH("上",D2216)),ISNUMBER(SEARCH("去",D2216)),ISNUMBER(SEARCH("入",D2216)))),"Ambiguous",IF(ISNUMBER(SEARCH("平",D2216)),"平","仄")))</x:f>
        <x:v>仄</x:v>
      </x:c>
      <x:c r="J2225" s="7" t="str">
        <x:v>Xun Gong, Tang 300 gap fill</x:v>
      </x:c>
    </x:row>
    <x:row r="2226">
      <x:c r="A2226" s="5" t="str">
        <x:v>滅</x:v>
      </x:c>
      <x:c r="B2226" s="6" t="str">
        <x:v>入</x:v>
      </x:c>
      <x:c r="C2226" s="6" t="str">
        <x:f>IF(B2226="","Needs decision","Ready")</x:f>
        <x:v>Ready</x:v>
      </x:c>
      <x:c r="D2226" s="6" t="str">
        <x:v>入</x:v>
      </x:c>
      <x:c r="E2226" s="6" t="str">
        <x:v>mjiet (D)</x:v>
      </x:c>
      <x:c r="F2226" s="6" t="str">
        <x:v>1</x:v>
      </x:c>
      <x:c r="G2226" s="6" t="str"/>
      <x:c r="H2226" s="6" t="str">
        <x:f>IF(B2226="平","平",IF(B2226="","","仄"))</x:f>
        <x:v>仄</x:v>
      </x:c>
      <x:c r="I2226" s="6" t="str">
        <x:f>IF(D2217="","",IF(AND(ISNUMBER(SEARCH("平",D2217)),OR(ISNUMBER(SEARCH("上",D2217)),ISNUMBER(SEARCH("去",D2217)),ISNUMBER(SEARCH("入",D2217)))),"Ambiguous",IF(ISNUMBER(SEARCH("平",D2217)),"平","仄")))</x:f>
        <x:v>仄</x:v>
      </x:c>
      <x:c r="J2226" s="7" t="str"/>
    </x:row>
    <x:row r="2227">
      <x:c r="A2227" s="5" t="str">
        <x:v>滋</x:v>
      </x:c>
      <x:c r="B2227" s="6" t="str">
        <x:v>平</x:v>
      </x:c>
      <x:c r="C2227" s="6" t="str">
        <x:f>IF(B2227="","Needs decision","Ready")</x:f>
        <x:v>Ready</x:v>
      </x:c>
      <x:c r="D2227" s="6" t="str">
        <x:v>平</x:v>
      </x:c>
      <x:c r="E2227" s="6" t="str">
        <x:v>tsi (A)</x:v>
      </x:c>
      <x:c r="F2227" s="6" t="str">
        <x:v>1</x:v>
      </x:c>
      <x:c r="G2227" s="6" t="str"/>
      <x:c r="H2227" s="6" t="str">
        <x:f>IF(B2227="平","平",IF(B2227="","","仄"))</x:f>
        <x:v>平</x:v>
      </x:c>
      <x:c r="I2227" s="6" t="str">
        <x:f>IF(D2218="","",IF(AND(ISNUMBER(SEARCH("平",D2218)),OR(ISNUMBER(SEARCH("上",D2218)),ISNUMBER(SEARCH("去",D2218)),ISNUMBER(SEARCH("入",D2218)))),"Ambiguous",IF(ISNUMBER(SEARCH("平",D2218)),"平","仄")))</x:f>
        <x:v>平</x:v>
      </x:c>
      <x:c r="J2227" s="7" t="str"/>
    </x:row>
    <x:row r="2228">
      <x:c r="A2228" s="5" t="str">
        <x:v>滌</x:v>
      </x:c>
      <x:c r="B2228" s="6" t="str">
        <x:v>入</x:v>
      </x:c>
      <x:c r="C2228" s="6" t="str">
        <x:f>IF(B2228="","Needs decision","Ready")</x:f>
        <x:v>Ready</x:v>
      </x:c>
      <x:c r="D2228" s="6" t="str">
        <x:v>入</x:v>
      </x:c>
      <x:c r="E2228" s="6" t="str">
        <x:v>dek (D)</x:v>
      </x:c>
      <x:c r="F2228" s="6" t="str">
        <x:v>1</x:v>
      </x:c>
      <x:c r="G2228" s="6" t="str"/>
      <x:c r="H2228" s="6" t="str">
        <x:f>IF(B2228="平","平",IF(B2228="","","仄"))</x:f>
        <x:v>仄</x:v>
      </x:c>
      <x:c r="I2228" s="6" t="str">
        <x:f>IF(D2219="","",IF(AND(ISNUMBER(SEARCH("平",D2219)),OR(ISNUMBER(SEARCH("上",D2219)),ISNUMBER(SEARCH("去",D2219)),ISNUMBER(SEARCH("入",D2219)))),"Ambiguous",IF(ISNUMBER(SEARCH("平",D2219)),"平","仄")))</x:f>
        <x:v>平</x:v>
      </x:c>
      <x:c r="J2228" s="7" t="str"/>
    </x:row>
    <x:row r="2229">
      <x:c r="A2229" s="5" t="str">
        <x:v>滑</x:v>
      </x:c>
      <x:c r="B2229" s="6" t="str">
        <x:v>入</x:v>
      </x:c>
      <x:c r="C2229" s="6" t="str">
        <x:f>IF(B2229="","Needs decision","Ready")</x:f>
        <x:v>Ready</x:v>
      </x:c>
      <x:c r="D2229" s="6" t="str">
        <x:v>入</x:v>
      </x:c>
      <x:c r="E2229" s="6" t="str">
        <x:v>hweat (D)</x:v>
      </x:c>
      <x:c r="F2229" s="6" t="str">
        <x:v>1</x:v>
      </x:c>
      <x:c r="G2229" s="6" t="str"/>
      <x:c r="H2229" s="6" t="str">
        <x:f>IF(B2229="平","平",IF(B2229="","","仄"))</x:f>
        <x:v>仄</x:v>
      </x:c>
      <x:c r="I2229" s="6" t="str">
        <x:f>IF(D2220="","",IF(AND(ISNUMBER(SEARCH("平",D2220)),OR(ISNUMBER(SEARCH("上",D2220)),ISNUMBER(SEARCH("去",D2220)),ISNUMBER(SEARCH("入",D2220)))),"Ambiguous",IF(ISNUMBER(SEARCH("平",D2220)),"平","仄")))</x:f>
        <x:v>平</x:v>
      </x:c>
      <x:c r="J2229" s="7" t="str"/>
    </x:row>
    <x:row r="2230">
      <x:c r="A2230" s="5" t="str">
        <x:v>滔</x:v>
      </x:c>
      <x:c r="B2230" s="6" t="str">
        <x:v>平</x:v>
      </x:c>
      <x:c r="C2230" s="6" t="str">
        <x:f>IF(B2230="","Needs decision","Ready")</x:f>
        <x:v>Ready</x:v>
      </x:c>
      <x:c r="D2230" s="6" t="str">
        <x:v>平</x:v>
      </x:c>
      <x:c r="E2230" s="6" t="str">
        <x:v>thaw (A)</x:v>
      </x:c>
      <x:c r="F2230" s="6" t="str">
        <x:v>1</x:v>
      </x:c>
      <x:c r="G2230" s="6" t="str"/>
      <x:c r="H2230" s="6" t="str">
        <x:f>IF(B2230="平","平",IF(B2230="","","仄"))</x:f>
        <x:v>平</x:v>
      </x:c>
      <x:c r="I2230" s="6" t="str">
        <x:f>IF(D2221="","",IF(AND(ISNUMBER(SEARCH("平",D2221)),OR(ISNUMBER(SEARCH("上",D2221)),ISNUMBER(SEARCH("去",D2221)),ISNUMBER(SEARCH("入",D2221)))),"Ambiguous",IF(ISNUMBER(SEARCH("平",D2221)),"平","仄")))</x:f>
        <x:v>仄</x:v>
      </x:c>
      <x:c r="J2230" s="7" t="str"/>
    </x:row>
    <x:row r="2231">
      <x:c r="A2231" s="5" t="str">
        <x:v>滯</x:v>
      </x:c>
      <x:c r="B2231" s="6" t="str">
        <x:v>去</x:v>
      </x:c>
      <x:c r="C2231" s="6" t="str">
        <x:f>IF(B2231="","Needs decision","Ready")</x:f>
        <x:v>Ready</x:v>
      </x:c>
      <x:c r="D2231" s="6" t="str">
        <x:v>去</x:v>
      </x:c>
      <x:c r="E2231" s="6" t="str">
        <x:v>drjejH (C)</x:v>
      </x:c>
      <x:c r="F2231" s="6" t="str">
        <x:v>1</x:v>
      </x:c>
      <x:c r="G2231" s="6" t="str"/>
      <x:c r="H2231" s="6" t="str">
        <x:f>IF(B2231="平","平",IF(B2231="","","仄"))</x:f>
        <x:v>仄</x:v>
      </x:c>
      <x:c r="I2231" s="6" t="str">
        <x:f>IF(D2222="","",IF(AND(ISNUMBER(SEARCH("平",D2222)),OR(ISNUMBER(SEARCH("上",D2222)),ISNUMBER(SEARCH("去",D2222)),ISNUMBER(SEARCH("入",D2222)))),"Ambiguous",IF(ISNUMBER(SEARCH("平",D2222)),"平","仄")))</x:f>
        <x:v>仄</x:v>
      </x:c>
      <x:c r="J2231" s="7" t="str"/>
    </x:row>
    <x:row r="2232">
      <x:c r="A2232" s="5" t="str">
        <x:v>滴</x:v>
      </x:c>
      <x:c r="B2232" s="6" t="str">
        <x:v>入</x:v>
      </x:c>
      <x:c r="C2232" s="6" t="str">
        <x:f>IF(B2232="","Needs decision","Ready")</x:f>
        <x:v>Ready</x:v>
      </x:c>
      <x:c r="D2232" s="6" t="str">
        <x:v>入</x:v>
      </x:c>
      <x:c r="E2232" s="6" t="str">
        <x:v>tek [t̙ek] (入)</x:v>
      </x:c>
      <x:c r="F2232" s="6" t="str">
        <x:v>1</x:v>
      </x:c>
      <x:c r="G2232" s="6" t="str">
        <x:v>Tang 300 gap; frequency 3; provisional from Xun Gong</x:v>
      </x:c>
      <x:c r="H2232" s="6" t="str">
        <x:f>IF(B2232="平","平",IF(B2232="","","仄"))</x:f>
        <x:v>仄</x:v>
      </x:c>
      <x:c r="I2232" s="6" t="str">
        <x:f>IF(D2223="","",IF(AND(ISNUMBER(SEARCH("平",D2223)),OR(ISNUMBER(SEARCH("上",D2223)),ISNUMBER(SEARCH("去",D2223)),ISNUMBER(SEARCH("入",D2223)))),"Ambiguous",IF(ISNUMBER(SEARCH("平",D2223)),"平","仄")))</x:f>
        <x:v>仄</x:v>
      </x:c>
      <x:c r="J2232" s="7" t="str">
        <x:v>Xun Gong, Tang 300 gap fill</x:v>
      </x:c>
    </x:row>
    <x:row r="2233">
      <x:c r="A2233" s="5" t="str">
        <x:v>滸</x:v>
      </x:c>
      <x:c r="B2233" s="6" t="str">
        <x:v>上</x:v>
      </x:c>
      <x:c r="C2233" s="6" t="str">
        <x:f>IF(B2233="","Needs decision","Ready")</x:f>
        <x:v>Ready</x:v>
      </x:c>
      <x:c r="D2233" s="6" t="str">
        <x:v>上</x:v>
      </x:c>
      <x:c r="E2233" s="6" t="str">
        <x:v>xuX (B)</x:v>
      </x:c>
      <x:c r="F2233" s="6" t="str">
        <x:v>1</x:v>
      </x:c>
      <x:c r="G2233" s="6" t="str"/>
      <x:c r="H2233" s="6" t="str">
        <x:f>IF(B2233="平","平",IF(B2233="","","仄"))</x:f>
        <x:v>仄</x:v>
      </x:c>
      <x:c r="I2233" s="6" t="str">
        <x:f>IF(D2224="","",IF(AND(ISNUMBER(SEARCH("平",D2224)),OR(ISNUMBER(SEARCH("上",D2224)),ISNUMBER(SEARCH("去",D2224)),ISNUMBER(SEARCH("入",D2224)))),"Ambiguous",IF(ISNUMBER(SEARCH("平",D2224)),"平","仄")))</x:f>
        <x:v>平</x:v>
      </x:c>
      <x:c r="J2233" s="7" t="str"/>
    </x:row>
    <x:row r="2234">
      <x:c r="A2234" s="5" t="str">
        <x:v>滿</x:v>
      </x:c>
      <x:c r="B2234" s="6" t="str">
        <x:v>上</x:v>
      </x:c>
      <x:c r="C2234" s="6" t="str">
        <x:f>IF(B2234="","Needs decision","Ready")</x:f>
        <x:v>Ready</x:v>
      </x:c>
      <x:c r="D2234" s="6" t="str">
        <x:v>上</x:v>
      </x:c>
      <x:c r="E2234" s="6" t="str">
        <x:v>manX (B)</x:v>
      </x:c>
      <x:c r="F2234" s="6" t="str">
        <x:v>1</x:v>
      </x:c>
      <x:c r="G2234" s="6" t="str"/>
      <x:c r="H2234" s="6" t="str">
        <x:f>IF(B2234="平","平",IF(B2234="","","仄"))</x:f>
        <x:v>仄</x:v>
      </x:c>
      <x:c r="I2234" s="6" t="str">
        <x:f>IF(D2225="","",IF(AND(ISNUMBER(SEARCH("平",D2225)),OR(ISNUMBER(SEARCH("上",D2225)),ISNUMBER(SEARCH("去",D2225)),ISNUMBER(SEARCH("入",D2225)))),"Ambiguous",IF(ISNUMBER(SEARCH("平",D2225)),"平","仄")))</x:f>
        <x:v>平</x:v>
      </x:c>
      <x:c r="J2234" s="7" t="str"/>
    </x:row>
    <x:row r="2235">
      <x:c r="A2235" s="5" t="str">
        <x:v>漁</x:v>
      </x:c>
      <x:c r="B2235" s="6" t="str">
        <x:v>平</x:v>
      </x:c>
      <x:c r="C2235" s="6" t="str">
        <x:f>IF(B2235="","Needs decision","Ready")</x:f>
        <x:v>Ready</x:v>
      </x:c>
      <x:c r="D2235" s="6" t="str">
        <x:v>平</x:v>
      </x:c>
      <x:c r="E2235" s="6" t="str">
        <x:v>ngjo (A)</x:v>
      </x:c>
      <x:c r="F2235" s="6" t="str">
        <x:v>1</x:v>
      </x:c>
      <x:c r="G2235" s="6" t="str"/>
      <x:c r="H2235" s="6" t="str">
        <x:f>IF(B2235="平","平",IF(B2235="","","仄"))</x:f>
        <x:v>平</x:v>
      </x:c>
      <x:c r="I2235" s="6" t="str">
        <x:f>IF(D2226="","",IF(AND(ISNUMBER(SEARCH("平",D2226)),OR(ISNUMBER(SEARCH("上",D2226)),ISNUMBER(SEARCH("去",D2226)),ISNUMBER(SEARCH("入",D2226)))),"Ambiguous",IF(ISNUMBER(SEARCH("平",D2226)),"平","仄")))</x:f>
        <x:v>仄</x:v>
      </x:c>
      <x:c r="J2235" s="7" t="str"/>
    </x:row>
    <x:row r="2236">
      <x:c r="A2236" s="5" t="str">
        <x:v>漂</x:v>
      </x:c>
      <x:c r="B2236" s="6" t="str">
        <x:v>平</x:v>
      </x:c>
      <x:c r="C2236" s="6" t="str">
        <x:f>IF(B2236="","Needs decision","Ready")</x:f>
        <x:v>Ready</x:v>
      </x:c>
      <x:c r="D2236" s="6" t="str">
        <x:v>平/去</x:v>
      </x:c>
      <x:c r="E2236" s="6" t="str">
        <x:v>phjiew [pʰjew] (平); phjiewH [pʰjewh] (去)</x:v>
      </x:c>
      <x:c r="F2236" s="6" t="str">
        <x:v>2</x:v>
      </x:c>
      <x:c r="G2236" s="6" t="str">
        <x:v>Tang 300 gap; frequency 2; ambiguous in Xun Gong</x:v>
      </x:c>
      <x:c r="H2236" s="6" t="str">
        <x:f>IF(B2236="平","平",IF(B2236="","","仄"))</x:f>
        <x:v>平</x:v>
      </x:c>
      <x:c r="I2236" s="6" t="str">
        <x:f>IF(D2227="","",IF(AND(ISNUMBER(SEARCH("平",D2227)),OR(ISNUMBER(SEARCH("上",D2227)),ISNUMBER(SEARCH("去",D2227)),ISNUMBER(SEARCH("入",D2227)))),"Ambiguous",IF(ISNUMBER(SEARCH("平",D2227)),"平","仄")))</x:f>
        <x:v>平</x:v>
      </x:c>
      <x:c r="J2236" s="7" t="str">
        <x:v>Xun Gong, Tang 300 gap fill</x:v>
      </x:c>
    </x:row>
    <x:row r="2237">
      <x:c r="A2237" s="5" t="str">
        <x:v>漆</x:v>
      </x:c>
      <x:c r="B2237" s="6" t="str">
        <x:v>入</x:v>
      </x:c>
      <x:c r="C2237" s="6" t="str">
        <x:f>IF(B2237="","Needs decision","Ready")</x:f>
        <x:v>Ready</x:v>
      </x:c>
      <x:c r="D2237" s="6" t="str">
        <x:v>入</x:v>
      </x:c>
      <x:c r="E2237" s="6" t="str">
        <x:v>tshit (D)</x:v>
      </x:c>
      <x:c r="F2237" s="6" t="str">
        <x:v>1</x:v>
      </x:c>
      <x:c r="G2237" s="6" t="str"/>
      <x:c r="H2237" s="6" t="str">
        <x:f>IF(B2237="平","平",IF(B2237="","","仄"))</x:f>
        <x:v>仄</x:v>
      </x:c>
      <x:c r="I2237" s="6" t="str">
        <x:f>IF(D2228="","",IF(AND(ISNUMBER(SEARCH("平",D2228)),OR(ISNUMBER(SEARCH("上",D2228)),ISNUMBER(SEARCH("去",D2228)),ISNUMBER(SEARCH("入",D2228)))),"Ambiguous",IF(ISNUMBER(SEARCH("平",D2228)),"平","仄")))</x:f>
        <x:v>仄</x:v>
      </x:c>
      <x:c r="J2237" s="7" t="str"/>
    </x:row>
    <x:row r="2238">
      <x:c r="A2238" s="5" t="str">
        <x:v>漏</x:v>
      </x:c>
      <x:c r="B2238" s="6" t="str">
        <x:v>去</x:v>
      </x:c>
      <x:c r="C2238" s="6" t="str">
        <x:f>IF(B2238="","Needs decision","Ready")</x:f>
        <x:v>Ready</x:v>
      </x:c>
      <x:c r="D2238" s="6" t="str">
        <x:v>去</x:v>
      </x:c>
      <x:c r="E2238" s="6" t="str">
        <x:v>luwH (C)</x:v>
      </x:c>
      <x:c r="F2238" s="6" t="str">
        <x:v>1</x:v>
      </x:c>
      <x:c r="G2238" s="6" t="str"/>
      <x:c r="H2238" s="6" t="str">
        <x:f>IF(B2238="平","平",IF(B2238="","","仄"))</x:f>
        <x:v>仄</x:v>
      </x:c>
      <x:c r="I2238" s="6" t="str">
        <x:f>IF(D2229="","",IF(AND(ISNUMBER(SEARCH("平",D2229)),OR(ISNUMBER(SEARCH("上",D2229)),ISNUMBER(SEARCH("去",D2229)),ISNUMBER(SEARCH("入",D2229)))),"Ambiguous",IF(ISNUMBER(SEARCH("平",D2229)),"平","仄")))</x:f>
        <x:v>仄</x:v>
      </x:c>
      <x:c r="J2238" s="7" t="str"/>
    </x:row>
    <x:row r="2239">
      <x:c r="A2239" s="5" t="str">
        <x:v>漓</x:v>
      </x:c>
      <x:c r="B2239" s="6" t="str">
        <x:v>平</x:v>
      </x:c>
      <x:c r="C2239" s="6" t="str">
        <x:f>IF(B2239="","Needs decision","Ready")</x:f>
        <x:v>Ready</x:v>
      </x:c>
      <x:c r="D2239" s="6" t="str">
        <x:v>平</x:v>
      </x:c>
      <x:c r="E2239" s="6" t="str">
        <x:v>lje [lie] (平)</x:v>
      </x:c>
      <x:c r="F2239" s="6" t="str">
        <x:v>1</x:v>
      </x:c>
      <x:c r="G2239" s="6" t="str">
        <x:v>Tang 300 gap; frequency 1; provisional from Xun Gong</x:v>
      </x:c>
      <x:c r="H2239" s="6" t="str">
        <x:f>IF(B2239="平","平",IF(B2239="","","仄"))</x:f>
        <x:v>平</x:v>
      </x:c>
      <x:c r="I2239" s="6" t="str">
        <x:f>IF(D2230="","",IF(AND(ISNUMBER(SEARCH("平",D2230)),OR(ISNUMBER(SEARCH("上",D2230)),ISNUMBER(SEARCH("去",D2230)),ISNUMBER(SEARCH("入",D2230)))),"Ambiguous",IF(ISNUMBER(SEARCH("平",D2230)),"平","仄")))</x:f>
        <x:v>平</x:v>
      </x:c>
      <x:c r="J2239" s="7" t="str">
        <x:v>Xun Gong, Tang 300 gap fill</x:v>
      </x:c>
    </x:row>
    <x:row r="2240">
      <x:c r="A2240" s="5" t="str">
        <x:v>演</x:v>
      </x:c>
      <x:c r="B2240" s="6" t="str">
        <x:v>上</x:v>
      </x:c>
      <x:c r="C2240" s="6" t="str">
        <x:f>IF(B2240="","Needs decision","Ready")</x:f>
        <x:v>Ready</x:v>
      </x:c>
      <x:c r="D2240" s="6" t="str">
        <x:v>上</x:v>
      </x:c>
      <x:c r="E2240" s="6" t="str">
        <x:v>yenX (B)</x:v>
      </x:c>
      <x:c r="F2240" s="6" t="str">
        <x:v>1</x:v>
      </x:c>
      <x:c r="G2240" s="6" t="str"/>
      <x:c r="H2240" s="6" t="str">
        <x:f>IF(B2240="平","平",IF(B2240="","","仄"))</x:f>
        <x:v>仄</x:v>
      </x:c>
      <x:c r="I2240" s="6" t="str">
        <x:f>IF(D2231="","",IF(AND(ISNUMBER(SEARCH("平",D2231)),OR(ISNUMBER(SEARCH("上",D2231)),ISNUMBER(SEARCH("去",D2231)),ISNUMBER(SEARCH("入",D2231)))),"Ambiguous",IF(ISNUMBER(SEARCH("平",D2231)),"平","仄")))</x:f>
        <x:v>仄</x:v>
      </x:c>
      <x:c r="J2240" s="7" t="str"/>
    </x:row>
    <x:row r="2241">
      <x:c r="A2241" s="5" t="str">
        <x:v>漘</x:v>
      </x:c>
      <x:c r="B2241" s="6" t="str">
        <x:v>平</x:v>
      </x:c>
      <x:c r="C2241" s="6" t="str">
        <x:f>IF(B2241="","Needs decision","Ready")</x:f>
        <x:v>Ready</x:v>
      </x:c>
      <x:c r="D2241" s="6" t="str">
        <x:v>平</x:v>
      </x:c>
      <x:c r="E2241" s="6" t="str">
        <x:v>zywin (A)</x:v>
      </x:c>
      <x:c r="F2241" s="6" t="str">
        <x:v>1</x:v>
      </x:c>
      <x:c r="G2241" s="6" t="str"/>
      <x:c r="H2241" s="6" t="str">
        <x:f>IF(B2241="平","平",IF(B2241="","","仄"))</x:f>
        <x:v>平</x:v>
      </x:c>
      <x:c r="I2241" s="6" t="str">
        <x:f>IF(D2232="","",IF(AND(ISNUMBER(SEARCH("平",D2232)),OR(ISNUMBER(SEARCH("上",D2232)),ISNUMBER(SEARCH("去",D2232)),ISNUMBER(SEARCH("入",D2232)))),"Ambiguous",IF(ISNUMBER(SEARCH("平",D2232)),"平","仄")))</x:f>
        <x:v>仄</x:v>
      </x:c>
      <x:c r="J2241" s="7" t="str"/>
    </x:row>
    <x:row r="2242">
      <x:c r="A2242" s="5" t="str">
        <x:v>漠</x:v>
      </x:c>
      <x:c r="B2242" s="6" t="str">
        <x:v>入</x:v>
      </x:c>
      <x:c r="C2242" s="6" t="str">
        <x:f>IF(B2242="","Needs decision","Ready")</x:f>
        <x:v>Ready</x:v>
      </x:c>
      <x:c r="D2242" s="6" t="str">
        <x:v>入</x:v>
      </x:c>
      <x:c r="E2242" s="6" t="str">
        <x:v>mak [明一唐入] m̙ɑk</x:v>
      </x:c>
      <x:c r="F2242" s="6" t="str">
        <x:v>1</x:v>
      </x:c>
      <x:c r="G2242" s="6" t="str">
        <x:v>Targeted preliminary fill from Xun Gong; review if uncertain</x:v>
      </x:c>
      <x:c r="H2242" s="6" t="str">
        <x:f>IF(B2242="平","平",IF(B2242="","","仄"))</x:f>
        <x:v>仄</x:v>
      </x:c>
      <x:c r="I2242" s="6" t="str">
        <x:f>IF(D2233="","",IF(AND(ISNUMBER(SEARCH("平",D2233)),OR(ISNUMBER(SEARCH("上",D2233)),ISNUMBER(SEARCH("去",D2233)),ISNUMBER(SEARCH("入",D2233)))),"Ambiguous",IF(ISNUMBER(SEARCH("平",D2233)),"平","仄")))</x:f>
        <x:v>仄</x:v>
      </x:c>
      <x:c r="J2242" s="7" t="str">
        <x:v>Xun Gong character-readings.csv</x:v>
      </x:c>
    </x:row>
    <x:row r="2243">
      <x:c r="A2243" s="5" t="str">
        <x:v>漢</x:v>
      </x:c>
      <x:c r="B2243" s="6" t="str">
        <x:v>去</x:v>
      </x:c>
      <x:c r="C2243" s="6" t="str">
        <x:f>IF(B2243="","Needs decision","Ready")</x:f>
        <x:v>Ready</x:v>
      </x:c>
      <x:c r="D2243" s="6" t="str">
        <x:v>去</x:v>
      </x:c>
      <x:c r="E2243" s="6" t="str">
        <x:v>xanH (C)</x:v>
      </x:c>
      <x:c r="F2243" s="6" t="str">
        <x:v>1</x:v>
      </x:c>
      <x:c r="G2243" s="6" t="str"/>
      <x:c r="H2243" s="6" t="str">
        <x:f>IF(B2243="平","平",IF(B2243="","","仄"))</x:f>
        <x:v>仄</x:v>
      </x:c>
      <x:c r="I2243" s="6" t="str">
        <x:f>IF(D2234="","",IF(AND(ISNUMBER(SEARCH("平",D2234)),OR(ISNUMBER(SEARCH("上",D2234)),ISNUMBER(SEARCH("去",D2234)),ISNUMBER(SEARCH("入",D2234)))),"Ambiguous",IF(ISNUMBER(SEARCH("平",D2234)),"平","仄")))</x:f>
        <x:v>仄</x:v>
      </x:c>
      <x:c r="J2243" s="7" t="str"/>
    </x:row>
    <x:row r="2244">
      <x:c r="A2244" s="5" t="str">
        <x:v>漣</x:v>
      </x:c>
      <x:c r="B2244" s="6" t="str">
        <x:v>平</x:v>
      </x:c>
      <x:c r="C2244" s="6" t="str">
        <x:f>IF(B2244="","Needs decision","Ready")</x:f>
        <x:v>Ready</x:v>
      </x:c>
      <x:c r="D2244" s="6" t="str">
        <x:v>平</x:v>
      </x:c>
      <x:c r="E2244" s="6" t="str">
        <x:v>ljen (A)</x:v>
      </x:c>
      <x:c r="F2244" s="6" t="str">
        <x:v>1</x:v>
      </x:c>
      <x:c r="G2244" s="6" t="str"/>
      <x:c r="H2244" s="6" t="str">
        <x:f>IF(B2244="平","平",IF(B2244="","","仄"))</x:f>
        <x:v>平</x:v>
      </x:c>
      <x:c r="I2244" s="6" t="str">
        <x:f>IF(D2235="","",IF(AND(ISNUMBER(SEARCH("平",D2235)),OR(ISNUMBER(SEARCH("上",D2235)),ISNUMBER(SEARCH("去",D2235)),ISNUMBER(SEARCH("入",D2235)))),"Ambiguous",IF(ISNUMBER(SEARCH("平",D2235)),"平","仄")))</x:f>
        <x:v>平</x:v>
      </x:c>
      <x:c r="J2244" s="7" t="str"/>
    </x:row>
    <x:row r="2245">
      <x:c r="A2245" s="5" t="str">
        <x:v>漧</x:v>
      </x:c>
      <x:c r="B2245" s="6" t="str">
        <x:v>平</x:v>
      </x:c>
      <x:c r="C2245" s="6" t="str">
        <x:f>IF(B2245="","Needs decision","Ready")</x:f>
        <x:v>Ready</x:v>
      </x:c>
      <x:c r="D2245" s="6" t="str">
        <x:v>平</x:v>
      </x:c>
      <x:c r="E2245" s="6" t="str">
        <x:v>kan (A)</x:v>
      </x:c>
      <x:c r="F2245" s="6" t="str">
        <x:v>1</x:v>
      </x:c>
      <x:c r="G2245" s="6" t="str"/>
      <x:c r="H2245" s="6" t="str">
        <x:f>IF(B2245="平","平",IF(B2245="","","仄"))</x:f>
        <x:v>平</x:v>
      </x:c>
      <x:c r="I2245" s="6" t="str">
        <x:f>IF(D2236="","",IF(AND(ISNUMBER(SEARCH("平",D2236)),OR(ISNUMBER(SEARCH("上",D2236)),ISNUMBER(SEARCH("去",D2236)),ISNUMBER(SEARCH("入",D2236)))),"Ambiguous",IF(ISNUMBER(SEARCH("平",D2236)),"平","仄")))</x:f>
        <x:v>Ambiguous</x:v>
      </x:c>
      <x:c r="J2245" s="7" t="str"/>
    </x:row>
    <x:row r="2246">
      <x:c r="A2246" s="5" t="str">
        <x:v>漫</x:v>
      </x:c>
      <x:c r="B2246" s="6" t="str">
        <x:v>去</x:v>
      </x:c>
      <x:c r="C2246" s="6" t="str">
        <x:f>IF(B2246="","Needs decision","Ready")</x:f>
        <x:v>Ready</x:v>
      </x:c>
      <x:c r="D2246" s="6" t="str">
        <x:v>去</x:v>
      </x:c>
      <x:c r="E2246" s="6" t="str">
        <x:v>manH (C)</x:v>
      </x:c>
      <x:c r="F2246" s="6" t="str">
        <x:v>1</x:v>
      </x:c>
      <x:c r="G2246" s="6" t="str"/>
      <x:c r="H2246" s="6" t="str">
        <x:f>IF(B2246="平","平",IF(B2246="","","仄"))</x:f>
        <x:v>仄</x:v>
      </x:c>
      <x:c r="I2246" s="6" t="str">
        <x:f>IF(D2237="","",IF(AND(ISNUMBER(SEARCH("平",D2237)),OR(ISNUMBER(SEARCH("上",D2237)),ISNUMBER(SEARCH("去",D2237)),ISNUMBER(SEARCH("入",D2237)))),"Ambiguous",IF(ISNUMBER(SEARCH("平",D2237)),"平","仄")))</x:f>
        <x:v>仄</x:v>
      </x:c>
      <x:c r="J2246" s="7" t="str"/>
    </x:row>
    <x:row r="2247">
      <x:c r="A2247" s="5" t="str">
        <x:v>漱</x:v>
      </x:c>
      <x:c r="B2247" s="6" t="str">
        <x:v>去</x:v>
      </x:c>
      <x:c r="C2247" s="6" t="str">
        <x:f>IF(B2247="","Needs decision","Ready")</x:f>
        <x:v>Ready</x:v>
      </x:c>
      <x:c r="D2247" s="6" t="str">
        <x:v>去</x:v>
      </x:c>
      <x:c r="E2247" s="6" t="str">
        <x:v>srjuwH (C)</x:v>
      </x:c>
      <x:c r="F2247" s="6" t="str">
        <x:v>1</x:v>
      </x:c>
      <x:c r="G2247" s="6" t="str"/>
      <x:c r="H2247" s="6" t="str">
        <x:f>IF(B2247="平","平",IF(B2247="","","仄"))</x:f>
        <x:v>仄</x:v>
      </x:c>
      <x:c r="I2247" s="6" t="str">
        <x:f>IF(D2238="","",IF(AND(ISNUMBER(SEARCH("平",D2238)),OR(ISNUMBER(SEARCH("上",D2238)),ISNUMBER(SEARCH("去",D2238)),ISNUMBER(SEARCH("入",D2238)))),"Ambiguous",IF(ISNUMBER(SEARCH("平",D2238)),"平","仄")))</x:f>
        <x:v>仄</x:v>
      </x:c>
      <x:c r="J2247" s="7" t="str"/>
    </x:row>
    <x:row r="2248">
      <x:c r="A2248" s="5" t="str">
        <x:v>漲</x:v>
      </x:c>
      <x:c r="B2248" s="6" t="str"/>
      <x:c r="C2248" s="6" t="str">
        <x:f>IF(B2248="","Needs decision","Ready")</x:f>
        <x:v>Needs decision</x:v>
      </x:c>
      <x:c r="D2248" s="6" t="str">
        <x:v>平/去</x:v>
      </x:c>
      <x:c r="E2248" s="6" t="str">
        <x:v>trjang [ʈjɑŋ] (平); trjangH [ʈjɑŋh] (去)</x:v>
      </x:c>
      <x:c r="F2248" s="6" t="str">
        <x:v>2</x:v>
      </x:c>
      <x:c r="G2248" s="6" t="str">
        <x:v>Tang 300 gap; frequency 1; ambiguous in Xun Gong</x:v>
      </x:c>
      <x:c r="H2248" s="6" t="str">
        <x:f>IF(B2248="平","平",IF(B2248="","","仄"))</x:f>
      </x:c>
      <x:c r="I2248" s="6" t="str">
        <x:f>IF(D2239="","",IF(AND(ISNUMBER(SEARCH("平",D2239)),OR(ISNUMBER(SEARCH("上",D2239)),ISNUMBER(SEARCH("去",D2239)),ISNUMBER(SEARCH("入",D2239)))),"Ambiguous",IF(ISNUMBER(SEARCH("平",D2239)),"平","仄")))</x:f>
        <x:v>平</x:v>
      </x:c>
      <x:c r="J2248" s="7" t="str">
        <x:v>Xun Gong, Tang 300 gap fill</x:v>
      </x:c>
    </x:row>
    <x:row r="2249">
      <x:c r="A2249" s="5" t="str">
        <x:v>漸</x:v>
      </x:c>
      <x:c r="B2249" s="6" t="str">
        <x:v>上</x:v>
      </x:c>
      <x:c r="C2249" s="6" t="str">
        <x:f>IF(B2249="","Needs decision","Ready")</x:f>
        <x:v>Ready</x:v>
      </x:c>
      <x:c r="D2249" s="6" t="str">
        <x:v>平/上</x:v>
      </x:c>
      <x:c r="E2249" s="6" t="str">
        <x:v>tsjem (A); dzjemX (B)</x:v>
      </x:c>
      <x:c r="F2249" s="6" t="str">
        <x:v>2</x:v>
      </x:c>
      <x:c r="G2249" s="6" t="str">
        <x:v>Manual user correction/addition</x:v>
      </x:c>
      <x:c r="H2249" s="6" t="str">
        <x:f>IF(B2249="平","平",IF(B2249="","","仄"))</x:f>
        <x:v>仄</x:v>
      </x:c>
      <x:c r="I2249" s="6" t="str">
        <x:f>IF(D2240="","",IF(AND(ISNUMBER(SEARCH("平",D2240)),OR(ISNUMBER(SEARCH("上",D2240)),ISNUMBER(SEARCH("去",D2240)),ISNUMBER(SEARCH("入",D2240)))),"Ambiguous",IF(ISNUMBER(SEARCH("平",D2240)),"平","仄")))</x:f>
        <x:v>仄</x:v>
      </x:c>
      <x:c r="J2249" s="7" t="str">
        <x:v>manual user correction</x:v>
      </x:c>
    </x:row>
    <x:row r="2250">
      <x:c r="A2250" s="5" t="str">
        <x:v>漾</x:v>
      </x:c>
      <x:c r="B2250" s="6" t="str">
        <x:v>去</x:v>
      </x:c>
      <x:c r="C2250" s="6" t="str">
        <x:f>IF(B2250="","Needs decision","Ready")</x:f>
        <x:v>Ready</x:v>
      </x:c>
      <x:c r="D2250" s="6" t="str">
        <x:v>去</x:v>
      </x:c>
      <x:c r="E2250" s="6" t="str">
        <x:v>yangH [jɑŋh] (去)</x:v>
      </x:c>
      <x:c r="F2250" s="6" t="str">
        <x:v>1</x:v>
      </x:c>
      <x:c r="G2250" s="6" t="str">
        <x:v>Tang 300 gap; frequency 6; provisional from Xun Gong</x:v>
      </x:c>
      <x:c r="H2250" s="6" t="str">
        <x:f>IF(B2250="平","平",IF(B2250="","","仄"))</x:f>
        <x:v>仄</x:v>
      </x:c>
      <x:c r="I2250" s="6" t="str">
        <x:f>IF(D2241="","",IF(AND(ISNUMBER(SEARCH("平",D2241)),OR(ISNUMBER(SEARCH("上",D2241)),ISNUMBER(SEARCH("去",D2241)),ISNUMBER(SEARCH("入",D2241)))),"Ambiguous",IF(ISNUMBER(SEARCH("平",D2241)),"平","仄")))</x:f>
        <x:v>平</x:v>
      </x:c>
      <x:c r="J2250" s="7" t="str">
        <x:v>Xun Gong, Tang 300 gap fill</x:v>
      </x:c>
    </x:row>
    <x:row r="2251">
      <x:c r="A2251" s="5" t="str">
        <x:v>漿</x:v>
      </x:c>
      <x:c r="B2251" s="6" t="str">
        <x:v>平</x:v>
      </x:c>
      <x:c r="C2251" s="6" t="str">
        <x:f>IF(B2251="","Needs decision","Ready")</x:f>
        <x:v>Ready</x:v>
      </x:c>
      <x:c r="D2251" s="6" t="str">
        <x:v>平</x:v>
      </x:c>
      <x:c r="E2251" s="6" t="str">
        <x:v>tsjang (A)</x:v>
      </x:c>
      <x:c r="F2251" s="6" t="str">
        <x:v>1</x:v>
      </x:c>
      <x:c r="G2251" s="6" t="str"/>
      <x:c r="H2251" s="6" t="str">
        <x:f>IF(B2251="平","平",IF(B2251="","","仄"))</x:f>
        <x:v>平</x:v>
      </x:c>
      <x:c r="I2251" s="6" t="str">
        <x:f>IF(D2242="","",IF(AND(ISNUMBER(SEARCH("平",D2242)),OR(ISNUMBER(SEARCH("上",D2242)),ISNUMBER(SEARCH("去",D2242)),ISNUMBER(SEARCH("入",D2242)))),"Ambiguous",IF(ISNUMBER(SEARCH("平",D2242)),"平","仄")))</x:f>
        <x:v>仄</x:v>
      </x:c>
      <x:c r="J2251" s="7" t="str"/>
    </x:row>
    <x:row r="2252">
      <x:c r="A2252" s="5" t="str">
        <x:v>潁</x:v>
      </x:c>
      <x:c r="B2252" s="6" t="str">
        <x:v>上</x:v>
      </x:c>
      <x:c r="C2252" s="6" t="str">
        <x:f>IF(B2252="","Needs decision","Ready")</x:f>
        <x:v>Ready</x:v>
      </x:c>
      <x:c r="D2252" s="6" t="str">
        <x:v>上</x:v>
      </x:c>
      <x:c r="E2252" s="6" t="str">
        <x:v>ywengX [jwaŋʔ] (上)</x:v>
      </x:c>
      <x:c r="F2252" s="6" t="str">
        <x:v>1</x:v>
      </x:c>
      <x:c r="G2252" s="6" t="str">
        <x:v>Tang 300 gap; frequency 3; provisional from Xun Gong</x:v>
      </x:c>
      <x:c r="H2252" s="6" t="str">
        <x:f>IF(B2252="平","平",IF(B2252="","","仄"))</x:f>
        <x:v>仄</x:v>
      </x:c>
      <x:c r="I2252" s="6" t="str">
        <x:f>IF(D2243="","",IF(AND(ISNUMBER(SEARCH("平",D2243)),OR(ISNUMBER(SEARCH("上",D2243)),ISNUMBER(SEARCH("去",D2243)),ISNUMBER(SEARCH("入",D2243)))),"Ambiguous",IF(ISNUMBER(SEARCH("平",D2243)),"平","仄")))</x:f>
        <x:v>仄</x:v>
      </x:c>
      <x:c r="J2252" s="7" t="str">
        <x:v>Xun Gong, Tang 300 gap fill</x:v>
      </x:c>
    </x:row>
    <x:row r="2253">
      <x:c r="A2253" s="5" t="str">
        <x:v>潔</x:v>
      </x:c>
      <x:c r="B2253" s="6" t="str">
        <x:v>入</x:v>
      </x:c>
      <x:c r="C2253" s="6" t="str">
        <x:f>IF(B2253="","Needs decision","Ready")</x:f>
        <x:v>Ready</x:v>
      </x:c>
      <x:c r="D2253" s="6" t="str">
        <x:v>入</x:v>
      </x:c>
      <x:c r="E2253" s="6" t="str">
        <x:v>ket (D)</x:v>
      </x:c>
      <x:c r="F2253" s="6" t="str">
        <x:v>1</x:v>
      </x:c>
      <x:c r="G2253" s="6" t="str"/>
      <x:c r="H2253" s="6" t="str">
        <x:f>IF(B2253="平","平",IF(B2253="","","仄"))</x:f>
        <x:v>仄</x:v>
      </x:c>
      <x:c r="I2253" s="6" t="str">
        <x:f>IF(D2244="","",IF(AND(ISNUMBER(SEARCH("平",D2244)),OR(ISNUMBER(SEARCH("上",D2244)),ISNUMBER(SEARCH("去",D2244)),ISNUMBER(SEARCH("入",D2244)))),"Ambiguous",IF(ISNUMBER(SEARCH("平",D2244)),"平","仄")))</x:f>
        <x:v>平</x:v>
      </x:c>
      <x:c r="J2253" s="7" t="str"/>
    </x:row>
    <x:row r="2254">
      <x:c r="A2254" s="5" t="str">
        <x:v>潘</x:v>
      </x:c>
      <x:c r="B2254" s="6" t="str">
        <x:v>平</x:v>
      </x:c>
      <x:c r="C2254" s="6" t="str">
        <x:f>IF(B2254="","Needs decision","Ready")</x:f>
        <x:v>Ready</x:v>
      </x:c>
      <x:c r="D2254" s="6" t="str">
        <x:v>平</x:v>
      </x:c>
      <x:c r="E2254" s="6" t="str">
        <x:v>phan [p̙ʰɑn] (平)</x:v>
      </x:c>
      <x:c r="F2254" s="6" t="str">
        <x:v>1</x:v>
      </x:c>
      <x:c r="G2254" s="6" t="str">
        <x:v>Tang 300 gap; frequency 1; provisional from Xun Gong</x:v>
      </x:c>
      <x:c r="H2254" s="6" t="str">
        <x:f>IF(B2254="平","平",IF(B2254="","","仄"))</x:f>
        <x:v>平</x:v>
      </x:c>
      <x:c r="I2254" s="6" t="str">
        <x:f>IF(D2245="","",IF(AND(ISNUMBER(SEARCH("平",D2245)),OR(ISNUMBER(SEARCH("上",D2245)),ISNUMBER(SEARCH("去",D2245)),ISNUMBER(SEARCH("入",D2245)))),"Ambiguous",IF(ISNUMBER(SEARCH("平",D2245)),"平","仄")))</x:f>
        <x:v>平</x:v>
      </x:c>
      <x:c r="J2254" s="7" t="str">
        <x:v>Xun Gong, Tang 300 gap fill</x:v>
      </x:c>
    </x:row>
    <x:row r="2255">
      <x:c r="A2255" s="5" t="str">
        <x:v>潛</x:v>
      </x:c>
      <x:c r="B2255" s="6" t="str"/>
      <x:c r="C2255" s="6" t="str">
        <x:f>IF(B2255="","Needs decision","Ready")</x:f>
        <x:v>Needs decision</x:v>
      </x:c>
      <x:c r="D2255" s="6" t="str">
        <x:v>平/去</x:v>
      </x:c>
      <x:c r="E2255" s="6" t="str">
        <x:v>dzjem (A); dzjemH (C)</x:v>
      </x:c>
      <x:c r="F2255" s="6" t="str">
        <x:v>2</x:v>
      </x:c>
      <x:c r="G2255" s="6" t="str"/>
      <x:c r="H2255" s="6" t="str">
        <x:f>IF(B2255="平","平",IF(B2255="","","仄"))</x:f>
      </x:c>
      <x:c r="I2255" s="6" t="str">
        <x:f>IF(D2246="","",IF(AND(ISNUMBER(SEARCH("平",D2246)),OR(ISNUMBER(SEARCH("上",D2246)),ISNUMBER(SEARCH("去",D2246)),ISNUMBER(SEARCH("入",D2246)))),"Ambiguous",IF(ISNUMBER(SEARCH("平",D2246)),"平","仄")))</x:f>
        <x:v>仄</x:v>
      </x:c>
      <x:c r="J2255" s="7" t="str"/>
    </x:row>
    <x:row r="2256">
      <x:c r="A2256" s="5" t="str">
        <x:v>潟</x:v>
      </x:c>
      <x:c r="B2256" s="6" t="str">
        <x:v>入</x:v>
      </x:c>
      <x:c r="C2256" s="6" t="str">
        <x:f>IF(B2256="","Needs decision","Ready")</x:f>
        <x:v>Ready</x:v>
      </x:c>
      <x:c r="D2256" s="6" t="str">
        <x:v>入</x:v>
      </x:c>
      <x:c r="E2256" s="6" t="str">
        <x:v>sjek (D)</x:v>
      </x:c>
      <x:c r="F2256" s="6" t="str">
        <x:v>1</x:v>
      </x:c>
      <x:c r="G2256" s="6" t="str"/>
      <x:c r="H2256" s="6" t="str">
        <x:f>IF(B2256="平","平",IF(B2256="","","仄"))</x:f>
        <x:v>仄</x:v>
      </x:c>
      <x:c r="I2256" s="6" t="str">
        <x:f>IF(D2247="","",IF(AND(ISNUMBER(SEARCH("平",D2247)),OR(ISNUMBER(SEARCH("上",D2247)),ISNUMBER(SEARCH("去",D2247)),ISNUMBER(SEARCH("入",D2247)))),"Ambiguous",IF(ISNUMBER(SEARCH("平",D2247)),"平","仄")))</x:f>
        <x:v>仄</x:v>
      </x:c>
      <x:c r="J2256" s="7" t="str"/>
    </x:row>
    <x:row r="2257">
      <x:c r="A2257" s="5" t="str">
        <x:v>潢</x:v>
      </x:c>
      <x:c r="B2257" s="6" t="str"/>
      <x:c r="C2257" s="6" t="str">
        <x:f>IF(B2257="","Needs decision","Ready")</x:f>
        <x:v>Needs decision</x:v>
      </x:c>
      <x:c r="D2257" s="6" t="str">
        <x:v>平/去</x:v>
      </x:c>
      <x:c r="E2257" s="6" t="str">
        <x:v>hwang [ʁwɑŋ] (平); hwangH [ʁwɑŋh] (去)</x:v>
      </x:c>
      <x:c r="F2257" s="6" t="str">
        <x:v>2</x:v>
      </x:c>
      <x:c r="G2257" s="6" t="str">
        <x:v>Tang 300 gap; frequency 1; ambiguous in Xun Gong</x:v>
      </x:c>
      <x:c r="H2257" s="6" t="str">
        <x:f>IF(B2257="平","平",IF(B2257="","","仄"))</x:f>
      </x:c>
      <x:c r="I2257" s="6" t="str">
        <x:f>IF(D2248="","",IF(AND(ISNUMBER(SEARCH("平",D2248)),OR(ISNUMBER(SEARCH("上",D2248)),ISNUMBER(SEARCH("去",D2248)),ISNUMBER(SEARCH("入",D2248)))),"Ambiguous",IF(ISNUMBER(SEARCH("平",D2248)),"平","仄")))</x:f>
        <x:v>Ambiguous</x:v>
      </x:c>
      <x:c r="J2257" s="7" t="str">
        <x:v>Xun Gong, Tang 300 gap fill</x:v>
      </x:c>
    </x:row>
    <x:row r="2258">
      <x:c r="A2258" s="5" t="str">
        <x:v>潦</x:v>
      </x:c>
      <x:c r="B2258" s="6" t="str"/>
      <x:c r="C2258" s="6" t="str">
        <x:f>IF(B2258="","Needs decision","Ready")</x:f>
        <x:v>Needs decision</x:v>
      </x:c>
      <x:c r="D2258" s="6" t="str">
        <x:v>上/去</x:v>
      </x:c>
      <x:c r="E2258" s="6" t="str">
        <x:v>lawH [l̙əwh] (去); lawX [l̙əwʔ] (上)</x:v>
      </x:c>
      <x:c r="F2258" s="6" t="str">
        <x:v>2</x:v>
      </x:c>
      <x:c r="G2258" s="6" t="str">
        <x:v>Tang 300 gap; frequency 1; ambiguous in Xun Gong</x:v>
      </x:c>
      <x:c r="H2258" s="6" t="str">
        <x:f>IF(B2258="平","平",IF(B2258="","","仄"))</x:f>
      </x:c>
      <x:c r="I2258" s="6" t="str">
        <x:f>IF(D2249="","",IF(AND(ISNUMBER(SEARCH("平",D2249)),OR(ISNUMBER(SEARCH("上",D2249)),ISNUMBER(SEARCH("去",D2249)),ISNUMBER(SEARCH("入",D2249)))),"Ambiguous",IF(ISNUMBER(SEARCH("平",D2249)),"平","仄")))</x:f>
        <x:v>Ambiguous</x:v>
      </x:c>
      <x:c r="J2258" s="7" t="str">
        <x:v>Xun Gong, Tang 300 gap fill</x:v>
      </x:c>
    </x:row>
    <x:row r="2259">
      <x:c r="A2259" s="5" t="str">
        <x:v>潨</x:v>
      </x:c>
      <x:c r="B2259" s="6" t="str">
        <x:v>平</x:v>
      </x:c>
      <x:c r="C2259" s="6" t="str">
        <x:f>IF(B2259="","Needs decision","Ready")</x:f>
        <x:v>Ready</x:v>
      </x:c>
      <x:c r="D2259" s="6" t="str">
        <x:v>平</x:v>
      </x:c>
      <x:c r="E2259" s="6" t="str">
        <x:v>dzowng (A); tsyuwng (A)</x:v>
      </x:c>
      <x:c r="F2259" s="6" t="str">
        <x:v>2</x:v>
      </x:c>
      <x:c r="G2259" s="6" t="str"/>
      <x:c r="H2259" s="6" t="str">
        <x:f>IF(B2259="平","平",IF(B2259="","","仄"))</x:f>
        <x:v>平</x:v>
      </x:c>
      <x:c r="I2259" s="6" t="str">
        <x:f>IF(D2250="","",IF(AND(ISNUMBER(SEARCH("平",D2250)),OR(ISNUMBER(SEARCH("上",D2250)),ISNUMBER(SEARCH("去",D2250)),ISNUMBER(SEARCH("入",D2250)))),"Ambiguous",IF(ISNUMBER(SEARCH("平",D2250)),"平","仄")))</x:f>
        <x:v>仄</x:v>
      </x:c>
      <x:c r="J2259" s="7" t="str"/>
    </x:row>
    <x:row r="2260">
      <x:c r="A2260" s="5" t="str">
        <x:v>潭</x:v>
      </x:c>
      <x:c r="B2260" s="6" t="str">
        <x:v>平</x:v>
      </x:c>
      <x:c r="C2260" s="6" t="str">
        <x:f>IF(B2260="","Needs decision","Ready")</x:f>
        <x:v>Ready</x:v>
      </x:c>
      <x:c r="D2260" s="6" t="str">
        <x:v>平</x:v>
      </x:c>
      <x:c r="E2260" s="6" t="str">
        <x:v>dom (A)</x:v>
      </x:c>
      <x:c r="F2260" s="6" t="str">
        <x:v>1</x:v>
      </x:c>
      <x:c r="G2260" s="6" t="str"/>
      <x:c r="H2260" s="6" t="str">
        <x:f>IF(B2260="平","平",IF(B2260="","","仄"))</x:f>
        <x:v>平</x:v>
      </x:c>
      <x:c r="I2260" s="6" t="str">
        <x:f>IF(D2251="","",IF(AND(ISNUMBER(SEARCH("平",D2251)),OR(ISNUMBER(SEARCH("上",D2251)),ISNUMBER(SEARCH("去",D2251)),ISNUMBER(SEARCH("入",D2251)))),"Ambiguous",IF(ISNUMBER(SEARCH("平",D2251)),"平","仄")))</x:f>
        <x:v>平</x:v>
      </x:c>
      <x:c r="J2260" s="7" t="str"/>
    </x:row>
    <x:row r="2261">
      <x:c r="A2261" s="5" t="str">
        <x:v>潮</x:v>
      </x:c>
      <x:c r="B2261" s="6" t="str">
        <x:v>平</x:v>
      </x:c>
      <x:c r="C2261" s="6" t="str">
        <x:f>IF(B2261="","Needs decision","Ready")</x:f>
        <x:v>Ready</x:v>
      </x:c>
      <x:c r="D2261" s="6" t="str">
        <x:v>平</x:v>
      </x:c>
      <x:c r="E2261" s="6" t="str">
        <x:v>drjew (A)</x:v>
      </x:c>
      <x:c r="F2261" s="6" t="str">
        <x:v>1</x:v>
      </x:c>
      <x:c r="G2261" s="6" t="str"/>
      <x:c r="H2261" s="6" t="str">
        <x:f>IF(B2261="平","平",IF(B2261="","","仄"))</x:f>
        <x:v>平</x:v>
      </x:c>
      <x:c r="I2261" s="6" t="str">
        <x:f>IF(D2252="","",IF(AND(ISNUMBER(SEARCH("平",D2252)),OR(ISNUMBER(SEARCH("上",D2252)),ISNUMBER(SEARCH("去",D2252)),ISNUMBER(SEARCH("入",D2252)))),"Ambiguous",IF(ISNUMBER(SEARCH("平",D2252)),"平","仄")))</x:f>
        <x:v>仄</x:v>
      </x:c>
      <x:c r="J2261" s="7" t="str"/>
    </x:row>
    <x:row r="2262">
      <x:c r="A2262" s="5" t="str">
        <x:v>潯</x:v>
      </x:c>
      <x:c r="B2262" s="6" t="str">
        <x:v>平</x:v>
      </x:c>
      <x:c r="C2262" s="6" t="str">
        <x:f>IF(B2262="","Needs decision","Ready")</x:f>
        <x:v>Ready</x:v>
      </x:c>
      <x:c r="D2262" s="6" t="str">
        <x:v>平</x:v>
      </x:c>
      <x:c r="E2262" s="6" t="str">
        <x:v>zim [zim] (平)</x:v>
      </x:c>
      <x:c r="F2262" s="6" t="str">
        <x:v>1</x:v>
      </x:c>
      <x:c r="G2262" s="6" t="str">
        <x:v>Tang 300 gap; frequency 3; provisional from Xun Gong</x:v>
      </x:c>
      <x:c r="H2262" s="6" t="str">
        <x:f>IF(B2262="平","平",IF(B2262="","","仄"))</x:f>
        <x:v>平</x:v>
      </x:c>
      <x:c r="I2262" s="6" t="str">
        <x:f>IF(D2253="","",IF(AND(ISNUMBER(SEARCH("平",D2253)),OR(ISNUMBER(SEARCH("上",D2253)),ISNUMBER(SEARCH("去",D2253)),ISNUMBER(SEARCH("入",D2253)))),"Ambiguous",IF(ISNUMBER(SEARCH("平",D2253)),"平","仄")))</x:f>
        <x:v>仄</x:v>
      </x:c>
      <x:c r="J2262" s="7" t="str">
        <x:v>Xun Gong, Tang 300 gap fill</x:v>
      </x:c>
    </x:row>
    <x:row r="2263">
      <x:c r="A2263" s="5" t="str">
        <x:v>潰</x:v>
      </x:c>
      <x:c r="B2263" s="6" t="str">
        <x:v>去</x:v>
      </x:c>
      <x:c r="C2263" s="6" t="str">
        <x:f>IF(B2263="","Needs decision","Ready")</x:f>
        <x:v>Ready</x:v>
      </x:c>
      <x:c r="D2263" s="6" t="str">
        <x:v>去</x:v>
      </x:c>
      <x:c r="E2263" s="6" t="str">
        <x:v>hwojH (C)</x:v>
      </x:c>
      <x:c r="F2263" s="6" t="str">
        <x:v>1</x:v>
      </x:c>
      <x:c r="G2263" s="6" t="str"/>
      <x:c r="H2263" s="6" t="str">
        <x:f>IF(B2263="平","平",IF(B2263="","","仄"))</x:f>
        <x:v>仄</x:v>
      </x:c>
      <x:c r="I2263" s="6" t="str">
        <x:f>IF(D2254="","",IF(AND(ISNUMBER(SEARCH("平",D2254)),OR(ISNUMBER(SEARCH("上",D2254)),ISNUMBER(SEARCH("去",D2254)),ISNUMBER(SEARCH("入",D2254)))),"Ambiguous",IF(ISNUMBER(SEARCH("平",D2254)),"平","仄")))</x:f>
        <x:v>平</x:v>
      </x:c>
      <x:c r="J2263" s="7" t="str"/>
    </x:row>
    <x:row r="2264">
      <x:c r="A2264" s="5" t="str">
        <x:v>潸</x:v>
      </x:c>
      <x:c r="B2264" s="6" t="str">
        <x:v>平</x:v>
      </x:c>
      <x:c r="C2264" s="6" t="str">
        <x:f>IF(B2264="","Needs decision","Ready")</x:f>
        <x:v>Ready</x:v>
      </x:c>
      <x:c r="D2264" s="6" t="str">
        <x:v>平</x:v>
      </x:c>
      <x:c r="E2264" s="6" t="str">
        <x:v>sraen (A); srean (A)</x:v>
      </x:c>
      <x:c r="F2264" s="6" t="str">
        <x:v>2</x:v>
      </x:c>
      <x:c r="G2264" s="6" t="str"/>
      <x:c r="H2264" s="6" t="str">
        <x:f>IF(B2264="平","平",IF(B2264="","","仄"))</x:f>
        <x:v>平</x:v>
      </x:c>
      <x:c r="I2264" s="6" t="str">
        <x:f>IF(D2255="","",IF(AND(ISNUMBER(SEARCH("平",D2255)),OR(ISNUMBER(SEARCH("上",D2255)),ISNUMBER(SEARCH("去",D2255)),ISNUMBER(SEARCH("入",D2255)))),"Ambiguous",IF(ISNUMBER(SEARCH("平",D2255)),"平","仄")))</x:f>
        <x:v>Ambiguous</x:v>
      </x:c>
      <x:c r="J2264" s="7" t="str"/>
    </x:row>
    <x:row r="2265">
      <x:c r="A2265" s="5" t="str">
        <x:v>潺</x:v>
      </x:c>
      <x:c r="B2265" s="6" t="str">
        <x:v>平</x:v>
      </x:c>
      <x:c r="C2265" s="6" t="str">
        <x:f>IF(B2265="","Needs decision","Ready")</x:f>
        <x:v>Ready</x:v>
      </x:c>
      <x:c r="D2265" s="6" t="str">
        <x:v>平</x:v>
      </x:c>
      <x:c r="E2265" s="6" t="str"/>
      <x:c r="F2265" s="6" t="str"/>
      <x:c r="G2265" s="6" t="str">
        <x:v>Manual user correction/addition</x:v>
      </x:c>
      <x:c r="H2265" s="6" t="str">
        <x:f>IF(B2265="平","平",IF(B2265="","","仄"))</x:f>
        <x:v>平</x:v>
      </x:c>
      <x:c r="I2265" s="6" t="str">
        <x:f>IF(D2256="","",IF(AND(ISNUMBER(SEARCH("平",D2256)),OR(ISNUMBER(SEARCH("上",D2256)),ISNUMBER(SEARCH("去",D2256)),ISNUMBER(SEARCH("入",D2256)))),"Ambiguous",IF(ISNUMBER(SEARCH("平",D2256)),"平","仄")))</x:f>
        <x:v>仄</x:v>
      </x:c>
      <x:c r="J2265" s="7" t="str">
        <x:v>manual user correction</x:v>
      </x:c>
    </x:row>
    <x:row r="2266">
      <x:c r="A2266" s="5" t="str">
        <x:v>澀</x:v>
      </x:c>
      <x:c r="B2266" s="6" t="str">
        <x:v>入</x:v>
      </x:c>
      <x:c r="C2266" s="6" t="str">
        <x:f>IF(B2266="","Needs decision","Ready")</x:f>
        <x:v>Ready</x:v>
      </x:c>
      <x:c r="D2266" s="6" t="str">
        <x:v>入</x:v>
      </x:c>
      <x:c r="E2266" s="6" t="str">
        <x:v>srip [ʂɨ̯ip] (入)</x:v>
      </x:c>
      <x:c r="F2266" s="6" t="str">
        <x:v>1</x:v>
      </x:c>
      <x:c r="G2266" s="6" t="str">
        <x:v>Tang 300 gap; frequency 1; provisional from Xun Gong</x:v>
      </x:c>
      <x:c r="H2266" s="6" t="str">
        <x:f>IF(B2266="平","平",IF(B2266="","","仄"))</x:f>
        <x:v>仄</x:v>
      </x:c>
      <x:c r="I2266" s="6" t="str">
        <x:f>IF(D2257="","",IF(AND(ISNUMBER(SEARCH("平",D2257)),OR(ISNUMBER(SEARCH("上",D2257)),ISNUMBER(SEARCH("去",D2257)),ISNUMBER(SEARCH("入",D2257)))),"Ambiguous",IF(ISNUMBER(SEARCH("平",D2257)),"平","仄")))</x:f>
        <x:v>Ambiguous</x:v>
      </x:c>
      <x:c r="J2266" s="7" t="str">
        <x:v>Xun Gong, Tang 300 gap fill</x:v>
      </x:c>
    </x:row>
    <x:row r="2267">
      <x:c r="A2267" s="5" t="str">
        <x:v>澄</x:v>
      </x:c>
      <x:c r="B2267" s="6" t="str">
        <x:v>平</x:v>
      </x:c>
      <x:c r="C2267" s="6" t="str">
        <x:f>IF(B2267="","Needs decision","Ready")</x:f>
        <x:v>Ready</x:v>
      </x:c>
      <x:c r="D2267" s="6" t="str">
        <x:v>平</x:v>
      </x:c>
      <x:c r="E2267" s="6" t="str">
        <x:v>dring (A)</x:v>
      </x:c>
      <x:c r="F2267" s="6" t="str">
        <x:v>1</x:v>
      </x:c>
      <x:c r="G2267" s="6" t="str"/>
      <x:c r="H2267" s="6" t="str">
        <x:f>IF(B2267="平","平",IF(B2267="","","仄"))</x:f>
        <x:v>平</x:v>
      </x:c>
      <x:c r="I2267" s="6" t="str">
        <x:f>IF(D2258="","",IF(AND(ISNUMBER(SEARCH("平",D2258)),OR(ISNUMBER(SEARCH("上",D2258)),ISNUMBER(SEARCH("去",D2258)),ISNUMBER(SEARCH("入",D2258)))),"Ambiguous",IF(ISNUMBER(SEARCH("平",D2258)),"平","仄")))</x:f>
        <x:v>仄</x:v>
      </x:c>
      <x:c r="J2267" s="7" t="str"/>
    </x:row>
    <x:row r="2268">
      <x:c r="A2268" s="5" t="str">
        <x:v>澈</x:v>
      </x:c>
      <x:c r="B2268" s="6" t="str">
        <x:v>入</x:v>
      </x:c>
      <x:c r="C2268" s="6" t="str">
        <x:f>IF(B2268="","Needs decision","Ready")</x:f>
        <x:v>Ready</x:v>
      </x:c>
      <x:c r="D2268" s="6" t="str">
        <x:v>入</x:v>
      </x:c>
      <x:c r="E2268" s="6" t="str">
        <x:v>drjet (D)</x:v>
      </x:c>
      <x:c r="F2268" s="6" t="str">
        <x:v>1</x:v>
      </x:c>
      <x:c r="G2268" s="6" t="str"/>
      <x:c r="H2268" s="6" t="str">
        <x:f>IF(B2268="平","平",IF(B2268="","","仄"))</x:f>
        <x:v>仄</x:v>
      </x:c>
      <x:c r="I2268" s="6" t="str">
        <x:f>IF(D2259="","",IF(AND(ISNUMBER(SEARCH("平",D2259)),OR(ISNUMBER(SEARCH("上",D2259)),ISNUMBER(SEARCH("去",D2259)),ISNUMBER(SEARCH("入",D2259)))),"Ambiguous",IF(ISNUMBER(SEARCH("平",D2259)),"平","仄")))</x:f>
        <x:v>平</x:v>
      </x:c>
      <x:c r="J2268" s="7" t="str"/>
    </x:row>
    <x:row r="2269">
      <x:c r="A2269" s="5" t="str">
        <x:v>澒</x:v>
      </x:c>
      <x:c r="B2269" s="6" t="str">
        <x:v>上</x:v>
      </x:c>
      <x:c r="C2269" s="6" t="str">
        <x:f>IF(B2269="","Needs decision","Ready")</x:f>
        <x:v>Ready</x:v>
      </x:c>
      <x:c r="D2269" s="6" t="str">
        <x:v>上</x:v>
      </x:c>
      <x:c r="E2269" s="6" t="str">
        <x:v>huwngX [ʁuŋʔ] (上)</x:v>
      </x:c>
      <x:c r="F2269" s="6" t="str">
        <x:v>1</x:v>
      </x:c>
      <x:c r="G2269" s="6" t="str">
        <x:v>Tang 300 gap; frequency 1; provisional from Xun Gong</x:v>
      </x:c>
      <x:c r="H2269" s="6" t="str">
        <x:f>IF(B2269="平","平",IF(B2269="","","仄"))</x:f>
        <x:v>仄</x:v>
      </x:c>
      <x:c r="I2269" s="6" t="str">
        <x:f>IF(D2260="","",IF(AND(ISNUMBER(SEARCH("平",D2260)),OR(ISNUMBER(SEARCH("上",D2260)),ISNUMBER(SEARCH("去",D2260)),ISNUMBER(SEARCH("入",D2260)))),"Ambiguous",IF(ISNUMBER(SEARCH("平",D2260)),"平","仄")))</x:f>
        <x:v>平</x:v>
      </x:c>
      <x:c r="J2269" s="7" t="str">
        <x:v>Xun Gong, Tang 300 gap fill</x:v>
      </x:c>
    </x:row>
    <x:row r="2270">
      <x:c r="A2270" s="5" t="str">
        <x:v>澗</x:v>
      </x:c>
      <x:c r="B2270" s="6" t="str">
        <x:v>去</x:v>
      </x:c>
      <x:c r="C2270" s="6" t="str">
        <x:f>IF(B2270="","Needs decision","Ready")</x:f>
        <x:v>Ready</x:v>
      </x:c>
      <x:c r="D2270" s="6" t="str">
        <x:v>去</x:v>
      </x:c>
      <x:c r="E2270" s="6" t="str">
        <x:v>kaenH (C)</x:v>
      </x:c>
      <x:c r="F2270" s="6" t="str">
        <x:v>1</x:v>
      </x:c>
      <x:c r="G2270" s="6" t="str"/>
      <x:c r="H2270" s="6" t="str">
        <x:f>IF(B2270="平","平",IF(B2270="","","仄"))</x:f>
        <x:v>仄</x:v>
      </x:c>
      <x:c r="I2270" s="6" t="str">
        <x:f>IF(D2261="","",IF(AND(ISNUMBER(SEARCH("平",D2261)),OR(ISNUMBER(SEARCH("上",D2261)),ISNUMBER(SEARCH("去",D2261)),ISNUMBER(SEARCH("入",D2261)))),"Ambiguous",IF(ISNUMBER(SEARCH("平",D2261)),"平","仄")))</x:f>
        <x:v>平</x:v>
      </x:c>
      <x:c r="J2270" s="7" t="str"/>
    </x:row>
    <x:row r="2271">
      <x:c r="A2271" s="5" t="str">
        <x:v>澡</x:v>
      </x:c>
      <x:c r="B2271" s="6" t="str">
        <x:v>上</x:v>
      </x:c>
      <x:c r="C2271" s="6" t="str">
        <x:f>IF(B2271="","Needs decision","Ready")</x:f>
        <x:v>Ready</x:v>
      </x:c>
      <x:c r="D2271" s="6" t="str">
        <x:v>上</x:v>
      </x:c>
      <x:c r="E2271" s="6" t="str">
        <x:v>tsawX (B)</x:v>
      </x:c>
      <x:c r="F2271" s="6" t="str">
        <x:v>1</x:v>
      </x:c>
      <x:c r="G2271" s="6" t="str"/>
      <x:c r="H2271" s="6" t="str">
        <x:f>IF(B2271="平","平",IF(B2271="","","仄"))</x:f>
        <x:v>仄</x:v>
      </x:c>
      <x:c r="I2271" s="6" t="str">
        <x:f>IF(D2262="","",IF(AND(ISNUMBER(SEARCH("平",D2262)),OR(ISNUMBER(SEARCH("上",D2262)),ISNUMBER(SEARCH("去",D2262)),ISNUMBER(SEARCH("入",D2262)))),"Ambiguous",IF(ISNUMBER(SEARCH("平",D2262)),"平","仄")))</x:f>
        <x:v>平</x:v>
      </x:c>
      <x:c r="J2271" s="7" t="str"/>
    </x:row>
    <x:row r="2272">
      <x:c r="A2272" s="5" t="str">
        <x:v>澤</x:v>
      </x:c>
      <x:c r="B2272" s="6" t="str">
        <x:v>入</x:v>
      </x:c>
      <x:c r="C2272" s="6" t="str">
        <x:f>IF(B2272="","Needs decision","Ready")</x:f>
        <x:v>Ready</x:v>
      </x:c>
      <x:c r="D2272" s="6" t="str">
        <x:v>入</x:v>
      </x:c>
      <x:c r="E2272" s="6" t="str">
        <x:v>draek (D)</x:v>
      </x:c>
      <x:c r="F2272" s="6" t="str">
        <x:v>1</x:v>
      </x:c>
      <x:c r="G2272" s="6" t="str"/>
      <x:c r="H2272" s="6" t="str">
        <x:f>IF(B2272="平","平",IF(B2272="","","仄"))</x:f>
        <x:v>仄</x:v>
      </x:c>
      <x:c r="I2272" s="6" t="str">
        <x:f>IF(D2263="","",IF(AND(ISNUMBER(SEARCH("平",D2263)),OR(ISNUMBER(SEARCH("上",D2263)),ISNUMBER(SEARCH("去",D2263)),ISNUMBER(SEARCH("入",D2263)))),"Ambiguous",IF(ISNUMBER(SEARCH("平",D2263)),"平","仄")))</x:f>
        <x:v>仄</x:v>
      </x:c>
      <x:c r="J2272" s="7" t="str"/>
    </x:row>
    <x:row r="2273">
      <x:c r="A2273" s="5" t="str">
        <x:v>澦</x:v>
      </x:c>
      <x:c r="B2273" s="6" t="str">
        <x:v>去</x:v>
      </x:c>
      <x:c r="C2273" s="6" t="str">
        <x:f>IF(B2273="","Needs decision","Ready")</x:f>
        <x:v>Ready</x:v>
      </x:c>
      <x:c r="D2273" s="6" t="str">
        <x:v>去</x:v>
      </x:c>
      <x:c r="E2273" s="6" t="str">
        <x:v>yoH [jəh] (去)</x:v>
      </x:c>
      <x:c r="F2273" s="6" t="str">
        <x:v>1</x:v>
      </x:c>
      <x:c r="G2273" s="6" t="str">
        <x:v>Tang 300 gap; frequency 1; provisional from Xun Gong</x:v>
      </x:c>
      <x:c r="H2273" s="6" t="str">
        <x:f>IF(B2273="平","平",IF(B2273="","","仄"))</x:f>
        <x:v>仄</x:v>
      </x:c>
      <x:c r="I2273" s="6" t="str">
        <x:f>IF(D2264="","",IF(AND(ISNUMBER(SEARCH("平",D2264)),OR(ISNUMBER(SEARCH("上",D2264)),ISNUMBER(SEARCH("去",D2264)),ISNUMBER(SEARCH("入",D2264)))),"Ambiguous",IF(ISNUMBER(SEARCH("平",D2264)),"平","仄")))</x:f>
        <x:v>平</x:v>
      </x:c>
      <x:c r="J2273" s="7" t="str">
        <x:v>Xun Gong, Tang 300 gap fill</x:v>
      </x:c>
    </x:row>
    <x:row r="2274">
      <x:c r="A2274" s="5" t="str">
        <x:v>澮</x:v>
      </x:c>
      <x:c r="B2274" s="6" t="str">
        <x:v>去</x:v>
      </x:c>
      <x:c r="C2274" s="6" t="str">
        <x:f>IF(B2274="","Needs decision","Ready")</x:f>
        <x:v>Ready</x:v>
      </x:c>
      <x:c r="D2274" s="6" t="str">
        <x:v>去</x:v>
      </x:c>
      <x:c r="E2274" s="6" t="str">
        <x:v>kwajH (C)</x:v>
      </x:c>
      <x:c r="F2274" s="6" t="str">
        <x:v>1</x:v>
      </x:c>
      <x:c r="G2274" s="6" t="str"/>
      <x:c r="H2274" s="6" t="str">
        <x:f>IF(B2274="平","平",IF(B2274="","","仄"))</x:f>
        <x:v>仄</x:v>
      </x:c>
      <x:c r="I2274" s="6" t="str">
        <x:f>IF(D2265="","",IF(AND(ISNUMBER(SEARCH("平",D2265)),OR(ISNUMBER(SEARCH("上",D2265)),ISNUMBER(SEARCH("去",D2265)),ISNUMBER(SEARCH("入",D2265)))),"Ambiguous",IF(ISNUMBER(SEARCH("平",D2265)),"平","仄")))</x:f>
        <x:v>平</x:v>
      </x:c>
      <x:c r="J2274" s="7" t="str"/>
    </x:row>
    <x:row r="2275">
      <x:c r="A2275" s="5" t="str">
        <x:v>澳</x:v>
      </x:c>
      <x:c r="B2275" s="6" t="str">
        <x:v>去</x:v>
      </x:c>
      <x:c r="C2275" s="6" t="str">
        <x:f>IF(B2275="","Needs decision","Ready")</x:f>
        <x:v>Ready</x:v>
      </x:c>
      <x:c r="D2275" s="6" t="str">
        <x:v>去</x:v>
      </x:c>
      <x:c r="E2275" s="6" t="str">
        <x:v>'awH (C)</x:v>
      </x:c>
      <x:c r="F2275" s="6" t="str">
        <x:v>1</x:v>
      </x:c>
      <x:c r="G2275" s="6" t="str"/>
      <x:c r="H2275" s="6" t="str">
        <x:f>IF(B2275="平","平",IF(B2275="","","仄"))</x:f>
        <x:v>仄</x:v>
      </x:c>
      <x:c r="I2275" s="6" t="str">
        <x:f>IF(D2266="","",IF(AND(ISNUMBER(SEARCH("平",D2266)),OR(ISNUMBER(SEARCH("上",D2266)),ISNUMBER(SEARCH("去",D2266)),ISNUMBER(SEARCH("入",D2266)))),"Ambiguous",IF(ISNUMBER(SEARCH("平",D2266)),"平","仄")))</x:f>
        <x:v>仄</x:v>
      </x:c>
      <x:c r="J2275" s="7" t="str"/>
    </x:row>
    <x:row r="2276">
      <x:c r="A2276" s="5" t="str">
        <x:v>澹</x:v>
      </x:c>
      <x:c r="B2276" s="6" t="str">
        <x:v>上</x:v>
      </x:c>
      <x:c r="C2276" s="6" t="str">
        <x:f>IF(B2276="","Needs decision","Ready")</x:f>
        <x:v>Ready</x:v>
      </x:c>
      <x:c r="D2276" s="6" t="str">
        <x:v>上</x:v>
      </x:c>
      <x:c r="E2276" s="6" t="str">
        <x:v>damX (B)</x:v>
      </x:c>
      <x:c r="F2276" s="6" t="str">
        <x:v>1</x:v>
      </x:c>
      <x:c r="G2276" s="6" t="str"/>
      <x:c r="H2276" s="6" t="str">
        <x:f>IF(B2276="平","平",IF(B2276="","","仄"))</x:f>
        <x:v>仄</x:v>
      </x:c>
      <x:c r="I2276" s="6" t="str">
        <x:f>IF(D2267="","",IF(AND(ISNUMBER(SEARCH("平",D2267)),OR(ISNUMBER(SEARCH("上",D2267)),ISNUMBER(SEARCH("去",D2267)),ISNUMBER(SEARCH("入",D2267)))),"Ambiguous",IF(ISNUMBER(SEARCH("平",D2267)),"平","仄")))</x:f>
        <x:v>平</x:v>
      </x:c>
      <x:c r="J2276" s="7" t="str"/>
    </x:row>
    <x:row r="2277">
      <x:c r="A2277" s="5" t="str">
        <x:v>激</x:v>
      </x:c>
      <x:c r="B2277" s="6" t="str">
        <x:v>入</x:v>
      </x:c>
      <x:c r="C2277" s="6" t="str">
        <x:f>IF(B2277="","Needs decision","Ready")</x:f>
        <x:v>Ready</x:v>
      </x:c>
      <x:c r="D2277" s="6" t="str">
        <x:v>入</x:v>
      </x:c>
      <x:c r="E2277" s="6" t="str">
        <x:v>kek (D)</x:v>
      </x:c>
      <x:c r="F2277" s="6" t="str">
        <x:v>1</x:v>
      </x:c>
      <x:c r="G2277" s="6" t="str"/>
      <x:c r="H2277" s="6" t="str">
        <x:f>IF(B2277="平","平",IF(B2277="","","仄"))</x:f>
        <x:v>仄</x:v>
      </x:c>
      <x:c r="I2277" s="6" t="str">
        <x:f>IF(D2268="","",IF(AND(ISNUMBER(SEARCH("平",D2268)),OR(ISNUMBER(SEARCH("上",D2268)),ISNUMBER(SEARCH("去",D2268)),ISNUMBER(SEARCH("入",D2268)))),"Ambiguous",IF(ISNUMBER(SEARCH("平",D2268)),"平","仄")))</x:f>
        <x:v>仄</x:v>
      </x:c>
      <x:c r="J2277" s="7" t="str"/>
    </x:row>
    <x:row r="2278">
      <x:c r="A2278" s="5" t="str">
        <x:v>濁</x:v>
      </x:c>
      <x:c r="B2278" s="6" t="str">
        <x:v>入</x:v>
      </x:c>
      <x:c r="C2278" s="6" t="str">
        <x:f>IF(B2278="","Needs decision","Ready")</x:f>
        <x:v>Ready</x:v>
      </x:c>
      <x:c r="D2278" s="6" t="str">
        <x:v>入</x:v>
      </x:c>
      <x:c r="E2278" s="6" t="str">
        <x:v>draewk (D)</x:v>
      </x:c>
      <x:c r="F2278" s="6" t="str">
        <x:v>1</x:v>
      </x:c>
      <x:c r="G2278" s="6" t="str"/>
      <x:c r="H2278" s="6" t="str">
        <x:f>IF(B2278="平","平",IF(B2278="","","仄"))</x:f>
        <x:v>仄</x:v>
      </x:c>
      <x:c r="I2278" s="6" t="str">
        <x:f>IF(D2269="","",IF(AND(ISNUMBER(SEARCH("平",D2269)),OR(ISNUMBER(SEARCH("上",D2269)),ISNUMBER(SEARCH("去",D2269)),ISNUMBER(SEARCH("入",D2269)))),"Ambiguous",IF(ISNUMBER(SEARCH("平",D2269)),"平","仄")))</x:f>
        <x:v>仄</x:v>
      </x:c>
      <x:c r="J2278" s="7" t="str"/>
    </x:row>
    <x:row r="2279">
      <x:c r="A2279" s="5" t="str">
        <x:v>濃</x:v>
      </x:c>
      <x:c r="B2279" s="6" t="str">
        <x:v>平</x:v>
      </x:c>
      <x:c r="C2279" s="6" t="str">
        <x:f>IF(B2279="","Needs decision","Ready")</x:f>
        <x:v>Ready</x:v>
      </x:c>
      <x:c r="D2279" s="6" t="str">
        <x:v>平</x:v>
      </x:c>
      <x:c r="E2279" s="6" t="str">
        <x:v>nrjowng (A)</x:v>
      </x:c>
      <x:c r="F2279" s="6" t="str">
        <x:v>1</x:v>
      </x:c>
      <x:c r="G2279" s="6" t="str"/>
      <x:c r="H2279" s="6" t="str">
        <x:f>IF(B2279="平","平",IF(B2279="","","仄"))</x:f>
        <x:v>平</x:v>
      </x:c>
      <x:c r="I2279" s="6" t="str">
        <x:f>IF(D2270="","",IF(AND(ISNUMBER(SEARCH("平",D2270)),OR(ISNUMBER(SEARCH("上",D2270)),ISNUMBER(SEARCH("去",D2270)),ISNUMBER(SEARCH("入",D2270)))),"Ambiguous",IF(ISNUMBER(SEARCH("平",D2270)),"平","仄")))</x:f>
        <x:v>仄</x:v>
      </x:c>
      <x:c r="J2279" s="7" t="str"/>
    </x:row>
    <x:row r="2280">
      <x:c r="A2280" s="5" t="str">
        <x:v>濈</x:v>
      </x:c>
      <x:c r="B2280" s="6" t="str">
        <x:v>入</x:v>
      </x:c>
      <x:c r="C2280" s="6" t="str">
        <x:f>IF(B2280="","Needs decision","Ready")</x:f>
        <x:v>Ready</x:v>
      </x:c>
      <x:c r="D2280" s="6" t="str">
        <x:v>入</x:v>
      </x:c>
      <x:c r="E2280" s="6" t="str">
        <x:v>tsrip (D)</x:v>
      </x:c>
      <x:c r="F2280" s="6" t="str">
        <x:v>1</x:v>
      </x:c>
      <x:c r="G2280" s="6" t="str"/>
      <x:c r="H2280" s="6" t="str">
        <x:f>IF(B2280="平","平",IF(B2280="","","仄"))</x:f>
        <x:v>仄</x:v>
      </x:c>
      <x:c r="I2280" s="6" t="str">
        <x:f>IF(D2271="","",IF(AND(ISNUMBER(SEARCH("平",D2271)),OR(ISNUMBER(SEARCH("上",D2271)),ISNUMBER(SEARCH("去",D2271)),ISNUMBER(SEARCH("入",D2271)))),"Ambiguous",IF(ISNUMBER(SEARCH("平",D2271)),"平","仄")))</x:f>
        <x:v>仄</x:v>
      </x:c>
      <x:c r="J2280" s="7" t="str"/>
    </x:row>
    <x:row r="2281">
      <x:c r="A2281" s="5" t="str">
        <x:v>濊</x:v>
      </x:c>
      <x:c r="B2281" s="6" t="str">
        <x:v>入</x:v>
      </x:c>
      <x:c r="C2281" s="6" t="str">
        <x:f>IF(B2281="","Needs decision","Ready")</x:f>
        <x:v>Ready</x:v>
      </x:c>
      <x:c r="D2281" s="6" t="str">
        <x:v>入</x:v>
      </x:c>
      <x:c r="E2281" s="6" t="str">
        <x:v>xwat (D)</x:v>
      </x:c>
      <x:c r="F2281" s="6" t="str">
        <x:v>1</x:v>
      </x:c>
      <x:c r="G2281" s="6" t="str"/>
      <x:c r="H2281" s="6" t="str">
        <x:f>IF(B2281="平","平",IF(B2281="","","仄"))</x:f>
        <x:v>仄</x:v>
      </x:c>
      <x:c r="I2281" s="6" t="str">
        <x:f>IF(D2272="","",IF(AND(ISNUMBER(SEARCH("平",D2272)),OR(ISNUMBER(SEARCH("上",D2272)),ISNUMBER(SEARCH("去",D2272)),ISNUMBER(SEARCH("入",D2272)))),"Ambiguous",IF(ISNUMBER(SEARCH("平",D2272)),"平","仄")))</x:f>
        <x:v>仄</x:v>
      </x:c>
      <x:c r="J2281" s="7" t="str"/>
    </x:row>
    <x:row r="2282">
      <x:c r="A2282" s="5" t="str">
        <x:v>濕</x:v>
      </x:c>
      <x:c r="B2282" s="6" t="str">
        <x:v>入</x:v>
      </x:c>
      <x:c r="C2282" s="6" t="str">
        <x:f>IF(B2282="","Needs decision","Ready")</x:f>
        <x:v>Ready</x:v>
      </x:c>
      <x:c r="D2282" s="6" t="str">
        <x:v>入</x:v>
      </x:c>
      <x:c r="E2282" s="6" t="str">
        <x:v>syip (D)</x:v>
      </x:c>
      <x:c r="F2282" s="6" t="str">
        <x:v>1</x:v>
      </x:c>
      <x:c r="G2282" s="6" t="str"/>
      <x:c r="H2282" s="6" t="str">
        <x:f>IF(B2282="平","平",IF(B2282="","","仄"))</x:f>
        <x:v>仄</x:v>
      </x:c>
      <x:c r="I2282" s="6" t="str">
        <x:f>IF(D2273="","",IF(AND(ISNUMBER(SEARCH("平",D2273)),OR(ISNUMBER(SEARCH("上",D2273)),ISNUMBER(SEARCH("去",D2273)),ISNUMBER(SEARCH("入",D2273)))),"Ambiguous",IF(ISNUMBER(SEARCH("平",D2273)),"平","仄")))</x:f>
        <x:v>仄</x:v>
      </x:c>
      <x:c r="J2282" s="7" t="str"/>
    </x:row>
    <x:row r="2283">
      <x:c r="A2283" s="5" t="str">
        <x:v>濛</x:v>
      </x:c>
      <x:c r="B2283" s="6" t="str">
        <x:v>平</x:v>
      </x:c>
      <x:c r="C2283" s="6" t="str">
        <x:f>IF(B2283="","Needs decision","Ready")</x:f>
        <x:v>Ready</x:v>
      </x:c>
      <x:c r="D2283" s="6" t="str">
        <x:v>平/上</x:v>
      </x:c>
      <x:c r="E2283" s="6" t="str">
        <x:v>muwng [m̙uŋ] (平); muwngX [m̙uŋʔ] (上)</x:v>
      </x:c>
      <x:c r="F2283" s="6" t="str">
        <x:v>2</x:v>
      </x:c>
      <x:c r="G2283" s="6" t="str">
        <x:v>Tang 300 gap; frequency 2; ambiguous in Xun Gong</x:v>
      </x:c>
      <x:c r="H2283" s="6" t="str">
        <x:f>IF(B2283="平","平",IF(B2283="","","仄"))</x:f>
        <x:v>平</x:v>
      </x:c>
      <x:c r="I2283" s="6" t="str">
        <x:f>IF(D2274="","",IF(AND(ISNUMBER(SEARCH("平",D2274)),OR(ISNUMBER(SEARCH("上",D2274)),ISNUMBER(SEARCH("去",D2274)),ISNUMBER(SEARCH("入",D2274)))),"Ambiguous",IF(ISNUMBER(SEARCH("平",D2274)),"平","仄")))</x:f>
        <x:v>仄</x:v>
      </x:c>
      <x:c r="J2283" s="7" t="str">
        <x:v>Xun Gong, Tang 300 gap fill</x:v>
      </x:c>
    </x:row>
    <x:row r="2284">
      <x:c r="A2284" s="5" t="str">
        <x:v>濟</x:v>
      </x:c>
      <x:c r="B2284" s="6" t="str">
        <x:v>去</x:v>
      </x:c>
      <x:c r="C2284" s="6" t="str">
        <x:f>IF(B2284="","Needs decision","Ready")</x:f>
        <x:v>Ready</x:v>
      </x:c>
      <x:c r="D2284" s="6" t="str">
        <x:v>上/去</x:v>
      </x:c>
      <x:c r="E2284" s="6" t="str">
        <x:v>tsejX (B); tsejH (C)</x:v>
      </x:c>
      <x:c r="F2284" s="6" t="str">
        <x:v>2</x:v>
      </x:c>
      <x:c r="G2284" s="6" t="str"/>
      <x:c r="H2284" s="6" t="str">
        <x:f>IF(B2284="平","平",IF(B2284="","","仄"))</x:f>
        <x:v>仄</x:v>
      </x:c>
      <x:c r="I2284" s="6" t="str">
        <x:f>IF(D2275="","",IF(AND(ISNUMBER(SEARCH("平",D2275)),OR(ISNUMBER(SEARCH("上",D2275)),ISNUMBER(SEARCH("去",D2275)),ISNUMBER(SEARCH("入",D2275)))),"Ambiguous",IF(ISNUMBER(SEARCH("平",D2275)),"平","仄")))</x:f>
        <x:v>仄</x:v>
      </x:c>
      <x:c r="J2284" s="7" t="str"/>
    </x:row>
    <x:row r="2285">
      <x:c r="A2285" s="5" t="str">
        <x:v>濡</x:v>
      </x:c>
      <x:c r="B2285" s="6" t="str">
        <x:v>平</x:v>
      </x:c>
      <x:c r="C2285" s="6" t="str">
        <x:f>IF(B2285="","Needs decision","Ready")</x:f>
        <x:v>Ready</x:v>
      </x:c>
      <x:c r="D2285" s="6" t="str">
        <x:v>平</x:v>
      </x:c>
      <x:c r="E2285" s="6" t="str">
        <x:v>nyu (A)</x:v>
      </x:c>
      <x:c r="F2285" s="6" t="str">
        <x:v>1</x:v>
      </x:c>
      <x:c r="G2285" s="6" t="str"/>
      <x:c r="H2285" s="6" t="str">
        <x:f>IF(B2285="平","平",IF(B2285="","","仄"))</x:f>
        <x:v>平</x:v>
      </x:c>
      <x:c r="I2285" s="6" t="str">
        <x:f>IF(D2276="","",IF(AND(ISNUMBER(SEARCH("平",D2276)),OR(ISNUMBER(SEARCH("上",D2276)),ISNUMBER(SEARCH("去",D2276)),ISNUMBER(SEARCH("入",D2276)))),"Ambiguous",IF(ISNUMBER(SEARCH("平",D2276)),"平","仄")))</x:f>
        <x:v>仄</x:v>
      </x:c>
      <x:c r="J2285" s="7" t="str"/>
    </x:row>
    <x:row r="2286">
      <x:c r="A2286" s="5" t="str">
        <x:v>濤</x:v>
      </x:c>
      <x:c r="B2286" s="6" t="str">
        <x:v>平</x:v>
      </x:c>
      <x:c r="C2286" s="6" t="str">
        <x:f>IF(B2286="","Needs decision","Ready")</x:f>
        <x:v>Ready</x:v>
      </x:c>
      <x:c r="D2286" s="6" t="str">
        <x:v>平</x:v>
      </x:c>
      <x:c r="E2286" s="6" t="str">
        <x:v>daw [d̙əw] (平)</x:v>
      </x:c>
      <x:c r="F2286" s="6" t="str">
        <x:v>1</x:v>
      </x:c>
      <x:c r="G2286" s="6" t="str">
        <x:v>Tang 300 gap; frequency 2; provisional from Xun Gong</x:v>
      </x:c>
      <x:c r="H2286" s="6" t="str">
        <x:f>IF(B2286="平","平",IF(B2286="","","仄"))</x:f>
        <x:v>平</x:v>
      </x:c>
      <x:c r="I2286" s="6" t="str">
        <x:f>IF(D2277="","",IF(AND(ISNUMBER(SEARCH("平",D2277)),OR(ISNUMBER(SEARCH("上",D2277)),ISNUMBER(SEARCH("去",D2277)),ISNUMBER(SEARCH("入",D2277)))),"Ambiguous",IF(ISNUMBER(SEARCH("平",D2277)),"平","仄")))</x:f>
        <x:v>仄</x:v>
      </x:c>
      <x:c r="J2286" s="7" t="str">
        <x:v>Xun Gong, Tang 300 gap fill</x:v>
      </x:c>
    </x:row>
    <x:row r="2287">
      <x:c r="A2287" s="5" t="str">
        <x:v>濫</x:v>
      </x:c>
      <x:c r="B2287" s="6" t="str">
        <x:v>去</x:v>
      </x:c>
      <x:c r="C2287" s="6" t="str">
        <x:f>IF(B2287="","Needs decision","Ready")</x:f>
        <x:v>Ready</x:v>
      </x:c>
      <x:c r="D2287" s="6" t="str">
        <x:v>上/去</x:v>
      </x:c>
      <x:c r="E2287" s="6" t="str"/>
      <x:c r="F2287" s="6" t="str"/>
      <x:c r="G2287" s="6" t="str">
        <x:v>Manual user correction/addition; ambiguous 上/去</x:v>
      </x:c>
      <x:c r="H2287" s="6" t="str">
        <x:f>IF(B2287="平","平",IF(B2287="","","仄"))</x:f>
        <x:v>仄</x:v>
      </x:c>
      <x:c r="I2287" s="6" t="str">
        <x:f>IF(D2278="","",IF(AND(ISNUMBER(SEARCH("平",D2278)),OR(ISNUMBER(SEARCH("上",D2278)),ISNUMBER(SEARCH("去",D2278)),ISNUMBER(SEARCH("入",D2278)))),"Ambiguous",IF(ISNUMBER(SEARCH("平",D2278)),"平","仄")))</x:f>
        <x:v>仄</x:v>
      </x:c>
      <x:c r="J2287" s="7" t="str">
        <x:v>manual user correction</x:v>
      </x:c>
    </x:row>
    <x:row r="2288">
      <x:c r="A2288" s="5" t="str">
        <x:v>濬</x:v>
      </x:c>
      <x:c r="B2288" s="6" t="str">
        <x:v>去</x:v>
      </x:c>
      <x:c r="C2288" s="6" t="str">
        <x:f>IF(B2288="","Needs decision","Ready")</x:f>
        <x:v>Ready</x:v>
      </x:c>
      <x:c r="D2288" s="6" t="str">
        <x:v>去</x:v>
      </x:c>
      <x:c r="E2288" s="6" t="str">
        <x:v>swinH (C)</x:v>
      </x:c>
      <x:c r="F2288" s="6" t="str">
        <x:v>1</x:v>
      </x:c>
      <x:c r="G2288" s="6" t="str"/>
      <x:c r="H2288" s="6" t="str">
        <x:f>IF(B2288="平","平",IF(B2288="","","仄"))</x:f>
        <x:v>仄</x:v>
      </x:c>
      <x:c r="I2288" s="6" t="str">
        <x:f>IF(D2279="","",IF(AND(ISNUMBER(SEARCH("平",D2279)),OR(ISNUMBER(SEARCH("上",D2279)),ISNUMBER(SEARCH("去",D2279)),ISNUMBER(SEARCH("入",D2279)))),"Ambiguous",IF(ISNUMBER(SEARCH("平",D2279)),"平","仄")))</x:f>
        <x:v>平</x:v>
      </x:c>
      <x:c r="J2288" s="7" t="str"/>
    </x:row>
    <x:row r="2289">
      <x:c r="A2289" s="5" t="str">
        <x:v>濮</x:v>
      </x:c>
      <x:c r="B2289" s="6" t="str">
        <x:v>入</x:v>
      </x:c>
      <x:c r="C2289" s="6" t="str">
        <x:f>IF(B2289="","Needs decision","Ready")</x:f>
        <x:v>Ready</x:v>
      </x:c>
      <x:c r="D2289" s="6" t="str">
        <x:v>入</x:v>
      </x:c>
      <x:c r="E2289" s="6" t="str">
        <x:v>puwk (D)</x:v>
      </x:c>
      <x:c r="F2289" s="6" t="str">
        <x:v>1</x:v>
      </x:c>
      <x:c r="G2289" s="6" t="str"/>
      <x:c r="H2289" s="6" t="str">
        <x:f>IF(B2289="平","平",IF(B2289="","","仄"))</x:f>
        <x:v>仄</x:v>
      </x:c>
      <x:c r="I2289" s="6" t="str">
        <x:f>IF(D2280="","",IF(AND(ISNUMBER(SEARCH("平",D2280)),OR(ISNUMBER(SEARCH("上",D2280)),ISNUMBER(SEARCH("去",D2280)),ISNUMBER(SEARCH("入",D2280)))),"Ambiguous",IF(ISNUMBER(SEARCH("平",D2280)),"平","仄")))</x:f>
        <x:v>仄</x:v>
      </x:c>
      <x:c r="J2289" s="7" t="str"/>
    </x:row>
    <x:row r="2290">
      <x:c r="A2290" s="5" t="str">
        <x:v>濯</x:v>
      </x:c>
      <x:c r="B2290" s="6" t="str"/>
      <x:c r="C2290" s="6" t="str">
        <x:f>IF(B2290="","Needs decision","Ready")</x:f>
        <x:v>Needs decision</x:v>
      </x:c>
      <x:c r="D2290" s="6" t="str">
        <x:v>去/入</x:v>
      </x:c>
      <x:c r="E2290" s="6" t="str">
        <x:v>draewH (C); draewk (D)</x:v>
      </x:c>
      <x:c r="F2290" s="6" t="str">
        <x:v>2</x:v>
      </x:c>
      <x:c r="G2290" s="6" t="str"/>
      <x:c r="H2290" s="6" t="str">
        <x:f>IF(B2290="平","平",IF(B2290="","","仄"))</x:f>
      </x:c>
      <x:c r="I2290" s="6" t="str">
        <x:f>IF(D2281="","",IF(AND(ISNUMBER(SEARCH("平",D2281)),OR(ISNUMBER(SEARCH("上",D2281)),ISNUMBER(SEARCH("去",D2281)),ISNUMBER(SEARCH("入",D2281)))),"Ambiguous",IF(ISNUMBER(SEARCH("平",D2281)),"平","仄")))</x:f>
        <x:v>仄</x:v>
      </x:c>
      <x:c r="J2290" s="7" t="str"/>
    </x:row>
    <x:row r="2291">
      <x:c r="A2291" s="5" t="str">
        <x:v>濱</x:v>
      </x:c>
      <x:c r="B2291" s="6" t="str">
        <x:v>平</x:v>
      </x:c>
      <x:c r="C2291" s="6" t="str">
        <x:f>IF(B2291="","Needs decision","Ready")</x:f>
        <x:v>Ready</x:v>
      </x:c>
      <x:c r="D2291" s="6" t="str">
        <x:v>平</x:v>
      </x:c>
      <x:c r="E2291" s="6" t="str">
        <x:v>pjin [pjin] (平)</x:v>
      </x:c>
      <x:c r="F2291" s="6" t="str">
        <x:v>1</x:v>
      </x:c>
      <x:c r="G2291" s="6" t="str">
        <x:v>Tang 300 gap; frequency 1; provisional from Xun Gong</x:v>
      </x:c>
      <x:c r="H2291" s="6" t="str">
        <x:f>IF(B2291="平","平",IF(B2291="","","仄"))</x:f>
        <x:v>平</x:v>
      </x:c>
      <x:c r="I2291" s="6" t="str">
        <x:f>IF(D2282="","",IF(AND(ISNUMBER(SEARCH("平",D2282)),OR(ISNUMBER(SEARCH("上",D2282)),ISNUMBER(SEARCH("去",D2282)),ISNUMBER(SEARCH("入",D2282)))),"Ambiguous",IF(ISNUMBER(SEARCH("平",D2282)),"平","仄")))</x:f>
        <x:v>仄</x:v>
      </x:c>
      <x:c r="J2291" s="7" t="str">
        <x:v>Xun Gong, Tang 300 gap fill</x:v>
      </x:c>
    </x:row>
    <x:row r="2292">
      <x:c r="A2292" s="5" t="str">
        <x:v>濺</x:v>
      </x:c>
      <x:c r="B2292" s="6" t="str">
        <x:v>去</x:v>
      </x:c>
      <x:c r="C2292" s="6" t="str">
        <x:f>IF(B2292="","Needs decision","Ready")</x:f>
        <x:v>Ready</x:v>
      </x:c>
      <x:c r="D2292" s="6" t="str">
        <x:v>去</x:v>
      </x:c>
      <x:c r="E2292" s="6" t="str">
        <x:v>tsjenH (C)</x:v>
      </x:c>
      <x:c r="F2292" s="6" t="str">
        <x:v>1</x:v>
      </x:c>
      <x:c r="G2292" s="6" t="str"/>
      <x:c r="H2292" s="6" t="str">
        <x:f>IF(B2292="平","平",IF(B2292="","","仄"))</x:f>
        <x:v>仄</x:v>
      </x:c>
      <x:c r="I2292" s="6" t="str">
        <x:f>IF(D2283="","",IF(AND(ISNUMBER(SEARCH("平",D2283)),OR(ISNUMBER(SEARCH("上",D2283)),ISNUMBER(SEARCH("去",D2283)),ISNUMBER(SEARCH("入",D2283)))),"Ambiguous",IF(ISNUMBER(SEARCH("平",D2283)),"平","仄")))</x:f>
        <x:v>Ambiguous</x:v>
      </x:c>
      <x:c r="J2292" s="7" t="str"/>
    </x:row>
    <x:row r="2293">
      <x:c r="A2293" s="5" t="str">
        <x:v>濼</x:v>
      </x:c>
      <x:c r="B2293" s="6" t="str">
        <x:v>入</x:v>
      </x:c>
      <x:c r="C2293" s="6" t="str">
        <x:f>IF(B2293="","Needs decision","Ready")</x:f>
        <x:v>Ready</x:v>
      </x:c>
      <x:c r="D2293" s="6" t="str">
        <x:v>入</x:v>
      </x:c>
      <x:c r="E2293" s="6" t="str">
        <x:v>lowk (D)</x:v>
      </x:c>
      <x:c r="F2293" s="6" t="str">
        <x:v>1</x:v>
      </x:c>
      <x:c r="G2293" s="6" t="str"/>
      <x:c r="H2293" s="6" t="str">
        <x:f>IF(B2293="平","平",IF(B2293="","","仄"))</x:f>
        <x:v>仄</x:v>
      </x:c>
      <x:c r="I2293" s="6" t="str">
        <x:f>IF(D2284="","",IF(AND(ISNUMBER(SEARCH("平",D2284)),OR(ISNUMBER(SEARCH("上",D2284)),ISNUMBER(SEARCH("去",D2284)),ISNUMBER(SEARCH("入",D2284)))),"Ambiguous",IF(ISNUMBER(SEARCH("平",D2284)),"平","仄")))</x:f>
        <x:v>仄</x:v>
      </x:c>
      <x:c r="J2293" s="7" t="str"/>
    </x:row>
    <x:row r="2294">
      <x:c r="A2294" s="5" t="str">
        <x:v>瀉</x:v>
      </x:c>
      <x:c r="B2294" s="6" t="str">
        <x:v>上</x:v>
      </x:c>
      <x:c r="C2294" s="6" t="str">
        <x:f>IF(B2294="","Needs decision","Ready")</x:f>
        <x:v>Ready</x:v>
      </x:c>
      <x:c r="D2294" s="6" t="str">
        <x:v>上</x:v>
      </x:c>
      <x:c r="E2294" s="6" t="str">
        <x:v>sjaeX (B)</x:v>
      </x:c>
      <x:c r="F2294" s="6" t="str">
        <x:v>1</x:v>
      </x:c>
      <x:c r="G2294" s="6" t="str"/>
      <x:c r="H2294" s="6" t="str">
        <x:f>IF(B2294="平","平",IF(B2294="","","仄"))</x:f>
        <x:v>仄</x:v>
      </x:c>
      <x:c r="I2294" s="6" t="str">
        <x:f>IF(D2285="","",IF(AND(ISNUMBER(SEARCH("平",D2285)),OR(ISNUMBER(SEARCH("上",D2285)),ISNUMBER(SEARCH("去",D2285)),ISNUMBER(SEARCH("入",D2285)))),"Ambiguous",IF(ISNUMBER(SEARCH("平",D2285)),"平","仄")))</x:f>
        <x:v>平</x:v>
      </x:c>
      <x:c r="J2294" s="7" t="str"/>
    </x:row>
    <x:row r="2295">
      <x:c r="A2295" s="5" t="str">
        <x:v>瀋</x:v>
      </x:c>
      <x:c r="B2295" s="6" t="str">
        <x:v>上</x:v>
      </x:c>
      <x:c r="C2295" s="6" t="str">
        <x:f>IF(B2295="","Needs decision","Ready")</x:f>
        <x:v>Ready</x:v>
      </x:c>
      <x:c r="D2295" s="6" t="str">
        <x:v>上</x:v>
      </x:c>
      <x:c r="E2295" s="6" t="str">
        <x:v>tsyhimX (B)</x:v>
      </x:c>
      <x:c r="F2295" s="6" t="str">
        <x:v>1</x:v>
      </x:c>
      <x:c r="G2295" s="6" t="str"/>
      <x:c r="H2295" s="6" t="str">
        <x:f>IF(B2295="平","平",IF(B2295="","","仄"))</x:f>
        <x:v>仄</x:v>
      </x:c>
      <x:c r="I2295" s="6" t="str">
        <x:f>IF(D2286="","",IF(AND(ISNUMBER(SEARCH("平",D2286)),OR(ISNUMBER(SEARCH("上",D2286)),ISNUMBER(SEARCH("去",D2286)),ISNUMBER(SEARCH("入",D2286)))),"Ambiguous",IF(ISNUMBER(SEARCH("平",D2286)),"平","仄")))</x:f>
        <x:v>平</x:v>
      </x:c>
      <x:c r="J2295" s="7" t="str"/>
    </x:row>
    <x:row r="2296">
      <x:c r="A2296" s="5" t="str">
        <x:v>瀑</x:v>
      </x:c>
      <x:c r="B2296" s="6" t="str">
        <x:v>入</x:v>
      </x:c>
      <x:c r="C2296" s="6" t="str">
        <x:f>IF(B2296="","Needs decision","Ready")</x:f>
        <x:v>Ready</x:v>
      </x:c>
      <x:c r="D2296" s="6" t="str">
        <x:v>入</x:v>
      </x:c>
      <x:c r="E2296" s="6" t="str">
        <x:v>buwk (D)</x:v>
      </x:c>
      <x:c r="F2296" s="6" t="str">
        <x:v>1</x:v>
      </x:c>
      <x:c r="G2296" s="6" t="str"/>
      <x:c r="H2296" s="6" t="str">
        <x:f>IF(B2296="平","平",IF(B2296="","","仄"))</x:f>
        <x:v>仄</x:v>
      </x:c>
      <x:c r="I2296" s="6" t="str">
        <x:f>IF(D2287="","",IF(AND(ISNUMBER(SEARCH("平",D2287)),OR(ISNUMBER(SEARCH("上",D2287)),ISNUMBER(SEARCH("去",D2287)),ISNUMBER(SEARCH("入",D2287)))),"Ambiguous",IF(ISNUMBER(SEARCH("平",D2287)),"平","仄")))</x:f>
        <x:v>仄</x:v>
      </x:c>
      <x:c r="J2296" s="7" t="str"/>
    </x:row>
    <x:row r="2297">
      <x:c r="A2297" s="5" t="str">
        <x:v>瀕</x:v>
      </x:c>
      <x:c r="B2297" s="6" t="str">
        <x:v>平</x:v>
      </x:c>
      <x:c r="C2297" s="6" t="str">
        <x:f>IF(B2297="","Needs decision","Ready")</x:f>
        <x:v>Ready</x:v>
      </x:c>
      <x:c r="D2297" s="6" t="str">
        <x:v>平</x:v>
      </x:c>
      <x:c r="E2297" s="6" t="str">
        <x:v>pjin (A)</x:v>
      </x:c>
      <x:c r="F2297" s="6" t="str">
        <x:v>1</x:v>
      </x:c>
      <x:c r="G2297" s="6" t="str"/>
      <x:c r="H2297" s="6" t="str">
        <x:f>IF(B2297="平","平",IF(B2297="","","仄"))</x:f>
        <x:v>平</x:v>
      </x:c>
      <x:c r="I2297" s="6" t="str">
        <x:f>IF(D2288="","",IF(AND(ISNUMBER(SEARCH("平",D2288)),OR(ISNUMBER(SEARCH("上",D2288)),ISNUMBER(SEARCH("去",D2288)),ISNUMBER(SEARCH("入",D2288)))),"Ambiguous",IF(ISNUMBER(SEARCH("平",D2288)),"平","仄")))</x:f>
        <x:v>仄</x:v>
      </x:c>
      <x:c r="J2297" s="7" t="str"/>
    </x:row>
    <x:row r="2298">
      <x:c r="A2298" s="5" t="str">
        <x:v>瀚</x:v>
      </x:c>
      <x:c r="B2298" s="6" t="str">
        <x:v>去</x:v>
      </x:c>
      <x:c r="C2298" s="6" t="str">
        <x:f>IF(B2298="","Needs decision","Ready")</x:f>
        <x:v>Ready</x:v>
      </x:c>
      <x:c r="D2298" s="6" t="str">
        <x:v>去</x:v>
      </x:c>
      <x:c r="E2298" s="6" t="str">
        <x:v>hanH [ʁɑnh] (去)</x:v>
      </x:c>
      <x:c r="F2298" s="6" t="str">
        <x:v>1</x:v>
      </x:c>
      <x:c r="G2298" s="6" t="str">
        <x:v>Tang 300 gap; frequency 2; provisional from Xun Gong</x:v>
      </x:c>
      <x:c r="H2298" s="6" t="str">
        <x:f>IF(B2298="平","平",IF(B2298="","","仄"))</x:f>
        <x:v>仄</x:v>
      </x:c>
      <x:c r="I2298" s="6" t="str">
        <x:f>IF(D2289="","",IF(AND(ISNUMBER(SEARCH("平",D2289)),OR(ISNUMBER(SEARCH("上",D2289)),ISNUMBER(SEARCH("去",D2289)),ISNUMBER(SEARCH("入",D2289)))),"Ambiguous",IF(ISNUMBER(SEARCH("平",D2289)),"平","仄")))</x:f>
        <x:v>仄</x:v>
      </x:c>
      <x:c r="J2298" s="7" t="str">
        <x:v>Xun Gong, Tang 300 gap fill</x:v>
      </x:c>
    </x:row>
    <x:row r="2299">
      <x:c r="A2299" s="5" t="str">
        <x:v>瀛</x:v>
      </x:c>
      <x:c r="B2299" s="6" t="str">
        <x:v>平</x:v>
      </x:c>
      <x:c r="C2299" s="6" t="str">
        <x:f>IF(B2299="","Needs decision","Ready")</x:f>
        <x:v>Ready</x:v>
      </x:c>
      <x:c r="D2299" s="6" t="str">
        <x:v>平</x:v>
      </x:c>
      <x:c r="E2299" s="6" t="str"/>
      <x:c r="F2299" s="6" t="str"/>
      <x:c r="G2299" s="6" t="str">
        <x:v>Manual user correction/addition</x:v>
      </x:c>
      <x:c r="H2299" s="6" t="str">
        <x:f>IF(B2299="平","平",IF(B2299="","","仄"))</x:f>
        <x:v>平</x:v>
      </x:c>
      <x:c r="I2299" s="6" t="str">
        <x:f>IF(D2290="","",IF(AND(ISNUMBER(SEARCH("平",D2290)),OR(ISNUMBER(SEARCH("上",D2290)),ISNUMBER(SEARCH("去",D2290)),ISNUMBER(SEARCH("入",D2290)))),"Ambiguous",IF(ISNUMBER(SEARCH("平",D2290)),"平","仄")))</x:f>
        <x:v>仄</x:v>
      </x:c>
      <x:c r="J2299" s="7" t="str">
        <x:v>manual user correction</x:v>
      </x:c>
    </x:row>
    <x:row r="2300">
      <x:c r="A2300" s="5" t="str">
        <x:v>瀡</x:v>
      </x:c>
      <x:c r="B2300" s="6" t="str">
        <x:v>去</x:v>
      </x:c>
      <x:c r="C2300" s="6" t="str">
        <x:f>IF(B2300="","Needs decision","Ready")</x:f>
        <x:v>Ready</x:v>
      </x:c>
      <x:c r="D2300" s="6" t="str">
        <x:v>去</x:v>
      </x:c>
      <x:c r="E2300" s="6" t="str">
        <x:v>sjweH (C)</x:v>
      </x:c>
      <x:c r="F2300" s="6" t="str">
        <x:v>1</x:v>
      </x:c>
      <x:c r="G2300" s="6" t="str"/>
      <x:c r="H2300" s="6" t="str">
        <x:f>IF(B2300="平","平",IF(B2300="","","仄"))</x:f>
        <x:v>仄</x:v>
      </x:c>
      <x:c r="I2300" s="6" t="str">
        <x:f>IF(D2291="","",IF(AND(ISNUMBER(SEARCH("平",D2291)),OR(ISNUMBER(SEARCH("上",D2291)),ISNUMBER(SEARCH("去",D2291)),ISNUMBER(SEARCH("入",D2291)))),"Ambiguous",IF(ISNUMBER(SEARCH("平",D2291)),"平","仄")))</x:f>
        <x:v>平</x:v>
      </x:c>
      <x:c r="J2300" s="7" t="str"/>
    </x:row>
    <x:row r="2301">
      <x:c r="A2301" s="5" t="str">
        <x:v>瀨</x:v>
      </x:c>
      <x:c r="B2301" s="6" t="str">
        <x:v>去</x:v>
      </x:c>
      <x:c r="C2301" s="6" t="str">
        <x:f>IF(B2301="","Needs decision","Ready")</x:f>
        <x:v>Ready</x:v>
      </x:c>
      <x:c r="D2301" s="6" t="str">
        <x:v>去</x:v>
      </x:c>
      <x:c r="E2301" s="6" t="str">
        <x:v>lajH (C)</x:v>
      </x:c>
      <x:c r="F2301" s="6" t="str">
        <x:v>1</x:v>
      </x:c>
      <x:c r="G2301" s="6" t="str"/>
      <x:c r="H2301" s="6" t="str">
        <x:f>IF(B2301="平","平",IF(B2301="","","仄"))</x:f>
        <x:v>仄</x:v>
      </x:c>
      <x:c r="I2301" s="6" t="str">
        <x:f>IF(D2292="","",IF(AND(ISNUMBER(SEARCH("平",D2292)),OR(ISNUMBER(SEARCH("上",D2292)),ISNUMBER(SEARCH("去",D2292)),ISNUMBER(SEARCH("入",D2292)))),"Ambiguous",IF(ISNUMBER(SEARCH("平",D2292)),"平","仄")))</x:f>
        <x:v>仄</x:v>
      </x:c>
      <x:c r="J2301" s="7" t="str"/>
    </x:row>
    <x:row r="2302">
      <x:c r="A2302" s="5" t="str">
        <x:v>瀰</x:v>
      </x:c>
      <x:c r="B2302" s="6" t="str"/>
      <x:c r="C2302" s="6" t="str">
        <x:f>IF(B2302="","Needs decision","Ready")</x:f>
        <x:v>Needs decision</x:v>
      </x:c>
      <x:c r="D2302" s="6" t="str">
        <x:v>平/上</x:v>
      </x:c>
      <x:c r="E2302" s="6" t="str">
        <x:v>mjie (A); mejX (B); mjieX (B)</x:v>
      </x:c>
      <x:c r="F2302" s="6" t="str">
        <x:v>3</x:v>
      </x:c>
      <x:c r="G2302" s="6" t="str"/>
      <x:c r="H2302" s="6" t="str">
        <x:f>IF(B2302="平","平",IF(B2302="","","仄"))</x:f>
      </x:c>
      <x:c r="I2302" s="6" t="str">
        <x:f>IF(D2293="","",IF(AND(ISNUMBER(SEARCH("平",D2293)),OR(ISNUMBER(SEARCH("上",D2293)),ISNUMBER(SEARCH("去",D2293)),ISNUMBER(SEARCH("入",D2293)))),"Ambiguous",IF(ISNUMBER(SEARCH("平",D2293)),"平","仄")))</x:f>
        <x:v>仄</x:v>
      </x:c>
      <x:c r="J2302" s="7" t="str"/>
    </x:row>
    <x:row r="2303">
      <x:c r="A2303" s="5" t="str">
        <x:v>瀾</x:v>
      </x:c>
      <x:c r="B2303" s="6" t="str">
        <x:v>平</x:v>
      </x:c>
      <x:c r="C2303" s="6" t="str">
        <x:f>IF(B2303="","Needs decision","Ready")</x:f>
        <x:v>Ready</x:v>
      </x:c>
      <x:c r="D2303" s="6" t="str">
        <x:v>平/去</x:v>
      </x:c>
      <x:c r="E2303" s="6" t="str">
        <x:v>lan [l̙ɑn] (平); lanH [l̙ɑnh] (去)</x:v>
      </x:c>
      <x:c r="F2303" s="6" t="str">
        <x:v>2</x:v>
      </x:c>
      <x:c r="G2303" s="6" t="str">
        <x:v>Tang 300 gap; frequency 3; ambiguous in Xun Gong</x:v>
      </x:c>
      <x:c r="H2303" s="6" t="str">
        <x:f>IF(B2303="平","平",IF(B2303="","","仄"))</x:f>
        <x:v>平</x:v>
      </x:c>
      <x:c r="I2303" s="6" t="str">
        <x:f>IF(D2294="","",IF(AND(ISNUMBER(SEARCH("平",D2294)),OR(ISNUMBER(SEARCH("上",D2294)),ISNUMBER(SEARCH("去",D2294)),ISNUMBER(SEARCH("入",D2294)))),"Ambiguous",IF(ISNUMBER(SEARCH("平",D2294)),"平","仄")))</x:f>
        <x:v>仄</x:v>
      </x:c>
      <x:c r="J2303" s="7" t="str">
        <x:v>Xun Gong, Tang 300 gap fill</x:v>
      </x:c>
    </x:row>
    <x:row r="2304">
      <x:c r="A2304" s="5" t="str">
        <x:v>灋</x:v>
      </x:c>
      <x:c r="B2304" s="6" t="str">
        <x:v>入</x:v>
      </x:c>
      <x:c r="C2304" s="6" t="str">
        <x:f>IF(B2304="","Needs decision","Ready")</x:f>
        <x:v>Ready</x:v>
      </x:c>
      <x:c r="D2304" s="6" t="str">
        <x:v>入</x:v>
      </x:c>
      <x:c r="E2304" s="6" t="str">
        <x:v>pjop (D)</x:v>
      </x:c>
      <x:c r="F2304" s="6" t="str">
        <x:v>1</x:v>
      </x:c>
      <x:c r="G2304" s="6" t="str"/>
      <x:c r="H2304" s="6" t="str">
        <x:f>IF(B2304="平","平",IF(B2304="","","仄"))</x:f>
        <x:v>仄</x:v>
      </x:c>
      <x:c r="I2304" s="6" t="str">
        <x:f>IF(D2295="","",IF(AND(ISNUMBER(SEARCH("平",D2295)),OR(ISNUMBER(SEARCH("上",D2295)),ISNUMBER(SEARCH("去",D2295)),ISNUMBER(SEARCH("入",D2295)))),"Ambiguous",IF(ISNUMBER(SEARCH("平",D2295)),"平","仄")))</x:f>
        <x:v>仄</x:v>
      </x:c>
      <x:c r="J2304" s="7" t="str"/>
    </x:row>
    <x:row r="2305">
      <x:c r="A2305" s="5" t="str">
        <x:v>灌</x:v>
      </x:c>
      <x:c r="B2305" s="6" t="str">
        <x:v>去</x:v>
      </x:c>
      <x:c r="C2305" s="6" t="str">
        <x:f>IF(B2305="","Needs decision","Ready")</x:f>
        <x:v>Ready</x:v>
      </x:c>
      <x:c r="D2305" s="6" t="str">
        <x:v>去</x:v>
      </x:c>
      <x:c r="E2305" s="6" t="str">
        <x:v>kwanH (C)</x:v>
      </x:c>
      <x:c r="F2305" s="6" t="str">
        <x:v>1</x:v>
      </x:c>
      <x:c r="G2305" s="6" t="str"/>
      <x:c r="H2305" s="6" t="str">
        <x:f>IF(B2305="平","平",IF(B2305="","","仄"))</x:f>
        <x:v>仄</x:v>
      </x:c>
      <x:c r="I2305" s="6" t="str">
        <x:f>IF(D2296="","",IF(AND(ISNUMBER(SEARCH("平",D2296)),OR(ISNUMBER(SEARCH("上",D2296)),ISNUMBER(SEARCH("去",D2296)),ISNUMBER(SEARCH("入",D2296)))),"Ambiguous",IF(ISNUMBER(SEARCH("平",D2296)),"平","仄")))</x:f>
        <x:v>仄</x:v>
      </x:c>
      <x:c r="J2305" s="7" t="str"/>
    </x:row>
    <x:row r="2306">
      <x:c r="A2306" s="5" t="str">
        <x:v>灑</x:v>
      </x:c>
      <x:c r="B2306" s="6" t="str"/>
      <x:c r="C2306" s="6" t="str">
        <x:f>IF(B2306="","Needs decision","Ready")</x:f>
        <x:v>Needs decision</x:v>
      </x:c>
      <x:c r="D2306" s="6" t="str">
        <x:v>上/去</x:v>
      </x:c>
      <x:c r="E2306" s="6" t="str">
        <x:v>sreaX (B); sreaH (C); srjeH (C); srjeX (B)</x:v>
      </x:c>
      <x:c r="F2306" s="6" t="str">
        <x:v>4</x:v>
      </x:c>
      <x:c r="G2306" s="6" t="str"/>
      <x:c r="H2306" s="6" t="str">
        <x:f>IF(B2306="平","平",IF(B2306="","","仄"))</x:f>
      </x:c>
      <x:c r="I2306" s="6" t="str">
        <x:f>IF(D2297="","",IF(AND(ISNUMBER(SEARCH("平",D2297)),OR(ISNUMBER(SEARCH("上",D2297)),ISNUMBER(SEARCH("去",D2297)),ISNUMBER(SEARCH("入",D2297)))),"Ambiguous",IF(ISNUMBER(SEARCH("平",D2297)),"平","仄")))</x:f>
        <x:v>平</x:v>
      </x:c>
      <x:c r="J2306" s="7" t="str"/>
    </x:row>
    <x:row r="2307">
      <x:c r="A2307" s="5" t="str">
        <x:v>灘</x:v>
      </x:c>
      <x:c r="B2307" s="6" t="str">
        <x:v>平</x:v>
      </x:c>
      <x:c r="C2307" s="6" t="str">
        <x:f>IF(B2307="","Needs decision","Ready")</x:f>
        <x:v>Ready</x:v>
      </x:c>
      <x:c r="D2307" s="6" t="str">
        <x:v>平</x:v>
      </x:c>
      <x:c r="E2307" s="6" t="str">
        <x:v>than (A)</x:v>
      </x:c>
      <x:c r="F2307" s="6" t="str">
        <x:v>1</x:v>
      </x:c>
      <x:c r="G2307" s="6" t="str"/>
      <x:c r="H2307" s="6" t="str">
        <x:f>IF(B2307="平","平",IF(B2307="","","仄"))</x:f>
        <x:v>平</x:v>
      </x:c>
      <x:c r="I2307" s="6" t="str">
        <x:f>IF(D2298="","",IF(AND(ISNUMBER(SEARCH("平",D2298)),OR(ISNUMBER(SEARCH("上",D2298)),ISNUMBER(SEARCH("去",D2298)),ISNUMBER(SEARCH("入",D2298)))),"Ambiguous",IF(ISNUMBER(SEARCH("平",D2298)),"平","仄")))</x:f>
        <x:v>仄</x:v>
      </x:c>
      <x:c r="J2307" s="7" t="str"/>
    </x:row>
    <x:row r="2308">
      <x:c r="A2308" s="5" t="str">
        <x:v>灞</x:v>
      </x:c>
      <x:c r="B2308" s="6" t="str">
        <x:v>去</x:v>
      </x:c>
      <x:c r="C2308" s="6" t="str">
        <x:f>IF(B2308="","Needs decision","Ready")</x:f>
        <x:v>Ready</x:v>
      </x:c>
      <x:c r="D2308" s="6" t="str">
        <x:v>去</x:v>
      </x:c>
      <x:c r="E2308" s="6" t="str">
        <x:v>paeH [p̙aˤh] (去)</x:v>
      </x:c>
      <x:c r="F2308" s="6" t="str">
        <x:v>1</x:v>
      </x:c>
      <x:c r="G2308" s="6" t="str">
        <x:v>Tang 300 gap; frequency 2; provisional from Xun Gong</x:v>
      </x:c>
      <x:c r="H2308" s="6" t="str">
        <x:f>IF(B2308="平","平",IF(B2308="","","仄"))</x:f>
        <x:v>仄</x:v>
      </x:c>
      <x:c r="I2308" s="6" t="str">
        <x:f>IF(D2299="","",IF(AND(ISNUMBER(SEARCH("平",D2299)),OR(ISNUMBER(SEARCH("上",D2299)),ISNUMBER(SEARCH("去",D2299)),ISNUMBER(SEARCH("入",D2299)))),"Ambiguous",IF(ISNUMBER(SEARCH("平",D2299)),"平","仄")))</x:f>
        <x:v>平</x:v>
      </x:c>
      <x:c r="J2308" s="7" t="str">
        <x:v>Xun Gong, Tang 300 gap fill</x:v>
      </x:c>
    </x:row>
    <x:row r="2309">
      <x:c r="A2309" s="5" t="str">
        <x:v>灣</x:v>
      </x:c>
      <x:c r="B2309" s="6" t="str">
        <x:v>平</x:v>
      </x:c>
      <x:c r="C2309" s="6" t="str">
        <x:f>IF(B2309="","Needs decision","Ready")</x:f>
        <x:v>Ready</x:v>
      </x:c>
      <x:c r="D2309" s="6" t="str">
        <x:v>平</x:v>
      </x:c>
      <x:c r="E2309" s="6" t="str">
        <x:v>'waen [ʔ̙waˤn] (平)</x:v>
      </x:c>
      <x:c r="F2309" s="6" t="str">
        <x:v>1</x:v>
      </x:c>
      <x:c r="G2309" s="6" t="str">
        <x:v>Tang 300 gap; frequency 1; provisional from Xun Gong</x:v>
      </x:c>
      <x:c r="H2309" s="6" t="str">
        <x:f>IF(B2309="平","平",IF(B2309="","","仄"))</x:f>
        <x:v>平</x:v>
      </x:c>
      <x:c r="I2309" s="6" t="str">
        <x:f>IF(D2300="","",IF(AND(ISNUMBER(SEARCH("平",D2300)),OR(ISNUMBER(SEARCH("上",D2300)),ISNUMBER(SEARCH("去",D2300)),ISNUMBER(SEARCH("入",D2300)))),"Ambiguous",IF(ISNUMBER(SEARCH("平",D2300)),"平","仄")))</x:f>
        <x:v>仄</x:v>
      </x:c>
      <x:c r="J2309" s="7" t="str">
        <x:v>Xun Gong, Tang 300 gap fill</x:v>
      </x:c>
    </x:row>
    <x:row r="2310">
      <x:c r="A2310" s="5" t="str">
        <x:v>灩</x:v>
      </x:c>
      <x:c r="B2310" s="6" t="str">
        <x:v>去</x:v>
      </x:c>
      <x:c r="C2310" s="6" t="str">
        <x:f>IF(B2310="","Needs decision","Ready")</x:f>
        <x:v>Ready</x:v>
      </x:c>
      <x:c r="D2310" s="6" t="str">
        <x:v>去</x:v>
      </x:c>
      <x:c r="E2310" s="6" t="str">
        <x:v>yemH [jemh] (去)</x:v>
      </x:c>
      <x:c r="F2310" s="6" t="str">
        <x:v>1</x:v>
      </x:c>
      <x:c r="G2310" s="6" t="str">
        <x:v>Tang 300 gap; frequency 1; provisional from Xun Gong</x:v>
      </x:c>
      <x:c r="H2310" s="6" t="str">
        <x:f>IF(B2310="平","平",IF(B2310="","","仄"))</x:f>
        <x:v>仄</x:v>
      </x:c>
      <x:c r="I2310" s="6" t="str">
        <x:f>IF(D2301="","",IF(AND(ISNUMBER(SEARCH("平",D2301)),OR(ISNUMBER(SEARCH("上",D2301)),ISNUMBER(SEARCH("去",D2301)),ISNUMBER(SEARCH("入",D2301)))),"Ambiguous",IF(ISNUMBER(SEARCH("平",D2301)),"平","仄")))</x:f>
        <x:v>仄</x:v>
      </x:c>
      <x:c r="J2310" s="7" t="str">
        <x:v>Xun Gong, Tang 300 gap fill</x:v>
      </x:c>
    </x:row>
    <x:row r="2311">
      <x:c r="A2311" s="5" t="str">
        <x:v>火</x:v>
      </x:c>
      <x:c r="B2311" s="6" t="str">
        <x:v>上</x:v>
      </x:c>
      <x:c r="C2311" s="6" t="str">
        <x:f>IF(B2311="","Needs decision","Ready")</x:f>
        <x:v>Ready</x:v>
      </x:c>
      <x:c r="D2311" s="6" t="str">
        <x:v>上</x:v>
      </x:c>
      <x:c r="E2311" s="6" t="str">
        <x:v>xwaX (B)</x:v>
      </x:c>
      <x:c r="F2311" s="6" t="str">
        <x:v>1</x:v>
      </x:c>
      <x:c r="G2311" s="6" t="str"/>
      <x:c r="H2311" s="6" t="str">
        <x:f>IF(B2311="平","平",IF(B2311="","","仄"))</x:f>
        <x:v>仄</x:v>
      </x:c>
      <x:c r="I2311" s="6" t="str">
        <x:f>IF(D2302="","",IF(AND(ISNUMBER(SEARCH("平",D2302)),OR(ISNUMBER(SEARCH("上",D2302)),ISNUMBER(SEARCH("去",D2302)),ISNUMBER(SEARCH("入",D2302)))),"Ambiguous",IF(ISNUMBER(SEARCH("平",D2302)),"平","仄")))</x:f>
        <x:v>Ambiguous</x:v>
      </x:c>
      <x:c r="J2311" s="7" t="str"/>
    </x:row>
    <x:row r="2312">
      <x:c r="A2312" s="5" t="str">
        <x:v>灰</x:v>
      </x:c>
      <x:c r="B2312" s="6" t="str">
        <x:v>平</x:v>
      </x:c>
      <x:c r="C2312" s="6" t="str">
        <x:f>IF(B2312="","Needs decision","Ready")</x:f>
        <x:v>Ready</x:v>
      </x:c>
      <x:c r="D2312" s="6" t="str">
        <x:v>平</x:v>
      </x:c>
      <x:c r="E2312" s="6" t="str">
        <x:v>xwoj (A)</x:v>
      </x:c>
      <x:c r="F2312" s="6" t="str">
        <x:v>1</x:v>
      </x:c>
      <x:c r="G2312" s="6" t="str"/>
      <x:c r="H2312" s="6" t="str">
        <x:f>IF(B2312="平","平",IF(B2312="","","仄"))</x:f>
        <x:v>平</x:v>
      </x:c>
      <x:c r="I2312" s="6" t="str">
        <x:f>IF(D2303="","",IF(AND(ISNUMBER(SEARCH("平",D2303)),OR(ISNUMBER(SEARCH("上",D2303)),ISNUMBER(SEARCH("去",D2303)),ISNUMBER(SEARCH("入",D2303)))),"Ambiguous",IF(ISNUMBER(SEARCH("平",D2303)),"平","仄")))</x:f>
        <x:v>Ambiguous</x:v>
      </x:c>
      <x:c r="J2312" s="7" t="str"/>
    </x:row>
    <x:row r="2313">
      <x:c r="A2313" s="5" t="str">
        <x:v>灸</x:v>
      </x:c>
      <x:c r="B2313" s="6" t="str">
        <x:v>上</x:v>
      </x:c>
      <x:c r="C2313" s="6" t="str">
        <x:f>IF(B2313="","Needs decision","Ready")</x:f>
        <x:v>Ready</x:v>
      </x:c>
      <x:c r="D2313" s="6" t="str">
        <x:v>上</x:v>
      </x:c>
      <x:c r="E2313" s="6" t="str">
        <x:v>kjuwX (B)</x:v>
      </x:c>
      <x:c r="F2313" s="6" t="str">
        <x:v>1</x:v>
      </x:c>
      <x:c r="G2313" s="6" t="str"/>
      <x:c r="H2313" s="6" t="str">
        <x:f>IF(B2313="平","平",IF(B2313="","","仄"))</x:f>
        <x:v>仄</x:v>
      </x:c>
      <x:c r="I2313" s="6" t="str">
        <x:f>IF(D2304="","",IF(AND(ISNUMBER(SEARCH("平",D2304)),OR(ISNUMBER(SEARCH("上",D2304)),ISNUMBER(SEARCH("去",D2304)),ISNUMBER(SEARCH("入",D2304)))),"Ambiguous",IF(ISNUMBER(SEARCH("平",D2304)),"平","仄")))</x:f>
        <x:v>仄</x:v>
      </x:c>
      <x:c r="J2313" s="7" t="str"/>
    </x:row>
    <x:row r="2314">
      <x:c r="A2314" s="5" t="str">
        <x:v>灼</x:v>
      </x:c>
      <x:c r="B2314" s="6" t="str">
        <x:v>入</x:v>
      </x:c>
      <x:c r="C2314" s="6" t="str">
        <x:f>IF(B2314="","Needs decision","Ready")</x:f>
        <x:v>Ready</x:v>
      </x:c>
      <x:c r="D2314" s="6" t="str">
        <x:v>入</x:v>
      </x:c>
      <x:c r="E2314" s="6" t="str"/>
      <x:c r="F2314" s="6" t="str"/>
      <x:c r="G2314" s="6" t="str">
        <x:v>Manual user correction/addition</x:v>
      </x:c>
      <x:c r="H2314" s="6" t="str">
        <x:f>IF(B2314="平","平",IF(B2314="","","仄"))</x:f>
        <x:v>仄</x:v>
      </x:c>
      <x:c r="I2314" s="6" t="str">
        <x:f>IF(D2305="","",IF(AND(ISNUMBER(SEARCH("平",D2305)),OR(ISNUMBER(SEARCH("上",D2305)),ISNUMBER(SEARCH("去",D2305)),ISNUMBER(SEARCH("入",D2305)))),"Ambiguous",IF(ISNUMBER(SEARCH("平",D2305)),"平","仄")))</x:f>
        <x:v>仄</x:v>
      </x:c>
      <x:c r="J2314" s="7" t="str">
        <x:v>manual user correction</x:v>
      </x:c>
    </x:row>
    <x:row r="2315">
      <x:c r="A2315" s="5" t="str">
        <x:v>災</x:v>
      </x:c>
      <x:c r="B2315" s="6" t="str">
        <x:v>平</x:v>
      </x:c>
      <x:c r="C2315" s="6" t="str">
        <x:f>IF(B2315="","Needs decision","Ready")</x:f>
        <x:v>Ready</x:v>
      </x:c>
      <x:c r="D2315" s="6" t="str">
        <x:v>平</x:v>
      </x:c>
      <x:c r="E2315" s="6" t="str">
        <x:v>tsoj (A)</x:v>
      </x:c>
      <x:c r="F2315" s="6" t="str">
        <x:v>1</x:v>
      </x:c>
      <x:c r="G2315" s="6" t="str"/>
      <x:c r="H2315" s="6" t="str">
        <x:f>IF(B2315="平","平",IF(B2315="","","仄"))</x:f>
        <x:v>平</x:v>
      </x:c>
      <x:c r="I2315" s="6" t="str">
        <x:f>IF(D2306="","",IF(AND(ISNUMBER(SEARCH("平",D2306)),OR(ISNUMBER(SEARCH("上",D2306)),ISNUMBER(SEARCH("去",D2306)),ISNUMBER(SEARCH("入",D2306)))),"Ambiguous",IF(ISNUMBER(SEARCH("平",D2306)),"平","仄")))</x:f>
        <x:v>仄</x:v>
      </x:c>
      <x:c r="J2315" s="7" t="str"/>
    </x:row>
    <x:row r="2316">
      <x:c r="A2316" s="5" t="str">
        <x:v>灾</x:v>
      </x:c>
      <x:c r="B2316" s="6" t="str">
        <x:v>平</x:v>
      </x:c>
      <x:c r="C2316" s="6" t="str">
        <x:f>IF(B2316="","Needs decision","Ready")</x:f>
        <x:v>Ready</x:v>
      </x:c>
      <x:c r="D2316" s="6" t="str">
        <x:v>平</x:v>
      </x:c>
      <x:c r="E2316" s="6" t="str">
        <x:v>tsoj (A)</x:v>
      </x:c>
      <x:c r="F2316" s="6" t="str">
        <x:v>1</x:v>
      </x:c>
      <x:c r="G2316" s="6" t="str"/>
      <x:c r="H2316" s="6" t="str">
        <x:f>IF(B2316="平","平",IF(B2316="","","仄"))</x:f>
        <x:v>平</x:v>
      </x:c>
      <x:c r="I2316" s="6" t="str">
        <x:f>IF(D2307="","",IF(AND(ISNUMBER(SEARCH("平",D2307)),OR(ISNUMBER(SEARCH("上",D2307)),ISNUMBER(SEARCH("去",D2307)),ISNUMBER(SEARCH("入",D2307)))),"Ambiguous",IF(ISNUMBER(SEARCH("平",D2307)),"平","仄")))</x:f>
        <x:v>平</x:v>
      </x:c>
      <x:c r="J2316" s="7" t="str"/>
    </x:row>
    <x:row r="2317">
      <x:c r="A2317" s="5" t="str">
        <x:v>炊</x:v>
      </x:c>
      <x:c r="B2317" s="6" t="str">
        <x:v>平</x:v>
      </x:c>
      <x:c r="C2317" s="6" t="str">
        <x:f>IF(B2317="","Needs decision","Ready")</x:f>
        <x:v>Ready</x:v>
      </x:c>
      <x:c r="D2317" s="6" t="str">
        <x:v>平</x:v>
      </x:c>
      <x:c r="E2317" s="6" t="str">
        <x:v>tsyhwe [tɕʰwie] (平)</x:v>
      </x:c>
      <x:c r="F2317" s="6" t="str">
        <x:v>1</x:v>
      </x:c>
      <x:c r="G2317" s="6" t="str">
        <x:v>Tang 300 gap; frequency 2; provisional from Xun Gong</x:v>
      </x:c>
      <x:c r="H2317" s="6" t="str">
        <x:f>IF(B2317="平","平",IF(B2317="","","仄"))</x:f>
        <x:v>平</x:v>
      </x:c>
      <x:c r="I2317" s="6" t="str">
        <x:f>IF(D2308="","",IF(AND(ISNUMBER(SEARCH("平",D2308)),OR(ISNUMBER(SEARCH("上",D2308)),ISNUMBER(SEARCH("去",D2308)),ISNUMBER(SEARCH("入",D2308)))),"Ambiguous",IF(ISNUMBER(SEARCH("平",D2308)),"平","仄")))</x:f>
        <x:v>仄</x:v>
      </x:c>
      <x:c r="J2317" s="7" t="str">
        <x:v>Xun Gong, Tang 300 gap fill</x:v>
      </x:c>
    </x:row>
    <x:row r="2318">
      <x:c r="A2318" s="5" t="str">
        <x:v>炎</x:v>
      </x:c>
      <x:c r="B2318" s="6" t="str">
        <x:v>平</x:v>
      </x:c>
      <x:c r="C2318" s="6" t="str">
        <x:f>IF(B2318="","Needs decision","Ready")</x:f>
        <x:v>Ready</x:v>
      </x:c>
      <x:c r="D2318" s="6" t="str">
        <x:v>平</x:v>
      </x:c>
      <x:c r="E2318" s="6" t="str">
        <x:v>hjem (A)</x:v>
      </x:c>
      <x:c r="F2318" s="6" t="str">
        <x:v>1</x:v>
      </x:c>
      <x:c r="G2318" s="6" t="str"/>
      <x:c r="H2318" s="6" t="str">
        <x:f>IF(B2318="平","平",IF(B2318="","","仄"))</x:f>
        <x:v>平</x:v>
      </x:c>
      <x:c r="I2318" s="6" t="str">
        <x:f>IF(D2309="","",IF(AND(ISNUMBER(SEARCH("平",D2309)),OR(ISNUMBER(SEARCH("上",D2309)),ISNUMBER(SEARCH("去",D2309)),ISNUMBER(SEARCH("入",D2309)))),"Ambiguous",IF(ISNUMBER(SEARCH("平",D2309)),"平","仄")))</x:f>
        <x:v>平</x:v>
      </x:c>
      <x:c r="J2318" s="7" t="str"/>
    </x:row>
    <x:row r="2319">
      <x:c r="A2319" s="5" t="str">
        <x:v>炒</x:v>
      </x:c>
      <x:c r="B2319" s="6" t="str">
        <x:v>上</x:v>
      </x:c>
      <x:c r="C2319" s="6" t="str">
        <x:f>IF(B2319="","Needs decision","Ready")</x:f>
        <x:v>Ready</x:v>
      </x:c>
      <x:c r="D2319" s="6" t="str">
        <x:v>上</x:v>
      </x:c>
      <x:c r="E2319" s="6" t="str">
        <x:v>tsrhaewX (B)</x:v>
      </x:c>
      <x:c r="F2319" s="6" t="str">
        <x:v>1</x:v>
      </x:c>
      <x:c r="G2319" s="6" t="str"/>
      <x:c r="H2319" s="6" t="str">
        <x:f>IF(B2319="平","平",IF(B2319="","","仄"))</x:f>
        <x:v>仄</x:v>
      </x:c>
      <x:c r="I2319" s="6" t="str">
        <x:f>IF(D2310="","",IF(AND(ISNUMBER(SEARCH("平",D2310)),OR(ISNUMBER(SEARCH("上",D2310)),ISNUMBER(SEARCH("去",D2310)),ISNUMBER(SEARCH("入",D2310)))),"Ambiguous",IF(ISNUMBER(SEARCH("平",D2310)),"平","仄")))</x:f>
        <x:v>仄</x:v>
      </x:c>
      <x:c r="J2319" s="7" t="str"/>
    </x:row>
    <x:row r="2320">
      <x:c r="A2320" s="5" t="str">
        <x:v>炙</x:v>
      </x:c>
      <x:c r="B2320" s="6" t="str"/>
      <x:c r="C2320" s="6" t="str">
        <x:f>IF(B2320="","Needs decision","Ready")</x:f>
        <x:v>Needs decision</x:v>
      </x:c>
      <x:c r="D2320" s="6" t="str">
        <x:v>去/入</x:v>
      </x:c>
      <x:c r="E2320" s="6" t="str">
        <x:v>tsyaeH (C); tsyek (D)</x:v>
      </x:c>
      <x:c r="F2320" s="6" t="str">
        <x:v>2</x:v>
      </x:c>
      <x:c r="G2320" s="6" t="str"/>
      <x:c r="H2320" s="6" t="str">
        <x:f>IF(B2320="平","平",IF(B2320="","","仄"))</x:f>
      </x:c>
      <x:c r="I2320" s="6" t="str">
        <x:f>IF(D2311="","",IF(AND(ISNUMBER(SEARCH("平",D2311)),OR(ISNUMBER(SEARCH("上",D2311)),ISNUMBER(SEARCH("去",D2311)),ISNUMBER(SEARCH("入",D2311)))),"Ambiguous",IF(ISNUMBER(SEARCH("平",D2311)),"平","仄")))</x:f>
        <x:v>仄</x:v>
      </x:c>
      <x:c r="J2320" s="7" t="str"/>
    </x:row>
    <x:row r="2321">
      <x:c r="A2321" s="5" t="str">
        <x:v>炤</x:v>
      </x:c>
      <x:c r="B2321" s="6" t="str">
        <x:v>去</x:v>
      </x:c>
      <x:c r="C2321" s="6" t="str">
        <x:f>IF(B2321="","Needs decision","Ready")</x:f>
        <x:v>Ready</x:v>
      </x:c>
      <x:c r="D2321" s="6" t="str">
        <x:v>去</x:v>
      </x:c>
      <x:c r="E2321" s="6" t="str">
        <x:v>tsyewH (C)</x:v>
      </x:c>
      <x:c r="F2321" s="6" t="str">
        <x:v>1</x:v>
      </x:c>
      <x:c r="G2321" s="6" t="str"/>
      <x:c r="H2321" s="6" t="str">
        <x:f>IF(B2321="平","平",IF(B2321="","","仄"))</x:f>
        <x:v>仄</x:v>
      </x:c>
      <x:c r="I2321" s="6" t="str">
        <x:f>IF(D2312="","",IF(AND(ISNUMBER(SEARCH("平",D2312)),OR(ISNUMBER(SEARCH("上",D2312)),ISNUMBER(SEARCH("去",D2312)),ISNUMBER(SEARCH("入",D2312)))),"Ambiguous",IF(ISNUMBER(SEARCH("平",D2312)),"平","仄")))</x:f>
        <x:v>平</x:v>
      </x:c>
      <x:c r="J2321" s="7" t="str"/>
    </x:row>
    <x:row r="2322">
      <x:c r="A2322" s="5" t="str">
        <x:v>炬</x:v>
      </x:c>
      <x:c r="B2322" s="6" t="str">
        <x:v>上</x:v>
      </x:c>
      <x:c r="C2322" s="6" t="str">
        <x:f>IF(B2322="","Needs decision","Ready")</x:f>
        <x:v>Ready</x:v>
      </x:c>
      <x:c r="D2322" s="6" t="str">
        <x:v>上</x:v>
      </x:c>
      <x:c r="E2322" s="6" t="str">
        <x:v>gjoX [ɡɨ̯əʔ] (上)</x:v>
      </x:c>
      <x:c r="F2322" s="6" t="str">
        <x:v>1</x:v>
      </x:c>
      <x:c r="G2322" s="6" t="str">
        <x:v>Tang 300 gap; frequency 2; provisional from Xun Gong</x:v>
      </x:c>
      <x:c r="H2322" s="6" t="str">
        <x:f>IF(B2322="平","平",IF(B2322="","","仄"))</x:f>
        <x:v>仄</x:v>
      </x:c>
      <x:c r="I2322" s="6" t="str">
        <x:f>IF(D2313="","",IF(AND(ISNUMBER(SEARCH("平",D2313)),OR(ISNUMBER(SEARCH("上",D2313)),ISNUMBER(SEARCH("去",D2313)),ISNUMBER(SEARCH("入",D2313)))),"Ambiguous",IF(ISNUMBER(SEARCH("平",D2313)),"平","仄")))</x:f>
        <x:v>仄</x:v>
      </x:c>
      <x:c r="J2322" s="7" t="str">
        <x:v>Xun Gong, Tang 300 gap fill</x:v>
      </x:c>
    </x:row>
    <x:row r="2323">
      <x:c r="A2323" s="5" t="str">
        <x:v>炭</x:v>
      </x:c>
      <x:c r="B2323" s="6" t="str">
        <x:v>去</x:v>
      </x:c>
      <x:c r="C2323" s="6" t="str">
        <x:f>IF(B2323="","Needs decision","Ready")</x:f>
        <x:v>Ready</x:v>
      </x:c>
      <x:c r="D2323" s="6" t="str">
        <x:v>去</x:v>
      </x:c>
      <x:c r="E2323" s="6" t="str">
        <x:v>thanH (C)</x:v>
      </x:c>
      <x:c r="F2323" s="6" t="str">
        <x:v>1</x:v>
      </x:c>
      <x:c r="G2323" s="6" t="str"/>
      <x:c r="H2323" s="6" t="str">
        <x:f>IF(B2323="平","平",IF(B2323="","","仄"))</x:f>
        <x:v>仄</x:v>
      </x:c>
      <x:c r="I2323" s="6" t="str">
        <x:f>IF(D2314="","",IF(AND(ISNUMBER(SEARCH("平",D2314)),OR(ISNUMBER(SEARCH("上",D2314)),ISNUMBER(SEARCH("去",D2314)),ISNUMBER(SEARCH("入",D2314)))),"Ambiguous",IF(ISNUMBER(SEARCH("平",D2314)),"平","仄")))</x:f>
        <x:v>仄</x:v>
      </x:c>
      <x:c r="J2323" s="7" t="str"/>
    </x:row>
    <x:row r="2324">
      <x:c r="A2324" s="5" t="str">
        <x:v>為</x:v>
      </x:c>
      <x:c r="B2324" s="6" t="str">
        <x:v>平</x:v>
      </x:c>
      <x:c r="C2324" s="6" t="str">
        <x:f>IF(B2324="","Needs decision","Ready")</x:f>
        <x:v>Ready</x:v>
      </x:c>
      <x:c r="D2324" s="6" t="str">
        <x:v>平/去</x:v>
      </x:c>
      <x:c r="E2324" s="6" t="str">
        <x:v>hjwe (A); hjweH (C)</x:v>
      </x:c>
      <x:c r="F2324" s="6" t="str">
        <x:v>2</x:v>
      </x:c>
      <x:c r="G2324" s="6" t="str">
        <x:v>User workbook edit 2026-09-03</x:v>
      </x:c>
      <x:c r="H2324" s="6" t="str">
        <x:f>IF(B2324="平","平",IF(B2324="","","仄"))</x:f>
        <x:v>平</x:v>
      </x:c>
      <x:c r="I2324" s="6" t="str">
        <x:f>IF(D2315="","",IF(AND(ISNUMBER(SEARCH("平",D2315)),OR(ISNUMBER(SEARCH("上",D2315)),ISNUMBER(SEARCH("去",D2315)),ISNUMBER(SEARCH("入",D2315)))),"Ambiguous",IF(ISNUMBER(SEARCH("平",D2315)),"平","仄")))</x:f>
        <x:v>平</x:v>
      </x:c>
      <x:c r="J2324" s="7" t="str">
        <x:v>manual user correction</x:v>
      </x:c>
    </x:row>
    <x:row r="2325">
      <x:c r="A2325" s="5" t="str">
        <x:v>烈</x:v>
      </x:c>
      <x:c r="B2325" s="6" t="str">
        <x:v>入</x:v>
      </x:c>
      <x:c r="C2325" s="6" t="str">
        <x:f>IF(B2325="","Needs decision","Ready")</x:f>
        <x:v>Ready</x:v>
      </x:c>
      <x:c r="D2325" s="6" t="str">
        <x:v>入</x:v>
      </x:c>
      <x:c r="E2325" s="6" t="str">
        <x:v>ljet (D)</x:v>
      </x:c>
      <x:c r="F2325" s="6" t="str">
        <x:v>1</x:v>
      </x:c>
      <x:c r="G2325" s="6" t="str"/>
      <x:c r="H2325" s="6" t="str">
        <x:f>IF(B2325="平","平",IF(B2325="","","仄"))</x:f>
        <x:v>仄</x:v>
      </x:c>
      <x:c r="I2325" s="6" t="str">
        <x:f>IF(D2316="","",IF(AND(ISNUMBER(SEARCH("平",D2316)),OR(ISNUMBER(SEARCH("上",D2316)),ISNUMBER(SEARCH("去",D2316)),ISNUMBER(SEARCH("入",D2316)))),"Ambiguous",IF(ISNUMBER(SEARCH("平",D2316)),"平","仄")))</x:f>
        <x:v>平</x:v>
      </x:c>
      <x:c r="J2325" s="7" t="str"/>
    </x:row>
    <x:row r="2326">
      <x:c r="A2326" s="5" t="str">
        <x:v>烏</x:v>
      </x:c>
      <x:c r="B2326" s="6" t="str">
        <x:v>平</x:v>
      </x:c>
      <x:c r="C2326" s="6" t="str">
        <x:f>IF(B2326="","Needs decision","Ready")</x:f>
        <x:v>Ready</x:v>
      </x:c>
      <x:c r="D2326" s="6" t="str">
        <x:v>平</x:v>
      </x:c>
      <x:c r="E2326" s="6" t="str">
        <x:v>'u (A)</x:v>
      </x:c>
      <x:c r="F2326" s="6" t="str">
        <x:v>1</x:v>
      </x:c>
      <x:c r="G2326" s="6" t="str"/>
      <x:c r="H2326" s="6" t="str">
        <x:f>IF(B2326="平","平",IF(B2326="","","仄"))</x:f>
        <x:v>平</x:v>
      </x:c>
      <x:c r="I2326" s="6" t="str">
        <x:f>IF(D2317="","",IF(AND(ISNUMBER(SEARCH("平",D2317)),OR(ISNUMBER(SEARCH("上",D2317)),ISNUMBER(SEARCH("去",D2317)),ISNUMBER(SEARCH("入",D2317)))),"Ambiguous",IF(ISNUMBER(SEARCH("平",D2317)),"平","仄")))</x:f>
        <x:v>平</x:v>
      </x:c>
      <x:c r="J2326" s="7" t="str"/>
    </x:row>
    <x:row r="2327">
      <x:c r="A2327" s="5" t="str">
        <x:v>烕</x:v>
      </x:c>
      <x:c r="B2327" s="6" t="str">
        <x:v>入</x:v>
      </x:c>
      <x:c r="C2327" s="6" t="str">
        <x:f>IF(B2327="","Needs decision","Ready")</x:f>
        <x:v>Ready</x:v>
      </x:c>
      <x:c r="D2327" s="6" t="str">
        <x:v>入</x:v>
      </x:c>
      <x:c r="E2327" s="6" t="str">
        <x:v>xjwiet (D)</x:v>
      </x:c>
      <x:c r="F2327" s="6" t="str">
        <x:v>1</x:v>
      </x:c>
      <x:c r="G2327" s="6" t="str"/>
      <x:c r="H2327" s="6" t="str">
        <x:f>IF(B2327="平","平",IF(B2327="","","仄"))</x:f>
        <x:v>仄</x:v>
      </x:c>
      <x:c r="I2327" s="6" t="str">
        <x:f>IF(D2318="","",IF(AND(ISNUMBER(SEARCH("平",D2318)),OR(ISNUMBER(SEARCH("上",D2318)),ISNUMBER(SEARCH("去",D2318)),ISNUMBER(SEARCH("入",D2318)))),"Ambiguous",IF(ISNUMBER(SEARCH("平",D2318)),"平","仄")))</x:f>
        <x:v>平</x:v>
      </x:c>
      <x:c r="J2327" s="7" t="str"/>
    </x:row>
    <x:row r="2328">
      <x:c r="A2328" s="5" t="str">
        <x:v>烖</x:v>
      </x:c>
      <x:c r="B2328" s="6" t="str">
        <x:v>平</x:v>
      </x:c>
      <x:c r="C2328" s="6" t="str">
        <x:f>IF(B2328="","Needs decision","Ready")</x:f>
        <x:v>Ready</x:v>
      </x:c>
      <x:c r="D2328" s="6" t="str">
        <x:v>平</x:v>
      </x:c>
      <x:c r="E2328" s="6" t="str">
        <x:v>tsoj (A)</x:v>
      </x:c>
      <x:c r="F2328" s="6" t="str">
        <x:v>1</x:v>
      </x:c>
      <x:c r="G2328" s="6" t="str"/>
      <x:c r="H2328" s="6" t="str">
        <x:f>IF(B2328="平","平",IF(B2328="","","仄"))</x:f>
        <x:v>平</x:v>
      </x:c>
      <x:c r="I2328" s="6" t="str">
        <x:f>IF(D2319="","",IF(AND(ISNUMBER(SEARCH("平",D2319)),OR(ISNUMBER(SEARCH("上",D2319)),ISNUMBER(SEARCH("去",D2319)),ISNUMBER(SEARCH("入",D2319)))),"Ambiguous",IF(ISNUMBER(SEARCH("平",D2319)),"平","仄")))</x:f>
        <x:v>仄</x:v>
      </x:c>
      <x:c r="J2328" s="7" t="str"/>
    </x:row>
    <x:row r="2329">
      <x:c r="A2329" s="5" t="str">
        <x:v>烜</x:v>
      </x:c>
      <x:c r="B2329" s="6" t="str">
        <x:v>上</x:v>
      </x:c>
      <x:c r="C2329" s="6" t="str">
        <x:f>IF(B2329="","Needs decision","Ready")</x:f>
        <x:v>Ready</x:v>
      </x:c>
      <x:c r="D2329" s="6" t="str">
        <x:v>上</x:v>
      </x:c>
      <x:c r="E2329" s="6" t="str">
        <x:v>xjweX (B); xjwonX (B)</x:v>
      </x:c>
      <x:c r="F2329" s="6" t="str">
        <x:v>2</x:v>
      </x:c>
      <x:c r="G2329" s="6" t="str"/>
      <x:c r="H2329" s="6" t="str">
        <x:f>IF(B2329="平","平",IF(B2329="","","仄"))</x:f>
        <x:v>仄</x:v>
      </x:c>
      <x:c r="I2329" s="6" t="str">
        <x:f>IF(D2320="","",IF(AND(ISNUMBER(SEARCH("平",D2320)),OR(ISNUMBER(SEARCH("上",D2320)),ISNUMBER(SEARCH("去",D2320)),ISNUMBER(SEARCH("入",D2320)))),"Ambiguous",IF(ISNUMBER(SEARCH("平",D2320)),"平","仄")))</x:f>
        <x:v>仄</x:v>
      </x:c>
      <x:c r="J2329" s="7" t="str"/>
    </x:row>
    <x:row r="2330">
      <x:c r="A2330" s="5" t="str">
        <x:v>烝</x:v>
      </x:c>
      <x:c r="B2330" s="6" t="str">
        <x:v>平</x:v>
      </x:c>
      <x:c r="C2330" s="6" t="str">
        <x:f>IF(B2330="","Needs decision","Ready")</x:f>
        <x:v>Ready</x:v>
      </x:c>
      <x:c r="D2330" s="6" t="str">
        <x:v>平</x:v>
      </x:c>
      <x:c r="E2330" s="6" t="str">
        <x:v>tsying (A)</x:v>
      </x:c>
      <x:c r="F2330" s="6" t="str">
        <x:v>1</x:v>
      </x:c>
      <x:c r="G2330" s="6" t="str"/>
      <x:c r="H2330" s="6" t="str">
        <x:f>IF(B2330="平","平",IF(B2330="","","仄"))</x:f>
        <x:v>平</x:v>
      </x:c>
      <x:c r="I2330" s="6" t="str">
        <x:f>IF(D2321="","",IF(AND(ISNUMBER(SEARCH("平",D2321)),OR(ISNUMBER(SEARCH("上",D2321)),ISNUMBER(SEARCH("去",D2321)),ISNUMBER(SEARCH("入",D2321)))),"Ambiguous",IF(ISNUMBER(SEARCH("平",D2321)),"平","仄")))</x:f>
        <x:v>仄</x:v>
      </x:c>
      <x:c r="J2330" s="7" t="str"/>
    </x:row>
    <x:row r="2331">
      <x:c r="A2331" s="5" t="str">
        <x:v>烟</x:v>
      </x:c>
      <x:c r="B2331" s="6" t="str">
        <x:v>平</x:v>
      </x:c>
      <x:c r="C2331" s="6" t="str">
        <x:f>IF(B2331="","Needs decision","Ready")</x:f>
        <x:v>Ready</x:v>
      </x:c>
      <x:c r="D2331" s="6" t="str">
        <x:v>平</x:v>
      </x:c>
      <x:c r="E2331" s="6" t="str">
        <x:v>'en (A)</x:v>
      </x:c>
      <x:c r="F2331" s="6" t="str">
        <x:v>1</x:v>
      </x:c>
      <x:c r="G2331" s="6" t="str"/>
      <x:c r="H2331" s="6" t="str">
        <x:f>IF(B2331="平","平",IF(B2331="","","仄"))</x:f>
        <x:v>平</x:v>
      </x:c>
      <x:c r="I2331" s="6" t="str">
        <x:f>IF(D2322="","",IF(AND(ISNUMBER(SEARCH("平",D2322)),OR(ISNUMBER(SEARCH("上",D2322)),ISNUMBER(SEARCH("去",D2322)),ISNUMBER(SEARCH("入",D2322)))),"Ambiguous",IF(ISNUMBER(SEARCH("平",D2322)),"平","仄")))</x:f>
        <x:v>仄</x:v>
      </x:c>
      <x:c r="J2331" s="7" t="str"/>
    </x:row>
    <x:row r="2332">
      <x:c r="A2332" s="5" t="str">
        <x:v>烹</x:v>
      </x:c>
      <x:c r="B2332" s="6" t="str">
        <x:v>平</x:v>
      </x:c>
      <x:c r="C2332" s="6" t="str">
        <x:f>IF(B2332="","Needs decision","Ready")</x:f>
        <x:v>Ready</x:v>
      </x:c>
      <x:c r="D2332" s="6" t="str">
        <x:v>平</x:v>
      </x:c>
      <x:c r="E2332" s="6" t="str">
        <x:v>phaeng (A)</x:v>
      </x:c>
      <x:c r="F2332" s="6" t="str">
        <x:v>1</x:v>
      </x:c>
      <x:c r="G2332" s="6" t="str"/>
      <x:c r="H2332" s="6" t="str">
        <x:f>IF(B2332="平","平",IF(B2332="","","仄"))</x:f>
        <x:v>平</x:v>
      </x:c>
      <x:c r="I2332" s="6" t="str">
        <x:f>IF(D2323="","",IF(AND(ISNUMBER(SEARCH("平",D2323)),OR(ISNUMBER(SEARCH("上",D2323)),ISNUMBER(SEARCH("去",D2323)),ISNUMBER(SEARCH("入",D2323)))),"Ambiguous",IF(ISNUMBER(SEARCH("平",D2323)),"平","仄")))</x:f>
        <x:v>仄</x:v>
      </x:c>
      <x:c r="J2332" s="7" t="str"/>
    </x:row>
    <x:row r="2333">
      <x:c r="A2333" s="5" t="str">
        <x:v>烽</x:v>
      </x:c>
      <x:c r="B2333" s="6" t="str">
        <x:v>平</x:v>
      </x:c>
      <x:c r="C2333" s="6" t="str">
        <x:f>IF(B2333="","Needs decision","Ready")</x:f>
        <x:v>Ready</x:v>
      </x:c>
      <x:c r="D2333" s="6" t="str">
        <x:v>平</x:v>
      </x:c>
      <x:c r="E2333" s="6" t="str"/>
      <x:c r="F2333" s="6" t="str"/>
      <x:c r="G2333" s="6" t="str">
        <x:v>Manual user correction/addition</x:v>
      </x:c>
      <x:c r="H2333" s="6" t="str">
        <x:f>IF(B2333="平","平",IF(B2333="","","仄"))</x:f>
        <x:v>平</x:v>
      </x:c>
      <x:c r="I2333" s="6" t="str">
        <x:f>IF(D2324="","",IF(AND(ISNUMBER(SEARCH("平",D2324)),OR(ISNUMBER(SEARCH("上",D2324)),ISNUMBER(SEARCH("去",D2324)),ISNUMBER(SEARCH("入",D2324)))),"Ambiguous",IF(ISNUMBER(SEARCH("平",D2324)),"平","仄")))</x:f>
        <x:v>Ambiguous</x:v>
      </x:c>
      <x:c r="J2333" s="7" t="str">
        <x:v>manual user correction</x:v>
      </x:c>
    </x:row>
    <x:row r="2334">
      <x:c r="A2334" s="5" t="str">
        <x:v>焉</x:v>
      </x:c>
      <x:c r="B2334" s="6" t="str">
        <x:v>平</x:v>
      </x:c>
      <x:c r="C2334" s="6" t="str">
        <x:f>IF(B2334="","Needs decision","Ready")</x:f>
        <x:v>Ready</x:v>
      </x:c>
      <x:c r="D2334" s="6" t="str">
        <x:v>平</x:v>
      </x:c>
      <x:c r="E2334" s="6" t="str">
        <x:v>'jen (A); hjen (A)</x:v>
      </x:c>
      <x:c r="F2334" s="6" t="str">
        <x:v>2</x:v>
      </x:c>
      <x:c r="G2334" s="6" t="str"/>
      <x:c r="H2334" s="6" t="str">
        <x:f>IF(B2334="平","平",IF(B2334="","","仄"))</x:f>
        <x:v>平</x:v>
      </x:c>
      <x:c r="I2334" s="6" t="str">
        <x:f>IF(D2325="","",IF(AND(ISNUMBER(SEARCH("平",D2325)),OR(ISNUMBER(SEARCH("上",D2325)),ISNUMBER(SEARCH("去",D2325)),ISNUMBER(SEARCH("入",D2325)))),"Ambiguous",IF(ISNUMBER(SEARCH("平",D2325)),"平","仄")))</x:f>
        <x:v>仄</x:v>
      </x:c>
      <x:c r="J2334" s="7" t="str"/>
    </x:row>
    <x:row r="2335">
      <x:c r="A2335" s="5" t="str">
        <x:v>焙</x:v>
      </x:c>
      <x:c r="B2335" s="6" t="str">
        <x:v>去</x:v>
      </x:c>
      <x:c r="C2335" s="6" t="str">
        <x:f>IF(B2335="","Needs decision","Ready")</x:f>
        <x:v>Ready</x:v>
      </x:c>
      <x:c r="D2335" s="6" t="str">
        <x:v>去</x:v>
      </x:c>
      <x:c r="E2335" s="6" t="str">
        <x:v>bwojH (C)</x:v>
      </x:c>
      <x:c r="F2335" s="6" t="str">
        <x:v>1</x:v>
      </x:c>
      <x:c r="G2335" s="6" t="str"/>
      <x:c r="H2335" s="6" t="str">
        <x:f>IF(B2335="平","平",IF(B2335="","","仄"))</x:f>
        <x:v>仄</x:v>
      </x:c>
      <x:c r="I2335" s="6" t="str">
        <x:f>IF(D2326="","",IF(AND(ISNUMBER(SEARCH("平",D2326)),OR(ISNUMBER(SEARCH("上",D2326)),ISNUMBER(SEARCH("去",D2326)),ISNUMBER(SEARCH("入",D2326)))),"Ambiguous",IF(ISNUMBER(SEARCH("平",D2326)),"平","仄")))</x:f>
        <x:v>平</x:v>
      </x:c>
      <x:c r="J2335" s="7" t="str"/>
    </x:row>
    <x:row r="2336">
      <x:c r="A2336" s="5" t="str">
        <x:v>焚</x:v>
      </x:c>
      <x:c r="B2336" s="6" t="str">
        <x:v>平</x:v>
      </x:c>
      <x:c r="C2336" s="6" t="str">
        <x:f>IF(B2336="","Needs decision","Ready")</x:f>
        <x:v>Ready</x:v>
      </x:c>
      <x:c r="D2336" s="6" t="str">
        <x:v>平</x:v>
      </x:c>
      <x:c r="E2336" s="6" t="str">
        <x:v>bjun (A)</x:v>
      </x:c>
      <x:c r="F2336" s="6" t="str">
        <x:v>1</x:v>
      </x:c>
      <x:c r="G2336" s="6" t="str"/>
      <x:c r="H2336" s="6" t="str">
        <x:f>IF(B2336="平","平",IF(B2336="","","仄"))</x:f>
        <x:v>平</x:v>
      </x:c>
      <x:c r="I2336" s="6" t="str">
        <x:f>IF(D2327="","",IF(AND(ISNUMBER(SEARCH("平",D2327)),OR(ISNUMBER(SEARCH("上",D2327)),ISNUMBER(SEARCH("去",D2327)),ISNUMBER(SEARCH("入",D2327)))),"Ambiguous",IF(ISNUMBER(SEARCH("平",D2327)),"平","仄")))</x:f>
        <x:v>仄</x:v>
      </x:c>
      <x:c r="J2336" s="7" t="str"/>
    </x:row>
    <x:row r="2337">
      <x:c r="A2337" s="5" t="str">
        <x:v>焞</x:v>
      </x:c>
      <x:c r="B2337" s="6" t="str">
        <x:v>平</x:v>
      </x:c>
      <x:c r="C2337" s="6" t="str">
        <x:f>IF(B2337="","Needs decision","Ready")</x:f>
        <x:v>Ready</x:v>
      </x:c>
      <x:c r="D2337" s="6" t="str">
        <x:v>平</x:v>
      </x:c>
      <x:c r="E2337" s="6" t="str">
        <x:v>thwoj (A); thwon (A)</x:v>
      </x:c>
      <x:c r="F2337" s="6" t="str">
        <x:v>2</x:v>
      </x:c>
      <x:c r="G2337" s="6" t="str"/>
      <x:c r="H2337" s="6" t="str">
        <x:f>IF(B2337="平","平",IF(B2337="","","仄"))</x:f>
        <x:v>平</x:v>
      </x:c>
      <x:c r="I2337" s="6" t="str">
        <x:f>IF(D2328="","",IF(AND(ISNUMBER(SEARCH("平",D2328)),OR(ISNUMBER(SEARCH("上",D2328)),ISNUMBER(SEARCH("去",D2328)),ISNUMBER(SEARCH("入",D2328)))),"Ambiguous",IF(ISNUMBER(SEARCH("平",D2328)),"平","仄")))</x:f>
        <x:v>平</x:v>
      </x:c>
      <x:c r="J2337" s="7" t="str"/>
    </x:row>
    <x:row r="2338">
      <x:c r="A2338" s="5" t="str">
        <x:v>焠</x:v>
      </x:c>
      <x:c r="B2338" s="6" t="str">
        <x:v>去</x:v>
      </x:c>
      <x:c r="C2338" s="6" t="str">
        <x:f>IF(B2338="","Needs decision","Ready")</x:f>
        <x:v>Ready</x:v>
      </x:c>
      <x:c r="D2338" s="6" t="str">
        <x:v>去</x:v>
      </x:c>
      <x:c r="E2338" s="6" t="str">
        <x:v>tshwojH (C)</x:v>
      </x:c>
      <x:c r="F2338" s="6" t="str">
        <x:v>1</x:v>
      </x:c>
      <x:c r="G2338" s="6" t="str"/>
      <x:c r="H2338" s="6" t="str">
        <x:f>IF(B2338="平","平",IF(B2338="","","仄"))</x:f>
        <x:v>仄</x:v>
      </x:c>
      <x:c r="I2338" s="6" t="str">
        <x:f>IF(D2329="","",IF(AND(ISNUMBER(SEARCH("平",D2329)),OR(ISNUMBER(SEARCH("上",D2329)),ISNUMBER(SEARCH("去",D2329)),ISNUMBER(SEARCH("入",D2329)))),"Ambiguous",IF(ISNUMBER(SEARCH("平",D2329)),"平","仄")))</x:f>
        <x:v>仄</x:v>
      </x:c>
      <x:c r="J2338" s="7" t="str"/>
    </x:row>
    <x:row r="2339">
      <x:c r="A2339" s="5" t="str">
        <x:v>無</x:v>
      </x:c>
      <x:c r="B2339" s="6" t="str">
        <x:v>平</x:v>
      </x:c>
      <x:c r="C2339" s="6" t="str">
        <x:f>IF(B2339="","Needs decision","Ready")</x:f>
        <x:v>Ready</x:v>
      </x:c>
      <x:c r="D2339" s="6" t="str">
        <x:v>平</x:v>
      </x:c>
      <x:c r="E2339" s="6" t="str">
        <x:v>mju (A)</x:v>
      </x:c>
      <x:c r="F2339" s="6" t="str">
        <x:v>1</x:v>
      </x:c>
      <x:c r="G2339" s="6" t="str"/>
      <x:c r="H2339" s="6" t="str">
        <x:f>IF(B2339="平","平",IF(B2339="","","仄"))</x:f>
        <x:v>平</x:v>
      </x:c>
      <x:c r="I2339" s="6" t="str">
        <x:f>IF(D2330="","",IF(AND(ISNUMBER(SEARCH("平",D2330)),OR(ISNUMBER(SEARCH("上",D2330)),ISNUMBER(SEARCH("去",D2330)),ISNUMBER(SEARCH("入",D2330)))),"Ambiguous",IF(ISNUMBER(SEARCH("平",D2330)),"平","仄")))</x:f>
        <x:v>平</x:v>
      </x:c>
      <x:c r="J2339" s="7" t="str"/>
    </x:row>
    <x:row r="2340">
      <x:c r="A2340" s="5" t="str">
        <x:v>焦</x:v>
      </x:c>
      <x:c r="B2340" s="6" t="str">
        <x:v>平</x:v>
      </x:c>
      <x:c r="C2340" s="6" t="str">
        <x:f>IF(B2340="","Needs decision","Ready")</x:f>
        <x:v>Ready</x:v>
      </x:c>
      <x:c r="D2340" s="6" t="str">
        <x:v>平</x:v>
      </x:c>
      <x:c r="E2340" s="6" t="str">
        <x:v>tsjew (A)</x:v>
      </x:c>
      <x:c r="F2340" s="6" t="str">
        <x:v>1</x:v>
      </x:c>
      <x:c r="G2340" s="6" t="str"/>
      <x:c r="H2340" s="6" t="str">
        <x:f>IF(B2340="平","平",IF(B2340="","","仄"))</x:f>
        <x:v>平</x:v>
      </x:c>
      <x:c r="I2340" s="6" t="str">
        <x:f>IF(D2331="","",IF(AND(ISNUMBER(SEARCH("平",D2331)),OR(ISNUMBER(SEARCH("上",D2331)),ISNUMBER(SEARCH("去",D2331)),ISNUMBER(SEARCH("入",D2331)))),"Ambiguous",IF(ISNUMBER(SEARCH("平",D2331)),"平","仄")))</x:f>
        <x:v>平</x:v>
      </x:c>
      <x:c r="J2340" s="7" t="str"/>
    </x:row>
    <x:row r="2341">
      <x:c r="A2341" s="5" t="str">
        <x:v>焫</x:v>
      </x:c>
      <x:c r="B2341" s="6" t="str">
        <x:v>入</x:v>
      </x:c>
      <x:c r="C2341" s="6" t="str">
        <x:f>IF(B2341="","Needs decision","Ready")</x:f>
        <x:v>Ready</x:v>
      </x:c>
      <x:c r="D2341" s="6" t="str">
        <x:v>入</x:v>
      </x:c>
      <x:c r="E2341" s="6" t="str">
        <x:v>nywet (D)</x:v>
      </x:c>
      <x:c r="F2341" s="6" t="str">
        <x:v>1</x:v>
      </x:c>
      <x:c r="G2341" s="6" t="str"/>
      <x:c r="H2341" s="6" t="str">
        <x:f>IF(B2341="平","平",IF(B2341="","","仄"))</x:f>
        <x:v>仄</x:v>
      </x:c>
      <x:c r="I2341" s="6" t="str">
        <x:f>IF(D2332="","",IF(AND(ISNUMBER(SEARCH("平",D2332)),OR(ISNUMBER(SEARCH("上",D2332)),ISNUMBER(SEARCH("去",D2332)),ISNUMBER(SEARCH("入",D2332)))),"Ambiguous",IF(ISNUMBER(SEARCH("平",D2332)),"平","仄")))</x:f>
        <x:v>平</x:v>
      </x:c>
      <x:c r="J2341" s="7" t="str"/>
    </x:row>
    <x:row r="2342">
      <x:c r="A2342" s="5" t="str">
        <x:v>焰</x:v>
      </x:c>
      <x:c r="B2342" s="6" t="str">
        <x:v>去</x:v>
      </x:c>
      <x:c r="C2342" s="6" t="str">
        <x:f>IF(B2342="","Needs decision","Ready")</x:f>
        <x:v>Ready</x:v>
      </x:c>
      <x:c r="D2342" s="6" t="str">
        <x:v>去</x:v>
      </x:c>
      <x:c r="E2342" s="6" t="str"/>
      <x:c r="F2342" s="6" t="str"/>
      <x:c r="G2342" s="6" t="str">
        <x:v>Manual user correction/addition</x:v>
      </x:c>
      <x:c r="H2342" s="6" t="str">
        <x:f>IF(B2342="平","平",IF(B2342="","","仄"))</x:f>
        <x:v>仄</x:v>
      </x:c>
      <x:c r="I2342" s="6" t="str">
        <x:f>IF(D2333="","",IF(AND(ISNUMBER(SEARCH("平",D2333)),OR(ISNUMBER(SEARCH("上",D2333)),ISNUMBER(SEARCH("去",D2333)),ISNUMBER(SEARCH("入",D2333)))),"Ambiguous",IF(ISNUMBER(SEARCH("平",D2333)),"平","仄")))</x:f>
        <x:v>平</x:v>
      </x:c>
      <x:c r="J2342" s="7" t="str">
        <x:v>manual user correction</x:v>
      </x:c>
    </x:row>
    <x:row r="2343">
      <x:c r="A2343" s="5" t="str">
        <x:v>然</x:v>
      </x:c>
      <x:c r="B2343" s="6" t="str">
        <x:v>平</x:v>
      </x:c>
      <x:c r="C2343" s="6" t="str">
        <x:f>IF(B2343="","Needs decision","Ready")</x:f>
        <x:v>Ready</x:v>
      </x:c>
      <x:c r="D2343" s="6" t="str">
        <x:v>平</x:v>
      </x:c>
      <x:c r="E2343" s="6" t="str">
        <x:v>nyen (A)</x:v>
      </x:c>
      <x:c r="F2343" s="6" t="str">
        <x:v>1</x:v>
      </x:c>
      <x:c r="G2343" s="6" t="str"/>
      <x:c r="H2343" s="6" t="str">
        <x:f>IF(B2343="平","平",IF(B2343="","","仄"))</x:f>
        <x:v>平</x:v>
      </x:c>
      <x:c r="I2343" s="6" t="str">
        <x:f>IF(D2334="","",IF(AND(ISNUMBER(SEARCH("平",D2334)),OR(ISNUMBER(SEARCH("上",D2334)),ISNUMBER(SEARCH("去",D2334)),ISNUMBER(SEARCH("入",D2334)))),"Ambiguous",IF(ISNUMBER(SEARCH("平",D2334)),"平","仄")))</x:f>
        <x:v>平</x:v>
      </x:c>
      <x:c r="J2343" s="7" t="str"/>
    </x:row>
    <x:row r="2344">
      <x:c r="A2344" s="5" t="str">
        <x:v>煁</x:v>
      </x:c>
      <x:c r="B2344" s="6" t="str">
        <x:v>平</x:v>
      </x:c>
      <x:c r="C2344" s="6" t="str">
        <x:f>IF(B2344="","Needs decision","Ready")</x:f>
        <x:v>Ready</x:v>
      </x:c>
      <x:c r="D2344" s="6" t="str">
        <x:v>平</x:v>
      </x:c>
      <x:c r="E2344" s="6" t="str">
        <x:v>dzyim (A)</x:v>
      </x:c>
      <x:c r="F2344" s="6" t="str">
        <x:v>1</x:v>
      </x:c>
      <x:c r="G2344" s="6" t="str"/>
      <x:c r="H2344" s="6" t="str">
        <x:f>IF(B2344="平","平",IF(B2344="","","仄"))</x:f>
        <x:v>平</x:v>
      </x:c>
      <x:c r="I2344" s="6" t="str">
        <x:f>IF(D2335="","",IF(AND(ISNUMBER(SEARCH("平",D2335)),OR(ISNUMBER(SEARCH("上",D2335)),ISNUMBER(SEARCH("去",D2335)),ISNUMBER(SEARCH("入",D2335)))),"Ambiguous",IF(ISNUMBER(SEARCH("平",D2335)),"平","仄")))</x:f>
        <x:v>仄</x:v>
      </x:c>
      <x:c r="J2344" s="7" t="str"/>
    </x:row>
    <x:row r="2345">
      <x:c r="A2345" s="5" t="str">
        <x:v>煇</x:v>
      </x:c>
      <x:c r="B2345" s="6" t="str">
        <x:v>平</x:v>
      </x:c>
      <x:c r="C2345" s="6" t="str">
        <x:f>IF(B2345="","Needs decision","Ready")</x:f>
        <x:v>Ready</x:v>
      </x:c>
      <x:c r="D2345" s="6" t="str">
        <x:v>平</x:v>
      </x:c>
      <x:c r="E2345" s="6" t="str">
        <x:v>xjw+j (A)</x:v>
      </x:c>
      <x:c r="F2345" s="6" t="str">
        <x:v>1</x:v>
      </x:c>
      <x:c r="G2345" s="6" t="str"/>
      <x:c r="H2345" s="6" t="str">
        <x:f>IF(B2345="平","平",IF(B2345="","","仄"))</x:f>
        <x:v>平</x:v>
      </x:c>
      <x:c r="I2345" s="6" t="str">
        <x:f>IF(D2336="","",IF(AND(ISNUMBER(SEARCH("平",D2336)),OR(ISNUMBER(SEARCH("上",D2336)),ISNUMBER(SEARCH("去",D2336)),ISNUMBER(SEARCH("入",D2336)))),"Ambiguous",IF(ISNUMBER(SEARCH("平",D2336)),"平","仄")))</x:f>
        <x:v>平</x:v>
      </x:c>
      <x:c r="J2345" s="7" t="str"/>
    </x:row>
    <x:row r="2346">
      <x:c r="A2346" s="5" t="str">
        <x:v>煌</x:v>
      </x:c>
      <x:c r="B2346" s="6" t="str">
        <x:v>平</x:v>
      </x:c>
      <x:c r="C2346" s="6" t="str">
        <x:f>IF(B2346="","Needs decision","Ready")</x:f>
        <x:v>Ready</x:v>
      </x:c>
      <x:c r="D2346" s="6" t="str">
        <x:v>平</x:v>
      </x:c>
      <x:c r="E2346" s="6" t="str">
        <x:v>hwang (A)</x:v>
      </x:c>
      <x:c r="F2346" s="6" t="str">
        <x:v>1</x:v>
      </x:c>
      <x:c r="G2346" s="6" t="str"/>
      <x:c r="H2346" s="6" t="str">
        <x:f>IF(B2346="平","平",IF(B2346="","","仄"))</x:f>
        <x:v>平</x:v>
      </x:c>
      <x:c r="I2346" s="6" t="str">
        <x:f>IF(D2337="","",IF(AND(ISNUMBER(SEARCH("平",D2337)),OR(ISNUMBER(SEARCH("上",D2337)),ISNUMBER(SEARCH("去",D2337)),ISNUMBER(SEARCH("入",D2337)))),"Ambiguous",IF(ISNUMBER(SEARCH("平",D2337)),"平","仄")))</x:f>
        <x:v>平</x:v>
      </x:c>
      <x:c r="J2346" s="7" t="str"/>
    </x:row>
    <x:row r="2347">
      <x:c r="A2347" s="5" t="str">
        <x:v>煎</x:v>
      </x:c>
      <x:c r="B2347" s="6" t="str">
        <x:v>平</x:v>
      </x:c>
      <x:c r="C2347" s="6" t="str">
        <x:f>IF(B2347="","Needs decision","Ready")</x:f>
        <x:v>Ready</x:v>
      </x:c>
      <x:c r="D2347" s="6" t="str">
        <x:v>去/平</x:v>
      </x:c>
      <x:c r="E2347" s="6" t="str">
        <x:v>tsjenH [精開三仙去] tsjenh; tsjen [精開三仙平] tsjen</x:v>
      </x:c>
      <x:c r="F2347" s="6" t="str">
        <x:v>2</x:v>
      </x:c>
      <x:c r="G2347" s="6" t="str">
        <x:v>Targeted preliminary fill from Xun Gong; review if uncertain</x:v>
      </x:c>
      <x:c r="H2347" s="6" t="str">
        <x:f>IF(B2347="平","平",IF(B2347="","","仄"))</x:f>
        <x:v>平</x:v>
      </x:c>
      <x:c r="I2347" s="6" t="str">
        <x:f>IF(D2338="","",IF(AND(ISNUMBER(SEARCH("平",D2338)),OR(ISNUMBER(SEARCH("上",D2338)),ISNUMBER(SEARCH("去",D2338)),ISNUMBER(SEARCH("入",D2338)))),"Ambiguous",IF(ISNUMBER(SEARCH("平",D2338)),"平","仄")))</x:f>
        <x:v>仄</x:v>
      </x:c>
      <x:c r="J2347" s="7" t="str">
        <x:v>Xun Gong character-readings.csv</x:v>
      </x:c>
    </x:row>
    <x:row r="2348">
      <x:c r="A2348" s="5" t="str">
        <x:v>煑</x:v>
      </x:c>
      <x:c r="B2348" s="6" t="str">
        <x:v>上</x:v>
      </x:c>
      <x:c r="C2348" s="6" t="str">
        <x:f>IF(B2348="","Needs decision","Ready")</x:f>
        <x:v>Ready</x:v>
      </x:c>
      <x:c r="D2348" s="6" t="str">
        <x:v>上</x:v>
      </x:c>
      <x:c r="E2348" s="6" t="str">
        <x:v>tsyoX (B)</x:v>
      </x:c>
      <x:c r="F2348" s="6" t="str">
        <x:v>1</x:v>
      </x:c>
      <x:c r="G2348" s="6" t="str"/>
      <x:c r="H2348" s="6" t="str">
        <x:f>IF(B2348="平","平",IF(B2348="","","仄"))</x:f>
        <x:v>仄</x:v>
      </x:c>
      <x:c r="I2348" s="6" t="str">
        <x:f>IF(D2339="","",IF(AND(ISNUMBER(SEARCH("平",D2339)),OR(ISNUMBER(SEARCH("上",D2339)),ISNUMBER(SEARCH("去",D2339)),ISNUMBER(SEARCH("入",D2339)))),"Ambiguous",IF(ISNUMBER(SEARCH("平",D2339)),"平","仄")))</x:f>
        <x:v>平</x:v>
      </x:c>
      <x:c r="J2348" s="7" t="str"/>
    </x:row>
    <x:row r="2349">
      <x:c r="A2349" s="5" t="str">
        <x:v>煒</x:v>
      </x:c>
      <x:c r="B2349" s="6" t="str">
        <x:v>上</x:v>
      </x:c>
      <x:c r="C2349" s="6" t="str">
        <x:f>IF(B2349="","Needs decision","Ready")</x:f>
        <x:v>Ready</x:v>
      </x:c>
      <x:c r="D2349" s="6" t="str">
        <x:v>上</x:v>
      </x:c>
      <x:c r="E2349" s="6" t="str">
        <x:v>hjw+jX (B)</x:v>
      </x:c>
      <x:c r="F2349" s="6" t="str">
        <x:v>1</x:v>
      </x:c>
      <x:c r="G2349" s="6" t="str"/>
      <x:c r="H2349" s="6" t="str">
        <x:f>IF(B2349="平","平",IF(B2349="","","仄"))</x:f>
        <x:v>仄</x:v>
      </x:c>
      <x:c r="I2349" s="6" t="str">
        <x:f>IF(D2340="","",IF(AND(ISNUMBER(SEARCH("平",D2340)),OR(ISNUMBER(SEARCH("上",D2340)),ISNUMBER(SEARCH("去",D2340)),ISNUMBER(SEARCH("入",D2340)))),"Ambiguous",IF(ISNUMBER(SEARCH("平",D2340)),"平","仄")))</x:f>
        <x:v>平</x:v>
      </x:c>
      <x:c r="J2349" s="7" t="str"/>
    </x:row>
    <x:row r="2350">
      <x:c r="A2350" s="5" t="str">
        <x:v>煖</x:v>
      </x:c>
      <x:c r="B2350" s="6" t="str">
        <x:v>平</x:v>
      </x:c>
      <x:c r="C2350" s="6" t="str">
        <x:f>IF(B2350="","Needs decision","Ready")</x:f>
        <x:v>Ready</x:v>
      </x:c>
      <x:c r="D2350" s="6" t="str">
        <x:v>平/上</x:v>
      </x:c>
      <x:c r="E2350" s="6" t="str">
        <x:v>nwanX [n̙wɑnʔ] (上); xjwon [xwɨ̯ən] (平)</x:v>
      </x:c>
      <x:c r="F2350" s="6" t="str">
        <x:v>2</x:v>
      </x:c>
      <x:c r="G2350" s="6" t="str">
        <x:v>Tang 300 gap; frequency 1; ambiguous in Xun Gong</x:v>
      </x:c>
      <x:c r="H2350" s="6" t="str">
        <x:f>IF(B2350="平","平",IF(B2350="","","仄"))</x:f>
        <x:v>平</x:v>
      </x:c>
      <x:c r="I2350" s="6" t="str">
        <x:f>IF(D2341="","",IF(AND(ISNUMBER(SEARCH("平",D2341)),OR(ISNUMBER(SEARCH("上",D2341)),ISNUMBER(SEARCH("去",D2341)),ISNUMBER(SEARCH("入",D2341)))),"Ambiguous",IF(ISNUMBER(SEARCH("平",D2341)),"平","仄")))</x:f>
        <x:v>仄</x:v>
      </x:c>
      <x:c r="J2350" s="7" t="str">
        <x:v>Xun Gong, Tang 300 gap fill</x:v>
      </x:c>
    </x:row>
    <x:row r="2351">
      <x:c r="A2351" s="5" t="str">
        <x:v>煙</x:v>
      </x:c>
      <x:c r="B2351" s="6" t="str">
        <x:v>平</x:v>
      </x:c>
      <x:c r="C2351" s="6" t="str">
        <x:f>IF(B2351="","Needs decision","Ready")</x:f>
        <x:v>Ready</x:v>
      </x:c>
      <x:c r="D2351" s="6" t="str">
        <x:v>平</x:v>
      </x:c>
      <x:c r="E2351" s="6" t="str">
        <x:v>'en (A)</x:v>
      </x:c>
      <x:c r="F2351" s="6" t="str">
        <x:v>1</x:v>
      </x:c>
      <x:c r="G2351" s="6" t="str"/>
      <x:c r="H2351" s="6" t="str">
        <x:f>IF(B2351="平","平",IF(B2351="","","仄"))</x:f>
        <x:v>平</x:v>
      </x:c>
      <x:c r="I2351" s="6" t="str">
        <x:f>IF(D2342="","",IF(AND(ISNUMBER(SEARCH("平",D2342)),OR(ISNUMBER(SEARCH("上",D2342)),ISNUMBER(SEARCH("去",D2342)),ISNUMBER(SEARCH("入",D2342)))),"Ambiguous",IF(ISNUMBER(SEARCH("平",D2342)),"平","仄")))</x:f>
        <x:v>仄</x:v>
      </x:c>
      <x:c r="J2351" s="7" t="str"/>
    </x:row>
    <x:row r="2352">
      <x:c r="A2352" s="5" t="str">
        <x:v>煜</x:v>
      </x:c>
      <x:c r="B2352" s="6" t="str">
        <x:v>入</x:v>
      </x:c>
      <x:c r="C2352" s="6" t="str">
        <x:f>IF(B2352="","Needs decision","Ready")</x:f>
        <x:v>Ready</x:v>
      </x:c>
      <x:c r="D2352" s="6" t="str">
        <x:v>入</x:v>
      </x:c>
      <x:c r="E2352" s="6" t="str">
        <x:v>yuwk (D)</x:v>
      </x:c>
      <x:c r="F2352" s="6" t="str">
        <x:v>1</x:v>
      </x:c>
      <x:c r="G2352" s="6" t="str"/>
      <x:c r="H2352" s="6" t="str">
        <x:f>IF(B2352="平","平",IF(B2352="","","仄"))</x:f>
        <x:v>仄</x:v>
      </x:c>
      <x:c r="I2352" s="6" t="str">
        <x:f>IF(D2343="","",IF(AND(ISNUMBER(SEARCH("平",D2343)),OR(ISNUMBER(SEARCH("上",D2343)),ISNUMBER(SEARCH("去",D2343)),ISNUMBER(SEARCH("入",D2343)))),"Ambiguous",IF(ISNUMBER(SEARCH("平",D2343)),"平","仄")))</x:f>
        <x:v>平</x:v>
      </x:c>
      <x:c r="J2352" s="7" t="str"/>
    </x:row>
    <x:row r="2353">
      <x:c r="A2353" s="5" t="str">
        <x:v>煤</x:v>
      </x:c>
      <x:c r="B2353" s="6" t="str">
        <x:v>平</x:v>
      </x:c>
      <x:c r="C2353" s="6" t="str">
        <x:f>IF(B2353="","Needs decision","Ready")</x:f>
        <x:v>Ready</x:v>
      </x:c>
      <x:c r="D2353" s="6" t="str">
        <x:v>平</x:v>
      </x:c>
      <x:c r="E2353" s="6" t="str">
        <x:v>mwoj (A)</x:v>
      </x:c>
      <x:c r="F2353" s="6" t="str">
        <x:v>1</x:v>
      </x:c>
      <x:c r="G2353" s="6" t="str"/>
      <x:c r="H2353" s="6" t="str">
        <x:f>IF(B2353="平","平",IF(B2353="","","仄"))</x:f>
        <x:v>平</x:v>
      </x:c>
      <x:c r="I2353" s="6" t="str">
        <x:f>IF(D2344="","",IF(AND(ISNUMBER(SEARCH("平",D2344)),OR(ISNUMBER(SEARCH("上",D2344)),ISNUMBER(SEARCH("去",D2344)),ISNUMBER(SEARCH("入",D2344)))),"Ambiguous",IF(ISNUMBER(SEARCH("平",D2344)),"平","仄")))</x:f>
        <x:v>平</x:v>
      </x:c>
      <x:c r="J2353" s="7" t="str"/>
    </x:row>
    <x:row r="2354">
      <x:c r="A2354" s="5" t="str">
        <x:v>煥</x:v>
      </x:c>
      <x:c r="B2354" s="6" t="str">
        <x:v>去</x:v>
      </x:c>
      <x:c r="C2354" s="6" t="str">
        <x:f>IF(B2354="","Needs decision","Ready")</x:f>
        <x:v>Ready</x:v>
      </x:c>
      <x:c r="D2354" s="6" t="str">
        <x:v>去</x:v>
      </x:c>
      <x:c r="E2354" s="6" t="str"/>
      <x:c r="F2354" s="6" t="str"/>
      <x:c r="G2354" s="6" t="str">
        <x:v>Manual user correction/addition</x:v>
      </x:c>
      <x:c r="H2354" s="6" t="str">
        <x:f>IF(B2354="平","平",IF(B2354="","","仄"))</x:f>
        <x:v>仄</x:v>
      </x:c>
      <x:c r="I2354" s="6" t="str">
        <x:f>IF(D2345="","",IF(AND(ISNUMBER(SEARCH("平",D2345)),OR(ISNUMBER(SEARCH("上",D2345)),ISNUMBER(SEARCH("去",D2345)),ISNUMBER(SEARCH("入",D2345)))),"Ambiguous",IF(ISNUMBER(SEARCH("平",D2345)),"平","仄")))</x:f>
        <x:v>平</x:v>
      </x:c>
      <x:c r="J2354" s="7" t="str">
        <x:v>manual user correction</x:v>
      </x:c>
    </x:row>
    <x:row r="2355">
      <x:c r="A2355" s="5" t="str">
        <x:v>照</x:v>
      </x:c>
      <x:c r="B2355" s="6" t="str">
        <x:v>去</x:v>
      </x:c>
      <x:c r="C2355" s="6" t="str">
        <x:f>IF(B2355="","Needs decision","Ready")</x:f>
        <x:v>Ready</x:v>
      </x:c>
      <x:c r="D2355" s="6" t="str">
        <x:v>去</x:v>
      </x:c>
      <x:c r="E2355" s="6" t="str">
        <x:v>tsyewH (C)</x:v>
      </x:c>
      <x:c r="F2355" s="6" t="str">
        <x:v>1</x:v>
      </x:c>
      <x:c r="G2355" s="6" t="str"/>
      <x:c r="H2355" s="6" t="str">
        <x:f>IF(B2355="平","平",IF(B2355="","","仄"))</x:f>
        <x:v>仄</x:v>
      </x:c>
      <x:c r="I2355" s="6" t="str">
        <x:f>IF(D2346="","",IF(AND(ISNUMBER(SEARCH("平",D2346)),OR(ISNUMBER(SEARCH("上",D2346)),ISNUMBER(SEARCH("去",D2346)),ISNUMBER(SEARCH("入",D2346)))),"Ambiguous",IF(ISNUMBER(SEARCH("平",D2346)),"平","仄")))</x:f>
        <x:v>平</x:v>
      </x:c>
      <x:c r="J2355" s="7" t="str"/>
    </x:row>
    <x:row r="2356">
      <x:c r="A2356" s="5" t="str">
        <x:v>煩</x:v>
      </x:c>
      <x:c r="B2356" s="6" t="str">
        <x:v>平</x:v>
      </x:c>
      <x:c r="C2356" s="6" t="str">
        <x:f>IF(B2356="","Needs decision","Ready")</x:f>
        <x:v>Ready</x:v>
      </x:c>
      <x:c r="D2356" s="6" t="str">
        <x:v>平</x:v>
      </x:c>
      <x:c r="E2356" s="6" t="str">
        <x:v>bjon (A)</x:v>
      </x:c>
      <x:c r="F2356" s="6" t="str">
        <x:v>1</x:v>
      </x:c>
      <x:c r="G2356" s="6" t="str"/>
      <x:c r="H2356" s="6" t="str">
        <x:f>IF(B2356="平","平",IF(B2356="","","仄"))</x:f>
        <x:v>平</x:v>
      </x:c>
      <x:c r="I2356" s="6" t="str">
        <x:f>IF(D2347="","",IF(AND(ISNUMBER(SEARCH("平",D2347)),OR(ISNUMBER(SEARCH("上",D2347)),ISNUMBER(SEARCH("去",D2347)),ISNUMBER(SEARCH("入",D2347)))),"Ambiguous",IF(ISNUMBER(SEARCH("平",D2347)),"平","仄")))</x:f>
        <x:v>Ambiguous</x:v>
      </x:c>
      <x:c r="J2356" s="7" t="str"/>
    </x:row>
    <x:row r="2357">
      <x:c r="A2357" s="5" t="str">
        <x:v>煮</x:v>
      </x:c>
      <x:c r="B2357" s="6" t="str">
        <x:v>上</x:v>
      </x:c>
      <x:c r="C2357" s="6" t="str">
        <x:f>IF(B2357="","Needs decision","Ready")</x:f>
        <x:v>Ready</x:v>
      </x:c>
      <x:c r="D2357" s="6" t="str">
        <x:v>上</x:v>
      </x:c>
      <x:c r="E2357" s="6" t="str">
        <x:v>tsyoX (B)</x:v>
      </x:c>
      <x:c r="F2357" s="6" t="str">
        <x:v>1</x:v>
      </x:c>
      <x:c r="G2357" s="6" t="str"/>
      <x:c r="H2357" s="6" t="str">
        <x:f>IF(B2357="平","平",IF(B2357="","","仄"))</x:f>
        <x:v>仄</x:v>
      </x:c>
      <x:c r="I2357" s="6" t="str">
        <x:f>IF(D2348="","",IF(AND(ISNUMBER(SEARCH("平",D2348)),OR(ISNUMBER(SEARCH("上",D2348)),ISNUMBER(SEARCH("去",D2348)),ISNUMBER(SEARCH("入",D2348)))),"Ambiguous",IF(ISNUMBER(SEARCH("平",D2348)),"平","仄")))</x:f>
        <x:v>仄</x:v>
      </x:c>
      <x:c r="J2357" s="7" t="str"/>
    </x:row>
    <x:row r="2358">
      <x:c r="A2358" s="5" t="str">
        <x:v>熄</x:v>
      </x:c>
      <x:c r="B2358" s="6" t="str">
        <x:v>入</x:v>
      </x:c>
      <x:c r="C2358" s="6" t="str">
        <x:f>IF(B2358="","Needs decision","Ready")</x:f>
        <x:v>Ready</x:v>
      </x:c>
      <x:c r="D2358" s="6" t="str">
        <x:v>入</x:v>
      </x:c>
      <x:c r="E2358" s="6" t="str">
        <x:v>sik (D)</x:v>
      </x:c>
      <x:c r="F2358" s="6" t="str">
        <x:v>1</x:v>
      </x:c>
      <x:c r="G2358" s="6" t="str"/>
      <x:c r="H2358" s="6" t="str">
        <x:f>IF(B2358="平","平",IF(B2358="","","仄"))</x:f>
        <x:v>仄</x:v>
      </x:c>
      <x:c r="I2358" s="6" t="str">
        <x:f>IF(D2349="","",IF(AND(ISNUMBER(SEARCH("平",D2349)),OR(ISNUMBER(SEARCH("上",D2349)),ISNUMBER(SEARCH("去",D2349)),ISNUMBER(SEARCH("入",D2349)))),"Ambiguous",IF(ISNUMBER(SEARCH("平",D2349)),"平","仄")))</x:f>
        <x:v>仄</x:v>
      </x:c>
      <x:c r="J2358" s="7" t="str"/>
    </x:row>
    <x:row r="2359">
      <x:c r="A2359" s="5" t="str">
        <x:v>熊</x:v>
      </x:c>
      <x:c r="B2359" s="6" t="str">
        <x:v>平</x:v>
      </x:c>
      <x:c r="C2359" s="6" t="str">
        <x:f>IF(B2359="","Needs decision","Ready")</x:f>
        <x:v>Ready</x:v>
      </x:c>
      <x:c r="D2359" s="6" t="str">
        <x:v>平</x:v>
      </x:c>
      <x:c r="E2359" s="6" t="str">
        <x:v>hjuwng (A)</x:v>
      </x:c>
      <x:c r="F2359" s="6" t="str">
        <x:v>1</x:v>
      </x:c>
      <x:c r="G2359" s="6" t="str"/>
      <x:c r="H2359" s="6" t="str">
        <x:f>IF(B2359="平","平",IF(B2359="","","仄"))</x:f>
        <x:v>平</x:v>
      </x:c>
      <x:c r="I2359" s="6" t="str">
        <x:f>IF(D2350="","",IF(AND(ISNUMBER(SEARCH("平",D2350)),OR(ISNUMBER(SEARCH("上",D2350)),ISNUMBER(SEARCH("去",D2350)),ISNUMBER(SEARCH("入",D2350)))),"Ambiguous",IF(ISNUMBER(SEARCH("平",D2350)),"平","仄")))</x:f>
        <x:v>Ambiguous</x:v>
      </x:c>
      <x:c r="J2359" s="7" t="str"/>
    </x:row>
    <x:row r="2360">
      <x:c r="A2360" s="5" t="str">
        <x:v>熏</x:v>
      </x:c>
      <x:c r="B2360" s="6" t="str">
        <x:v>平</x:v>
      </x:c>
      <x:c r="C2360" s="6" t="str">
        <x:f>IF(B2360="","Needs decision","Ready")</x:f>
        <x:v>Ready</x:v>
      </x:c>
      <x:c r="D2360" s="6" t="str">
        <x:v>平</x:v>
      </x:c>
      <x:c r="E2360" s="6" t="str">
        <x:v>xjun (A)</x:v>
      </x:c>
      <x:c r="F2360" s="6" t="str">
        <x:v>1</x:v>
      </x:c>
      <x:c r="G2360" s="6" t="str"/>
      <x:c r="H2360" s="6" t="str">
        <x:f>IF(B2360="平","平",IF(B2360="","","仄"))</x:f>
        <x:v>平</x:v>
      </x:c>
      <x:c r="I2360" s="6" t="str">
        <x:f>IF(D2351="","",IF(AND(ISNUMBER(SEARCH("平",D2351)),OR(ISNUMBER(SEARCH("上",D2351)),ISNUMBER(SEARCH("去",D2351)),ISNUMBER(SEARCH("入",D2351)))),"Ambiguous",IF(ISNUMBER(SEARCH("平",D2351)),"平","仄")))</x:f>
        <x:v>平</x:v>
      </x:c>
      <x:c r="J2360" s="7" t="str"/>
    </x:row>
    <x:row r="2361">
      <x:c r="A2361" s="5" t="str">
        <x:v>熒</x:v>
      </x:c>
      <x:c r="B2361" s="6" t="str">
        <x:v>平</x:v>
      </x:c>
      <x:c r="C2361" s="6" t="str">
        <x:f>IF(B2361="","Needs decision","Ready")</x:f>
        <x:v>Ready</x:v>
      </x:c>
      <x:c r="D2361" s="6" t="str">
        <x:v>平</x:v>
      </x:c>
      <x:c r="E2361" s="6" t="str">
        <x:v>hweng (A)</x:v>
      </x:c>
      <x:c r="F2361" s="6" t="str">
        <x:v>1</x:v>
      </x:c>
      <x:c r="G2361" s="6" t="str"/>
      <x:c r="H2361" s="6" t="str">
        <x:f>IF(B2361="平","平",IF(B2361="","","仄"))</x:f>
        <x:v>平</x:v>
      </x:c>
      <x:c r="I2361" s="6" t="str">
        <x:f>IF(D2352="","",IF(AND(ISNUMBER(SEARCH("平",D2352)),OR(ISNUMBER(SEARCH("上",D2352)),ISNUMBER(SEARCH("去",D2352)),ISNUMBER(SEARCH("入",D2352)))),"Ambiguous",IF(ISNUMBER(SEARCH("平",D2352)),"平","仄")))</x:f>
        <x:v>仄</x:v>
      </x:c>
      <x:c r="J2361" s="7" t="str"/>
    </x:row>
    <x:row r="2362">
      <x:c r="A2362" s="5" t="str">
        <x:v>熙</x:v>
      </x:c>
      <x:c r="B2362" s="6" t="str">
        <x:v>平</x:v>
      </x:c>
      <x:c r="C2362" s="6" t="str">
        <x:f>IF(B2362="","Needs decision","Ready")</x:f>
        <x:v>Ready</x:v>
      </x:c>
      <x:c r="D2362" s="6" t="str">
        <x:v>平</x:v>
      </x:c>
      <x:c r="E2362" s="6" t="str">
        <x:v>xi (A)</x:v>
      </x:c>
      <x:c r="F2362" s="6" t="str">
        <x:v>1</x:v>
      </x:c>
      <x:c r="G2362" s="6" t="str"/>
      <x:c r="H2362" s="6" t="str">
        <x:f>IF(B2362="平","平",IF(B2362="","","仄"))</x:f>
        <x:v>平</x:v>
      </x:c>
      <x:c r="I2362" s="6" t="str">
        <x:f>IF(D2353="","",IF(AND(ISNUMBER(SEARCH("平",D2353)),OR(ISNUMBER(SEARCH("上",D2353)),ISNUMBER(SEARCH("去",D2353)),ISNUMBER(SEARCH("入",D2353)))),"Ambiguous",IF(ISNUMBER(SEARCH("平",D2353)),"平","仄")))</x:f>
        <x:v>平</x:v>
      </x:c>
      <x:c r="J2362" s="7" t="str"/>
    </x:row>
    <x:row r="2363">
      <x:c r="A2363" s="5" t="str">
        <x:v>熟</x:v>
      </x:c>
      <x:c r="B2363" s="6" t="str">
        <x:v>入</x:v>
      </x:c>
      <x:c r="C2363" s="6" t="str">
        <x:f>IF(B2363="","Needs decision","Ready")</x:f>
        <x:v>Ready</x:v>
      </x:c>
      <x:c r="D2363" s="6" t="str">
        <x:v>入</x:v>
      </x:c>
      <x:c r="E2363" s="6" t="str">
        <x:v>dzyuwk (D)</x:v>
      </x:c>
      <x:c r="F2363" s="6" t="str">
        <x:v>1</x:v>
      </x:c>
      <x:c r="G2363" s="6" t="str"/>
      <x:c r="H2363" s="6" t="str">
        <x:f>IF(B2363="平","平",IF(B2363="","","仄"))</x:f>
        <x:v>仄</x:v>
      </x:c>
      <x:c r="I2363" s="6" t="str">
        <x:f>IF(D2354="","",IF(AND(ISNUMBER(SEARCH("平",D2354)),OR(ISNUMBER(SEARCH("上",D2354)),ISNUMBER(SEARCH("去",D2354)),ISNUMBER(SEARCH("入",D2354)))),"Ambiguous",IF(ISNUMBER(SEARCH("平",D2354)),"平","仄")))</x:f>
        <x:v>仄</x:v>
      </x:c>
      <x:c r="J2363" s="7" t="str"/>
    </x:row>
    <x:row r="2364">
      <x:c r="A2364" s="5" t="str">
        <x:v>熬</x:v>
      </x:c>
      <x:c r="B2364" s="6" t="str">
        <x:v>平</x:v>
      </x:c>
      <x:c r="C2364" s="6" t="str">
        <x:f>IF(B2364="","Needs decision","Ready")</x:f>
        <x:v>Ready</x:v>
      </x:c>
      <x:c r="D2364" s="6" t="str">
        <x:v>平</x:v>
      </x:c>
      <x:c r="E2364" s="6" t="str">
        <x:v>ngaw (A)</x:v>
      </x:c>
      <x:c r="F2364" s="6" t="str">
        <x:v>1</x:v>
      </x:c>
      <x:c r="G2364" s="6" t="str"/>
      <x:c r="H2364" s="6" t="str">
        <x:f>IF(B2364="平","平",IF(B2364="","","仄"))</x:f>
        <x:v>平</x:v>
      </x:c>
      <x:c r="I2364" s="6" t="str">
        <x:f>IF(D2355="","",IF(AND(ISNUMBER(SEARCH("平",D2355)),OR(ISNUMBER(SEARCH("上",D2355)),ISNUMBER(SEARCH("去",D2355)),ISNUMBER(SEARCH("入",D2355)))),"Ambiguous",IF(ISNUMBER(SEARCH("平",D2355)),"平","仄")))</x:f>
        <x:v>仄</x:v>
      </x:c>
      <x:c r="J2364" s="7" t="str"/>
    </x:row>
    <x:row r="2365">
      <x:c r="A2365" s="5" t="str">
        <x:v>熯</x:v>
      </x:c>
      <x:c r="B2365" s="6" t="str">
        <x:v>上</x:v>
      </x:c>
      <x:c r="C2365" s="6" t="str">
        <x:f>IF(B2365="","Needs decision","Ready")</x:f>
        <x:v>Ready</x:v>
      </x:c>
      <x:c r="D2365" s="6" t="str">
        <x:v>上</x:v>
      </x:c>
      <x:c r="E2365" s="6" t="str">
        <x:v>nyenX (B)</x:v>
      </x:c>
      <x:c r="F2365" s="6" t="str">
        <x:v>1</x:v>
      </x:c>
      <x:c r="G2365" s="6" t="str"/>
      <x:c r="H2365" s="6" t="str">
        <x:f>IF(B2365="平","平",IF(B2365="","","仄"))</x:f>
        <x:v>仄</x:v>
      </x:c>
      <x:c r="I2365" s="6" t="str">
        <x:f>IF(D2356="","",IF(AND(ISNUMBER(SEARCH("平",D2356)),OR(ISNUMBER(SEARCH("上",D2356)),ISNUMBER(SEARCH("去",D2356)),ISNUMBER(SEARCH("入",D2356)))),"Ambiguous",IF(ISNUMBER(SEARCH("平",D2356)),"平","仄")))</x:f>
        <x:v>平</x:v>
      </x:c>
      <x:c r="J2365" s="7" t="str"/>
    </x:row>
    <x:row r="2366">
      <x:c r="A2366" s="5" t="str">
        <x:v>熱</x:v>
      </x:c>
      <x:c r="B2366" s="6" t="str">
        <x:v>入</x:v>
      </x:c>
      <x:c r="C2366" s="6" t="str">
        <x:f>IF(B2366="","Needs decision","Ready")</x:f>
        <x:v>Ready</x:v>
      </x:c>
      <x:c r="D2366" s="6" t="str">
        <x:v>入</x:v>
      </x:c>
      <x:c r="E2366" s="6" t="str">
        <x:v>nyet (D)</x:v>
      </x:c>
      <x:c r="F2366" s="6" t="str">
        <x:v>1</x:v>
      </x:c>
      <x:c r="G2366" s="6" t="str"/>
      <x:c r="H2366" s="6" t="str">
        <x:f>IF(B2366="平","平",IF(B2366="","","仄"))</x:f>
        <x:v>仄</x:v>
      </x:c>
      <x:c r="I2366" s="6" t="str">
        <x:f>IF(D2357="","",IF(AND(ISNUMBER(SEARCH("平",D2357)),OR(ISNUMBER(SEARCH("上",D2357)),ISNUMBER(SEARCH("去",D2357)),ISNUMBER(SEARCH("入",D2357)))),"Ambiguous",IF(ISNUMBER(SEARCH("平",D2357)),"平","仄")))</x:f>
        <x:v>仄</x:v>
      </x:c>
      <x:c r="J2366" s="7" t="str"/>
    </x:row>
    <x:row r="2367">
      <x:c r="A2367" s="5" t="str">
        <x:v>熸</x:v>
      </x:c>
      <x:c r="B2367" s="6" t="str">
        <x:v>平</x:v>
      </x:c>
      <x:c r="C2367" s="6" t="str">
        <x:f>IF(B2367="","Needs decision","Ready")</x:f>
        <x:v>Ready</x:v>
      </x:c>
      <x:c r="D2367" s="6" t="str">
        <x:v>平</x:v>
      </x:c>
      <x:c r="E2367" s="6" t="str">
        <x:v>tsjem (A)</x:v>
      </x:c>
      <x:c r="F2367" s="6" t="str">
        <x:v>1</x:v>
      </x:c>
      <x:c r="G2367" s="6" t="str"/>
      <x:c r="H2367" s="6" t="str">
        <x:f>IF(B2367="平","平",IF(B2367="","","仄"))</x:f>
        <x:v>平</x:v>
      </x:c>
      <x:c r="I2367" s="6" t="str">
        <x:f>IF(D2358="","",IF(AND(ISNUMBER(SEARCH("平",D2358)),OR(ISNUMBER(SEARCH("上",D2358)),ISNUMBER(SEARCH("去",D2358)),ISNUMBER(SEARCH("入",D2358)))),"Ambiguous",IF(ISNUMBER(SEARCH("平",D2358)),"平","仄")))</x:f>
        <x:v>仄</x:v>
      </x:c>
      <x:c r="J2367" s="7" t="str"/>
    </x:row>
    <x:row r="2368">
      <x:c r="A2368" s="5" t="str">
        <x:v>熹</x:v>
      </x:c>
      <x:c r="B2368" s="6" t="str">
        <x:v>平</x:v>
      </x:c>
      <x:c r="C2368" s="6" t="str">
        <x:f>IF(B2368="","Needs decision","Ready")</x:f>
        <x:v>Ready</x:v>
      </x:c>
      <x:c r="D2368" s="6" t="str">
        <x:v>平</x:v>
      </x:c>
      <x:c r="E2368" s="6" t="str">
        <x:v>xi (A)</x:v>
      </x:c>
      <x:c r="F2368" s="6" t="str">
        <x:v>1</x:v>
      </x:c>
      <x:c r="G2368" s="6" t="str"/>
      <x:c r="H2368" s="6" t="str">
        <x:f>IF(B2368="平","平",IF(B2368="","","仄"))</x:f>
        <x:v>平</x:v>
      </x:c>
      <x:c r="I2368" s="6" t="str">
        <x:f>IF(D2359="","",IF(AND(ISNUMBER(SEARCH("平",D2359)),OR(ISNUMBER(SEARCH("上",D2359)),ISNUMBER(SEARCH("去",D2359)),ISNUMBER(SEARCH("入",D2359)))),"Ambiguous",IF(ISNUMBER(SEARCH("平",D2359)),"平","仄")))</x:f>
        <x:v>平</x:v>
      </x:c>
      <x:c r="J2368" s="7" t="str"/>
    </x:row>
    <x:row r="2369">
      <x:c r="A2369" s="5" t="str">
        <x:v>熾</x:v>
      </x:c>
      <x:c r="B2369" s="6" t="str">
        <x:v>去</x:v>
      </x:c>
      <x:c r="C2369" s="6" t="str">
        <x:f>IF(B2369="","Needs decision","Ready")</x:f>
        <x:v>Ready</x:v>
      </x:c>
      <x:c r="D2369" s="6" t="str">
        <x:v>去</x:v>
      </x:c>
      <x:c r="E2369" s="6" t="str">
        <x:v>tsyhiH (C)</x:v>
      </x:c>
      <x:c r="F2369" s="6" t="str">
        <x:v>1</x:v>
      </x:c>
      <x:c r="G2369" s="6" t="str"/>
      <x:c r="H2369" s="6" t="str">
        <x:f>IF(B2369="平","平",IF(B2369="","","仄"))</x:f>
        <x:v>仄</x:v>
      </x:c>
      <x:c r="I2369" s="6" t="str">
        <x:f>IF(D2360="","",IF(AND(ISNUMBER(SEARCH("平",D2360)),OR(ISNUMBER(SEARCH("上",D2360)),ISNUMBER(SEARCH("去",D2360)),ISNUMBER(SEARCH("入",D2360)))),"Ambiguous",IF(ISNUMBER(SEARCH("平",D2360)),"平","仄")))</x:f>
        <x:v>平</x:v>
      </x:c>
      <x:c r="J2369" s="7" t="str"/>
    </x:row>
    <x:row r="2370">
      <x:c r="A2370" s="5" t="str">
        <x:v>燁</x:v>
      </x:c>
      <x:c r="B2370" s="6" t="str">
        <x:v>入</x:v>
      </x:c>
      <x:c r="C2370" s="6" t="str">
        <x:f>IF(B2370="","Needs decision","Ready")</x:f>
        <x:v>Ready</x:v>
      </x:c>
      <x:c r="D2370" s="6" t="str">
        <x:v>入</x:v>
      </x:c>
      <x:c r="E2370" s="6" t="str">
        <x:v>hip (D); hjep (D)</x:v>
      </x:c>
      <x:c r="F2370" s="6" t="str">
        <x:v>2</x:v>
      </x:c>
      <x:c r="G2370" s="6" t="str"/>
      <x:c r="H2370" s="6" t="str">
        <x:f>IF(B2370="平","平",IF(B2370="","","仄"))</x:f>
        <x:v>仄</x:v>
      </x:c>
      <x:c r="I2370" s="6" t="str">
        <x:f>IF(D2361="","",IF(AND(ISNUMBER(SEARCH("平",D2361)),OR(ISNUMBER(SEARCH("上",D2361)),ISNUMBER(SEARCH("去",D2361)),ISNUMBER(SEARCH("入",D2361)))),"Ambiguous",IF(ISNUMBER(SEARCH("平",D2361)),"平","仄")))</x:f>
        <x:v>平</x:v>
      </x:c>
      <x:c r="J2370" s="7" t="str"/>
    </x:row>
    <x:row r="2371">
      <x:c r="A2371" s="5" t="str">
        <x:v>燂</x:v>
      </x:c>
      <x:c r="B2371" s="6" t="str">
        <x:v>平</x:v>
      </x:c>
      <x:c r="C2371" s="6" t="str">
        <x:f>IF(B2371="","Needs decision","Ready")</x:f>
        <x:v>Ready</x:v>
      </x:c>
      <x:c r="D2371" s="6" t="str">
        <x:v>平</x:v>
      </x:c>
      <x:c r="E2371" s="6" t="str">
        <x:v>zjem (A); dom (A)</x:v>
      </x:c>
      <x:c r="F2371" s="6" t="str">
        <x:v>2</x:v>
      </x:c>
      <x:c r="G2371" s="6" t="str"/>
      <x:c r="H2371" s="6" t="str">
        <x:f>IF(B2371="平","平",IF(B2371="","","仄"))</x:f>
        <x:v>平</x:v>
      </x:c>
      <x:c r="I2371" s="6" t="str">
        <x:f>IF(D2362="","",IF(AND(ISNUMBER(SEARCH("平",D2362)),OR(ISNUMBER(SEARCH("上",D2362)),ISNUMBER(SEARCH("去",D2362)),ISNUMBER(SEARCH("入",D2362)))),"Ambiguous",IF(ISNUMBER(SEARCH("平",D2362)),"平","仄")))</x:f>
        <x:v>平</x:v>
      </x:c>
      <x:c r="J2371" s="7" t="str"/>
    </x:row>
    <x:row r="2372">
      <x:c r="A2372" s="5" t="str">
        <x:v>燃</x:v>
      </x:c>
      <x:c r="B2372" s="6" t="str">
        <x:v>平</x:v>
      </x:c>
      <x:c r="C2372" s="6" t="str">
        <x:f>IF(B2372="","Needs decision","Ready")</x:f>
        <x:v>Ready</x:v>
      </x:c>
      <x:c r="D2372" s="6" t="str">
        <x:v>平</x:v>
      </x:c>
      <x:c r="E2372" s="6" t="str">
        <x:v>nyen (A)</x:v>
      </x:c>
      <x:c r="F2372" s="6" t="str">
        <x:v>1</x:v>
      </x:c>
      <x:c r="G2372" s="6" t="str"/>
      <x:c r="H2372" s="6" t="str">
        <x:f>IF(B2372="平","平",IF(B2372="","","仄"))</x:f>
        <x:v>平</x:v>
      </x:c>
      <x:c r="I2372" s="6" t="str">
        <x:f>IF(D2363="","",IF(AND(ISNUMBER(SEARCH("平",D2363)),OR(ISNUMBER(SEARCH("上",D2363)),ISNUMBER(SEARCH("去",D2363)),ISNUMBER(SEARCH("入",D2363)))),"Ambiguous",IF(ISNUMBER(SEARCH("平",D2363)),"平","仄")))</x:f>
        <x:v>仄</x:v>
      </x:c>
      <x:c r="J2372" s="7" t="str"/>
    </x:row>
    <x:row r="2373">
      <x:c r="A2373" s="5" t="str">
        <x:v>燄</x:v>
      </x:c>
      <x:c r="B2373" s="6" t="str">
        <x:v>上</x:v>
      </x:c>
      <x:c r="C2373" s="6" t="str">
        <x:f>IF(B2373="","Needs decision","Ready")</x:f>
        <x:v>Ready</x:v>
      </x:c>
      <x:c r="D2373" s="6" t="str">
        <x:v>上</x:v>
      </x:c>
      <x:c r="E2373" s="6" t="str">
        <x:v>yemX [jemʔ] (上)</x:v>
      </x:c>
      <x:c r="F2373" s="6" t="str">
        <x:v>1</x:v>
      </x:c>
      <x:c r="G2373" s="6" t="str">
        <x:v>Tang 300 gap; frequency 1; provisional from Xun Gong</x:v>
      </x:c>
      <x:c r="H2373" s="6" t="str">
        <x:f>IF(B2373="平","平",IF(B2373="","","仄"))</x:f>
        <x:v>仄</x:v>
      </x:c>
      <x:c r="I2373" s="6" t="str">
        <x:f>IF(D2364="","",IF(AND(ISNUMBER(SEARCH("平",D2364)),OR(ISNUMBER(SEARCH("上",D2364)),ISNUMBER(SEARCH("去",D2364)),ISNUMBER(SEARCH("入",D2364)))),"Ambiguous",IF(ISNUMBER(SEARCH("平",D2364)),"平","仄")))</x:f>
        <x:v>平</x:v>
      </x:c>
      <x:c r="J2373" s="7" t="str">
        <x:v>Xun Gong, Tang 300 gap fill</x:v>
      </x:c>
    </x:row>
    <x:row r="2374">
      <x:c r="A2374" s="5" t="str">
        <x:v>燈</x:v>
      </x:c>
      <x:c r="B2374" s="6" t="str">
        <x:v>平</x:v>
      </x:c>
      <x:c r="C2374" s="6" t="str">
        <x:f>IF(B2374="","Needs decision","Ready")</x:f>
        <x:v>Ready</x:v>
      </x:c>
      <x:c r="D2374" s="6" t="str">
        <x:v>平</x:v>
      </x:c>
      <x:c r="E2374" s="6" t="str">
        <x:v>tong (A)</x:v>
      </x:c>
      <x:c r="F2374" s="6" t="str">
        <x:v>1</x:v>
      </x:c>
      <x:c r="G2374" s="6" t="str"/>
      <x:c r="H2374" s="6" t="str">
        <x:f>IF(B2374="平","平",IF(B2374="","","仄"))</x:f>
        <x:v>平</x:v>
      </x:c>
      <x:c r="I2374" s="6" t="str">
        <x:f>IF(D2365="","",IF(AND(ISNUMBER(SEARCH("平",D2365)),OR(ISNUMBER(SEARCH("上",D2365)),ISNUMBER(SEARCH("去",D2365)),ISNUMBER(SEARCH("入",D2365)))),"Ambiguous",IF(ISNUMBER(SEARCH("平",D2365)),"平","仄")))</x:f>
        <x:v>仄</x:v>
      </x:c>
      <x:c r="J2374" s="7" t="str"/>
    </x:row>
    <x:row r="2375">
      <x:c r="A2375" s="5" t="str">
        <x:v>燎</x:v>
      </x:c>
      <x:c r="B2375" s="6" t="str"/>
      <x:c r="C2375" s="6" t="str">
        <x:f>IF(B2375="","Needs decision","Ready")</x:f>
        <x:v>Needs decision</x:v>
      </x:c>
      <x:c r="D2375" s="6" t="str">
        <x:v>平/上/去</x:v>
      </x:c>
      <x:c r="E2375" s="6" t="str">
        <x:v>ljew [ljew] (平); ljewH [ljewh] (去); ljewX [ljewʔ] (上)</x:v>
      </x:c>
      <x:c r="F2375" s="6" t="str">
        <x:v>3</x:v>
      </x:c>
      <x:c r="G2375" s="6" t="str">
        <x:v>Tang 300 gap; frequency 1; ambiguous in Xun Gong</x:v>
      </x:c>
      <x:c r="H2375" s="6" t="str">
        <x:f>IF(B2375="平","平",IF(B2375="","","仄"))</x:f>
      </x:c>
      <x:c r="I2375" s="6" t="str">
        <x:f>IF(D2366="","",IF(AND(ISNUMBER(SEARCH("平",D2366)),OR(ISNUMBER(SEARCH("上",D2366)),ISNUMBER(SEARCH("去",D2366)),ISNUMBER(SEARCH("入",D2366)))),"Ambiguous",IF(ISNUMBER(SEARCH("平",D2366)),"平","仄")))</x:f>
        <x:v>仄</x:v>
      </x:c>
      <x:c r="J2375" s="7" t="str">
        <x:v>Xun Gong, Tang 300 gap fill</x:v>
      </x:c>
    </x:row>
    <x:row r="2376">
      <x:c r="A2376" s="5" t="str">
        <x:v>燒</x:v>
      </x:c>
      <x:c r="B2376" s="6" t="str">
        <x:v>平</x:v>
      </x:c>
      <x:c r="C2376" s="6" t="str">
        <x:f>IF(B2376="","Needs decision","Ready")</x:f>
        <x:v>Ready</x:v>
      </x:c>
      <x:c r="D2376" s="6" t="str">
        <x:v>平</x:v>
      </x:c>
      <x:c r="E2376" s="6" t="str">
        <x:v>syew (A)</x:v>
      </x:c>
      <x:c r="F2376" s="6" t="str">
        <x:v>1</x:v>
      </x:c>
      <x:c r="G2376" s="6" t="str"/>
      <x:c r="H2376" s="6" t="str">
        <x:f>IF(B2376="平","平",IF(B2376="","","仄"))</x:f>
        <x:v>平</x:v>
      </x:c>
      <x:c r="I2376" s="6" t="str">
        <x:f>IF(D2367="","",IF(AND(ISNUMBER(SEARCH("平",D2367)),OR(ISNUMBER(SEARCH("上",D2367)),ISNUMBER(SEARCH("去",D2367)),ISNUMBER(SEARCH("入",D2367)))),"Ambiguous",IF(ISNUMBER(SEARCH("平",D2367)),"平","仄")))</x:f>
        <x:v>平</x:v>
      </x:c>
      <x:c r="J2376" s="7" t="str"/>
    </x:row>
    <x:row r="2377">
      <x:c r="A2377" s="5" t="str">
        <x:v>燔</x:v>
      </x:c>
      <x:c r="B2377" s="6" t="str">
        <x:v>平</x:v>
      </x:c>
      <x:c r="C2377" s="6" t="str">
        <x:f>IF(B2377="","Needs decision","Ready")</x:f>
        <x:v>Ready</x:v>
      </x:c>
      <x:c r="D2377" s="6" t="str">
        <x:v>平</x:v>
      </x:c>
      <x:c r="E2377" s="6" t="str">
        <x:v>bjon (A)</x:v>
      </x:c>
      <x:c r="F2377" s="6" t="str">
        <x:v>1</x:v>
      </x:c>
      <x:c r="G2377" s="6" t="str"/>
      <x:c r="H2377" s="6" t="str">
        <x:f>IF(B2377="平","平",IF(B2377="","","仄"))</x:f>
        <x:v>平</x:v>
      </x:c>
      <x:c r="I2377" s="6" t="str">
        <x:f>IF(D2368="","",IF(AND(ISNUMBER(SEARCH("平",D2368)),OR(ISNUMBER(SEARCH("上",D2368)),ISNUMBER(SEARCH("去",D2368)),ISNUMBER(SEARCH("入",D2368)))),"Ambiguous",IF(ISNUMBER(SEARCH("平",D2368)),"平","仄")))</x:f>
        <x:v>平</x:v>
      </x:c>
      <x:c r="J2377" s="7" t="str"/>
    </x:row>
    <x:row r="2378">
      <x:c r="A2378" s="5" t="str">
        <x:v>燕</x:v>
      </x:c>
      <x:c r="B2378" s="6" t="str">
        <x:v>去</x:v>
      </x:c>
      <x:c r="C2378" s="6" t="str">
        <x:f>IF(B2378="","Needs decision","Ready")</x:f>
        <x:v>Ready</x:v>
      </x:c>
      <x:c r="D2378" s="6" t="str">
        <x:v>去</x:v>
      </x:c>
      <x:c r="E2378" s="6" t="str">
        <x:v>'enH (C)</x:v>
      </x:c>
      <x:c r="F2378" s="6" t="str">
        <x:v>1</x:v>
      </x:c>
      <x:c r="G2378" s="6" t="str"/>
      <x:c r="H2378" s="6" t="str">
        <x:f>IF(B2378="平","平",IF(B2378="","","仄"))</x:f>
        <x:v>仄</x:v>
      </x:c>
      <x:c r="I2378" s="6" t="str">
        <x:f>IF(D2369="","",IF(AND(ISNUMBER(SEARCH("平",D2369)),OR(ISNUMBER(SEARCH("上",D2369)),ISNUMBER(SEARCH("去",D2369)),ISNUMBER(SEARCH("入",D2369)))),"Ambiguous",IF(ISNUMBER(SEARCH("平",D2369)),"平","仄")))</x:f>
        <x:v>仄</x:v>
      </x:c>
      <x:c r="J2378" s="7" t="str"/>
    </x:row>
    <x:row r="2379">
      <x:c r="A2379" s="5" t="str">
        <x:v>營</x:v>
      </x:c>
      <x:c r="B2379" s="6" t="str">
        <x:v>平</x:v>
      </x:c>
      <x:c r="C2379" s="6" t="str">
        <x:f>IF(B2379="","Needs decision","Ready")</x:f>
        <x:v>Ready</x:v>
      </x:c>
      <x:c r="D2379" s="6" t="str">
        <x:v>平</x:v>
      </x:c>
      <x:c r="E2379" s="6" t="str">
        <x:v>yweng (A)</x:v>
      </x:c>
      <x:c r="F2379" s="6" t="str">
        <x:v>1</x:v>
      </x:c>
      <x:c r="G2379" s="6" t="str"/>
      <x:c r="H2379" s="6" t="str">
        <x:f>IF(B2379="平","平",IF(B2379="","","仄"))</x:f>
        <x:v>平</x:v>
      </x:c>
      <x:c r="I2379" s="6" t="str">
        <x:f>IF(D2370="","",IF(AND(ISNUMBER(SEARCH("平",D2370)),OR(ISNUMBER(SEARCH("上",D2370)),ISNUMBER(SEARCH("去",D2370)),ISNUMBER(SEARCH("入",D2370)))),"Ambiguous",IF(ISNUMBER(SEARCH("平",D2370)),"平","仄")))</x:f>
        <x:v>仄</x:v>
      </x:c>
      <x:c r="J2379" s="7" t="str"/>
    </x:row>
    <x:row r="2380">
      <x:c r="A2380" s="5" t="str">
        <x:v>燥</x:v>
      </x:c>
      <x:c r="B2380" s="6" t="str"/>
      <x:c r="C2380" s="6" t="str">
        <x:f>IF(B2380="","Needs decision","Ready")</x:f>
        <x:v>Needs decision</x:v>
      </x:c>
      <x:c r="D2380" s="6" t="str">
        <x:v>去/上</x:v>
      </x:c>
      <x:c r="E2380" s="6" t="str">
        <x:v>sawH (C); sawX (B)</x:v>
      </x:c>
      <x:c r="F2380" s="6" t="str">
        <x:v>2</x:v>
      </x:c>
      <x:c r="G2380" s="6" t="str"/>
      <x:c r="H2380" s="6" t="str">
        <x:f>IF(B2380="平","平",IF(B2380="","","仄"))</x:f>
      </x:c>
      <x:c r="I2380" s="6" t="str">
        <x:f>IF(D2371="","",IF(AND(ISNUMBER(SEARCH("平",D2371)),OR(ISNUMBER(SEARCH("上",D2371)),ISNUMBER(SEARCH("去",D2371)),ISNUMBER(SEARCH("入",D2371)))),"Ambiguous",IF(ISNUMBER(SEARCH("平",D2371)),"平","仄")))</x:f>
        <x:v>平</x:v>
      </x:c>
      <x:c r="J2380" s="7" t="str"/>
    </x:row>
    <x:row r="2381">
      <x:c r="A2381" s="5" t="str">
        <x:v>燧</x:v>
      </x:c>
      <x:c r="B2381" s="6" t="str">
        <x:v>去</x:v>
      </x:c>
      <x:c r="C2381" s="6" t="str">
        <x:f>IF(B2381="","Needs decision","Ready")</x:f>
        <x:v>Ready</x:v>
      </x:c>
      <x:c r="D2381" s="6" t="str">
        <x:v>去</x:v>
      </x:c>
      <x:c r="E2381" s="6" t="str"/>
      <x:c r="F2381" s="6" t="str"/>
      <x:c r="G2381" s="6" t="str">
        <x:v>Manual user correction/addition</x:v>
      </x:c>
      <x:c r="H2381" s="6" t="str">
        <x:f>IF(B2381="平","平",IF(B2381="","","仄"))</x:f>
        <x:v>仄</x:v>
      </x:c>
      <x:c r="I2381" s="6" t="str">
        <x:v>仄</x:v>
      </x:c>
      <x:c r="J2381" s="7" t="str">
        <x:v>manual user correction</x:v>
      </x:c>
    </x:row>
    <x:row r="2382">
      <x:c r="A2382" s="5" t="str">
        <x:v>燭</x:v>
      </x:c>
      <x:c r="B2382" s="6" t="str">
        <x:v>入</x:v>
      </x:c>
      <x:c r="C2382" s="6" t="str">
        <x:f>IF(B2382="","Needs decision","Ready")</x:f>
        <x:v>Ready</x:v>
      </x:c>
      <x:c r="D2382" s="6" t="str">
        <x:v>入</x:v>
      </x:c>
      <x:c r="E2382" s="6" t="str">
        <x:v>tsyowk (D)</x:v>
      </x:c>
      <x:c r="F2382" s="6" t="str">
        <x:v>1</x:v>
      </x:c>
      <x:c r="G2382" s="6" t="str"/>
      <x:c r="H2382" s="6" t="str">
        <x:f>IF(B2382="平","平",IF(B2382="","","仄"))</x:f>
        <x:v>仄</x:v>
      </x:c>
      <x:c r="I2382" s="6" t="str">
        <x:f>IF(D2372="","",IF(AND(ISNUMBER(SEARCH("平",D2372)),OR(ISNUMBER(SEARCH("上",D2372)),ISNUMBER(SEARCH("去",D2372)),ISNUMBER(SEARCH("入",D2372)))),"Ambiguous",IF(ISNUMBER(SEARCH("平",D2372)),"平","仄")))</x:f>
        <x:v>平</x:v>
      </x:c>
      <x:c r="J2382" s="7" t="str"/>
    </x:row>
    <x:row r="2383">
      <x:c r="A2383" s="5" t="str">
        <x:v>燮</x:v>
      </x:c>
      <x:c r="B2383" s="6" t="str">
        <x:v>入</x:v>
      </x:c>
      <x:c r="C2383" s="6" t="str">
        <x:f>IF(B2383="","Needs decision","Ready")</x:f>
        <x:v>Ready</x:v>
      </x:c>
      <x:c r="D2383" s="6" t="str">
        <x:v>入</x:v>
      </x:c>
      <x:c r="E2383" s="6" t="str">
        <x:v>sep (D)</x:v>
      </x:c>
      <x:c r="F2383" s="6" t="str">
        <x:v>1</x:v>
      </x:c>
      <x:c r="G2383" s="6" t="str"/>
      <x:c r="H2383" s="6" t="str">
        <x:f>IF(B2383="平","平",IF(B2383="","","仄"))</x:f>
        <x:v>仄</x:v>
      </x:c>
      <x:c r="I2383" s="6" t="str">
        <x:f>IF(D2373="","",IF(AND(ISNUMBER(SEARCH("平",D2373)),OR(ISNUMBER(SEARCH("上",D2373)),ISNUMBER(SEARCH("去",D2373)),ISNUMBER(SEARCH("入",D2373)))),"Ambiguous",IF(ISNUMBER(SEARCH("平",D2373)),"平","仄")))</x:f>
        <x:v>仄</x:v>
      </x:c>
      <x:c r="J2383" s="7" t="str"/>
    </x:row>
    <x:row r="2384">
      <x:c r="A2384" s="5" t="str">
        <x:v>燼</x:v>
      </x:c>
      <x:c r="B2384" s="6" t="str">
        <x:v>去</x:v>
      </x:c>
      <x:c r="C2384" s="6" t="str">
        <x:f>IF(B2384="","Needs decision","Ready")</x:f>
        <x:v>Ready</x:v>
      </x:c>
      <x:c r="D2384" s="6" t="str">
        <x:v>去</x:v>
      </x:c>
      <x:c r="E2384" s="6" t="str">
        <x:v>dzinH (C)</x:v>
      </x:c>
      <x:c r="F2384" s="6" t="str">
        <x:v>1</x:v>
      </x:c>
      <x:c r="G2384" s="6" t="str"/>
      <x:c r="H2384" s="6" t="str">
        <x:f>IF(B2384="平","平",IF(B2384="","","仄"))</x:f>
        <x:v>仄</x:v>
      </x:c>
      <x:c r="I2384" s="6" t="str">
        <x:f>IF(D2374="","",IF(AND(ISNUMBER(SEARCH("平",D2374)),OR(ISNUMBER(SEARCH("上",D2374)),ISNUMBER(SEARCH("去",D2374)),ISNUMBER(SEARCH("入",D2374)))),"Ambiguous",IF(ISNUMBER(SEARCH("平",D2374)),"平","仄")))</x:f>
        <x:v>平</x:v>
      </x:c>
      <x:c r="J2384" s="7" t="str"/>
    </x:row>
    <x:row r="2385">
      <x:c r="A2385" s="5" t="str">
        <x:v>燿</x:v>
      </x:c>
      <x:c r="B2385" s="6" t="str">
        <x:v>去</x:v>
      </x:c>
      <x:c r="C2385" s="6" t="str">
        <x:f>IF(B2385="","Needs decision","Ready")</x:f>
        <x:v>Ready</x:v>
      </x:c>
      <x:c r="D2385" s="6" t="str">
        <x:v>去</x:v>
      </x:c>
      <x:c r="E2385" s="6" t="str">
        <x:v>yewH (C)</x:v>
      </x:c>
      <x:c r="F2385" s="6" t="str">
        <x:v>1</x:v>
      </x:c>
      <x:c r="G2385" s="6" t="str"/>
      <x:c r="H2385" s="6" t="str">
        <x:f>IF(B2385="平","平",IF(B2385="","","仄"))</x:f>
        <x:v>仄</x:v>
      </x:c>
      <x:c r="I2385" s="6" t="str">
        <x:f>IF(D2375="","",IF(AND(ISNUMBER(SEARCH("平",D2375)),OR(ISNUMBER(SEARCH("上",D2375)),ISNUMBER(SEARCH("去",D2375)),ISNUMBER(SEARCH("入",D2375)))),"Ambiguous",IF(ISNUMBER(SEARCH("平",D2375)),"平","仄")))</x:f>
        <x:v>Ambiguous</x:v>
      </x:c>
      <x:c r="J2385" s="7" t="str"/>
    </x:row>
    <x:row r="2386">
      <x:c r="A2386" s="5" t="str">
        <x:v>爆</x:v>
      </x:c>
      <x:c r="B2386" s="6" t="str">
        <x:v>去</x:v>
      </x:c>
      <x:c r="C2386" s="6" t="str">
        <x:f>IF(B2386="","Needs decision","Ready")</x:f>
        <x:v>Ready</x:v>
      </x:c>
      <x:c r="D2386" s="6" t="str">
        <x:v>去</x:v>
      </x:c>
      <x:c r="E2386" s="6" t="str">
        <x:v>paewH (C)</x:v>
      </x:c>
      <x:c r="F2386" s="6" t="str">
        <x:v>1</x:v>
      </x:c>
      <x:c r="G2386" s="6" t="str"/>
      <x:c r="H2386" s="6" t="str">
        <x:f>IF(B2386="平","平",IF(B2386="","","仄"))</x:f>
        <x:v>仄</x:v>
      </x:c>
      <x:c r="I2386" s="6" t="str">
        <x:f>IF(D2376="","",IF(AND(ISNUMBER(SEARCH("平",D2376)),OR(ISNUMBER(SEARCH("上",D2376)),ISNUMBER(SEARCH("去",D2376)),ISNUMBER(SEARCH("入",D2376)))),"Ambiguous",IF(ISNUMBER(SEARCH("平",D2376)),"平","仄")))</x:f>
        <x:v>平</x:v>
      </x:c>
      <x:c r="J2386" s="7" t="str"/>
    </x:row>
    <x:row r="2387">
      <x:c r="A2387" s="5" t="str">
        <x:v>爇</x:v>
      </x:c>
      <x:c r="B2387" s="6" t="str">
        <x:v>入</x:v>
      </x:c>
      <x:c r="C2387" s="6" t="str">
        <x:f>IF(B2387="","Needs decision","Ready")</x:f>
        <x:v>Ready</x:v>
      </x:c>
      <x:c r="D2387" s="6" t="str">
        <x:v>入</x:v>
      </x:c>
      <x:c r="E2387" s="6" t="str">
        <x:v>nywet (D)</x:v>
      </x:c>
      <x:c r="F2387" s="6" t="str">
        <x:v>1</x:v>
      </x:c>
      <x:c r="G2387" s="6" t="str"/>
      <x:c r="H2387" s="6" t="str">
        <x:f>IF(B2387="平","平",IF(B2387="","","仄"))</x:f>
        <x:v>仄</x:v>
      </x:c>
      <x:c r="I2387" s="6" t="str">
        <x:f>IF(D2377="","",IF(AND(ISNUMBER(SEARCH("平",D2377)),OR(ISNUMBER(SEARCH("上",D2377)),ISNUMBER(SEARCH("去",D2377)),ISNUMBER(SEARCH("入",D2377)))),"Ambiguous",IF(ISNUMBER(SEARCH("平",D2377)),"平","仄")))</x:f>
        <x:v>平</x:v>
      </x:c>
      <x:c r="J2387" s="7" t="str"/>
    </x:row>
    <x:row r="2388">
      <x:c r="A2388" s="5" t="str">
        <x:v>爍</x:v>
      </x:c>
      <x:c r="B2388" s="6" t="str">
        <x:v>入</x:v>
      </x:c>
      <x:c r="C2388" s="6" t="str">
        <x:f>IF(B2388="","Needs decision","Ready")</x:f>
        <x:v>Ready</x:v>
      </x:c>
      <x:c r="D2388" s="6" t="str">
        <x:v>入</x:v>
      </x:c>
      <x:c r="E2388" s="6" t="str">
        <x:v>syak (D)</x:v>
      </x:c>
      <x:c r="F2388" s="6" t="str">
        <x:v>1</x:v>
      </x:c>
      <x:c r="G2388" s="6" t="str"/>
      <x:c r="H2388" s="6" t="str">
        <x:f>IF(B2388="平","平",IF(B2388="","","仄"))</x:f>
        <x:v>仄</x:v>
      </x:c>
      <x:c r="I2388" s="6" t="str">
        <x:f>IF(D2378="","",IF(AND(ISNUMBER(SEARCH("平",D2378)),OR(ISNUMBER(SEARCH("上",D2378)),ISNUMBER(SEARCH("去",D2378)),ISNUMBER(SEARCH("入",D2378)))),"Ambiguous",IF(ISNUMBER(SEARCH("平",D2378)),"平","仄")))</x:f>
        <x:v>仄</x:v>
      </x:c>
      <x:c r="J2388" s="7" t="str"/>
    </x:row>
    <x:row r="2389">
      <x:c r="A2389" s="5" t="str">
        <x:v>爐</x:v>
      </x:c>
      <x:c r="B2389" s="6" t="str">
        <x:v>平</x:v>
      </x:c>
      <x:c r="C2389" s="6" t="str">
        <x:f>IF(B2389="","Needs decision","Ready")</x:f>
        <x:v>Ready</x:v>
      </x:c>
      <x:c r="D2389" s="6" t="str">
        <x:v>平</x:v>
      </x:c>
      <x:c r="E2389" s="6" t="str">
        <x:v>lu (A)</x:v>
      </x:c>
      <x:c r="F2389" s="6" t="str">
        <x:v>1</x:v>
      </x:c>
      <x:c r="G2389" s="6" t="str"/>
      <x:c r="H2389" s="6" t="str">
        <x:f>IF(B2389="平","平",IF(B2389="","","仄"))</x:f>
        <x:v>平</x:v>
      </x:c>
      <x:c r="I2389" s="6" t="str">
        <x:f>IF(D2379="","",IF(AND(ISNUMBER(SEARCH("平",D2379)),OR(ISNUMBER(SEARCH("上",D2379)),ISNUMBER(SEARCH("去",D2379)),ISNUMBER(SEARCH("入",D2379)))),"Ambiguous",IF(ISNUMBER(SEARCH("平",D2379)),"平","仄")))</x:f>
        <x:v>平</x:v>
      </x:c>
      <x:c r="J2389" s="7" t="str"/>
    </x:row>
    <x:row r="2390">
      <x:c r="A2390" s="5" t="str">
        <x:v>爓</x:v>
      </x:c>
      <x:c r="B2390" s="6" t="str"/>
      <x:c r="C2390" s="6" t="str">
        <x:f>IF(B2390="","Needs decision","Ready")</x:f>
        <x:v>Needs decision</x:v>
      </x:c>
      <x:c r="D2390" s="6" t="str">
        <x:v>平/去</x:v>
      </x:c>
      <x:c r="E2390" s="6" t="str">
        <x:v>zim (A); yemH (C)</x:v>
      </x:c>
      <x:c r="F2390" s="6" t="str">
        <x:v>2</x:v>
      </x:c>
      <x:c r="G2390" s="6" t="str"/>
      <x:c r="H2390" s="6" t="str">
        <x:f>IF(B2390="平","平",IF(B2390="","","仄"))</x:f>
      </x:c>
      <x:c r="I2390" s="6" t="str">
        <x:f>IF(D2380="","",IF(AND(ISNUMBER(SEARCH("平",D2380)),OR(ISNUMBER(SEARCH("上",D2380)),ISNUMBER(SEARCH("去",D2380)),ISNUMBER(SEARCH("入",D2380)))),"Ambiguous",IF(ISNUMBER(SEARCH("平",D2380)),"平","仄")))</x:f>
        <x:v>仄</x:v>
      </x:c>
      <x:c r="J2390" s="7" t="str"/>
    </x:row>
    <x:row r="2391">
      <x:c r="A2391" s="5" t="str">
        <x:v>爗</x:v>
      </x:c>
      <x:c r="B2391" s="6" t="str">
        <x:v>入</x:v>
      </x:c>
      <x:c r="C2391" s="6" t="str">
        <x:f>IF(B2391="","Needs decision","Ready")</x:f>
        <x:v>Ready</x:v>
      </x:c>
      <x:c r="D2391" s="6" t="str">
        <x:v>入</x:v>
      </x:c>
      <x:c r="E2391" s="6" t="str">
        <x:v>hip (D); hjep (D)</x:v>
      </x:c>
      <x:c r="F2391" s="6" t="str">
        <x:v>2</x:v>
      </x:c>
      <x:c r="G2391" s="6" t="str"/>
      <x:c r="H2391" s="6" t="str">
        <x:f>IF(B2391="平","平",IF(B2391="","","仄"))</x:f>
        <x:v>仄</x:v>
      </x:c>
      <x:c r="I2391" s="6" t="str">
        <x:f>IF(D2381="","",IF(AND(ISNUMBER(SEARCH("平",D2381)),OR(ISNUMBER(SEARCH("上",D2381)),ISNUMBER(SEARCH("去",D2381)),ISNUMBER(SEARCH("入",D2381)))),"Ambiguous",IF(ISNUMBER(SEARCH("平",D2381)),"平","仄")))</x:f>
        <x:v>仄</x:v>
      </x:c>
      <x:c r="J2391" s="7" t="str"/>
    </x:row>
    <x:row r="2392">
      <x:c r="A2392" s="5" t="str">
        <x:v>爛</x:v>
      </x:c>
      <x:c r="B2392" s="6" t="str">
        <x:v>去</x:v>
      </x:c>
      <x:c r="C2392" s="6" t="str">
        <x:f>IF(B2392="","Needs decision","Ready")</x:f>
        <x:v>Ready</x:v>
      </x:c>
      <x:c r="D2392" s="6" t="str">
        <x:v>去</x:v>
      </x:c>
      <x:c r="E2392" s="6" t="str">
        <x:v>lanH (C)</x:v>
      </x:c>
      <x:c r="F2392" s="6" t="str">
        <x:v>1</x:v>
      </x:c>
      <x:c r="G2392" s="6" t="str"/>
      <x:c r="H2392" s="6" t="str">
        <x:f>IF(B2392="平","平",IF(B2392="","","仄"))</x:f>
        <x:v>仄</x:v>
      </x:c>
      <x:c r="I2392" s="6" t="str">
        <x:f>IF(D2382="","",IF(AND(ISNUMBER(SEARCH("平",D2382)),OR(ISNUMBER(SEARCH("上",D2382)),ISNUMBER(SEARCH("去",D2382)),ISNUMBER(SEARCH("入",D2382)))),"Ambiguous",IF(ISNUMBER(SEARCH("平",D2382)),"平","仄")))</x:f>
        <x:v>仄</x:v>
      </x:c>
      <x:c r="J2392" s="7" t="str"/>
    </x:row>
    <x:row r="2393">
      <x:c r="A2393" s="5" t="str">
        <x:v>爤</x:v>
      </x:c>
      <x:c r="B2393" s="6" t="str">
        <x:v>去</x:v>
      </x:c>
      <x:c r="C2393" s="6" t="str">
        <x:f>IF(B2393="","Needs decision","Ready")</x:f>
        <x:v>Ready</x:v>
      </x:c>
      <x:c r="D2393" s="6" t="str">
        <x:v>去</x:v>
      </x:c>
      <x:c r="E2393" s="6" t="str">
        <x:v>lanH (C)</x:v>
      </x:c>
      <x:c r="F2393" s="6" t="str">
        <x:v>1</x:v>
      </x:c>
      <x:c r="G2393" s="6" t="str"/>
      <x:c r="H2393" s="6" t="str">
        <x:f>IF(B2393="平","平",IF(B2393="","","仄"))</x:f>
        <x:v>仄</x:v>
      </x:c>
      <x:c r="I2393" s="6" t="str">
        <x:f>IF(D2383="","",IF(AND(ISNUMBER(SEARCH("平",D2383)),OR(ISNUMBER(SEARCH("上",D2383)),ISNUMBER(SEARCH("去",D2383)),ISNUMBER(SEARCH("入",D2383)))),"Ambiguous",IF(ISNUMBER(SEARCH("平",D2383)),"平","仄")))</x:f>
        <x:v>仄</x:v>
      </x:c>
      <x:c r="J2393" s="7" t="str"/>
    </x:row>
    <x:row r="2394">
      <x:c r="A2394" s="5" t="str">
        <x:v>爪</x:v>
      </x:c>
      <x:c r="B2394" s="6" t="str">
        <x:v>上</x:v>
      </x:c>
      <x:c r="C2394" s="6" t="str">
        <x:f>IF(B2394="","Needs decision","Ready")</x:f>
        <x:v>Ready</x:v>
      </x:c>
      <x:c r="D2394" s="6" t="str">
        <x:v>上</x:v>
      </x:c>
      <x:c r="E2394" s="6" t="str">
        <x:v>tsraewX (B)</x:v>
      </x:c>
      <x:c r="F2394" s="6" t="str">
        <x:v>1</x:v>
      </x:c>
      <x:c r="G2394" s="6" t="str"/>
      <x:c r="H2394" s="6" t="str">
        <x:f>IF(B2394="平","平",IF(B2394="","","仄"))</x:f>
        <x:v>仄</x:v>
      </x:c>
      <x:c r="I2394" s="6" t="str">
        <x:f>IF(D2384="","",IF(AND(ISNUMBER(SEARCH("平",D2384)),OR(ISNUMBER(SEARCH("上",D2384)),ISNUMBER(SEARCH("去",D2384)),ISNUMBER(SEARCH("入",D2384)))),"Ambiguous",IF(ISNUMBER(SEARCH("平",D2384)),"平","仄")))</x:f>
        <x:v>仄</x:v>
      </x:c>
      <x:c r="J2394" s="7" t="str"/>
    </x:row>
    <x:row r="2395">
      <x:c r="A2395" s="5" t="str">
        <x:v>爬</x:v>
      </x:c>
      <x:c r="B2395" s="6" t="str">
        <x:v>平</x:v>
      </x:c>
      <x:c r="C2395" s="6" t="str">
        <x:f>IF(B2395="","Needs decision","Ready")</x:f>
        <x:v>Ready</x:v>
      </x:c>
      <x:c r="D2395" s="6" t="str">
        <x:v>平</x:v>
      </x:c>
      <x:c r="E2395" s="6" t="str">
        <x:v>bae (A)</x:v>
      </x:c>
      <x:c r="F2395" s="6" t="str">
        <x:v>1</x:v>
      </x:c>
      <x:c r="G2395" s="6" t="str"/>
      <x:c r="H2395" s="6" t="str">
        <x:f>IF(B2395="平","平",IF(B2395="","","仄"))</x:f>
        <x:v>平</x:v>
      </x:c>
      <x:c r="I2395" s="6" t="str">
        <x:f>IF(D2385="","",IF(AND(ISNUMBER(SEARCH("平",D2385)),OR(ISNUMBER(SEARCH("上",D2385)),ISNUMBER(SEARCH("去",D2385)),ISNUMBER(SEARCH("入",D2385)))),"Ambiguous",IF(ISNUMBER(SEARCH("平",D2385)),"平","仄")))</x:f>
        <x:v>仄</x:v>
      </x:c>
      <x:c r="J2395" s="7" t="str"/>
    </x:row>
    <x:row r="2396">
      <x:c r="A2396" s="5" t="str">
        <x:v>爭</x:v>
      </x:c>
      <x:c r="B2396" s="6" t="str">
        <x:v>平</x:v>
      </x:c>
      <x:c r="C2396" s="6" t="str">
        <x:f>IF(B2396="","Needs decision","Ready")</x:f>
        <x:v>Ready</x:v>
      </x:c>
      <x:c r="D2396" s="6" t="str">
        <x:v>平</x:v>
      </x:c>
      <x:c r="E2396" s="6" t="str">
        <x:v>tsreang (A)</x:v>
      </x:c>
      <x:c r="F2396" s="6" t="str">
        <x:v>1</x:v>
      </x:c>
      <x:c r="G2396" s="6" t="str"/>
      <x:c r="H2396" s="6" t="str">
        <x:f>IF(B2396="平","平",IF(B2396="","","仄"))</x:f>
        <x:v>平</x:v>
      </x:c>
      <x:c r="I2396" s="6" t="str">
        <x:f>IF(D2386="","",IF(AND(ISNUMBER(SEARCH("平",D2386)),OR(ISNUMBER(SEARCH("上",D2386)),ISNUMBER(SEARCH("去",D2386)),ISNUMBER(SEARCH("入",D2386)))),"Ambiguous",IF(ISNUMBER(SEARCH("平",D2386)),"平","仄")))</x:f>
        <x:v>仄</x:v>
      </x:c>
      <x:c r="J2396" s="7" t="str"/>
    </x:row>
    <x:row r="2397">
      <x:c r="A2397" s="5" t="str">
        <x:v>爰</x:v>
      </x:c>
      <x:c r="B2397" s="6" t="str">
        <x:v>平</x:v>
      </x:c>
      <x:c r="C2397" s="6" t="str">
        <x:f>IF(B2397="","Needs decision","Ready")</x:f>
        <x:v>Ready</x:v>
      </x:c>
      <x:c r="D2397" s="6" t="str">
        <x:v>平</x:v>
      </x:c>
      <x:c r="E2397" s="6" t="str">
        <x:v>hjwon (A)</x:v>
      </x:c>
      <x:c r="F2397" s="6" t="str">
        <x:v>1</x:v>
      </x:c>
      <x:c r="G2397" s="6" t="str"/>
      <x:c r="H2397" s="6" t="str">
        <x:f>IF(B2397="平","平",IF(B2397="","","仄"))</x:f>
        <x:v>平</x:v>
      </x:c>
      <x:c r="I2397" s="6" t="str">
        <x:f>IF(D2387="","",IF(AND(ISNUMBER(SEARCH("平",D2387)),OR(ISNUMBER(SEARCH("上",D2387)),ISNUMBER(SEARCH("去",D2387)),ISNUMBER(SEARCH("入",D2387)))),"Ambiguous",IF(ISNUMBER(SEARCH("平",D2387)),"平","仄")))</x:f>
        <x:v>仄</x:v>
      </x:c>
      <x:c r="J2397" s="7" t="str"/>
    </x:row>
    <x:row r="2398">
      <x:c r="A2398" s="5" t="str">
        <x:v>爵</x:v>
      </x:c>
      <x:c r="B2398" s="6" t="str">
        <x:v>入</x:v>
      </x:c>
      <x:c r="C2398" s="6" t="str">
        <x:f>IF(B2398="","Needs decision","Ready")</x:f>
        <x:v>Ready</x:v>
      </x:c>
      <x:c r="D2398" s="6" t="str">
        <x:v>入</x:v>
      </x:c>
      <x:c r="E2398" s="6" t="str">
        <x:v>tsjak (D)</x:v>
      </x:c>
      <x:c r="F2398" s="6" t="str">
        <x:v>1</x:v>
      </x:c>
      <x:c r="G2398" s="6" t="str"/>
      <x:c r="H2398" s="6" t="str">
        <x:f>IF(B2398="平","平",IF(B2398="","","仄"))</x:f>
        <x:v>仄</x:v>
      </x:c>
      <x:c r="I2398" s="6" t="str">
        <x:f>IF(D2388="","",IF(AND(ISNUMBER(SEARCH("平",D2388)),OR(ISNUMBER(SEARCH("上",D2388)),ISNUMBER(SEARCH("去",D2388)),ISNUMBER(SEARCH("入",D2388)))),"Ambiguous",IF(ISNUMBER(SEARCH("平",D2388)),"平","仄")))</x:f>
        <x:v>仄</x:v>
      </x:c>
      <x:c r="J2398" s="7" t="str"/>
    </x:row>
    <x:row r="2399">
      <x:c r="A2399" s="5" t="str">
        <x:v>父</x:v>
      </x:c>
      <x:c r="B2399" s="6" t="str">
        <x:v>上</x:v>
      </x:c>
      <x:c r="C2399" s="6" t="str">
        <x:f>IF(B2399="","Needs decision","Ready")</x:f>
        <x:v>Ready</x:v>
      </x:c>
      <x:c r="D2399" s="6" t="str">
        <x:v>上</x:v>
      </x:c>
      <x:c r="E2399" s="6" t="str">
        <x:v>pjuX (B); bjuX (B)</x:v>
      </x:c>
      <x:c r="F2399" s="6" t="str">
        <x:v>2</x:v>
      </x:c>
      <x:c r="G2399" s="6" t="str"/>
      <x:c r="H2399" s="6" t="str">
        <x:f>IF(B2399="平","平",IF(B2399="","","仄"))</x:f>
        <x:v>仄</x:v>
      </x:c>
      <x:c r="I2399" s="6" t="str">
        <x:f>IF(D2389="","",IF(AND(ISNUMBER(SEARCH("平",D2389)),OR(ISNUMBER(SEARCH("上",D2389)),ISNUMBER(SEARCH("去",D2389)),ISNUMBER(SEARCH("入",D2389)))),"Ambiguous",IF(ISNUMBER(SEARCH("平",D2389)),"平","仄")))</x:f>
        <x:v>平</x:v>
      </x:c>
      <x:c r="J2399" s="7" t="str"/>
    </x:row>
    <x:row r="2400">
      <x:c r="A2400" s="5" t="str">
        <x:v>爺</x:v>
      </x:c>
      <x:c r="B2400" s="6" t="str">
        <x:v>平</x:v>
      </x:c>
      <x:c r="C2400" s="6" t="str">
        <x:f>IF(B2400="","Needs decision","Ready")</x:f>
        <x:v>Ready</x:v>
      </x:c>
      <x:c r="D2400" s="6" t="str">
        <x:v>平</x:v>
      </x:c>
      <x:c r="E2400" s="6" t="str"/>
      <x:c r="F2400" s="6" t="str"/>
      <x:c r="G2400" s="6" t="str">
        <x:v>Manual user correction/addition</x:v>
      </x:c>
      <x:c r="H2400" s="6" t="str">
        <x:f>IF(B2400="平","平",IF(B2400="","","仄"))</x:f>
        <x:v>平</x:v>
      </x:c>
      <x:c r="I2400" s="6" t="str">
        <x:f>IF(D2390="","",IF(AND(ISNUMBER(SEARCH("平",D2390)),OR(ISNUMBER(SEARCH("上",D2390)),ISNUMBER(SEARCH("去",D2390)),ISNUMBER(SEARCH("入",D2390)))),"Ambiguous",IF(ISNUMBER(SEARCH("平",D2390)),"平","仄")))</x:f>
        <x:v>Ambiguous</x:v>
      </x:c>
      <x:c r="J2400" s="7" t="str">
        <x:v>manual user correction</x:v>
      </x:c>
    </x:row>
    <x:row r="2401">
      <x:c r="A2401" s="5" t="str">
        <x:v>爻</x:v>
      </x:c>
      <x:c r="B2401" s="6" t="str">
        <x:v>平</x:v>
      </x:c>
      <x:c r="C2401" s="6" t="str">
        <x:f>IF(B2401="","Needs decision","Ready")</x:f>
        <x:v>Ready</x:v>
      </x:c>
      <x:c r="D2401" s="6" t="str">
        <x:v>平</x:v>
      </x:c>
      <x:c r="E2401" s="6" t="str">
        <x:v>haew (A)</x:v>
      </x:c>
      <x:c r="F2401" s="6" t="str">
        <x:v>1</x:v>
      </x:c>
      <x:c r="G2401" s="6" t="str"/>
      <x:c r="H2401" s="6" t="str">
        <x:f>IF(B2401="平","平",IF(B2401="","","仄"))</x:f>
        <x:v>平</x:v>
      </x:c>
      <x:c r="I2401" s="6" t="str">
        <x:f>IF(D2391="","",IF(AND(ISNUMBER(SEARCH("平",D2391)),OR(ISNUMBER(SEARCH("上",D2391)),ISNUMBER(SEARCH("去",D2391)),ISNUMBER(SEARCH("入",D2391)))),"Ambiguous",IF(ISNUMBER(SEARCH("平",D2391)),"平","仄")))</x:f>
        <x:v>仄</x:v>
      </x:c>
      <x:c r="J2401" s="7" t="str"/>
    </x:row>
    <x:row r="2402">
      <x:c r="A2402" s="5" t="str">
        <x:v>爽</x:v>
      </x:c>
      <x:c r="B2402" s="6" t="str">
        <x:v>上</x:v>
      </x:c>
      <x:c r="C2402" s="6" t="str">
        <x:f>IF(B2402="","Needs decision","Ready")</x:f>
        <x:v>Ready</x:v>
      </x:c>
      <x:c r="D2402" s="6" t="str">
        <x:v>上</x:v>
      </x:c>
      <x:c r="E2402" s="6" t="str"/>
      <x:c r="F2402" s="6" t="str"/>
      <x:c r="G2402" s="6" t="str">
        <x:v>Manual user correction/addition</x:v>
      </x:c>
      <x:c r="H2402" s="6" t="str">
        <x:f>IF(B2402="平","平",IF(B2402="","","仄"))</x:f>
        <x:v>仄</x:v>
      </x:c>
      <x:c r="I2402" s="6" t="str">
        <x:f>IF(D2392="","",IF(AND(ISNUMBER(SEARCH("平",D2392)),OR(ISNUMBER(SEARCH("上",D2392)),ISNUMBER(SEARCH("去",D2392)),ISNUMBER(SEARCH("入",D2392)))),"Ambiguous",IF(ISNUMBER(SEARCH("平",D2392)),"平","仄")))</x:f>
        <x:v>仄</x:v>
      </x:c>
      <x:c r="J2402" s="7" t="str">
        <x:v>manual user correction</x:v>
      </x:c>
    </x:row>
    <x:row r="2403">
      <x:c r="A2403" s="5" t="str">
        <x:v>爾</x:v>
      </x:c>
      <x:c r="B2403" s="6" t="str">
        <x:v>上</x:v>
      </x:c>
      <x:c r="C2403" s="6" t="str">
        <x:f>IF(B2403="","Needs decision","Ready")</x:f>
        <x:v>Ready</x:v>
      </x:c>
      <x:c r="D2403" s="6" t="str">
        <x:v>上</x:v>
      </x:c>
      <x:c r="E2403" s="6" t="str">
        <x:v>nejX (B); nyeX (B)</x:v>
      </x:c>
      <x:c r="F2403" s="6" t="str">
        <x:v>2</x:v>
      </x:c>
      <x:c r="G2403" s="6" t="str"/>
      <x:c r="H2403" s="6" t="str">
        <x:f>IF(B2403="平","平",IF(B2403="","","仄"))</x:f>
        <x:v>仄</x:v>
      </x:c>
      <x:c r="I2403" s="6" t="str">
        <x:f>IF(D2393="","",IF(AND(ISNUMBER(SEARCH("平",D2393)),OR(ISNUMBER(SEARCH("上",D2393)),ISNUMBER(SEARCH("去",D2393)),ISNUMBER(SEARCH("入",D2393)))),"Ambiguous",IF(ISNUMBER(SEARCH("平",D2393)),"平","仄")))</x:f>
        <x:v>仄</x:v>
      </x:c>
      <x:c r="J2403" s="7" t="str"/>
    </x:row>
    <x:row r="2404">
      <x:c r="A2404" s="5" t="str">
        <x:v>牀</x:v>
      </x:c>
      <x:c r="B2404" s="6" t="str">
        <x:v>平</x:v>
      </x:c>
      <x:c r="C2404" s="6" t="str">
        <x:f>IF(B2404="","Needs decision","Ready")</x:f>
        <x:v>Ready</x:v>
      </x:c>
      <x:c r="D2404" s="6" t="str">
        <x:v>平</x:v>
      </x:c>
      <x:c r="E2404" s="6" t="str">
        <x:v>dzrjang (A)</x:v>
      </x:c>
      <x:c r="F2404" s="6" t="str">
        <x:v>1</x:v>
      </x:c>
      <x:c r="G2404" s="6" t="str"/>
      <x:c r="H2404" s="6" t="str">
        <x:f>IF(B2404="平","平",IF(B2404="","","仄"))</x:f>
        <x:v>平</x:v>
      </x:c>
      <x:c r="I2404" s="6" t="str">
        <x:f>IF(D2394="","",IF(AND(ISNUMBER(SEARCH("平",D2394)),OR(ISNUMBER(SEARCH("上",D2394)),ISNUMBER(SEARCH("去",D2394)),ISNUMBER(SEARCH("入",D2394)))),"Ambiguous",IF(ISNUMBER(SEARCH("平",D2394)),"平","仄")))</x:f>
        <x:v>仄</x:v>
      </x:c>
      <x:c r="J2404" s="7" t="str"/>
    </x:row>
    <x:row r="2405">
      <x:c r="A2405" s="5" t="str">
        <x:v>牆</x:v>
      </x:c>
      <x:c r="B2405" s="6" t="str">
        <x:v>平</x:v>
      </x:c>
      <x:c r="C2405" s="6" t="str">
        <x:f>IF(B2405="","Needs decision","Ready")</x:f>
        <x:v>Ready</x:v>
      </x:c>
      <x:c r="D2405" s="6" t="str">
        <x:v>平</x:v>
      </x:c>
      <x:c r="E2405" s="6" t="str"/>
      <x:c r="F2405" s="6" t="str"/>
      <x:c r="G2405" s="6" t="str">
        <x:v>Manual user correction/addition</x:v>
      </x:c>
      <x:c r="H2405" s="6" t="str">
        <x:f>IF(B2405="平","平",IF(B2405="","","仄"))</x:f>
        <x:v>平</x:v>
      </x:c>
      <x:c r="I2405" s="6" t="str">
        <x:f>IF(D2395="","",IF(AND(ISNUMBER(SEARCH("平",D2395)),OR(ISNUMBER(SEARCH("上",D2395)),ISNUMBER(SEARCH("去",D2395)),ISNUMBER(SEARCH("入",D2395)))),"Ambiguous",IF(ISNUMBER(SEARCH("平",D2395)),"平","仄")))</x:f>
        <x:v>平</x:v>
      </x:c>
      <x:c r="J2405" s="7" t="str">
        <x:v>manual user correction</x:v>
      </x:c>
    </x:row>
    <x:row r="2406">
      <x:c r="A2406" s="5" t="str">
        <x:v>片</x:v>
      </x:c>
      <x:c r="B2406" s="6" t="str">
        <x:v>去</x:v>
      </x:c>
      <x:c r="C2406" s="6" t="str">
        <x:f>IF(B2406="","Needs decision","Ready")</x:f>
        <x:v>Ready</x:v>
      </x:c>
      <x:c r="D2406" s="6" t="str">
        <x:v>去</x:v>
      </x:c>
      <x:c r="E2406" s="6" t="str">
        <x:v>phenH (C)</x:v>
      </x:c>
      <x:c r="F2406" s="6" t="str">
        <x:v>1</x:v>
      </x:c>
      <x:c r="G2406" s="6" t="str"/>
      <x:c r="H2406" s="6" t="str">
        <x:f>IF(B2406="平","平",IF(B2406="","","仄"))</x:f>
        <x:v>仄</x:v>
      </x:c>
      <x:c r="I2406" s="6" t="str">
        <x:f>IF(D2396="","",IF(AND(ISNUMBER(SEARCH("平",D2396)),OR(ISNUMBER(SEARCH("上",D2396)),ISNUMBER(SEARCH("去",D2396)),ISNUMBER(SEARCH("入",D2396)))),"Ambiguous",IF(ISNUMBER(SEARCH("平",D2396)),"平","仄")))</x:f>
        <x:v>平</x:v>
      </x:c>
      <x:c r="J2406" s="7" t="str"/>
    </x:row>
    <x:row r="2407">
      <x:c r="A2407" s="5" t="str">
        <x:v>牖</x:v>
      </x:c>
      <x:c r="B2407" s="6" t="str">
        <x:v>上</x:v>
      </x:c>
      <x:c r="C2407" s="6" t="str">
        <x:f>IF(B2407="","Needs decision","Ready")</x:f>
        <x:v>Ready</x:v>
      </x:c>
      <x:c r="D2407" s="6" t="str">
        <x:v>上</x:v>
      </x:c>
      <x:c r="E2407" s="6" t="str">
        <x:v>yuwX (B)</x:v>
      </x:c>
      <x:c r="F2407" s="6" t="str">
        <x:v>1</x:v>
      </x:c>
      <x:c r="G2407" s="6" t="str"/>
      <x:c r="H2407" s="6" t="str">
        <x:f>IF(B2407="平","平",IF(B2407="","","仄"))</x:f>
        <x:v>仄</x:v>
      </x:c>
      <x:c r="I2407" s="6" t="str">
        <x:f>IF(D2397="","",IF(AND(ISNUMBER(SEARCH("平",D2397)),OR(ISNUMBER(SEARCH("上",D2397)),ISNUMBER(SEARCH("去",D2397)),ISNUMBER(SEARCH("入",D2397)))),"Ambiguous",IF(ISNUMBER(SEARCH("平",D2397)),"平","仄")))</x:f>
        <x:v>平</x:v>
      </x:c>
      <x:c r="J2407" s="7" t="str"/>
    </x:row>
    <x:row r="2408">
      <x:c r="A2408" s="5" t="str">
        <x:v>牘</x:v>
      </x:c>
      <x:c r="B2408" s="6" t="str">
        <x:v>入</x:v>
      </x:c>
      <x:c r="C2408" s="6" t="str">
        <x:f>IF(B2408="","Needs decision","Ready")</x:f>
        <x:v>Ready</x:v>
      </x:c>
      <x:c r="D2408" s="6" t="str">
        <x:v>入</x:v>
      </x:c>
      <x:c r="E2408" s="6" t="str">
        <x:v>duwk (D)</x:v>
      </x:c>
      <x:c r="F2408" s="6" t="str">
        <x:v>1</x:v>
      </x:c>
      <x:c r="G2408" s="6" t="str"/>
      <x:c r="H2408" s="6" t="str">
        <x:f>IF(B2408="平","平",IF(B2408="","","仄"))</x:f>
        <x:v>仄</x:v>
      </x:c>
      <x:c r="I2408" s="6" t="str">
        <x:f>IF(D2398="","",IF(AND(ISNUMBER(SEARCH("平",D2398)),OR(ISNUMBER(SEARCH("上",D2398)),ISNUMBER(SEARCH("去",D2398)),ISNUMBER(SEARCH("入",D2398)))),"Ambiguous",IF(ISNUMBER(SEARCH("平",D2398)),"平","仄")))</x:f>
        <x:v>仄</x:v>
      </x:c>
      <x:c r="J2408" s="7" t="str"/>
    </x:row>
    <x:row r="2409">
      <x:c r="A2409" s="5" t="str">
        <x:v>牙</x:v>
      </x:c>
      <x:c r="B2409" s="6" t="str">
        <x:v>平</x:v>
      </x:c>
      <x:c r="C2409" s="6" t="str">
        <x:f>IF(B2409="","Needs decision","Ready")</x:f>
        <x:v>Ready</x:v>
      </x:c>
      <x:c r="D2409" s="6" t="str">
        <x:v>平</x:v>
      </x:c>
      <x:c r="E2409" s="6" t="str">
        <x:v>ngae (A)</x:v>
      </x:c>
      <x:c r="F2409" s="6" t="str">
        <x:v>1</x:v>
      </x:c>
      <x:c r="G2409" s="6" t="str"/>
      <x:c r="H2409" s="6" t="str">
        <x:f>IF(B2409="平","平",IF(B2409="","","仄"))</x:f>
        <x:v>平</x:v>
      </x:c>
      <x:c r="I2409" s="6" t="str">
        <x:f>IF(D2399="","",IF(AND(ISNUMBER(SEARCH("平",D2399)),OR(ISNUMBER(SEARCH("上",D2399)),ISNUMBER(SEARCH("去",D2399)),ISNUMBER(SEARCH("入",D2399)))),"Ambiguous",IF(ISNUMBER(SEARCH("平",D2399)),"平","仄")))</x:f>
        <x:v>仄</x:v>
      </x:c>
      <x:c r="J2409" s="7" t="str"/>
    </x:row>
    <x:row r="2410">
      <x:c r="A2410" s="5" t="str">
        <x:v>牛</x:v>
      </x:c>
      <x:c r="B2410" s="6" t="str">
        <x:v>平</x:v>
      </x:c>
      <x:c r="C2410" s="6" t="str">
        <x:f>IF(B2410="","Needs decision","Ready")</x:f>
        <x:v>Ready</x:v>
      </x:c>
      <x:c r="D2410" s="6" t="str">
        <x:v>平</x:v>
      </x:c>
      <x:c r="E2410" s="6" t="str">
        <x:v>ngjuw (A)</x:v>
      </x:c>
      <x:c r="F2410" s="6" t="str">
        <x:v>1</x:v>
      </x:c>
      <x:c r="G2410" s="6" t="str"/>
      <x:c r="H2410" s="6" t="str">
        <x:f>IF(B2410="平","平",IF(B2410="","","仄"))</x:f>
        <x:v>平</x:v>
      </x:c>
      <x:c r="I2410" s="6" t="str">
        <x:f>IF(D2400="","",IF(AND(ISNUMBER(SEARCH("平",D2400)),OR(ISNUMBER(SEARCH("上",D2400)),ISNUMBER(SEARCH("去",D2400)),ISNUMBER(SEARCH("入",D2400)))),"Ambiguous",IF(ISNUMBER(SEARCH("平",D2400)),"平","仄")))</x:f>
        <x:v>平</x:v>
      </x:c>
      <x:c r="J2410" s="7" t="str"/>
    </x:row>
    <x:row r="2411">
      <x:c r="A2411" s="5" t="str">
        <x:v>牝</x:v>
      </x:c>
      <x:c r="B2411" s="6" t="str">
        <x:v>上</x:v>
      </x:c>
      <x:c r="C2411" s="6" t="str">
        <x:f>IF(B2411="","Needs decision","Ready")</x:f>
        <x:v>Ready</x:v>
      </x:c>
      <x:c r="D2411" s="6" t="str">
        <x:v>上</x:v>
      </x:c>
      <x:c r="E2411" s="6" t="str">
        <x:v>bjijX (B); bjinX (B)</x:v>
      </x:c>
      <x:c r="F2411" s="6" t="str">
        <x:v>2</x:v>
      </x:c>
      <x:c r="G2411" s="6" t="str"/>
      <x:c r="H2411" s="6" t="str">
        <x:f>IF(B2411="平","平",IF(B2411="","","仄"))</x:f>
        <x:v>仄</x:v>
      </x:c>
      <x:c r="I2411" s="6" t="str">
        <x:f>IF(D2401="","",IF(AND(ISNUMBER(SEARCH("平",D2401)),OR(ISNUMBER(SEARCH("上",D2401)),ISNUMBER(SEARCH("去",D2401)),ISNUMBER(SEARCH("入",D2401)))),"Ambiguous",IF(ISNUMBER(SEARCH("平",D2401)),"平","仄")))</x:f>
        <x:v>平</x:v>
      </x:c>
      <x:c r="J2411" s="7" t="str"/>
    </x:row>
    <x:row r="2412">
      <x:c r="A2412" s="5" t="str">
        <x:v>牡</x:v>
      </x:c>
      <x:c r="B2412" s="6" t="str">
        <x:v>上</x:v>
      </x:c>
      <x:c r="C2412" s="6" t="str">
        <x:f>IF(B2412="","Needs decision","Ready")</x:f>
        <x:v>Ready</x:v>
      </x:c>
      <x:c r="D2412" s="6" t="str">
        <x:v>上</x:v>
      </x:c>
      <x:c r="E2412" s="6" t="str">
        <x:v>muwX (B)</x:v>
      </x:c>
      <x:c r="F2412" s="6" t="str">
        <x:v>1</x:v>
      </x:c>
      <x:c r="G2412" s="6" t="str"/>
      <x:c r="H2412" s="6" t="str">
        <x:f>IF(B2412="平","平",IF(B2412="","","仄"))</x:f>
        <x:v>仄</x:v>
      </x:c>
      <x:c r="I2412" s="6" t="str">
        <x:f>IF(D2402="","",IF(AND(ISNUMBER(SEARCH("平",D2402)),OR(ISNUMBER(SEARCH("上",D2402)),ISNUMBER(SEARCH("去",D2402)),ISNUMBER(SEARCH("入",D2402)))),"Ambiguous",IF(ISNUMBER(SEARCH("平",D2402)),"平","仄")))</x:f>
        <x:v>仄</x:v>
      </x:c>
      <x:c r="J2412" s="7" t="str"/>
    </x:row>
    <x:row r="2413">
      <x:c r="A2413" s="5" t="str">
        <x:v>牢</x:v>
      </x:c>
      <x:c r="B2413" s="6" t="str">
        <x:v>平</x:v>
      </x:c>
      <x:c r="C2413" s="6" t="str">
        <x:f>IF(B2413="","Needs decision","Ready")</x:f>
        <x:v>Ready</x:v>
      </x:c>
      <x:c r="D2413" s="6" t="str">
        <x:v>平</x:v>
      </x:c>
      <x:c r="E2413" s="6" t="str"/>
      <x:c r="F2413" s="6" t="str"/>
      <x:c r="G2413" s="6" t="str">
        <x:v>Manual user correction/addition</x:v>
      </x:c>
      <x:c r="H2413" s="6" t="str">
        <x:f>IF(B2413="平","平",IF(B2413="","","仄"))</x:f>
        <x:v>平</x:v>
      </x:c>
      <x:c r="I2413" s="6" t="str">
        <x:f>IF(D2403="","",IF(AND(ISNUMBER(SEARCH("平",D2403)),OR(ISNUMBER(SEARCH("上",D2403)),ISNUMBER(SEARCH("去",D2403)),ISNUMBER(SEARCH("入",D2403)))),"Ambiguous",IF(ISNUMBER(SEARCH("平",D2403)),"平","仄")))</x:f>
        <x:v>仄</x:v>
      </x:c>
      <x:c r="J2413" s="7" t="str">
        <x:v>manual user correction</x:v>
      </x:c>
    </x:row>
    <x:row r="2414">
      <x:c r="A2414" s="5" t="str">
        <x:v>牧</x:v>
      </x:c>
      <x:c r="B2414" s="6" t="str">
        <x:v>入</x:v>
      </x:c>
      <x:c r="C2414" s="6" t="str">
        <x:f>IF(B2414="","Needs decision","Ready")</x:f>
        <x:v>Ready</x:v>
      </x:c>
      <x:c r="D2414" s="6" t="str">
        <x:v>入</x:v>
      </x:c>
      <x:c r="E2414" s="6" t="str">
        <x:v>mjuwk (D)</x:v>
      </x:c>
      <x:c r="F2414" s="6" t="str">
        <x:v>1</x:v>
      </x:c>
      <x:c r="G2414" s="6" t="str"/>
      <x:c r="H2414" s="6" t="str">
        <x:f>IF(B2414="平","平",IF(B2414="","","仄"))</x:f>
        <x:v>仄</x:v>
      </x:c>
      <x:c r="I2414" s="6" t="str">
        <x:f>IF(D2404="","",IF(AND(ISNUMBER(SEARCH("平",D2404)),OR(ISNUMBER(SEARCH("上",D2404)),ISNUMBER(SEARCH("去",D2404)),ISNUMBER(SEARCH("入",D2404)))),"Ambiguous",IF(ISNUMBER(SEARCH("平",D2404)),"平","仄")))</x:f>
        <x:v>平</x:v>
      </x:c>
      <x:c r="J2414" s="7" t="str"/>
    </x:row>
    <x:row r="2415">
      <x:c r="A2415" s="5" t="str">
        <x:v>物</x:v>
      </x:c>
      <x:c r="B2415" s="6" t="str">
        <x:v>入</x:v>
      </x:c>
      <x:c r="C2415" s="6" t="str">
        <x:f>IF(B2415="","Needs decision","Ready")</x:f>
        <x:v>Ready</x:v>
      </x:c>
      <x:c r="D2415" s="6" t="str">
        <x:v>入</x:v>
      </x:c>
      <x:c r="E2415" s="6" t="str">
        <x:v>mjut (D)</x:v>
      </x:c>
      <x:c r="F2415" s="6" t="str">
        <x:v>1</x:v>
      </x:c>
      <x:c r="G2415" s="6" t="str"/>
      <x:c r="H2415" s="6" t="str">
        <x:f>IF(B2415="平","平",IF(B2415="","","仄"))</x:f>
        <x:v>仄</x:v>
      </x:c>
      <x:c r="I2415" s="6" t="str">
        <x:f>IF(D2405="","",IF(AND(ISNUMBER(SEARCH("平",D2405)),OR(ISNUMBER(SEARCH("上",D2405)),ISNUMBER(SEARCH("去",D2405)),ISNUMBER(SEARCH("入",D2405)))),"Ambiguous",IF(ISNUMBER(SEARCH("平",D2405)),"平","仄")))</x:f>
        <x:v>平</x:v>
      </x:c>
      <x:c r="J2415" s="7" t="str"/>
    </x:row>
    <x:row r="2416">
      <x:c r="A2416" s="5" t="str">
        <x:v>牯</x:v>
      </x:c>
      <x:c r="B2416" s="6" t="str">
        <x:v>上</x:v>
      </x:c>
      <x:c r="C2416" s="6" t="str">
        <x:f>IF(B2416="","Needs decision","Ready")</x:f>
        <x:v>Ready</x:v>
      </x:c>
      <x:c r="D2416" s="6" t="str">
        <x:v>上</x:v>
      </x:c>
      <x:c r="E2416" s="6" t="str">
        <x:v>kuX (B)</x:v>
      </x:c>
      <x:c r="F2416" s="6" t="str">
        <x:v>1</x:v>
      </x:c>
      <x:c r="G2416" s="6" t="str"/>
      <x:c r="H2416" s="6" t="str">
        <x:f>IF(B2416="平","平",IF(B2416="","","仄"))</x:f>
        <x:v>仄</x:v>
      </x:c>
      <x:c r="I2416" s="6" t="str">
        <x:f>IF(D2406="","",IF(AND(ISNUMBER(SEARCH("平",D2406)),OR(ISNUMBER(SEARCH("上",D2406)),ISNUMBER(SEARCH("去",D2406)),ISNUMBER(SEARCH("入",D2406)))),"Ambiguous",IF(ISNUMBER(SEARCH("平",D2406)),"平","仄")))</x:f>
        <x:v>仄</x:v>
      </x:c>
      <x:c r="J2416" s="7" t="str"/>
    </x:row>
    <x:row r="2417">
      <x:c r="A2417" s="5" t="str">
        <x:v>特</x:v>
      </x:c>
      <x:c r="B2417" s="6" t="str">
        <x:v>入</x:v>
      </x:c>
      <x:c r="C2417" s="6" t="str">
        <x:f>IF(B2417="","Needs decision","Ready")</x:f>
        <x:v>Ready</x:v>
      </x:c>
      <x:c r="D2417" s="6" t="str">
        <x:v>入</x:v>
      </x:c>
      <x:c r="E2417" s="6" t="str">
        <x:v>dok (D)</x:v>
      </x:c>
      <x:c r="F2417" s="6" t="str">
        <x:v>1</x:v>
      </x:c>
      <x:c r="G2417" s="6" t="str"/>
      <x:c r="H2417" s="6" t="str">
        <x:f>IF(B2417="平","平",IF(B2417="","","仄"))</x:f>
        <x:v>仄</x:v>
      </x:c>
      <x:c r="I2417" s="6" t="str">
        <x:f>IF(D2407="","",IF(AND(ISNUMBER(SEARCH("平",D2407)),OR(ISNUMBER(SEARCH("上",D2407)),ISNUMBER(SEARCH("去",D2407)),ISNUMBER(SEARCH("入",D2407)))),"Ambiguous",IF(ISNUMBER(SEARCH("平",D2407)),"平","仄")))</x:f>
        <x:v>仄</x:v>
      </x:c>
      <x:c r="J2417" s="7" t="str"/>
    </x:row>
    <x:row r="2418">
      <x:c r="A2418" s="5" t="str">
        <x:v>牼</x:v>
      </x:c>
      <x:c r="B2418" s="6" t="str">
        <x:v>平</x:v>
      </x:c>
      <x:c r="C2418" s="6" t="str">
        <x:f>IF(B2418="","Needs decision","Ready")</x:f>
        <x:v>Ready</x:v>
      </x:c>
      <x:c r="D2418" s="6" t="str">
        <x:v>平</x:v>
      </x:c>
      <x:c r="E2418" s="6" t="str">
        <x:v>heang (A); kheang (A)</x:v>
      </x:c>
      <x:c r="F2418" s="6" t="str">
        <x:v>2</x:v>
      </x:c>
      <x:c r="G2418" s="6" t="str"/>
      <x:c r="H2418" s="6" t="str">
        <x:f>IF(B2418="平","平",IF(B2418="","","仄"))</x:f>
        <x:v>平</x:v>
      </x:c>
      <x:c r="I2418" s="6" t="str">
        <x:f>IF(D2408="","",IF(AND(ISNUMBER(SEARCH("平",D2408)),OR(ISNUMBER(SEARCH("上",D2408)),ISNUMBER(SEARCH("去",D2408)),ISNUMBER(SEARCH("入",D2408)))),"Ambiguous",IF(ISNUMBER(SEARCH("平",D2408)),"平","仄")))</x:f>
        <x:v>仄</x:v>
      </x:c>
      <x:c r="J2418" s="7" t="str"/>
    </x:row>
    <x:row r="2419">
      <x:c r="A2419" s="5" t="str">
        <x:v>牽</x:v>
      </x:c>
      <x:c r="B2419" s="6" t="str">
        <x:v>平</x:v>
      </x:c>
      <x:c r="C2419" s="6" t="str">
        <x:f>IF(B2419="","Needs decision","Ready")</x:f>
        <x:v>Ready</x:v>
      </x:c>
      <x:c r="D2419" s="6" t="str">
        <x:v>平</x:v>
      </x:c>
      <x:c r="E2419" s="6" t="str">
        <x:v>khen (A)</x:v>
      </x:c>
      <x:c r="F2419" s="6" t="str">
        <x:v>1</x:v>
      </x:c>
      <x:c r="G2419" s="6" t="str"/>
      <x:c r="H2419" s="6" t="str">
        <x:f>IF(B2419="平","平",IF(B2419="","","仄"))</x:f>
        <x:v>平</x:v>
      </x:c>
      <x:c r="I2419" s="6" t="str">
        <x:f>IF(D2409="","",IF(AND(ISNUMBER(SEARCH("平",D2409)),OR(ISNUMBER(SEARCH("上",D2409)),ISNUMBER(SEARCH("去",D2409)),ISNUMBER(SEARCH("入",D2409)))),"Ambiguous",IF(ISNUMBER(SEARCH("平",D2409)),"平","仄")))</x:f>
        <x:v>平</x:v>
      </x:c>
      <x:c r="J2419" s="7" t="str"/>
    </x:row>
    <x:row r="2420">
      <x:c r="A2420" s="5" t="str">
        <x:v>犀</x:v>
      </x:c>
      <x:c r="B2420" s="6" t="str">
        <x:v>平</x:v>
      </x:c>
      <x:c r="C2420" s="6" t="str">
        <x:f>IF(B2420="","Needs decision","Ready")</x:f>
        <x:v>Ready</x:v>
      </x:c>
      <x:c r="D2420" s="6" t="str">
        <x:v>平</x:v>
      </x:c>
      <x:c r="E2420" s="6" t="str">
        <x:v>sej (A)</x:v>
      </x:c>
      <x:c r="F2420" s="6" t="str">
        <x:v>1</x:v>
      </x:c>
      <x:c r="G2420" s="6" t="str"/>
      <x:c r="H2420" s="6" t="str">
        <x:f>IF(B2420="平","平",IF(B2420="","","仄"))</x:f>
        <x:v>平</x:v>
      </x:c>
      <x:c r="I2420" s="6" t="str">
        <x:f>IF(D2410="","",IF(AND(ISNUMBER(SEARCH("平",D2410)),OR(ISNUMBER(SEARCH("上",D2410)),ISNUMBER(SEARCH("去",D2410)),ISNUMBER(SEARCH("入",D2410)))),"Ambiguous",IF(ISNUMBER(SEARCH("平",D2410)),"平","仄")))</x:f>
        <x:v>平</x:v>
      </x:c>
      <x:c r="J2420" s="7" t="str"/>
    </x:row>
    <x:row r="2421">
      <x:c r="A2421" s="5" t="str">
        <x:v>犁</x:v>
      </x:c>
      <x:c r="B2421" s="6" t="str">
        <x:v>平</x:v>
      </x:c>
      <x:c r="C2421" s="6" t="str">
        <x:f>IF(B2421="","Needs decision","Ready")</x:f>
        <x:v>Ready</x:v>
      </x:c>
      <x:c r="D2421" s="6" t="str">
        <x:v>平</x:v>
      </x:c>
      <x:c r="E2421" s="6" t="str">
        <x:v>lej (A); lij (A)</x:v>
      </x:c>
      <x:c r="F2421" s="6" t="str">
        <x:v>2</x:v>
      </x:c>
      <x:c r="G2421" s="6" t="str"/>
      <x:c r="H2421" s="6" t="str">
        <x:f>IF(B2421="平","平",IF(B2421="","","仄"))</x:f>
        <x:v>平</x:v>
      </x:c>
      <x:c r="I2421" s="6" t="str">
        <x:f>IF(D2411="","",IF(AND(ISNUMBER(SEARCH("平",D2411)),OR(ISNUMBER(SEARCH("上",D2411)),ISNUMBER(SEARCH("去",D2411)),ISNUMBER(SEARCH("入",D2411)))),"Ambiguous",IF(ISNUMBER(SEARCH("平",D2411)),"平","仄")))</x:f>
        <x:v>仄</x:v>
      </x:c>
      <x:c r="J2421" s="7" t="str"/>
    </x:row>
    <x:row r="2422">
      <x:c r="A2422" s="5" t="str">
        <x:v>犆</x:v>
      </x:c>
      <x:c r="B2422" s="6" t="str">
        <x:v>入</x:v>
      </x:c>
      <x:c r="C2422" s="6" t="str">
        <x:f>IF(B2422="","Needs decision","Ready")</x:f>
        <x:v>Ready</x:v>
      </x:c>
      <x:c r="D2422" s="6" t="str">
        <x:v>入</x:v>
      </x:c>
      <x:c r="E2422" s="6" t="str">
        <x:v>dok (D)</x:v>
      </x:c>
      <x:c r="F2422" s="6" t="str">
        <x:v>1</x:v>
      </x:c>
      <x:c r="G2422" s="6" t="str"/>
      <x:c r="H2422" s="6" t="str">
        <x:f>IF(B2422="平","平",IF(B2422="","","仄"))</x:f>
        <x:v>仄</x:v>
      </x:c>
      <x:c r="I2422" s="6" t="str">
        <x:f>IF(D2412="","",IF(AND(ISNUMBER(SEARCH("平",D2412)),OR(ISNUMBER(SEARCH("上",D2412)),ISNUMBER(SEARCH("去",D2412)),ISNUMBER(SEARCH("入",D2412)))),"Ambiguous",IF(ISNUMBER(SEARCH("平",D2412)),"平","仄")))</x:f>
        <x:v>仄</x:v>
      </x:c>
      <x:c r="J2422" s="7" t="str"/>
    </x:row>
    <x:row r="2423">
      <x:c r="A2423" s="5" t="str">
        <x:v>犒</x:v>
      </x:c>
      <x:c r="B2423" s="6" t="str">
        <x:v>去</x:v>
      </x:c>
      <x:c r="C2423" s="6" t="str">
        <x:f>IF(B2423="","Needs decision","Ready")</x:f>
        <x:v>Ready</x:v>
      </x:c>
      <x:c r="D2423" s="6" t="str">
        <x:v>去</x:v>
      </x:c>
      <x:c r="E2423" s="6" t="str">
        <x:v>khawH (C)</x:v>
      </x:c>
      <x:c r="F2423" s="6" t="str">
        <x:v>1</x:v>
      </x:c>
      <x:c r="G2423" s="6" t="str"/>
      <x:c r="H2423" s="6" t="str">
        <x:f>IF(B2423="平","平",IF(B2423="","","仄"))</x:f>
        <x:v>仄</x:v>
      </x:c>
      <x:c r="I2423" s="6" t="str">
        <x:f>IF(D2413="","",IF(AND(ISNUMBER(SEARCH("平",D2413)),OR(ISNUMBER(SEARCH("上",D2413)),ISNUMBER(SEARCH("去",D2413)),ISNUMBER(SEARCH("入",D2413)))),"Ambiguous",IF(ISNUMBER(SEARCH("平",D2413)),"平","仄")))</x:f>
        <x:v>平</x:v>
      </x:c>
      <x:c r="J2423" s="7" t="str"/>
    </x:row>
    <x:row r="2424">
      <x:c r="A2424" s="5" t="str">
        <x:v>犖</x:v>
      </x:c>
      <x:c r="B2424" s="6" t="str">
        <x:v>入</x:v>
      </x:c>
      <x:c r="C2424" s="6" t="str">
        <x:f>IF(B2424="","Needs decision","Ready")</x:f>
        <x:v>Ready</x:v>
      </x:c>
      <x:c r="D2424" s="6" t="str">
        <x:v>入</x:v>
      </x:c>
      <x:c r="E2424" s="6" t="str">
        <x:v>laewk [l̙oˤk] (入)</x:v>
      </x:c>
      <x:c r="F2424" s="6" t="str">
        <x:v>1</x:v>
      </x:c>
      <x:c r="G2424" s="6" t="str">
        <x:v>Tang 300 gap; frequency 1; provisional from Xun Gong</x:v>
      </x:c>
      <x:c r="H2424" s="6" t="str">
        <x:f>IF(B2424="平","平",IF(B2424="","","仄"))</x:f>
        <x:v>仄</x:v>
      </x:c>
      <x:c r="I2424" s="6" t="str">
        <x:f>IF(D2414="","",IF(AND(ISNUMBER(SEARCH("平",D2414)),OR(ISNUMBER(SEARCH("上",D2414)),ISNUMBER(SEARCH("去",D2414)),ISNUMBER(SEARCH("入",D2414)))),"Ambiguous",IF(ISNUMBER(SEARCH("平",D2414)),"平","仄")))</x:f>
        <x:v>仄</x:v>
      </x:c>
      <x:c r="J2424" s="7" t="str">
        <x:v>Xun Gong, Tang 300 gap fill</x:v>
      </x:c>
    </x:row>
    <x:row r="2425">
      <x:c r="A2425" s="5" t="str">
        <x:v>犗</x:v>
      </x:c>
      <x:c r="B2425" s="6" t="str">
        <x:v>去</x:v>
      </x:c>
      <x:c r="C2425" s="6" t="str">
        <x:f>IF(B2425="","Needs decision","Ready")</x:f>
        <x:v>Ready</x:v>
      </x:c>
      <x:c r="D2425" s="6" t="str">
        <x:v>去</x:v>
      </x:c>
      <x:c r="E2425" s="6" t="str">
        <x:v>kaejH (C)</x:v>
      </x:c>
      <x:c r="F2425" s="6" t="str">
        <x:v>1</x:v>
      </x:c>
      <x:c r="G2425" s="6" t="str"/>
      <x:c r="H2425" s="6" t="str">
        <x:f>IF(B2425="平","平",IF(B2425="","","仄"))</x:f>
        <x:v>仄</x:v>
      </x:c>
      <x:c r="I2425" s="6" t="str">
        <x:f>IF(D2415="","",IF(AND(ISNUMBER(SEARCH("平",D2415)),OR(ISNUMBER(SEARCH("上",D2415)),ISNUMBER(SEARCH("去",D2415)),ISNUMBER(SEARCH("入",D2415)))),"Ambiguous",IF(ISNUMBER(SEARCH("平",D2415)),"平","仄")))</x:f>
        <x:v>仄</x:v>
      </x:c>
      <x:c r="J2425" s="7" t="str"/>
    </x:row>
    <x:row r="2426">
      <x:c r="A2426" s="5" t="str">
        <x:v>犢</x:v>
      </x:c>
      <x:c r="B2426" s="6" t="str">
        <x:v>入</x:v>
      </x:c>
      <x:c r="C2426" s="6" t="str">
        <x:f>IF(B2426="","Needs decision","Ready")</x:f>
        <x:v>Ready</x:v>
      </x:c>
      <x:c r="D2426" s="6" t="str">
        <x:v>入</x:v>
      </x:c>
      <x:c r="E2426" s="6" t="str">
        <x:v>duwk (D)</x:v>
      </x:c>
      <x:c r="F2426" s="6" t="str">
        <x:v>1</x:v>
      </x:c>
      <x:c r="G2426" s="6" t="str"/>
      <x:c r="H2426" s="6" t="str">
        <x:f>IF(B2426="平","平",IF(B2426="","","仄"))</x:f>
        <x:v>仄</x:v>
      </x:c>
      <x:c r="I2426" s="6" t="str">
        <x:f>IF(D2416="","",IF(AND(ISNUMBER(SEARCH("平",D2416)),OR(ISNUMBER(SEARCH("上",D2416)),ISNUMBER(SEARCH("去",D2416)),ISNUMBER(SEARCH("入",D2416)))),"Ambiguous",IF(ISNUMBER(SEARCH("平",D2416)),"平","仄")))</x:f>
        <x:v>仄</x:v>
      </x:c>
      <x:c r="J2426" s="7" t="str"/>
    </x:row>
    <x:row r="2427">
      <x:c r="A2427" s="5" t="str">
        <x:v>犧</x:v>
      </x:c>
      <x:c r="B2427" s="6" t="str">
        <x:v>平</x:v>
      </x:c>
      <x:c r="C2427" s="6" t="str">
        <x:f>IF(B2427="","Needs decision","Ready")</x:f>
        <x:v>Ready</x:v>
      </x:c>
      <x:c r="D2427" s="6" t="str">
        <x:v>平</x:v>
      </x:c>
      <x:c r="E2427" s="6" t="str">
        <x:v>xje (A)</x:v>
      </x:c>
      <x:c r="F2427" s="6" t="str">
        <x:v>1</x:v>
      </x:c>
      <x:c r="G2427" s="6" t="str"/>
      <x:c r="H2427" s="6" t="str">
        <x:f>IF(B2427="平","平",IF(B2427="","","仄"))</x:f>
        <x:v>平</x:v>
      </x:c>
      <x:c r="I2427" s="6" t="str">
        <x:f>IF(D2417="","",IF(AND(ISNUMBER(SEARCH("平",D2417)),OR(ISNUMBER(SEARCH("上",D2417)),ISNUMBER(SEARCH("去",D2417)),ISNUMBER(SEARCH("入",D2417)))),"Ambiguous",IF(ISNUMBER(SEARCH("平",D2417)),"平","仄")))</x:f>
        <x:v>仄</x:v>
      </x:c>
      <x:c r="J2427" s="7" t="str"/>
    </x:row>
    <x:row r="2428">
      <x:c r="A2428" s="5" t="str">
        <x:v>犬</x:v>
      </x:c>
      <x:c r="B2428" s="6" t="str">
        <x:v>上</x:v>
      </x:c>
      <x:c r="C2428" s="6" t="str">
        <x:f>IF(B2428="","Needs decision","Ready")</x:f>
        <x:v>Ready</x:v>
      </x:c>
      <x:c r="D2428" s="6" t="str">
        <x:v>上</x:v>
      </x:c>
      <x:c r="E2428" s="6" t="str">
        <x:v>khwenX (B)</x:v>
      </x:c>
      <x:c r="F2428" s="6" t="str">
        <x:v>1</x:v>
      </x:c>
      <x:c r="G2428" s="6" t="str"/>
      <x:c r="H2428" s="6" t="str">
        <x:f>IF(B2428="平","平",IF(B2428="","","仄"))</x:f>
        <x:v>仄</x:v>
      </x:c>
      <x:c r="I2428" s="6" t="str">
        <x:f>IF(D2418="","",IF(AND(ISNUMBER(SEARCH("平",D2418)),OR(ISNUMBER(SEARCH("上",D2418)),ISNUMBER(SEARCH("去",D2418)),ISNUMBER(SEARCH("入",D2418)))),"Ambiguous",IF(ISNUMBER(SEARCH("平",D2418)),"平","仄")))</x:f>
        <x:v>平</x:v>
      </x:c>
      <x:c r="J2428" s="7" t="str"/>
    </x:row>
    <x:row r="2429">
      <x:c r="A2429" s="5" t="str">
        <x:v>犯</x:v>
      </x:c>
      <x:c r="B2429" s="6" t="str">
        <x:v>上</x:v>
      </x:c>
      <x:c r="C2429" s="6" t="str">
        <x:f>IF(B2429="","Needs decision","Ready")</x:f>
        <x:v>Ready</x:v>
      </x:c>
      <x:c r="D2429" s="6" t="str"/>
      <x:c r="E2429" s="6" t="str"/>
      <x:c r="F2429" s="6" t="str"/>
      <x:c r="G2429" s="6" t="str"/>
      <x:c r="H2429" s="6" t="str">
        <x:f>IF(B2429="平","平",IF(B2429="","","仄"))</x:f>
        <x:v>仄</x:v>
      </x:c>
      <x:c r="I2429" s="6" t="str">
        <x:f>IF(D2419="","",IF(AND(ISNUMBER(SEARCH("平",D2419)),OR(ISNUMBER(SEARCH("上",D2419)),ISNUMBER(SEARCH("去",D2419)),ISNUMBER(SEARCH("入",D2419)))),"Ambiguous",IF(ISNUMBER(SEARCH("平",D2419)),"平","仄")))</x:f>
        <x:v>平</x:v>
      </x:c>
      <x:c r="J2429" s="7" t="str"/>
    </x:row>
    <x:row r="2430">
      <x:c r="A2430" s="5" t="str">
        <x:v>狀</x:v>
      </x:c>
      <x:c r="B2430" s="6" t="str">
        <x:v>去</x:v>
      </x:c>
      <x:c r="C2430" s="6" t="str">
        <x:f>IF(B2430="","Needs decision","Ready")</x:f>
        <x:v>Ready</x:v>
      </x:c>
      <x:c r="D2430" s="6" t="str">
        <x:v>去</x:v>
      </x:c>
      <x:c r="E2430" s="6" t="str">
        <x:v>dzrjangH (C)</x:v>
      </x:c>
      <x:c r="F2430" s="6" t="str">
        <x:v>1</x:v>
      </x:c>
      <x:c r="G2430" s="6" t="str"/>
      <x:c r="H2430" s="6" t="str">
        <x:f>IF(B2430="平","平",IF(B2430="","","仄"))</x:f>
        <x:v>仄</x:v>
      </x:c>
      <x:c r="I2430" s="6" t="str">
        <x:f>IF(D2420="","",IF(AND(ISNUMBER(SEARCH("平",D2420)),OR(ISNUMBER(SEARCH("上",D2420)),ISNUMBER(SEARCH("去",D2420)),ISNUMBER(SEARCH("入",D2420)))),"Ambiguous",IF(ISNUMBER(SEARCH("平",D2420)),"平","仄")))</x:f>
        <x:v>平</x:v>
      </x:c>
      <x:c r="J2430" s="7" t="str"/>
    </x:row>
    <x:row r="2431">
      <x:c r="A2431" s="5" t="str">
        <x:v>狁</x:v>
      </x:c>
      <x:c r="B2431" s="6" t="str">
        <x:v>上</x:v>
      </x:c>
      <x:c r="C2431" s="6" t="str">
        <x:f>IF(B2431="","Needs decision","Ready")</x:f>
        <x:v>Ready</x:v>
      </x:c>
      <x:c r="D2431" s="6" t="str">
        <x:v>上</x:v>
      </x:c>
      <x:c r="E2431" s="6" t="str">
        <x:v>ywinX (B)</x:v>
      </x:c>
      <x:c r="F2431" s="6" t="str">
        <x:v>1</x:v>
      </x:c>
      <x:c r="G2431" s="6" t="str"/>
      <x:c r="H2431" s="6" t="str">
        <x:f>IF(B2431="平","平",IF(B2431="","","仄"))</x:f>
        <x:v>仄</x:v>
      </x:c>
      <x:c r="I2431" s="6" t="str">
        <x:f>IF(D2421="","",IF(AND(ISNUMBER(SEARCH("平",D2421)),OR(ISNUMBER(SEARCH("上",D2421)),ISNUMBER(SEARCH("去",D2421)),ISNUMBER(SEARCH("入",D2421)))),"Ambiguous",IF(ISNUMBER(SEARCH("平",D2421)),"平","仄")))</x:f>
        <x:v>平</x:v>
      </x:c>
      <x:c r="J2431" s="7" t="str"/>
    </x:row>
    <x:row r="2432">
      <x:c r="A2432" s="5" t="str">
        <x:v>狂</x:v>
      </x:c>
      <x:c r="B2432" s="6" t="str">
        <x:v>平</x:v>
      </x:c>
      <x:c r="C2432" s="6" t="str">
        <x:f>IF(B2432="","Needs decision","Ready")</x:f>
        <x:v>Ready</x:v>
      </x:c>
      <x:c r="D2432" s="6" t="str">
        <x:v>平</x:v>
      </x:c>
      <x:c r="E2432" s="6" t="str">
        <x:v>gjwang (A)</x:v>
      </x:c>
      <x:c r="F2432" s="6" t="str">
        <x:v>1</x:v>
      </x:c>
      <x:c r="G2432" s="6" t="str"/>
      <x:c r="H2432" s="6" t="str">
        <x:f>IF(B2432="平","平",IF(B2432="","","仄"))</x:f>
        <x:v>平</x:v>
      </x:c>
      <x:c r="I2432" s="6" t="str">
        <x:f>IF(D2422="","",IF(AND(ISNUMBER(SEARCH("平",D2422)),OR(ISNUMBER(SEARCH("上",D2422)),ISNUMBER(SEARCH("去",D2422)),ISNUMBER(SEARCH("入",D2422)))),"Ambiguous",IF(ISNUMBER(SEARCH("平",D2422)),"平","仄")))</x:f>
        <x:v>仄</x:v>
      </x:c>
      <x:c r="J2432" s="7" t="str"/>
    </x:row>
    <x:row r="2433">
      <x:c r="A2433" s="5" t="str">
        <x:v>狃</x:v>
      </x:c>
      <x:c r="B2433" s="6" t="str">
        <x:v>上</x:v>
      </x:c>
      <x:c r="C2433" s="6" t="str">
        <x:f>IF(B2433="","Needs decision","Ready")</x:f>
        <x:v>Ready</x:v>
      </x:c>
      <x:c r="D2433" s="6" t="str">
        <x:v>上</x:v>
      </x:c>
      <x:c r="E2433" s="6" t="str">
        <x:v>nrjuwX (B)</x:v>
      </x:c>
      <x:c r="F2433" s="6" t="str">
        <x:v>1</x:v>
      </x:c>
      <x:c r="G2433" s="6" t="str"/>
      <x:c r="H2433" s="6" t="str">
        <x:f>IF(B2433="平","平",IF(B2433="","","仄"))</x:f>
        <x:v>仄</x:v>
      </x:c>
      <x:c r="I2433" s="6" t="str">
        <x:f>IF(D2423="","",IF(AND(ISNUMBER(SEARCH("平",D2423)),OR(ISNUMBER(SEARCH("上",D2423)),ISNUMBER(SEARCH("去",D2423)),ISNUMBER(SEARCH("入",D2423)))),"Ambiguous",IF(ISNUMBER(SEARCH("平",D2423)),"平","仄")))</x:f>
        <x:v>仄</x:v>
      </x:c>
      <x:c r="J2433" s="7" t="str"/>
    </x:row>
    <x:row r="2434">
      <x:c r="A2434" s="5" t="str">
        <x:v>狄</x:v>
      </x:c>
      <x:c r="B2434" s="6" t="str">
        <x:v>入</x:v>
      </x:c>
      <x:c r="C2434" s="6" t="str">
        <x:f>IF(B2434="","Needs decision","Ready")</x:f>
        <x:v>Ready</x:v>
      </x:c>
      <x:c r="D2434" s="6" t="str">
        <x:v>入</x:v>
      </x:c>
      <x:c r="E2434" s="6" t="str">
        <x:v>dek (D)</x:v>
      </x:c>
      <x:c r="F2434" s="6" t="str">
        <x:v>1</x:v>
      </x:c>
      <x:c r="G2434" s="6" t="str"/>
      <x:c r="H2434" s="6" t="str">
        <x:f>IF(B2434="平","平",IF(B2434="","","仄"))</x:f>
        <x:v>仄</x:v>
      </x:c>
      <x:c r="I2434" s="6" t="str">
        <x:f>IF(D2424="","",IF(AND(ISNUMBER(SEARCH("平",D2424)),OR(ISNUMBER(SEARCH("上",D2424)),ISNUMBER(SEARCH("去",D2424)),ISNUMBER(SEARCH("入",D2424)))),"Ambiguous",IF(ISNUMBER(SEARCH("平",D2424)),"平","仄")))</x:f>
        <x:v>仄</x:v>
      </x:c>
      <x:c r="J2434" s="7" t="str"/>
    </x:row>
    <x:row r="2435">
      <x:c r="A2435" s="5" t="str">
        <x:v>狊</x:v>
      </x:c>
      <x:c r="B2435" s="6" t="str">
        <x:v>入</x:v>
      </x:c>
      <x:c r="C2435" s="6" t="str">
        <x:f>IF(B2435="","Needs decision","Ready")</x:f>
        <x:v>Ready</x:v>
      </x:c>
      <x:c r="D2435" s="6" t="str">
        <x:v>入</x:v>
      </x:c>
      <x:c r="E2435" s="6" t="str">
        <x:v>kwek (D)</x:v>
      </x:c>
      <x:c r="F2435" s="6" t="str">
        <x:v>1</x:v>
      </x:c>
      <x:c r="G2435" s="6" t="str"/>
      <x:c r="H2435" s="6" t="str">
        <x:f>IF(B2435="平","平",IF(B2435="","","仄"))</x:f>
        <x:v>仄</x:v>
      </x:c>
      <x:c r="I2435" s="6" t="str">
        <x:f>IF(D2425="","",IF(AND(ISNUMBER(SEARCH("平",D2425)),OR(ISNUMBER(SEARCH("上",D2425)),ISNUMBER(SEARCH("去",D2425)),ISNUMBER(SEARCH("入",D2425)))),"Ambiguous",IF(ISNUMBER(SEARCH("平",D2425)),"平","仄")))</x:f>
        <x:v>仄</x:v>
      </x:c>
      <x:c r="J2435" s="7" t="str"/>
    </x:row>
    <x:row r="2436">
      <x:c r="A2436" s="5" t="str">
        <x:v>狎</x:v>
      </x:c>
      <x:c r="B2436" s="6" t="str">
        <x:v>入</x:v>
      </x:c>
      <x:c r="C2436" s="6" t="str">
        <x:f>IF(B2436="","Needs decision","Ready")</x:f>
        <x:v>Ready</x:v>
      </x:c>
      <x:c r="D2436" s="6" t="str">
        <x:v>入</x:v>
      </x:c>
      <x:c r="E2436" s="6" t="str">
        <x:v>haep (D)</x:v>
      </x:c>
      <x:c r="F2436" s="6" t="str">
        <x:v>1</x:v>
      </x:c>
      <x:c r="G2436" s="6" t="str"/>
      <x:c r="H2436" s="6" t="str">
        <x:f>IF(B2436="平","平",IF(B2436="","","仄"))</x:f>
        <x:v>仄</x:v>
      </x:c>
      <x:c r="I2436" s="6" t="str">
        <x:f>IF(D2426="","",IF(AND(ISNUMBER(SEARCH("平",D2426)),OR(ISNUMBER(SEARCH("上",D2426)),ISNUMBER(SEARCH("去",D2426)),ISNUMBER(SEARCH("入",D2426)))),"Ambiguous",IF(ISNUMBER(SEARCH("平",D2426)),"平","仄")))</x:f>
        <x:v>仄</x:v>
      </x:c>
      <x:c r="J2436" s="7" t="str"/>
    </x:row>
    <x:row r="2437">
      <x:c r="A2437" s="5" t="str">
        <x:v>狐</x:v>
      </x:c>
      <x:c r="B2437" s="6" t="str">
        <x:v>平</x:v>
      </x:c>
      <x:c r="C2437" s="6" t="str">
        <x:f>IF(B2437="","Needs decision","Ready")</x:f>
        <x:v>Ready</x:v>
      </x:c>
      <x:c r="D2437" s="6" t="str">
        <x:v>平</x:v>
      </x:c>
      <x:c r="E2437" s="6" t="str">
        <x:v>hu (A)</x:v>
      </x:c>
      <x:c r="F2437" s="6" t="str">
        <x:v>1</x:v>
      </x:c>
      <x:c r="G2437" s="6" t="str"/>
      <x:c r="H2437" s="6" t="str">
        <x:f>IF(B2437="平","平",IF(B2437="","","仄"))</x:f>
        <x:v>平</x:v>
      </x:c>
      <x:c r="I2437" s="6" t="str">
        <x:f>IF(D2427="","",IF(AND(ISNUMBER(SEARCH("平",D2427)),OR(ISNUMBER(SEARCH("上",D2427)),ISNUMBER(SEARCH("去",D2427)),ISNUMBER(SEARCH("入",D2427)))),"Ambiguous",IF(ISNUMBER(SEARCH("平",D2427)),"平","仄")))</x:f>
        <x:v>平</x:v>
      </x:c>
      <x:c r="J2437" s="7" t="str"/>
    </x:row>
    <x:row r="2438">
      <x:c r="A2438" s="5" t="str">
        <x:v>狗</x:v>
      </x:c>
      <x:c r="B2438" s="6" t="str">
        <x:v>上</x:v>
      </x:c>
      <x:c r="C2438" s="6" t="str">
        <x:f>IF(B2438="","Needs decision","Ready")</x:f>
        <x:v>Ready</x:v>
      </x:c>
      <x:c r="D2438" s="6" t="str">
        <x:v>上</x:v>
      </x:c>
      <x:c r="E2438" s="6" t="str">
        <x:v>kuwX (B)</x:v>
      </x:c>
      <x:c r="F2438" s="6" t="str">
        <x:v>1</x:v>
      </x:c>
      <x:c r="G2438" s="6" t="str"/>
      <x:c r="H2438" s="6" t="str">
        <x:f>IF(B2438="平","平",IF(B2438="","","仄"))</x:f>
        <x:v>仄</x:v>
      </x:c>
      <x:c r="I2438" s="6" t="str">
        <x:f>IF(D2428="","",IF(AND(ISNUMBER(SEARCH("平",D2428)),OR(ISNUMBER(SEARCH("上",D2428)),ISNUMBER(SEARCH("去",D2428)),ISNUMBER(SEARCH("入",D2428)))),"Ambiguous",IF(ISNUMBER(SEARCH("平",D2428)),"平","仄")))</x:f>
        <x:v>仄</x:v>
      </x:c>
      <x:c r="J2438" s="7" t="str"/>
    </x:row>
    <x:row r="2439">
      <x:c r="A2439" s="5" t="str">
        <x:v>狙</x:v>
      </x:c>
      <x:c r="B2439" s="6" t="str">
        <x:v>平</x:v>
      </x:c>
      <x:c r="C2439" s="6" t="str">
        <x:f>IF(B2439="","Needs decision","Ready")</x:f>
        <x:v>Ready</x:v>
      </x:c>
      <x:c r="D2439" s="6" t="str">
        <x:v>平</x:v>
      </x:c>
      <x:c r="E2439" s="6" t="str">
        <x:v>tshjo [tsʰjə] (平)</x:v>
      </x:c>
      <x:c r="F2439" s="6" t="str">
        <x:v>1</x:v>
      </x:c>
      <x:c r="G2439" s="6" t="str">
        <x:v>Tang 300 gap; frequency 1; provisional from Xun Gong</x:v>
      </x:c>
      <x:c r="H2439" s="6" t="str">
        <x:f>IF(B2439="平","平",IF(B2439="","","仄"))</x:f>
        <x:v>平</x:v>
      </x:c>
      <x:c r="I2439" s="6" t="str">
        <x:f>IF(D2429="","",IF(AND(ISNUMBER(SEARCH("平",D2429)),OR(ISNUMBER(SEARCH("上",D2429)),ISNUMBER(SEARCH("去",D2429)),ISNUMBER(SEARCH("入",D2429)))),"Ambiguous",IF(ISNUMBER(SEARCH("平",D2429)),"平","仄")))</x:f>
      </x:c>
      <x:c r="J2439" s="7" t="str">
        <x:v>Xun Gong, Tang 300 gap fill</x:v>
      </x:c>
    </x:row>
    <x:row r="2440">
      <x:c r="A2440" s="5" t="str">
        <x:v>狩</x:v>
      </x:c>
      <x:c r="B2440" s="6" t="str">
        <x:v>去</x:v>
      </x:c>
      <x:c r="C2440" s="6" t="str">
        <x:f>IF(B2440="","Needs decision","Ready")</x:f>
        <x:v>Ready</x:v>
      </x:c>
      <x:c r="D2440" s="6" t="str">
        <x:v>去</x:v>
      </x:c>
      <x:c r="E2440" s="6" t="str">
        <x:v>syuwH (C)</x:v>
      </x:c>
      <x:c r="F2440" s="6" t="str">
        <x:v>1</x:v>
      </x:c>
      <x:c r="G2440" s="6" t="str"/>
      <x:c r="H2440" s="6" t="str">
        <x:f>IF(B2440="平","平",IF(B2440="","","仄"))</x:f>
        <x:v>仄</x:v>
      </x:c>
      <x:c r="I2440" s="6" t="str">
        <x:f>IF(D2430="","",IF(AND(ISNUMBER(SEARCH("平",D2430)),OR(ISNUMBER(SEARCH("上",D2430)),ISNUMBER(SEARCH("去",D2430)),ISNUMBER(SEARCH("入",D2430)))),"Ambiguous",IF(ISNUMBER(SEARCH("平",D2430)),"平","仄")))</x:f>
        <x:v>仄</x:v>
      </x:c>
      <x:c r="J2440" s="7" t="str"/>
    </x:row>
    <x:row r="2441">
      <x:c r="A2441" s="5" t="str">
        <x:v>狶</x:v>
      </x:c>
      <x:c r="B2441" s="6" t="str">
        <x:v>上</x:v>
      </x:c>
      <x:c r="C2441" s="6" t="str">
        <x:f>IF(B2441="","Needs decision","Ready")</x:f>
        <x:v>Ready</x:v>
      </x:c>
      <x:c r="D2441" s="6" t="str">
        <x:v>上</x:v>
      </x:c>
      <x:c r="E2441" s="6" t="str">
        <x:v>xj+jX (B)</x:v>
      </x:c>
      <x:c r="F2441" s="6" t="str">
        <x:v>1</x:v>
      </x:c>
      <x:c r="G2441" s="6" t="str"/>
      <x:c r="H2441" s="6" t="str">
        <x:f>IF(B2441="平","平",IF(B2441="","","仄"))</x:f>
        <x:v>仄</x:v>
      </x:c>
      <x:c r="I2441" s="6" t="str">
        <x:f>IF(D2431="","",IF(AND(ISNUMBER(SEARCH("平",D2431)),OR(ISNUMBER(SEARCH("上",D2431)),ISNUMBER(SEARCH("去",D2431)),ISNUMBER(SEARCH("入",D2431)))),"Ambiguous",IF(ISNUMBER(SEARCH("平",D2431)),"平","仄")))</x:f>
        <x:v>仄</x:v>
      </x:c>
      <x:c r="J2441" s="7" t="str"/>
    </x:row>
    <x:row r="2442">
      <x:c r="A2442" s="5" t="str">
        <x:v>狸</x:v>
      </x:c>
      <x:c r="B2442" s="6" t="str">
        <x:v>平</x:v>
      </x:c>
      <x:c r="C2442" s="6" t="str">
        <x:f>IF(B2442="","Needs decision","Ready")</x:f>
        <x:v>Ready</x:v>
      </x:c>
      <x:c r="D2442" s="6" t="str">
        <x:v>平</x:v>
      </x:c>
      <x:c r="E2442" s="6" t="str">
        <x:v>li (A)</x:v>
      </x:c>
      <x:c r="F2442" s="6" t="str">
        <x:v>1</x:v>
      </x:c>
      <x:c r="G2442" s="6" t="str"/>
      <x:c r="H2442" s="6" t="str">
        <x:f>IF(B2442="平","平",IF(B2442="","","仄"))</x:f>
        <x:v>平</x:v>
      </x:c>
      <x:c r="I2442" s="6" t="str">
        <x:f>IF(D2432="","",IF(AND(ISNUMBER(SEARCH("平",D2432)),OR(ISNUMBER(SEARCH("上",D2432)),ISNUMBER(SEARCH("去",D2432)),ISNUMBER(SEARCH("入",D2432)))),"Ambiguous",IF(ISNUMBER(SEARCH("平",D2432)),"平","仄")))</x:f>
        <x:v>平</x:v>
      </x:c>
      <x:c r="J2442" s="7" t="str"/>
    </x:row>
    <x:row r="2443">
      <x:c r="A2443" s="5" t="str">
        <x:v>狹</x:v>
      </x:c>
      <x:c r="B2443" s="6" t="str">
        <x:v>入</x:v>
      </x:c>
      <x:c r="C2443" s="6" t="str">
        <x:f>IF(B2443="","Needs decision","Ready")</x:f>
        <x:v>Ready</x:v>
      </x:c>
      <x:c r="D2443" s="6" t="str">
        <x:v>入</x:v>
      </x:c>
      <x:c r="E2443" s="6" t="str">
        <x:v>heap (D)</x:v>
      </x:c>
      <x:c r="F2443" s="6" t="str">
        <x:v>1</x:v>
      </x:c>
      <x:c r="G2443" s="6" t="str"/>
      <x:c r="H2443" s="6" t="str">
        <x:f>IF(B2443="平","平",IF(B2443="","","仄"))</x:f>
        <x:v>仄</x:v>
      </x:c>
      <x:c r="I2443" s="6" t="str">
        <x:f>IF(D2433="","",IF(AND(ISNUMBER(SEARCH("平",D2433)),OR(ISNUMBER(SEARCH("上",D2433)),ISNUMBER(SEARCH("去",D2433)),ISNUMBER(SEARCH("入",D2433)))),"Ambiguous",IF(ISNUMBER(SEARCH("平",D2433)),"平","仄")))</x:f>
        <x:v>仄</x:v>
      </x:c>
      <x:c r="J2443" s="7" t="str"/>
    </x:row>
    <x:row r="2444">
      <x:c r="A2444" s="5" t="str">
        <x:v>狼</x:v>
      </x:c>
      <x:c r="B2444" s="6" t="str">
        <x:v>平</x:v>
      </x:c>
      <x:c r="C2444" s="6" t="str">
        <x:f>IF(B2444="","Needs decision","Ready")</x:f>
        <x:v>Ready</x:v>
      </x:c>
      <x:c r="D2444" s="6" t="str">
        <x:v>平</x:v>
      </x:c>
      <x:c r="E2444" s="6" t="str">
        <x:v>lang (A)</x:v>
      </x:c>
      <x:c r="F2444" s="6" t="str">
        <x:v>1</x:v>
      </x:c>
      <x:c r="G2444" s="6" t="str"/>
      <x:c r="H2444" s="6" t="str">
        <x:f>IF(B2444="平","平",IF(B2444="","","仄"))</x:f>
        <x:v>平</x:v>
      </x:c>
      <x:c r="I2444" s="6" t="str">
        <x:f>IF(D2434="","",IF(AND(ISNUMBER(SEARCH("平",D2434)),OR(ISNUMBER(SEARCH("上",D2434)),ISNUMBER(SEARCH("去",D2434)),ISNUMBER(SEARCH("入",D2434)))),"Ambiguous",IF(ISNUMBER(SEARCH("平",D2434)),"平","仄")))</x:f>
        <x:v>仄</x:v>
      </x:c>
      <x:c r="J2444" s="7" t="str"/>
    </x:row>
    <x:row r="2445">
      <x:c r="A2445" s="5" t="str">
        <x:v>狾</x:v>
      </x:c>
      <x:c r="B2445" s="6" t="str">
        <x:v>去</x:v>
      </x:c>
      <x:c r="C2445" s="6" t="str">
        <x:f>IF(B2445="","Needs decision","Ready")</x:f>
        <x:v>Ready</x:v>
      </x:c>
      <x:c r="D2445" s="6" t="str">
        <x:v>去</x:v>
      </x:c>
      <x:c r="E2445" s="6" t="str">
        <x:v>tsyejH (C)</x:v>
      </x:c>
      <x:c r="F2445" s="6" t="str">
        <x:v>1</x:v>
      </x:c>
      <x:c r="G2445" s="6" t="str"/>
      <x:c r="H2445" s="6" t="str">
        <x:f>IF(B2445="平","平",IF(B2445="","","仄"))</x:f>
        <x:v>仄</x:v>
      </x:c>
      <x:c r="I2445" s="6" t="str">
        <x:f>IF(D2435="","",IF(AND(ISNUMBER(SEARCH("平",D2435)),OR(ISNUMBER(SEARCH("上",D2435)),ISNUMBER(SEARCH("去",D2435)),ISNUMBER(SEARCH("入",D2435)))),"Ambiguous",IF(ISNUMBER(SEARCH("平",D2435)),"平","仄")))</x:f>
        <x:v>仄</x:v>
      </x:c>
      <x:c r="J2445" s="7" t="str"/>
    </x:row>
    <x:row r="2446">
      <x:c r="A2446" s="5" t="str">
        <x:v>猋</x:v>
      </x:c>
      <x:c r="B2446" s="6" t="str">
        <x:v>平</x:v>
      </x:c>
      <x:c r="C2446" s="6" t="str">
        <x:f>IF(B2446="","Needs decision","Ready")</x:f>
        <x:v>Ready</x:v>
      </x:c>
      <x:c r="D2446" s="6" t="str">
        <x:v>平</x:v>
      </x:c>
      <x:c r="E2446" s="6" t="str"/>
      <x:c r="F2446" s="6" t="str"/>
      <x:c r="G2446" s="6" t="str">
        <x:v>Manual user correction/addition</x:v>
      </x:c>
      <x:c r="H2446" s="6" t="str">
        <x:f>IF(B2446="平","平",IF(B2446="","","仄"))</x:f>
        <x:v>平</x:v>
      </x:c>
      <x:c r="I2446" s="6" t="str">
        <x:f>IF(D2436="","",IF(AND(ISNUMBER(SEARCH("平",D2436)),OR(ISNUMBER(SEARCH("上",D2436)),ISNUMBER(SEARCH("去",D2436)),ISNUMBER(SEARCH("入",D2436)))),"Ambiguous",IF(ISNUMBER(SEARCH("平",D2436)),"平","仄")))</x:f>
        <x:v>仄</x:v>
      </x:c>
      <x:c r="J2446" s="7" t="str">
        <x:v>manual user correction</x:v>
      </x:c>
    </x:row>
    <x:row r="2447">
      <x:c r="A2447" s="5" t="str">
        <x:v>猒</x:v>
      </x:c>
      <x:c r="B2447" s="6" t="str">
        <x:v>去</x:v>
      </x:c>
      <x:c r="C2447" s="6" t="str">
        <x:f>IF(B2447="","Needs decision","Ready")</x:f>
        <x:v>Ready</x:v>
      </x:c>
      <x:c r="D2447" s="6" t="str">
        <x:v>平/去</x:v>
      </x:c>
      <x:c r="E2447" s="6" t="str">
        <x:v>'jiem (A); 'jiemH (C)</x:v>
      </x:c>
      <x:c r="F2447" s="6" t="str">
        <x:v>2</x:v>
      </x:c>
      <x:c r="G2447" s="6" t="str"/>
      <x:c r="H2447" s="6" t="str">
        <x:f>IF(B2447="平","平",IF(B2447="","","仄"))</x:f>
        <x:v>仄</x:v>
      </x:c>
      <x:c r="I2447" s="6" t="str">
        <x:f>IF(D2437="","",IF(AND(ISNUMBER(SEARCH("平",D2437)),OR(ISNUMBER(SEARCH("上",D2437)),ISNUMBER(SEARCH("去",D2437)),ISNUMBER(SEARCH("入",D2437)))),"Ambiguous",IF(ISNUMBER(SEARCH("平",D2437)),"平","仄")))</x:f>
        <x:v>平</x:v>
      </x:c>
      <x:c r="J2447" s="7" t="str"/>
    </x:row>
    <x:row r="2448">
      <x:c r="A2448" s="5" t="str">
        <x:v>猘</x:v>
      </x:c>
      <x:c r="B2448" s="6" t="str">
        <x:v>去</x:v>
      </x:c>
      <x:c r="C2448" s="6" t="str">
        <x:f>IF(B2448="","Needs decision","Ready")</x:f>
        <x:v>Ready</x:v>
      </x:c>
      <x:c r="D2448" s="6" t="str">
        <x:v>去</x:v>
      </x:c>
      <x:c r="E2448" s="6" t="str">
        <x:v>kjejH (C)</x:v>
      </x:c>
      <x:c r="F2448" s="6" t="str">
        <x:v>1</x:v>
      </x:c>
      <x:c r="G2448" s="6" t="str"/>
      <x:c r="H2448" s="6" t="str">
        <x:f>IF(B2448="平","平",IF(B2448="","","仄"))</x:f>
        <x:v>仄</x:v>
      </x:c>
      <x:c r="I2448" s="6" t="str">
        <x:f>IF(D2438="","",IF(AND(ISNUMBER(SEARCH("平",D2438)),OR(ISNUMBER(SEARCH("上",D2438)),ISNUMBER(SEARCH("去",D2438)),ISNUMBER(SEARCH("入",D2438)))),"Ambiguous",IF(ISNUMBER(SEARCH("平",D2438)),"平","仄")))</x:f>
        <x:v>仄</x:v>
      </x:c>
      <x:c r="J2448" s="7" t="str"/>
    </x:row>
    <x:row r="2449">
      <x:c r="A2449" s="5" t="str">
        <x:v>猛</x:v>
      </x:c>
      <x:c r="B2449" s="6" t="str">
        <x:v>上</x:v>
      </x:c>
      <x:c r="C2449" s="6" t="str">
        <x:f>IF(B2449="","Needs decision","Ready")</x:f>
        <x:v>Ready</x:v>
      </x:c>
      <x:c r="D2449" s="6" t="str">
        <x:v>上</x:v>
      </x:c>
      <x:c r="E2449" s="6" t="str">
        <x:v>maengX [m̙aˤŋʔ] (上)</x:v>
      </x:c>
      <x:c r="F2449" s="6" t="str">
        <x:v>1</x:v>
      </x:c>
      <x:c r="G2449" s="6" t="str">
        <x:v>Tang 300 gap; frequency 2; provisional from Xun Gong</x:v>
      </x:c>
      <x:c r="H2449" s="6" t="str">
        <x:f>IF(B2449="平","平",IF(B2449="","","仄"))</x:f>
        <x:v>仄</x:v>
      </x:c>
      <x:c r="I2449" s="6" t="str">
        <x:f>IF(D2439="","",IF(AND(ISNUMBER(SEARCH("平",D2439)),OR(ISNUMBER(SEARCH("上",D2439)),ISNUMBER(SEARCH("去",D2439)),ISNUMBER(SEARCH("入",D2439)))),"Ambiguous",IF(ISNUMBER(SEARCH("平",D2439)),"平","仄")))</x:f>
        <x:v>平</x:v>
      </x:c>
      <x:c r="J2449" s="7" t="str">
        <x:v>Xun Gong, Tang 300 gap fill</x:v>
      </x:c>
    </x:row>
    <x:row r="2450">
      <x:c r="A2450" s="5" t="str">
        <x:v>猜</x:v>
      </x:c>
      <x:c r="B2450" s="6" t="str">
        <x:v>平</x:v>
      </x:c>
      <x:c r="C2450" s="6" t="str">
        <x:f>IF(B2450="","Needs decision","Ready")</x:f>
        <x:v>Ready</x:v>
      </x:c>
      <x:c r="D2450" s="6" t="str">
        <x:v>平</x:v>
      </x:c>
      <x:c r="E2450" s="6" t="str">
        <x:v>tshoj [t̙s̙ʰəj] (平)</x:v>
      </x:c>
      <x:c r="F2450" s="6" t="str">
        <x:v>1</x:v>
      </x:c>
      <x:c r="G2450" s="6" t="str">
        <x:v>Tang 300 gap; frequency 2; provisional from Xun Gong</x:v>
      </x:c>
      <x:c r="H2450" s="6" t="str">
        <x:f>IF(B2450="平","平",IF(B2450="","","仄"))</x:f>
        <x:v>平</x:v>
      </x:c>
      <x:c r="I2450" s="6" t="str">
        <x:f>IF(D2440="","",IF(AND(ISNUMBER(SEARCH("平",D2440)),OR(ISNUMBER(SEARCH("上",D2440)),ISNUMBER(SEARCH("去",D2440)),ISNUMBER(SEARCH("入",D2440)))),"Ambiguous",IF(ISNUMBER(SEARCH("平",D2440)),"平","仄")))</x:f>
        <x:v>仄</x:v>
      </x:c>
      <x:c r="J2450" s="7" t="str">
        <x:v>Xun Gong, Tang 300 gap fill</x:v>
      </x:c>
    </x:row>
    <x:row r="2451">
      <x:c r="A2451" s="5" t="str">
        <x:v>猨</x:v>
      </x:c>
      <x:c r="B2451" s="6" t="str">
        <x:v>平</x:v>
      </x:c>
      <x:c r="C2451" s="6" t="str">
        <x:f>IF(B2451="","Needs decision","Ready")</x:f>
        <x:v>Ready</x:v>
      </x:c>
      <x:c r="D2451" s="6" t="str">
        <x:v>平</x:v>
      </x:c>
      <x:c r="E2451" s="6" t="str">
        <x:v>hjwon (A)</x:v>
      </x:c>
      <x:c r="F2451" s="6" t="str">
        <x:v>1</x:v>
      </x:c>
      <x:c r="G2451" s="6" t="str"/>
      <x:c r="H2451" s="6" t="str">
        <x:f>IF(B2451="平","平",IF(B2451="","","仄"))</x:f>
        <x:v>平</x:v>
      </x:c>
      <x:c r="I2451" s="6" t="str">
        <x:f>IF(D2441="","",IF(AND(ISNUMBER(SEARCH("平",D2441)),OR(ISNUMBER(SEARCH("上",D2441)),ISNUMBER(SEARCH("去",D2441)),ISNUMBER(SEARCH("入",D2441)))),"Ambiguous",IF(ISNUMBER(SEARCH("平",D2441)),"平","仄")))</x:f>
        <x:v>仄</x:v>
      </x:c>
      <x:c r="J2451" s="7" t="str"/>
    </x:row>
    <x:row r="2452">
      <x:c r="A2452" s="5" t="str">
        <x:v>猩</x:v>
      </x:c>
      <x:c r="B2452" s="6" t="str">
        <x:v>平</x:v>
      </x:c>
      <x:c r="C2452" s="6" t="str">
        <x:f>IF(B2452="","Needs decision","Ready")</x:f>
        <x:v>Ready</x:v>
      </x:c>
      <x:c r="D2452" s="6" t="str">
        <x:v>平</x:v>
      </x:c>
      <x:c r="E2452" s="6" t="str">
        <x:v>seng [s̙eŋ] (平); srjaeng [ʂɨ̯aŋ] (平)</x:v>
      </x:c>
      <x:c r="F2452" s="6" t="str">
        <x:v>2</x:v>
      </x:c>
      <x:c r="G2452" s="6" t="str">
        <x:v>Tang 300 gap; frequency 2; provisional from Xun Gong</x:v>
      </x:c>
      <x:c r="H2452" s="6" t="str">
        <x:f>IF(B2452="平","平",IF(B2452="","","仄"))</x:f>
        <x:v>平</x:v>
      </x:c>
      <x:c r="I2452" s="6" t="str">
        <x:f>IF(D2442="","",IF(AND(ISNUMBER(SEARCH("平",D2442)),OR(ISNUMBER(SEARCH("上",D2442)),ISNUMBER(SEARCH("去",D2442)),ISNUMBER(SEARCH("入",D2442)))),"Ambiguous",IF(ISNUMBER(SEARCH("平",D2442)),"平","仄")))</x:f>
        <x:v>平</x:v>
      </x:c>
      <x:c r="J2452" s="7" t="str">
        <x:v>Xun Gong, Tang 300 gap fill</x:v>
      </x:c>
    </x:row>
    <x:row r="2453">
      <x:c r="A2453" s="5" t="str">
        <x:v>猱</x:v>
      </x:c>
      <x:c r="B2453" s="6" t="str">
        <x:v>平</x:v>
      </x:c>
      <x:c r="C2453" s="6" t="str">
        <x:f>IF(B2453="","Needs decision","Ready")</x:f>
        <x:v>Ready</x:v>
      </x:c>
      <x:c r="D2453" s="6" t="str">
        <x:v>平</x:v>
      </x:c>
      <x:c r="E2453" s="6" t="str">
        <x:v>naw (A)</x:v>
      </x:c>
      <x:c r="F2453" s="6" t="str">
        <x:v>1</x:v>
      </x:c>
      <x:c r="G2453" s="6" t="str"/>
      <x:c r="H2453" s="6" t="str">
        <x:f>IF(B2453="平","平",IF(B2453="","","仄"))</x:f>
        <x:v>平</x:v>
      </x:c>
      <x:c r="I2453" s="6" t="str">
        <x:f>IF(D2443="","",IF(AND(ISNUMBER(SEARCH("平",D2443)),OR(ISNUMBER(SEARCH("上",D2443)),ISNUMBER(SEARCH("去",D2443)),ISNUMBER(SEARCH("入",D2443)))),"Ambiguous",IF(ISNUMBER(SEARCH("平",D2443)),"平","仄")))</x:f>
        <x:v>仄</x:v>
      </x:c>
      <x:c r="J2453" s="7" t="str"/>
    </x:row>
    <x:row r="2454">
      <x:c r="A2454" s="5" t="str">
        <x:v>猴</x:v>
      </x:c>
      <x:c r="B2454" s="6" t="str">
        <x:v>平</x:v>
      </x:c>
      <x:c r="C2454" s="6" t="str">
        <x:f>IF(B2454="","Needs decision","Ready")</x:f>
        <x:v>Ready</x:v>
      </x:c>
      <x:c r="D2454" s="6" t="str">
        <x:v>平</x:v>
      </x:c>
      <x:c r="E2454" s="6" t="str">
        <x:v>huw (A)</x:v>
      </x:c>
      <x:c r="F2454" s="6" t="str">
        <x:v>1</x:v>
      </x:c>
      <x:c r="G2454" s="6" t="str"/>
      <x:c r="H2454" s="6" t="str">
        <x:f>IF(B2454="平","平",IF(B2454="","","仄"))</x:f>
        <x:v>平</x:v>
      </x:c>
      <x:c r="I2454" s="6" t="str">
        <x:f>IF(D2444="","",IF(AND(ISNUMBER(SEARCH("平",D2444)),OR(ISNUMBER(SEARCH("上",D2444)),ISNUMBER(SEARCH("去",D2444)),ISNUMBER(SEARCH("入",D2444)))),"Ambiguous",IF(ISNUMBER(SEARCH("平",D2444)),"平","仄")))</x:f>
        <x:v>平</x:v>
      </x:c>
      <x:c r="J2454" s="7" t="str"/>
    </x:row>
    <x:row r="2455">
      <x:c r="A2455" s="5" t="str">
        <x:v>猶</x:v>
      </x:c>
      <x:c r="B2455" s="6" t="str">
        <x:v>平</x:v>
      </x:c>
      <x:c r="C2455" s="6" t="str">
        <x:f>IF(B2455="","Needs decision","Ready")</x:f>
        <x:v>Ready</x:v>
      </x:c>
      <x:c r="D2455" s="6" t="str">
        <x:v>平</x:v>
      </x:c>
      <x:c r="E2455" s="6" t="str">
        <x:v>yuw (A)</x:v>
      </x:c>
      <x:c r="F2455" s="6" t="str">
        <x:v>1</x:v>
      </x:c>
      <x:c r="G2455" s="6" t="str"/>
      <x:c r="H2455" s="6" t="str">
        <x:f>IF(B2455="平","平",IF(B2455="","","仄"))</x:f>
        <x:v>平</x:v>
      </x:c>
      <x:c r="I2455" s="6" t="str">
        <x:f>IF(D2445="","",IF(AND(ISNUMBER(SEARCH("平",D2445)),OR(ISNUMBER(SEARCH("上",D2445)),ISNUMBER(SEARCH("去",D2445)),ISNUMBER(SEARCH("入",D2445)))),"Ambiguous",IF(ISNUMBER(SEARCH("平",D2445)),"平","仄")))</x:f>
        <x:v>仄</x:v>
      </x:c>
      <x:c r="J2455" s="7" t="str"/>
    </x:row>
    <x:row r="2456">
      <x:c r="A2456" s="5" t="str">
        <x:v>猷</x:v>
      </x:c>
      <x:c r="B2456" s="6" t="str">
        <x:v>平</x:v>
      </x:c>
      <x:c r="C2456" s="6" t="str">
        <x:f>IF(B2456="","Needs decision","Ready")</x:f>
        <x:v>Ready</x:v>
      </x:c>
      <x:c r="D2456" s="6" t="str">
        <x:v>平</x:v>
      </x:c>
      <x:c r="E2456" s="6" t="str"/>
      <x:c r="F2456" s="6" t="str"/>
      <x:c r="G2456" s="6" t="str">
        <x:v>Manual user correction/addition</x:v>
      </x:c>
      <x:c r="H2456" s="6" t="str">
        <x:f>IF(B2456="平","平",IF(B2456="","","仄"))</x:f>
        <x:v>平</x:v>
      </x:c>
      <x:c r="I2456" s="6" t="str">
        <x:f>IF(D2446="","",IF(AND(ISNUMBER(SEARCH("平",D2446)),OR(ISNUMBER(SEARCH("上",D2446)),ISNUMBER(SEARCH("去",D2446)),ISNUMBER(SEARCH("入",D2446)))),"Ambiguous",IF(ISNUMBER(SEARCH("平",D2446)),"平","仄")))</x:f>
        <x:v>平</x:v>
      </x:c>
      <x:c r="J2456" s="7" t="str">
        <x:v>manual user correction</x:v>
      </x:c>
    </x:row>
    <x:row r="2457">
      <x:c r="A2457" s="5" t="str">
        <x:v>猾</x:v>
      </x:c>
      <x:c r="B2457" s="6" t="str">
        <x:v>入</x:v>
      </x:c>
      <x:c r="C2457" s="6" t="str">
        <x:f>IF(B2457="","Needs decision","Ready")</x:f>
        <x:v>Ready</x:v>
      </x:c>
      <x:c r="D2457" s="6" t="str">
        <x:v>入</x:v>
      </x:c>
      <x:c r="E2457" s="6" t="str">
        <x:v>hweat (D)</x:v>
      </x:c>
      <x:c r="F2457" s="6" t="str">
        <x:v>1</x:v>
      </x:c>
      <x:c r="G2457" s="6" t="str"/>
      <x:c r="H2457" s="6" t="str">
        <x:f>IF(B2457="平","平",IF(B2457="","","仄"))</x:f>
        <x:v>仄</x:v>
      </x:c>
      <x:c r="I2457" s="6" t="str">
        <x:f>IF(D2447="","",IF(AND(ISNUMBER(SEARCH("平",D2447)),OR(ISNUMBER(SEARCH("上",D2447)),ISNUMBER(SEARCH("去",D2447)),ISNUMBER(SEARCH("入",D2447)))),"Ambiguous",IF(ISNUMBER(SEARCH("平",D2447)),"平","仄")))</x:f>
        <x:v>Ambiguous</x:v>
      </x:c>
      <x:c r="J2457" s="7" t="str"/>
    </x:row>
    <x:row r="2458">
      <x:c r="A2458" s="5" t="str">
        <x:v>猿</x:v>
      </x:c>
      <x:c r="B2458" s="6" t="str">
        <x:v>平</x:v>
      </x:c>
      <x:c r="C2458" s="6" t="str">
        <x:f>IF(B2458="","Needs decision","Ready")</x:f>
        <x:v>Ready</x:v>
      </x:c>
      <x:c r="D2458" s="6" t="str">
        <x:v>平</x:v>
      </x:c>
      <x:c r="E2458" s="6" t="str">
        <x:v>hjwon [wɨ̯ən] (平)</x:v>
      </x:c>
      <x:c r="F2458" s="6" t="str">
        <x:v>1</x:v>
      </x:c>
      <x:c r="G2458" s="6" t="str">
        <x:v>Tang 300 gap; frequency 12; provisional from Xun Gong</x:v>
      </x:c>
      <x:c r="H2458" s="6" t="str">
        <x:f>IF(B2458="平","平",IF(B2458="","","仄"))</x:f>
        <x:v>平</x:v>
      </x:c>
      <x:c r="I2458" s="6" t="str">
        <x:f>IF(D2448="","",IF(AND(ISNUMBER(SEARCH("平",D2448)),OR(ISNUMBER(SEARCH("上",D2448)),ISNUMBER(SEARCH("去",D2448)),ISNUMBER(SEARCH("入",D2448)))),"Ambiguous",IF(ISNUMBER(SEARCH("平",D2448)),"平","仄")))</x:f>
        <x:v>仄</x:v>
      </x:c>
      <x:c r="J2458" s="7" t="str">
        <x:v>Xun Gong, Tang 300 gap fill</x:v>
      </x:c>
    </x:row>
    <x:row r="2459">
      <x:c r="A2459" s="5" t="str">
        <x:v>獄</x:v>
      </x:c>
      <x:c r="B2459" s="6" t="str">
        <x:v>入</x:v>
      </x:c>
      <x:c r="C2459" s="6" t="str">
        <x:f>IF(B2459="","Needs decision","Ready")</x:f>
        <x:v>Ready</x:v>
      </x:c>
      <x:c r="D2459" s="6" t="str">
        <x:v>入</x:v>
      </x:c>
      <x:c r="E2459" s="6" t="str">
        <x:v>ngjowk (D)</x:v>
      </x:c>
      <x:c r="F2459" s="6" t="str">
        <x:v>1</x:v>
      </x:c>
      <x:c r="G2459" s="6" t="str"/>
      <x:c r="H2459" s="6" t="str">
        <x:f>IF(B2459="平","平",IF(B2459="","","仄"))</x:f>
        <x:v>仄</x:v>
      </x:c>
      <x:c r="I2459" s="6" t="str">
        <x:f>IF(D2449="","",IF(AND(ISNUMBER(SEARCH("平",D2449)),OR(ISNUMBER(SEARCH("上",D2449)),ISNUMBER(SEARCH("去",D2449)),ISNUMBER(SEARCH("入",D2449)))),"Ambiguous",IF(ISNUMBER(SEARCH("平",D2449)),"平","仄")))</x:f>
        <x:v>仄</x:v>
      </x:c>
      <x:c r="J2459" s="7" t="str"/>
    </x:row>
    <x:row r="2460">
      <x:c r="A2460" s="5" t="str">
        <x:v>獅</x:v>
      </x:c>
      <x:c r="B2460" s="6" t="str">
        <x:v>平</x:v>
      </x:c>
      <x:c r="C2460" s="6" t="str">
        <x:f>IF(B2460="","Needs decision","Ready")</x:f>
        <x:v>Ready</x:v>
      </x:c>
      <x:c r="D2460" s="6" t="str">
        <x:v>平</x:v>
      </x:c>
      <x:c r="E2460" s="6" t="str">
        <x:v>srij [ʂɨ̯i] (平)</x:v>
      </x:c>
      <x:c r="F2460" s="6" t="str">
        <x:v>1</x:v>
      </x:c>
      <x:c r="G2460" s="6" t="str">
        <x:v>Tang 300 gap; frequency 1; provisional from Xun Gong</x:v>
      </x:c>
      <x:c r="H2460" s="6" t="str">
        <x:f>IF(B2460="平","平",IF(B2460="","","仄"))</x:f>
        <x:v>平</x:v>
      </x:c>
      <x:c r="I2460" s="6" t="str">
        <x:f>IF(D2450="","",IF(AND(ISNUMBER(SEARCH("平",D2450)),OR(ISNUMBER(SEARCH("上",D2450)),ISNUMBER(SEARCH("去",D2450)),ISNUMBER(SEARCH("入",D2450)))),"Ambiguous",IF(ISNUMBER(SEARCH("平",D2450)),"平","仄")))</x:f>
        <x:v>平</x:v>
      </x:c>
      <x:c r="J2460" s="7" t="str">
        <x:v>Xun Gong, Tang 300 gap fill</x:v>
      </x:c>
    </x:row>
    <x:row r="2461">
      <x:c r="A2461" s="5" t="str">
        <x:v>獎</x:v>
      </x:c>
      <x:c r="B2461" s="6" t="str">
        <x:v>上</x:v>
      </x:c>
      <x:c r="C2461" s="6" t="str">
        <x:f>IF(B2461="","Needs decision","Ready")</x:f>
        <x:v>Ready</x:v>
      </x:c>
      <x:c r="D2461" s="6" t="str">
        <x:v>上</x:v>
      </x:c>
      <x:c r="E2461" s="6" t="str"/>
      <x:c r="F2461" s="6" t="str"/>
      <x:c r="G2461" s="6" t="str">
        <x:v>Manual user correction/addition</x:v>
      </x:c>
      <x:c r="H2461" s="6" t="str">
        <x:f>IF(B2461="平","平",IF(B2461="","","仄"))</x:f>
        <x:v>仄</x:v>
      </x:c>
      <x:c r="I2461" s="6" t="str">
        <x:v>仄</x:v>
      </x:c>
      <x:c r="J2461" s="7" t="str">
        <x:v>manual user correction</x:v>
      </x:c>
    </x:row>
    <x:row r="2462">
      <x:c r="A2462" s="5" t="str">
        <x:v>獐</x:v>
      </x:c>
      <x:c r="B2462" s="6" t="str">
        <x:v>平</x:v>
      </x:c>
      <x:c r="C2462" s="6" t="str">
        <x:f>IF(B2462="","Needs decision","Ready")</x:f>
        <x:v>Ready</x:v>
      </x:c>
      <x:c r="D2462" s="6" t="str">
        <x:v>平</x:v>
      </x:c>
      <x:c r="E2462" s="6" t="str">
        <x:v>tsyang (A)</x:v>
      </x:c>
      <x:c r="F2462" s="6" t="str">
        <x:v>1</x:v>
      </x:c>
      <x:c r="G2462" s="6" t="str"/>
      <x:c r="H2462" s="6" t="str">
        <x:f>IF(B2462="平","平",IF(B2462="","","仄"))</x:f>
        <x:v>平</x:v>
      </x:c>
      <x:c r="I2462" s="6" t="str">
        <x:f>IF(D2451="","",IF(AND(ISNUMBER(SEARCH("平",D2451)),OR(ISNUMBER(SEARCH("上",D2451)),ISNUMBER(SEARCH("去",D2451)),ISNUMBER(SEARCH("入",D2451)))),"Ambiguous",IF(ISNUMBER(SEARCH("平",D2451)),"平","仄")))</x:f>
        <x:v>平</x:v>
      </x:c>
      <x:c r="J2462" s="7" t="str"/>
    </x:row>
    <x:row r="2463">
      <x:c r="A2463" s="5" t="str">
        <x:v>獨</x:v>
      </x:c>
      <x:c r="B2463" s="6" t="str">
        <x:v>入</x:v>
      </x:c>
      <x:c r="C2463" s="6" t="str">
        <x:f>IF(B2463="","Needs decision","Ready")</x:f>
        <x:v>Ready</x:v>
      </x:c>
      <x:c r="D2463" s="6" t="str">
        <x:v>入</x:v>
      </x:c>
      <x:c r="E2463" s="6" t="str">
        <x:v>duwk (D)</x:v>
      </x:c>
      <x:c r="F2463" s="6" t="str">
        <x:v>1</x:v>
      </x:c>
      <x:c r="G2463" s="6" t="str"/>
      <x:c r="H2463" s="6" t="str">
        <x:f>IF(B2463="平","平",IF(B2463="","","仄"))</x:f>
        <x:v>仄</x:v>
      </x:c>
      <x:c r="I2463" s="6" t="str">
        <x:f>IF(D2452="","",IF(AND(ISNUMBER(SEARCH("平",D2452)),OR(ISNUMBER(SEARCH("上",D2452)),ISNUMBER(SEARCH("去",D2452)),ISNUMBER(SEARCH("入",D2452)))),"Ambiguous",IF(ISNUMBER(SEARCH("平",D2452)),"平","仄")))</x:f>
        <x:v>平</x:v>
      </x:c>
      <x:c r="J2463" s="7" t="str"/>
    </x:row>
    <x:row r="2464">
      <x:c r="A2464" s="5" t="str">
        <x:v>獮</x:v>
      </x:c>
      <x:c r="B2464" s="6" t="str">
        <x:v>上</x:v>
      </x:c>
      <x:c r="C2464" s="6" t="str">
        <x:f>IF(B2464="","Needs decision","Ready")</x:f>
        <x:v>Ready</x:v>
      </x:c>
      <x:c r="D2464" s="6" t="str">
        <x:v>上</x:v>
      </x:c>
      <x:c r="E2464" s="6" t="str">
        <x:v>sjenX (B)</x:v>
      </x:c>
      <x:c r="F2464" s="6" t="str">
        <x:v>1</x:v>
      </x:c>
      <x:c r="G2464" s="6" t="str"/>
      <x:c r="H2464" s="6" t="str">
        <x:f>IF(B2464="平","平",IF(B2464="","","仄"))</x:f>
        <x:v>仄</x:v>
      </x:c>
      <x:c r="I2464" s="6" t="str">
        <x:f>IF(D2453="","",IF(AND(ISNUMBER(SEARCH("平",D2453)),OR(ISNUMBER(SEARCH("上",D2453)),ISNUMBER(SEARCH("去",D2453)),ISNUMBER(SEARCH("入",D2453)))),"Ambiguous",IF(ISNUMBER(SEARCH("平",D2453)),"平","仄")))</x:f>
        <x:v>平</x:v>
      </x:c>
      <x:c r="J2464" s="7" t="str"/>
    </x:row>
    <x:row r="2465">
      <x:c r="A2465" s="5" t="str">
        <x:v>獲</x:v>
      </x:c>
      <x:c r="B2465" s="6" t="str">
        <x:v>入</x:v>
      </x:c>
      <x:c r="C2465" s="6" t="str">
        <x:f>IF(B2465="","Needs decision","Ready")</x:f>
        <x:v>Ready</x:v>
      </x:c>
      <x:c r="D2465" s="6" t="str">
        <x:v>入</x:v>
      </x:c>
      <x:c r="E2465" s="6" t="str">
        <x:v>hweak (D)</x:v>
      </x:c>
      <x:c r="F2465" s="6" t="str">
        <x:v>1</x:v>
      </x:c>
      <x:c r="G2465" s="6" t="str"/>
      <x:c r="H2465" s="6" t="str">
        <x:f>IF(B2465="平","平",IF(B2465="","","仄"))</x:f>
        <x:v>仄</x:v>
      </x:c>
      <x:c r="I2465" s="6" t="str">
        <x:f>IF(D2454="","",IF(AND(ISNUMBER(SEARCH("平",D2454)),OR(ISNUMBER(SEARCH("上",D2454)),ISNUMBER(SEARCH("去",D2454)),ISNUMBER(SEARCH("入",D2454)))),"Ambiguous",IF(ISNUMBER(SEARCH("平",D2454)),"平","仄")))</x:f>
        <x:v>平</x:v>
      </x:c>
      <x:c r="J2465" s="7" t="str"/>
    </x:row>
    <x:row r="2466">
      <x:c r="A2466" s="5" t="str">
        <x:v>獵</x:v>
      </x:c>
      <x:c r="B2466" s="6" t="str">
        <x:v>入</x:v>
      </x:c>
      <x:c r="C2466" s="6" t="str">
        <x:f>IF(B2466="","Needs decision","Ready")</x:f>
        <x:v>Ready</x:v>
      </x:c>
      <x:c r="D2466" s="6" t="str">
        <x:v>入</x:v>
      </x:c>
      <x:c r="E2466" s="6" t="str">
        <x:v>ljep (D)</x:v>
      </x:c>
      <x:c r="F2466" s="6" t="str">
        <x:v>1</x:v>
      </x:c>
      <x:c r="G2466" s="6" t="str"/>
      <x:c r="H2466" s="6" t="str">
        <x:f>IF(B2466="平","平",IF(B2466="","","仄"))</x:f>
        <x:v>仄</x:v>
      </x:c>
      <x:c r="I2466" s="6" t="str">
        <x:f>IF(D2455="","",IF(AND(ISNUMBER(SEARCH("平",D2455)),OR(ISNUMBER(SEARCH("上",D2455)),ISNUMBER(SEARCH("去",D2455)),ISNUMBER(SEARCH("入",D2455)))),"Ambiguous",IF(ISNUMBER(SEARCH("平",D2455)),"平","仄")))</x:f>
        <x:v>平</x:v>
      </x:c>
      <x:c r="J2466" s="7" t="str"/>
    </x:row>
    <x:row r="2467">
      <x:c r="A2467" s="5" t="str">
        <x:v>獶</x:v>
      </x:c>
      <x:c r="B2467" s="6" t="str">
        <x:v>平</x:v>
      </x:c>
      <x:c r="C2467" s="6" t="str">
        <x:f>IF(B2467="","Needs decision","Ready")</x:f>
        <x:v>Ready</x:v>
      </x:c>
      <x:c r="D2467" s="6" t="str">
        <x:v>平</x:v>
      </x:c>
      <x:c r="E2467" s="6" t="str">
        <x:v>naw (A)</x:v>
      </x:c>
      <x:c r="F2467" s="6" t="str">
        <x:v>1</x:v>
      </x:c>
      <x:c r="G2467" s="6" t="str"/>
      <x:c r="H2467" s="6" t="str">
        <x:f>IF(B2467="平","平",IF(B2467="","","仄"))</x:f>
        <x:v>平</x:v>
      </x:c>
      <x:c r="I2467" s="6" t="str">
        <x:f>IF(D2456="","",IF(AND(ISNUMBER(SEARCH("平",D2456)),OR(ISNUMBER(SEARCH("上",D2456)),ISNUMBER(SEARCH("去",D2456)),ISNUMBER(SEARCH("入",D2456)))),"Ambiguous",IF(ISNUMBER(SEARCH("平",D2456)),"平","仄")))</x:f>
        <x:v>平</x:v>
      </x:c>
      <x:c r="J2467" s="7" t="str"/>
    </x:row>
    <x:row r="2468">
      <x:c r="A2468" s="5" t="str">
        <x:v>獸</x:v>
      </x:c>
      <x:c r="B2468" s="6" t="str">
        <x:v>去</x:v>
      </x:c>
      <x:c r="C2468" s="6" t="str">
        <x:f>IF(B2468="","Needs decision","Ready")</x:f>
        <x:v>Ready</x:v>
      </x:c>
      <x:c r="D2468" s="6" t="str">
        <x:v>去</x:v>
      </x:c>
      <x:c r="E2468" s="6" t="str">
        <x:v>syuwH (C)</x:v>
      </x:c>
      <x:c r="F2468" s="6" t="str">
        <x:v>1</x:v>
      </x:c>
      <x:c r="G2468" s="6" t="str"/>
      <x:c r="H2468" s="6" t="str">
        <x:f>IF(B2468="平","平",IF(B2468="","","仄"))</x:f>
        <x:v>仄</x:v>
      </x:c>
      <x:c r="I2468" s="6" t="str">
        <x:f>IF(D2457="","",IF(AND(ISNUMBER(SEARCH("平",D2457)),OR(ISNUMBER(SEARCH("上",D2457)),ISNUMBER(SEARCH("去",D2457)),ISNUMBER(SEARCH("入",D2457)))),"Ambiguous",IF(ISNUMBER(SEARCH("平",D2457)),"平","仄")))</x:f>
        <x:v>仄</x:v>
      </x:c>
      <x:c r="J2468" s="7" t="str"/>
    </x:row>
    <x:row r="2469">
      <x:c r="A2469" s="5" t="str">
        <x:v>獺</x:v>
      </x:c>
      <x:c r="B2469" s="6" t="str">
        <x:v>入</x:v>
      </x:c>
      <x:c r="C2469" s="6" t="str">
        <x:f>IF(B2469="","Needs decision","Ready")</x:f>
        <x:v>Ready</x:v>
      </x:c>
      <x:c r="D2469" s="6" t="str">
        <x:v>入</x:v>
      </x:c>
      <x:c r="E2469" s="6" t="str">
        <x:v>that (D); trhaet (D)</x:v>
      </x:c>
      <x:c r="F2469" s="6" t="str">
        <x:v>2</x:v>
      </x:c>
      <x:c r="G2469" s="6" t="str"/>
      <x:c r="H2469" s="6" t="str">
        <x:f>IF(B2469="平","平",IF(B2469="","","仄"))</x:f>
        <x:v>仄</x:v>
      </x:c>
      <x:c r="I2469" s="6" t="str">
        <x:f>IF(D2458="","",IF(AND(ISNUMBER(SEARCH("平",D2458)),OR(ISNUMBER(SEARCH("上",D2458)),ISNUMBER(SEARCH("去",D2458)),ISNUMBER(SEARCH("入",D2458)))),"Ambiguous",IF(ISNUMBER(SEARCH("平",D2458)),"平","仄")))</x:f>
        <x:v>平</x:v>
      </x:c>
      <x:c r="J2469" s="7" t="str"/>
    </x:row>
    <x:row r="2470">
      <x:c r="A2470" s="5" t="str">
        <x:v>獻</x:v>
      </x:c>
      <x:c r="B2470" s="6" t="str">
        <x:v>去</x:v>
      </x:c>
      <x:c r="C2470" s="6" t="str">
        <x:f>IF(B2470="","Needs decision","Ready")</x:f>
        <x:v>Ready</x:v>
      </x:c>
      <x:c r="D2470" s="6" t="str">
        <x:v>平/去</x:v>
      </x:c>
      <x:c r="E2470" s="6" t="str">
        <x:v>sa (A); xjonH (C)</x:v>
      </x:c>
      <x:c r="F2470" s="6" t="str">
        <x:v>2</x:v>
      </x:c>
      <x:c r="G2470" s="6" t="str"/>
      <x:c r="H2470" s="6" t="str">
        <x:f>IF(B2470="平","平",IF(B2470="","","仄"))</x:f>
        <x:v>仄</x:v>
      </x:c>
      <x:c r="I2470" s="6" t="str">
        <x:f>IF(D2459="","",IF(AND(ISNUMBER(SEARCH("平",D2459)),OR(ISNUMBER(SEARCH("上",D2459)),ISNUMBER(SEARCH("去",D2459)),ISNUMBER(SEARCH("入",D2459)))),"Ambiguous",IF(ISNUMBER(SEARCH("平",D2459)),"平","仄")))</x:f>
        <x:v>仄</x:v>
      </x:c>
      <x:c r="J2470" s="7" t="str"/>
    </x:row>
    <x:row r="2471">
      <x:c r="A2471" s="5" t="str">
        <x:v>玄</x:v>
      </x:c>
      <x:c r="B2471" s="6" t="str">
        <x:v>平</x:v>
      </x:c>
      <x:c r="C2471" s="6" t="str">
        <x:f>IF(B2471="","Needs decision","Ready")</x:f>
        <x:v>Ready</x:v>
      </x:c>
      <x:c r="D2471" s="6" t="str">
        <x:v>平</x:v>
      </x:c>
      <x:c r="E2471" s="6" t="str">
        <x:v>hwen (A)</x:v>
      </x:c>
      <x:c r="F2471" s="6" t="str">
        <x:v>1</x:v>
      </x:c>
      <x:c r="G2471" s="6" t="str"/>
      <x:c r="H2471" s="6" t="str">
        <x:f>IF(B2471="平","平",IF(B2471="","","仄"))</x:f>
        <x:v>平</x:v>
      </x:c>
      <x:c r="I2471" s="6" t="str">
        <x:f>IF(D2460="","",IF(AND(ISNUMBER(SEARCH("平",D2460)),OR(ISNUMBER(SEARCH("上",D2460)),ISNUMBER(SEARCH("去",D2460)),ISNUMBER(SEARCH("入",D2460)))),"Ambiguous",IF(ISNUMBER(SEARCH("平",D2460)),"平","仄")))</x:f>
        <x:v>平</x:v>
      </x:c>
      <x:c r="J2471" s="7" t="str"/>
    </x:row>
    <x:row r="2472">
      <x:c r="A2472" s="5" t="str">
        <x:v>率</x:v>
      </x:c>
      <x:c r="B2472" s="6" t="str">
        <x:v>去</x:v>
      </x:c>
      <x:c r="C2472" s="6" t="str">
        <x:f>IF(B2472="","Needs decision","Ready")</x:f>
        <x:v>Ready</x:v>
      </x:c>
      <x:c r="D2472" s="6" t="str">
        <x:v>去/入</x:v>
      </x:c>
      <x:c r="E2472" s="6" t="str">
        <x:v>lwijH (C); lwit (D); srwijH (C); srwit (D)</x:v>
      </x:c>
      <x:c r="F2472" s="6" t="str">
        <x:v>4</x:v>
      </x:c>
      <x:c r="G2472" s="6" t="str"/>
      <x:c r="H2472" s="6" t="str">
        <x:f>IF(B2472="平","平",IF(B2472="","","仄"))</x:f>
        <x:v>仄</x:v>
      </x:c>
      <x:c r="I2472" s="6" t="str">
        <x:f>IF(D2461="","",IF(AND(ISNUMBER(SEARCH("平",D2461)),OR(ISNUMBER(SEARCH("上",D2461)),ISNUMBER(SEARCH("去",D2461)),ISNUMBER(SEARCH("入",D2461)))),"Ambiguous",IF(ISNUMBER(SEARCH("平",D2461)),"平","仄")))</x:f>
        <x:v>仄</x:v>
      </x:c>
      <x:c r="J2472" s="7" t="str"/>
    </x:row>
    <x:row r="2473">
      <x:c r="A2473" s="5" t="str">
        <x:v>玉</x:v>
      </x:c>
      <x:c r="B2473" s="6" t="str">
        <x:v>入</x:v>
      </x:c>
      <x:c r="C2473" s="6" t="str">
        <x:f>IF(B2473="","Needs decision","Ready")</x:f>
        <x:v>Ready</x:v>
      </x:c>
      <x:c r="D2473" s="6" t="str">
        <x:v>入</x:v>
      </x:c>
      <x:c r="E2473" s="6" t="str">
        <x:v>ngjowk (D)</x:v>
      </x:c>
      <x:c r="F2473" s="6" t="str">
        <x:v>1</x:v>
      </x:c>
      <x:c r="G2473" s="6" t="str"/>
      <x:c r="H2473" s="6" t="str">
        <x:f>IF(B2473="平","平",IF(B2473="","","仄"))</x:f>
        <x:v>仄</x:v>
      </x:c>
      <x:c r="I2473" s="6" t="str">
        <x:f>IF(D2462="","",IF(AND(ISNUMBER(SEARCH("平",D2462)),OR(ISNUMBER(SEARCH("上",D2462)),ISNUMBER(SEARCH("去",D2462)),ISNUMBER(SEARCH("入",D2462)))),"Ambiguous",IF(ISNUMBER(SEARCH("平",D2462)),"平","仄")))</x:f>
        <x:v>平</x:v>
      </x:c>
      <x:c r="J2473" s="7" t="str"/>
    </x:row>
    <x:row r="2474">
      <x:c r="A2474" s="5" t="str">
        <x:v>王</x:v>
      </x:c>
      <x:c r="B2474" s="6" t="str">
        <x:v>平</x:v>
      </x:c>
      <x:c r="C2474" s="6" t="str">
        <x:f>IF(B2474="","Needs decision","Ready")</x:f>
        <x:v>Ready</x:v>
      </x:c>
      <x:c r="D2474" s="6" t="str">
        <x:v>平/去</x:v>
      </x:c>
      <x:c r="E2474" s="6" t="str">
        <x:v>hjwang (A); hjwangH (C)</x:v>
      </x:c>
      <x:c r="F2474" s="6" t="str">
        <x:v>2</x:v>
      </x:c>
      <x:c r="G2474" s="6" t="str"/>
      <x:c r="H2474" s="6" t="str">
        <x:f>IF(B2474="平","平",IF(B2474="","","仄"))</x:f>
        <x:v>平</x:v>
      </x:c>
      <x:c r="I2474" s="6" t="str">
        <x:f>IF(D2463="","",IF(AND(ISNUMBER(SEARCH("平",D2463)),OR(ISNUMBER(SEARCH("上",D2463)),ISNUMBER(SEARCH("去",D2463)),ISNUMBER(SEARCH("入",D2463)))),"Ambiguous",IF(ISNUMBER(SEARCH("平",D2463)),"平","仄")))</x:f>
        <x:v>仄</x:v>
      </x:c>
      <x:c r="J2474" s="7" t="str"/>
    </x:row>
    <x:row r="2475">
      <x:c r="A2475" s="5" t="str">
        <x:v>玦</x:v>
      </x:c>
      <x:c r="B2475" s="6" t="str">
        <x:v>入</x:v>
      </x:c>
      <x:c r="C2475" s="6" t="str">
        <x:f>IF(B2475="","Needs decision","Ready")</x:f>
        <x:v>Ready</x:v>
      </x:c>
      <x:c r="D2475" s="6" t="str">
        <x:v>入</x:v>
      </x:c>
      <x:c r="E2475" s="6" t="str">
        <x:v>kwet [qwet] (入)</x:v>
      </x:c>
      <x:c r="F2475" s="6" t="str">
        <x:v>1</x:v>
      </x:c>
      <x:c r="G2475" s="6" t="str">
        <x:v>Tang 300 gap; frequency 1; provisional from Xun Gong</x:v>
      </x:c>
      <x:c r="H2475" s="6" t="str">
        <x:f>IF(B2475="平","平",IF(B2475="","","仄"))</x:f>
        <x:v>仄</x:v>
      </x:c>
      <x:c r="I2475" s="6" t="str">
        <x:f>IF(D2464="","",IF(AND(ISNUMBER(SEARCH("平",D2464)),OR(ISNUMBER(SEARCH("上",D2464)),ISNUMBER(SEARCH("去",D2464)),ISNUMBER(SEARCH("入",D2464)))),"Ambiguous",IF(ISNUMBER(SEARCH("平",D2464)),"平","仄")))</x:f>
        <x:v>仄</x:v>
      </x:c>
      <x:c r="J2475" s="7" t="str">
        <x:v>Xun Gong, Tang 300 gap fill</x:v>
      </x:c>
    </x:row>
    <x:row r="2476">
      <x:c r="A2476" s="5" t="str">
        <x:v>玨</x:v>
      </x:c>
      <x:c r="B2476" s="6" t="str">
        <x:v>入</x:v>
      </x:c>
      <x:c r="C2476" s="6" t="str">
        <x:f>IF(B2476="","Needs decision","Ready")</x:f>
        <x:v>Ready</x:v>
      </x:c>
      <x:c r="D2476" s="6" t="str">
        <x:v>入</x:v>
      </x:c>
      <x:c r="E2476" s="6" t="str">
        <x:v>kaewk (D)</x:v>
      </x:c>
      <x:c r="F2476" s="6" t="str">
        <x:v>1</x:v>
      </x:c>
      <x:c r="G2476" s="6" t="str"/>
      <x:c r="H2476" s="6" t="str">
        <x:f>IF(B2476="平","平",IF(B2476="","","仄"))</x:f>
        <x:v>仄</x:v>
      </x:c>
      <x:c r="I2476" s="6" t="str">
        <x:f>IF(D2465="","",IF(AND(ISNUMBER(SEARCH("平",D2465)),OR(ISNUMBER(SEARCH("上",D2465)),ISNUMBER(SEARCH("去",D2465)),ISNUMBER(SEARCH("入",D2465)))),"Ambiguous",IF(ISNUMBER(SEARCH("平",D2465)),"平","仄")))</x:f>
        <x:v>仄</x:v>
      </x:c>
      <x:c r="J2476" s="7" t="str"/>
    </x:row>
    <x:row r="2477">
      <x:c r="A2477" s="5" t="str">
        <x:v>玩</x:v>
      </x:c>
      <x:c r="B2477" s="6" t="str">
        <x:v>去</x:v>
      </x:c>
      <x:c r="C2477" s="6" t="str">
        <x:f>IF(B2477="","Needs decision","Ready")</x:f>
        <x:v>Ready</x:v>
      </x:c>
      <x:c r="D2477" s="6" t="str">
        <x:v>去</x:v>
      </x:c>
      <x:c r="E2477" s="6" t="str">
        <x:v>ngwanH (C)</x:v>
      </x:c>
      <x:c r="F2477" s="6" t="str">
        <x:v>1</x:v>
      </x:c>
      <x:c r="G2477" s="6" t="str"/>
      <x:c r="H2477" s="6" t="str">
        <x:f>IF(B2477="平","平",IF(B2477="","","仄"))</x:f>
        <x:v>仄</x:v>
      </x:c>
      <x:c r="I2477" s="6" t="str">
        <x:f>IF(D2466="","",IF(AND(ISNUMBER(SEARCH("平",D2466)),OR(ISNUMBER(SEARCH("上",D2466)),ISNUMBER(SEARCH("去",D2466)),ISNUMBER(SEARCH("入",D2466)))),"Ambiguous",IF(ISNUMBER(SEARCH("平",D2466)),"平","仄")))</x:f>
        <x:v>仄</x:v>
      </x:c>
      <x:c r="J2477" s="7" t="str"/>
    </x:row>
    <x:row r="2478">
      <x:c r="A2478" s="5" t="str">
        <x:v>玲</x:v>
      </x:c>
      <x:c r="B2478" s="6" t="str">
        <x:v>平</x:v>
      </x:c>
      <x:c r="C2478" s="6" t="str">
        <x:f>IF(B2478="","Needs decision","Ready")</x:f>
        <x:v>Ready</x:v>
      </x:c>
      <x:c r="D2478" s="6" t="str">
        <x:v>平</x:v>
      </x:c>
      <x:c r="E2478" s="6" t="str">
        <x:v>leng [l̙eŋ] (平)</x:v>
      </x:c>
      <x:c r="F2478" s="6" t="str">
        <x:v>1</x:v>
      </x:c>
      <x:c r="G2478" s="6" t="str">
        <x:v>Tang 300 gap; frequency 3; provisional from Xun Gong</x:v>
      </x:c>
      <x:c r="H2478" s="6" t="str">
        <x:f>IF(B2478="平","平",IF(B2478="","","仄"))</x:f>
        <x:v>平</x:v>
      </x:c>
      <x:c r="I2478" s="6" t="str">
        <x:f>IF(D2467="","",IF(AND(ISNUMBER(SEARCH("平",D2467)),OR(ISNUMBER(SEARCH("上",D2467)),ISNUMBER(SEARCH("去",D2467)),ISNUMBER(SEARCH("入",D2467)))),"Ambiguous",IF(ISNUMBER(SEARCH("平",D2467)),"平","仄")))</x:f>
        <x:v>平</x:v>
      </x:c>
      <x:c r="J2478" s="7" t="str">
        <x:v>Xun Gong, Tang 300 gap fill</x:v>
      </x:c>
    </x:row>
    <x:row r="2479">
      <x:c r="A2479" s="5" t="str">
        <x:v>玷</x:v>
      </x:c>
      <x:c r="B2479" s="6" t="str"/>
      <x:c r="C2479" s="6" t="str">
        <x:f>IF(B2479="","Needs decision","Ready")</x:f>
        <x:v>Needs decision</x:v>
      </x:c>
      <x:c r="D2479" s="6" t="str">
        <x:v>上/去</x:v>
      </x:c>
      <x:c r="E2479" s="6" t="str">
        <x:v>temX (B); temH (C)</x:v>
      </x:c>
      <x:c r="F2479" s="6" t="str">
        <x:v>2</x:v>
      </x:c>
      <x:c r="G2479" s="6" t="str"/>
      <x:c r="H2479" s="6" t="str">
        <x:f>IF(B2479="平","平",IF(B2479="","","仄"))</x:f>
      </x:c>
      <x:c r="I2479" s="6" t="str">
        <x:f>IF(D2468="","",IF(AND(ISNUMBER(SEARCH("平",D2468)),OR(ISNUMBER(SEARCH("上",D2468)),ISNUMBER(SEARCH("去",D2468)),ISNUMBER(SEARCH("入",D2468)))),"Ambiguous",IF(ISNUMBER(SEARCH("平",D2468)),"平","仄")))</x:f>
        <x:v>仄</x:v>
      </x:c>
      <x:c r="J2479" s="7" t="str"/>
    </x:row>
    <x:row r="2480">
      <x:c r="A2480" s="5" t="str">
        <x:v>珂</x:v>
      </x:c>
      <x:c r="B2480" s="6" t="str">
        <x:v>平</x:v>
      </x:c>
      <x:c r="C2480" s="6" t="str">
        <x:f>IF(B2480="","Needs decision","Ready")</x:f>
        <x:v>Ready</x:v>
      </x:c>
      <x:c r="D2480" s="6" t="str">
        <x:v>平</x:v>
      </x:c>
      <x:c r="E2480" s="6" t="str">
        <x:v>kha [qʰɑ] (平)</x:v>
      </x:c>
      <x:c r="F2480" s="6" t="str">
        <x:v>1</x:v>
      </x:c>
      <x:c r="G2480" s="6" t="str">
        <x:v>Tang 300 gap; frequency 1; provisional from Xun Gong</x:v>
      </x:c>
      <x:c r="H2480" s="6" t="str">
        <x:f>IF(B2480="平","平",IF(B2480="","","仄"))</x:f>
        <x:v>平</x:v>
      </x:c>
      <x:c r="I2480" s="6" t="str">
        <x:f>IF(D2469="","",IF(AND(ISNUMBER(SEARCH("平",D2469)),OR(ISNUMBER(SEARCH("上",D2469)),ISNUMBER(SEARCH("去",D2469)),ISNUMBER(SEARCH("入",D2469)))),"Ambiguous",IF(ISNUMBER(SEARCH("平",D2469)),"平","仄")))</x:f>
        <x:v>仄</x:v>
      </x:c>
      <x:c r="J2480" s="7" t="str">
        <x:v>Xun Gong, Tang 300 gap fill</x:v>
      </x:c>
    </x:row>
    <x:row r="2481">
      <x:c r="A2481" s="5" t="str">
        <x:v>珉</x:v>
      </x:c>
      <x:c r="B2481" s="6" t="str">
        <x:v>平</x:v>
      </x:c>
      <x:c r="C2481" s="6" t="str">
        <x:f>IF(B2481="","Needs decision","Ready")</x:f>
        <x:v>Ready</x:v>
      </x:c>
      <x:c r="D2481" s="6" t="str">
        <x:v>平</x:v>
      </x:c>
      <x:c r="E2481" s="6" t="str">
        <x:v>min (A)</x:v>
      </x:c>
      <x:c r="F2481" s="6" t="str">
        <x:v>1</x:v>
      </x:c>
      <x:c r="G2481" s="6" t="str"/>
      <x:c r="H2481" s="6" t="str">
        <x:f>IF(B2481="平","平",IF(B2481="","","仄"))</x:f>
        <x:v>平</x:v>
      </x:c>
      <x:c r="I2481" s="6" t="str">
        <x:f>IF(D2470="","",IF(AND(ISNUMBER(SEARCH("平",D2470)),OR(ISNUMBER(SEARCH("上",D2470)),ISNUMBER(SEARCH("去",D2470)),ISNUMBER(SEARCH("入",D2470)))),"Ambiguous",IF(ISNUMBER(SEARCH("平",D2470)),"平","仄")))</x:f>
        <x:v>Ambiguous</x:v>
      </x:c>
      <x:c r="J2481" s="7" t="str"/>
    </x:row>
    <x:row r="2482">
      <x:c r="A2482" s="5" t="str">
        <x:v>珊</x:v>
      </x:c>
      <x:c r="B2482" s="6" t="str">
        <x:v>平</x:v>
      </x:c>
      <x:c r="C2482" s="6" t="str">
        <x:f>IF(B2482="","Needs decision","Ready")</x:f>
        <x:v>Ready</x:v>
      </x:c>
      <x:c r="D2482" s="6" t="str">
        <x:v>平</x:v>
      </x:c>
      <x:c r="E2482" s="6" t="str">
        <x:v>san [s̙ɑn] (平)</x:v>
      </x:c>
      <x:c r="F2482" s="6" t="str">
        <x:v>1</x:v>
      </x:c>
      <x:c r="G2482" s="6" t="str">
        <x:v>Tang 300 gap; frequency 3; provisional from Xun Gong</x:v>
      </x:c>
      <x:c r="H2482" s="6" t="str">
        <x:f>IF(B2482="平","平",IF(B2482="","","仄"))</x:f>
        <x:v>平</x:v>
      </x:c>
      <x:c r="I2482" s="6" t="str">
        <x:f>IF(D2471="","",IF(AND(ISNUMBER(SEARCH("平",D2471)),OR(ISNUMBER(SEARCH("上",D2471)),ISNUMBER(SEARCH("去",D2471)),ISNUMBER(SEARCH("入",D2471)))),"Ambiguous",IF(ISNUMBER(SEARCH("平",D2471)),"平","仄")))</x:f>
        <x:v>平</x:v>
      </x:c>
      <x:c r="J2482" s="7" t="str">
        <x:v>Xun Gong, Tang 300 gap fill</x:v>
      </x:c>
    </x:row>
    <x:row r="2483">
      <x:c r="A2483" s="5" t="str">
        <x:v>珍</x:v>
      </x:c>
      <x:c r="B2483" s="6" t="str">
        <x:v>平</x:v>
      </x:c>
      <x:c r="C2483" s="6" t="str">
        <x:f>IF(B2483="","Needs decision","Ready")</x:f>
        <x:v>Ready</x:v>
      </x:c>
      <x:c r="D2483" s="6" t="str">
        <x:v>平</x:v>
      </x:c>
      <x:c r="E2483" s="6" t="str">
        <x:v>trin (A)</x:v>
      </x:c>
      <x:c r="F2483" s="6" t="str">
        <x:v>1</x:v>
      </x:c>
      <x:c r="G2483" s="6" t="str"/>
      <x:c r="H2483" s="6" t="str">
        <x:f>IF(B2483="平","平",IF(B2483="","","仄"))</x:f>
        <x:v>平</x:v>
      </x:c>
      <x:c r="I2483" s="6" t="str">
        <x:f>IF(D2472="","",IF(AND(ISNUMBER(SEARCH("平",D2472)),OR(ISNUMBER(SEARCH("上",D2472)),ISNUMBER(SEARCH("去",D2472)),ISNUMBER(SEARCH("入",D2472)))),"Ambiguous",IF(ISNUMBER(SEARCH("平",D2472)),"平","仄")))</x:f>
        <x:v>仄</x:v>
      </x:c>
      <x:c r="J2483" s="7" t="str"/>
    </x:row>
    <x:row r="2484">
      <x:c r="A2484" s="5" t="str">
        <x:v>珓</x:v>
      </x:c>
      <x:c r="B2484" s="6" t="str">
        <x:v>去</x:v>
      </x:c>
      <x:c r="C2484" s="6" t="str">
        <x:f>IF(B2484="","Needs decision","Ready")</x:f>
        <x:v>Ready</x:v>
      </x:c>
      <x:c r="D2484" s="6" t="str">
        <x:v>去</x:v>
      </x:c>
      <x:c r="E2484" s="6" t="str">
        <x:v>kaewH [qaˤwh] (去)</x:v>
      </x:c>
      <x:c r="F2484" s="6" t="str">
        <x:v>1</x:v>
      </x:c>
      <x:c r="G2484" s="6" t="str">
        <x:v>Tang 300 gap; frequency 1; provisional from Xun Gong</x:v>
      </x:c>
      <x:c r="H2484" s="6" t="str">
        <x:f>IF(B2484="平","平",IF(B2484="","","仄"))</x:f>
        <x:v>仄</x:v>
      </x:c>
      <x:c r="I2484" s="6" t="str">
        <x:f>IF(D2473="","",IF(AND(ISNUMBER(SEARCH("平",D2473)),OR(ISNUMBER(SEARCH("上",D2473)),ISNUMBER(SEARCH("去",D2473)),ISNUMBER(SEARCH("入",D2473)))),"Ambiguous",IF(ISNUMBER(SEARCH("平",D2473)),"平","仄")))</x:f>
        <x:v>仄</x:v>
      </x:c>
      <x:c r="J2484" s="7" t="str">
        <x:v>Xun Gong, Tang 300 gap fill</x:v>
      </x:c>
    </x:row>
    <x:row r="2485">
      <x:c r="A2485" s="5" t="str">
        <x:v>珠</x:v>
      </x:c>
      <x:c r="B2485" s="6" t="str">
        <x:v>平</x:v>
      </x:c>
      <x:c r="C2485" s="6" t="str">
        <x:f>IF(B2485="","Needs decision","Ready")</x:f>
        <x:v>Ready</x:v>
      </x:c>
      <x:c r="D2485" s="6" t="str">
        <x:v>平</x:v>
      </x:c>
      <x:c r="E2485" s="6" t="str">
        <x:v>tsyu [章合三虞平] tɕo</x:v>
      </x:c>
      <x:c r="F2485" s="6" t="str">
        <x:v>1</x:v>
      </x:c>
      <x:c r="G2485" s="6" t="str">
        <x:v>Targeted preliminary fill from Xun Gong; review if uncertain</x:v>
      </x:c>
      <x:c r="H2485" s="6" t="str">
        <x:f>IF(B2485="平","平",IF(B2485="","","仄"))</x:f>
        <x:v>平</x:v>
      </x:c>
      <x:c r="I2485" s="6" t="str">
        <x:f>IF(D2474="","",IF(AND(ISNUMBER(SEARCH("平",D2474)),OR(ISNUMBER(SEARCH("上",D2474)),ISNUMBER(SEARCH("去",D2474)),ISNUMBER(SEARCH("入",D2474)))),"Ambiguous",IF(ISNUMBER(SEARCH("平",D2474)),"平","仄")))</x:f>
        <x:v>Ambiguous</x:v>
      </x:c>
      <x:c r="J2485" s="7" t="str">
        <x:v>Xun Gong character-readings.csv</x:v>
      </x:c>
    </x:row>
    <x:row r="2486">
      <x:c r="A2486" s="5" t="str">
        <x:v>班</x:v>
      </x:c>
      <x:c r="B2486" s="6" t="str">
        <x:v>平</x:v>
      </x:c>
      <x:c r="C2486" s="6" t="str">
        <x:f>IF(B2486="","Needs decision","Ready")</x:f>
        <x:v>Ready</x:v>
      </x:c>
      <x:c r="D2486" s="6" t="str">
        <x:v>平</x:v>
      </x:c>
      <x:c r="E2486" s="6" t="str">
        <x:v>paen (A)</x:v>
      </x:c>
      <x:c r="F2486" s="6" t="str">
        <x:v>1</x:v>
      </x:c>
      <x:c r="G2486" s="6" t="str"/>
      <x:c r="H2486" s="6" t="str">
        <x:f>IF(B2486="平","平",IF(B2486="","","仄"))</x:f>
        <x:v>平</x:v>
      </x:c>
      <x:c r="I2486" s="6" t="str">
        <x:f>IF(D2475="","",IF(AND(ISNUMBER(SEARCH("平",D2475)),OR(ISNUMBER(SEARCH("上",D2475)),ISNUMBER(SEARCH("去",D2475)),ISNUMBER(SEARCH("入",D2475)))),"Ambiguous",IF(ISNUMBER(SEARCH("平",D2475)),"平","仄")))</x:f>
        <x:v>仄</x:v>
      </x:c>
      <x:c r="J2486" s="7" t="str"/>
    </x:row>
    <x:row r="2487">
      <x:c r="A2487" s="5" t="str">
        <x:v>珮</x:v>
      </x:c>
      <x:c r="B2487" s="6" t="str">
        <x:v>去</x:v>
      </x:c>
      <x:c r="C2487" s="6" t="str">
        <x:f>IF(B2487="","Needs decision","Ready")</x:f>
        <x:v>Ready</x:v>
      </x:c>
      <x:c r="D2487" s="6" t="str">
        <x:v>去</x:v>
      </x:c>
      <x:c r="E2487" s="6" t="str">
        <x:v>bwojH [並一灰去] b̙wəjh</x:v>
      </x:c>
      <x:c r="F2487" s="6" t="str">
        <x:v>1</x:v>
      </x:c>
      <x:c r="G2487" s="6" t="str">
        <x:v>Targeted preliminary fill from Xun Gong; review if uncertain</x:v>
      </x:c>
      <x:c r="H2487" s="6" t="str">
        <x:f>IF(B2487="平","平",IF(B2487="","","仄"))</x:f>
        <x:v>仄</x:v>
      </x:c>
      <x:c r="I2487" s="6" t="str">
        <x:f>IF(D2476="","",IF(AND(ISNUMBER(SEARCH("平",D2476)),OR(ISNUMBER(SEARCH("上",D2476)),ISNUMBER(SEARCH("去",D2476)),ISNUMBER(SEARCH("入",D2476)))),"Ambiguous",IF(ISNUMBER(SEARCH("平",D2476)),"平","仄")))</x:f>
        <x:v>仄</x:v>
      </x:c>
      <x:c r="J2487" s="7" t="str">
        <x:v>Xun Gong character-readings.csv</x:v>
      </x:c>
    </x:row>
    <x:row r="2488">
      <x:c r="A2488" s="5" t="str">
        <x:v>現</x:v>
      </x:c>
      <x:c r="B2488" s="6" t="str">
        <x:v>去</x:v>
      </x:c>
      <x:c r="C2488" s="6" t="str">
        <x:f>IF(B2488="","Needs decision","Ready")</x:f>
        <x:v>Ready</x:v>
      </x:c>
      <x:c r="D2488" s="6" t="str">
        <x:v>去</x:v>
      </x:c>
      <x:c r="E2488" s="6" t="str">
        <x:v>henH (C)</x:v>
      </x:c>
      <x:c r="F2488" s="6" t="str">
        <x:v>1</x:v>
      </x:c>
      <x:c r="G2488" s="6" t="str"/>
      <x:c r="H2488" s="6" t="str">
        <x:f>IF(B2488="平","平",IF(B2488="","","仄"))</x:f>
        <x:v>仄</x:v>
      </x:c>
      <x:c r="I2488" s="6" t="str">
        <x:f>IF(D2477="","",IF(AND(ISNUMBER(SEARCH("平",D2477)),OR(ISNUMBER(SEARCH("上",D2477)),ISNUMBER(SEARCH("去",D2477)),ISNUMBER(SEARCH("入",D2477)))),"Ambiguous",IF(ISNUMBER(SEARCH("平",D2477)),"平","仄")))</x:f>
        <x:v>仄</x:v>
      </x:c>
      <x:c r="J2488" s="7" t="str"/>
    </x:row>
    <x:row r="2489">
      <x:c r="A2489" s="5" t="str">
        <x:v>球</x:v>
      </x:c>
      <x:c r="B2489" s="6" t="str">
        <x:v>平</x:v>
      </x:c>
      <x:c r="C2489" s="6" t="str">
        <x:f>IF(B2489="","Needs decision","Ready")</x:f>
        <x:v>Ready</x:v>
      </x:c>
      <x:c r="D2489" s="6" t="str">
        <x:v>平</x:v>
      </x:c>
      <x:c r="E2489" s="6" t="str">
        <x:v>gjuw (A)</x:v>
      </x:c>
      <x:c r="F2489" s="6" t="str">
        <x:v>1</x:v>
      </x:c>
      <x:c r="G2489" s="6" t="str"/>
      <x:c r="H2489" s="6" t="str">
        <x:f>IF(B2489="平","平",IF(B2489="","","仄"))</x:f>
        <x:v>平</x:v>
      </x:c>
      <x:c r="I2489" s="6" t="str">
        <x:f>IF(D2478="","",IF(AND(ISNUMBER(SEARCH("平",D2478)),OR(ISNUMBER(SEARCH("上",D2478)),ISNUMBER(SEARCH("去",D2478)),ISNUMBER(SEARCH("入",D2478)))),"Ambiguous",IF(ISNUMBER(SEARCH("平",D2478)),"平","仄")))</x:f>
        <x:v>平</x:v>
      </x:c>
      <x:c r="J2489" s="7" t="str"/>
    </x:row>
    <x:row r="2490">
      <x:c r="A2490" s="5" t="str">
        <x:v>琅</x:v>
      </x:c>
      <x:c r="B2490" s="6" t="str">
        <x:v>平</x:v>
      </x:c>
      <x:c r="C2490" s="6" t="str">
        <x:f>IF(B2490="","Needs decision","Ready")</x:f>
        <x:v>Ready</x:v>
      </x:c>
      <x:c r="D2490" s="6" t="str">
        <x:v>平</x:v>
      </x:c>
      <x:c r="E2490" s="6" t="str">
        <x:v>lang (A)</x:v>
      </x:c>
      <x:c r="F2490" s="6" t="str">
        <x:v>1</x:v>
      </x:c>
      <x:c r="G2490" s="6" t="str"/>
      <x:c r="H2490" s="6" t="str">
        <x:f>IF(B2490="平","平",IF(B2490="","","仄"))</x:f>
        <x:v>平</x:v>
      </x:c>
      <x:c r="I2490" s="6" t="str">
        <x:f>IF(D2479="","",IF(AND(ISNUMBER(SEARCH("平",D2479)),OR(ISNUMBER(SEARCH("上",D2479)),ISNUMBER(SEARCH("去",D2479)),ISNUMBER(SEARCH("入",D2479)))),"Ambiguous",IF(ISNUMBER(SEARCH("平",D2479)),"平","仄")))</x:f>
        <x:v>仄</x:v>
      </x:c>
      <x:c r="J2490" s="7" t="str"/>
    </x:row>
    <x:row r="2491">
      <x:c r="A2491" s="5" t="str">
        <x:v>理</x:v>
      </x:c>
      <x:c r="B2491" s="6" t="str">
        <x:v>上</x:v>
      </x:c>
      <x:c r="C2491" s="6" t="str">
        <x:f>IF(B2491="","Needs decision","Ready")</x:f>
        <x:v>Ready</x:v>
      </x:c>
      <x:c r="D2491" s="6" t="str">
        <x:v>上</x:v>
      </x:c>
      <x:c r="E2491" s="6" t="str">
        <x:v>liX (B)</x:v>
      </x:c>
      <x:c r="F2491" s="6" t="str">
        <x:v>1</x:v>
      </x:c>
      <x:c r="G2491" s="6" t="str"/>
      <x:c r="H2491" s="6" t="str">
        <x:f>IF(B2491="平","平",IF(B2491="","","仄"))</x:f>
        <x:v>仄</x:v>
      </x:c>
      <x:c r="I2491" s="6" t="str">
        <x:f>IF(D2480="","",IF(AND(ISNUMBER(SEARCH("平",D2480)),OR(ISNUMBER(SEARCH("上",D2480)),ISNUMBER(SEARCH("去",D2480)),ISNUMBER(SEARCH("入",D2480)))),"Ambiguous",IF(ISNUMBER(SEARCH("平",D2480)),"平","仄")))</x:f>
        <x:v>平</x:v>
      </x:c>
      <x:c r="J2491" s="7" t="str"/>
    </x:row>
    <x:row r="2492">
      <x:c r="A2492" s="5" t="str">
        <x:v>琊</x:v>
      </x:c>
      <x:c r="B2492" s="6" t="str">
        <x:v>平</x:v>
      </x:c>
      <x:c r="C2492" s="6" t="str">
        <x:f>IF(B2492="","Needs decision","Ready")</x:f>
        <x:v>Ready</x:v>
      </x:c>
      <x:c r="D2492" s="6" t="str">
        <x:v>平</x:v>
      </x:c>
      <x:c r="E2492" s="6" t="str"/>
      <x:c r="F2492" s="6" t="str"/>
      <x:c r="G2492" s="6" t="str">
        <x:v>Manual user correction/addition</x:v>
      </x:c>
      <x:c r="H2492" s="6" t="str">
        <x:f>IF(B2492="平","平",IF(B2492="","","仄"))</x:f>
        <x:v>平</x:v>
      </x:c>
      <x:c r="I2492" s="6" t="str">
        <x:f>IF(D2481="","",IF(AND(ISNUMBER(SEARCH("平",D2481)),OR(ISNUMBER(SEARCH("上",D2481)),ISNUMBER(SEARCH("去",D2481)),ISNUMBER(SEARCH("入",D2481)))),"Ambiguous",IF(ISNUMBER(SEARCH("平",D2481)),"平","仄")))</x:f>
        <x:v>平</x:v>
      </x:c>
      <x:c r="J2492" s="7" t="str">
        <x:v>manual user correction</x:v>
      </x:c>
    </x:row>
    <x:row r="2493">
      <x:c r="A2493" s="5" t="str">
        <x:v>琛</x:v>
      </x:c>
      <x:c r="B2493" s="6" t="str">
        <x:v>平</x:v>
      </x:c>
      <x:c r="C2493" s="6" t="str">
        <x:f>IF(B2493="","Needs decision","Ready")</x:f>
        <x:v>Ready</x:v>
      </x:c>
      <x:c r="D2493" s="6" t="str">
        <x:v>平</x:v>
      </x:c>
      <x:c r="E2493" s="6" t="str"/>
      <x:c r="F2493" s="6" t="str"/>
      <x:c r="G2493" s="6" t="str">
        <x:v>Manual user correction/addition</x:v>
      </x:c>
      <x:c r="H2493" s="6" t="str">
        <x:f>IF(B2493="平","平",IF(B2493="","","仄"))</x:f>
        <x:v>平</x:v>
      </x:c>
      <x:c r="I2493" s="6" t="str">
        <x:f>IF(D2482="","",IF(AND(ISNUMBER(SEARCH("平",D2482)),OR(ISNUMBER(SEARCH("上",D2482)),ISNUMBER(SEARCH("去",D2482)),ISNUMBER(SEARCH("入",D2482)))),"Ambiguous",IF(ISNUMBER(SEARCH("平",D2482)),"平","仄")))</x:f>
        <x:v>平</x:v>
      </x:c>
      <x:c r="J2493" s="7" t="str">
        <x:v>manual user correction</x:v>
      </x:c>
    </x:row>
    <x:row r="2494">
      <x:c r="A2494" s="5" t="str">
        <x:v>琢</x:v>
      </x:c>
      <x:c r="B2494" s="6" t="str">
        <x:v>入</x:v>
      </x:c>
      <x:c r="C2494" s="6" t="str">
        <x:f>IF(B2494="","Needs decision","Ready")</x:f>
        <x:v>Ready</x:v>
      </x:c>
      <x:c r="D2494" s="6" t="str">
        <x:v>入</x:v>
      </x:c>
      <x:c r="E2494" s="6" t="str"/>
      <x:c r="F2494" s="6" t="str"/>
      <x:c r="G2494" s="6" t="str">
        <x:v>Manual user correction/addition</x:v>
      </x:c>
      <x:c r="H2494" s="6" t="str">
        <x:f>IF(B2494="平","平",IF(B2494="","","仄"))</x:f>
        <x:v>仄</x:v>
      </x:c>
      <x:c r="I2494" s="6" t="str">
        <x:f>IF(D2483="","",IF(AND(ISNUMBER(SEARCH("平",D2483)),OR(ISNUMBER(SEARCH("上",D2483)),ISNUMBER(SEARCH("去",D2483)),ISNUMBER(SEARCH("入",D2483)))),"Ambiguous",IF(ISNUMBER(SEARCH("平",D2483)),"平","仄")))</x:f>
        <x:v>平</x:v>
      </x:c>
      <x:c r="J2494" s="7" t="str">
        <x:v>manual user correction</x:v>
      </x:c>
    </x:row>
    <x:row r="2495">
      <x:c r="A2495" s="5" t="str">
        <x:v>琫</x:v>
      </x:c>
      <x:c r="B2495" s="6" t="str">
        <x:v>上</x:v>
      </x:c>
      <x:c r="C2495" s="6" t="str">
        <x:f>IF(B2495="","Needs decision","Ready")</x:f>
        <x:v>Ready</x:v>
      </x:c>
      <x:c r="D2495" s="6" t="str">
        <x:v>上</x:v>
      </x:c>
      <x:c r="E2495" s="6" t="str">
        <x:v>puwngX (B)</x:v>
      </x:c>
      <x:c r="F2495" s="6" t="str">
        <x:v>1</x:v>
      </x:c>
      <x:c r="G2495" s="6" t="str"/>
      <x:c r="H2495" s="6" t="str">
        <x:f>IF(B2495="平","平",IF(B2495="","","仄"))</x:f>
        <x:v>仄</x:v>
      </x:c>
      <x:c r="I2495" s="6" t="str">
        <x:f>IF(D2484="","",IF(AND(ISNUMBER(SEARCH("平",D2484)),OR(ISNUMBER(SEARCH("上",D2484)),ISNUMBER(SEARCH("去",D2484)),ISNUMBER(SEARCH("入",D2484)))),"Ambiguous",IF(ISNUMBER(SEARCH("平",D2484)),"平","仄")))</x:f>
        <x:v>仄</x:v>
      </x:c>
      <x:c r="J2495" s="7" t="str"/>
    </x:row>
    <x:row r="2496">
      <x:c r="A2496" s="5" t="str">
        <x:v>琭</x:v>
      </x:c>
      <x:c r="B2496" s="6" t="str">
        <x:v>入</x:v>
      </x:c>
      <x:c r="C2496" s="6" t="str">
        <x:f>IF(B2496="","Needs decision","Ready")</x:f>
        <x:v>Ready</x:v>
      </x:c>
      <x:c r="D2496" s="6" t="str">
        <x:v>入</x:v>
      </x:c>
      <x:c r="E2496" s="6" t="str">
        <x:v>luwk (D)</x:v>
      </x:c>
      <x:c r="F2496" s="6" t="str">
        <x:v>1</x:v>
      </x:c>
      <x:c r="G2496" s="6" t="str"/>
      <x:c r="H2496" s="6" t="str">
        <x:f>IF(B2496="平","平",IF(B2496="","","仄"))</x:f>
        <x:v>仄</x:v>
      </x:c>
      <x:c r="I2496" s="6" t="str">
        <x:f>IF(D2485="","",IF(AND(ISNUMBER(SEARCH("平",D2485)),OR(ISNUMBER(SEARCH("上",D2485)),ISNUMBER(SEARCH("去",D2485)),ISNUMBER(SEARCH("入",D2485)))),"Ambiguous",IF(ISNUMBER(SEARCH("平",D2485)),"平","仄")))</x:f>
        <x:v>平</x:v>
      </x:c>
      <x:c r="J2496" s="7" t="str"/>
    </x:row>
    <x:row r="2497">
      <x:c r="A2497" s="5" t="str">
        <x:v>琴</x:v>
      </x:c>
      <x:c r="B2497" s="6" t="str">
        <x:v>平</x:v>
      </x:c>
      <x:c r="C2497" s="6" t="str">
        <x:f>IF(B2497="","Needs decision","Ready")</x:f>
        <x:v>Ready</x:v>
      </x:c>
      <x:c r="D2497" s="6" t="str">
        <x:v>平</x:v>
      </x:c>
      <x:c r="E2497" s="6" t="str">
        <x:v>gim (A)</x:v>
      </x:c>
      <x:c r="F2497" s="6" t="str">
        <x:v>1</x:v>
      </x:c>
      <x:c r="G2497" s="6" t="str"/>
      <x:c r="H2497" s="6" t="str">
        <x:f>IF(B2497="平","平",IF(B2497="","","仄"))</x:f>
        <x:v>平</x:v>
      </x:c>
      <x:c r="I2497" s="6" t="str">
        <x:f>IF(D2486="","",IF(AND(ISNUMBER(SEARCH("平",D2486)),OR(ISNUMBER(SEARCH("上",D2486)),ISNUMBER(SEARCH("去",D2486)),ISNUMBER(SEARCH("入",D2486)))),"Ambiguous",IF(ISNUMBER(SEARCH("平",D2486)),"平","仄")))</x:f>
        <x:v>平</x:v>
      </x:c>
      <x:c r="J2497" s="7" t="str"/>
    </x:row>
    <x:row r="2498">
      <x:c r="A2498" s="5" t="str">
        <x:v>琵</x:v>
      </x:c>
      <x:c r="B2498" s="6" t="str">
        <x:v>平</x:v>
      </x:c>
      <x:c r="C2498" s="6" t="str">
        <x:f>IF(B2498="","Needs decision","Ready")</x:f>
        <x:v>Ready</x:v>
      </x:c>
      <x:c r="D2498" s="6" t="str">
        <x:v>平</x:v>
      </x:c>
      <x:c r="E2498" s="6" t="str">
        <x:v>bjij [bji] (平)</x:v>
      </x:c>
      <x:c r="F2498" s="6" t="str">
        <x:v>1</x:v>
      </x:c>
      <x:c r="G2498" s="6" t="str">
        <x:v>Tang 300 gap; frequency 12; provisional from Xun Gong</x:v>
      </x:c>
      <x:c r="H2498" s="6" t="str">
        <x:f>IF(B2498="平","平",IF(B2498="","","仄"))</x:f>
        <x:v>平</x:v>
      </x:c>
      <x:c r="I2498" s="6" t="str">
        <x:f>IF(D2487="","",IF(AND(ISNUMBER(SEARCH("平",D2487)),OR(ISNUMBER(SEARCH("上",D2487)),ISNUMBER(SEARCH("去",D2487)),ISNUMBER(SEARCH("入",D2487)))),"Ambiguous",IF(ISNUMBER(SEARCH("平",D2487)),"平","仄")))</x:f>
        <x:v>仄</x:v>
      </x:c>
      <x:c r="J2498" s="7" t="str">
        <x:v>Xun Gong, Tang 300 gap fill</x:v>
      </x:c>
    </x:row>
    <x:row r="2499">
      <x:c r="A2499" s="5" t="str">
        <x:v>琶</x:v>
      </x:c>
      <x:c r="B2499" s="6" t="str">
        <x:v>平</x:v>
      </x:c>
      <x:c r="C2499" s="6" t="str">
        <x:f>IF(B2499="","Needs decision","Ready")</x:f>
        <x:v>Ready</x:v>
      </x:c>
      <x:c r="D2499" s="6" t="str">
        <x:v>平</x:v>
      </x:c>
      <x:c r="E2499" s="6" t="str">
        <x:v>bae [b̙aˤ] (平)</x:v>
      </x:c>
      <x:c r="F2499" s="6" t="str">
        <x:v>1</x:v>
      </x:c>
      <x:c r="G2499" s="6" t="str">
        <x:v>Tang 300 gap; frequency 12; provisional from Xun Gong</x:v>
      </x:c>
      <x:c r="H2499" s="6" t="str">
        <x:f>IF(B2499="平","平",IF(B2499="","","仄"))</x:f>
        <x:v>平</x:v>
      </x:c>
      <x:c r="I2499" s="6" t="str">
        <x:f>IF(D2488="","",IF(AND(ISNUMBER(SEARCH("平",D2488)),OR(ISNUMBER(SEARCH("上",D2488)),ISNUMBER(SEARCH("去",D2488)),ISNUMBER(SEARCH("入",D2488)))),"Ambiguous",IF(ISNUMBER(SEARCH("平",D2488)),"平","仄")))</x:f>
        <x:v>仄</x:v>
      </x:c>
      <x:c r="J2499" s="7" t="str">
        <x:v>Xun Gong, Tang 300 gap fill</x:v>
      </x:c>
    </x:row>
    <x:row r="2500">
      <x:c r="A2500" s="5" t="str">
        <x:v>瑁</x:v>
      </x:c>
      <x:c r="B2500" s="6" t="str"/>
      <x:c r="C2500" s="6" t="str">
        <x:f>IF(B2500="","Needs decision","Ready")</x:f>
        <x:v>Needs decision</x:v>
      </x:c>
      <x:c r="D2500" s="6" t="str">
        <x:v>去/入</x:v>
      </x:c>
      <x:c r="E2500" s="6" t="str">
        <x:v>mawH [m̙əwh] (去); mowk [m̙ok] (入); mwojH [m̙wəjh] (去)</x:v>
      </x:c>
      <x:c r="F2500" s="6" t="str">
        <x:v>3</x:v>
      </x:c>
      <x:c r="G2500" s="6" t="str">
        <x:v>Tang 300 gap; frequency 1; ambiguous in Xun Gong</x:v>
      </x:c>
      <x:c r="H2500" s="6" t="str">
        <x:f>IF(B2500="平","平",IF(B2500="","","仄"))</x:f>
      </x:c>
      <x:c r="I2500" s="6" t="str">
        <x:f>IF(D2489="","",IF(AND(ISNUMBER(SEARCH("平",D2489)),OR(ISNUMBER(SEARCH("上",D2489)),ISNUMBER(SEARCH("去",D2489)),ISNUMBER(SEARCH("入",D2489)))),"Ambiguous",IF(ISNUMBER(SEARCH("平",D2489)),"平","仄")))</x:f>
        <x:v>平</x:v>
      </x:c>
      <x:c r="J2500" s="7" t="str">
        <x:v>Xun Gong, Tang 300 gap fill</x:v>
      </x:c>
    </x:row>
    <x:row r="2501">
      <x:c r="A2501" s="5" t="str">
        <x:v>瑋</x:v>
      </x:c>
      <x:c r="B2501" s="6" t="str">
        <x:v>上</x:v>
      </x:c>
      <x:c r="C2501" s="6" t="str">
        <x:f>IF(B2501="","Needs decision","Ready")</x:f>
        <x:v>Ready</x:v>
      </x:c>
      <x:c r="D2501" s="6" t="str">
        <x:v>上</x:v>
      </x:c>
      <x:c r="E2501" s="6" t="str"/>
      <x:c r="F2501" s="6" t="str"/>
      <x:c r="G2501" s="6" t="str">
        <x:v>Manual user correction/addition</x:v>
      </x:c>
      <x:c r="H2501" s="6" t="str">
        <x:f>IF(B2501="平","平",IF(B2501="","","仄"))</x:f>
        <x:v>仄</x:v>
      </x:c>
      <x:c r="I2501" s="6" t="str">
        <x:f>IF(D2490="","",IF(AND(ISNUMBER(SEARCH("平",D2490)),OR(ISNUMBER(SEARCH("上",D2490)),ISNUMBER(SEARCH("去",D2490)),ISNUMBER(SEARCH("入",D2490)))),"Ambiguous",IF(ISNUMBER(SEARCH("平",D2490)),"平","仄")))</x:f>
        <x:v>平</x:v>
      </x:c>
      <x:c r="J2501" s="7" t="str">
        <x:v>manual user correction</x:v>
      </x:c>
    </x:row>
    <x:row r="2502">
      <x:c r="A2502" s="5" t="str">
        <x:v>瑕</x:v>
      </x:c>
      <x:c r="B2502" s="6" t="str">
        <x:v>平</x:v>
      </x:c>
      <x:c r="C2502" s="6" t="str">
        <x:f>IF(B2502="","Needs decision","Ready")</x:f>
        <x:v>Ready</x:v>
      </x:c>
      <x:c r="D2502" s="6" t="str">
        <x:v>平</x:v>
      </x:c>
      <x:c r="E2502" s="6" t="str">
        <x:v>hae (A)</x:v>
      </x:c>
      <x:c r="F2502" s="6" t="str">
        <x:v>1</x:v>
      </x:c>
      <x:c r="G2502" s="6" t="str"/>
      <x:c r="H2502" s="6" t="str">
        <x:f>IF(B2502="平","平",IF(B2502="","","仄"))</x:f>
        <x:v>平</x:v>
      </x:c>
      <x:c r="I2502" s="6" t="str">
        <x:f>IF(D2491="","",IF(AND(ISNUMBER(SEARCH("平",D2491)),OR(ISNUMBER(SEARCH("上",D2491)),ISNUMBER(SEARCH("去",D2491)),ISNUMBER(SEARCH("入",D2491)))),"Ambiguous",IF(ISNUMBER(SEARCH("平",D2491)),"平","仄")))</x:f>
        <x:v>仄</x:v>
      </x:c>
      <x:c r="J2502" s="7" t="str"/>
    </x:row>
    <x:row r="2503">
      <x:c r="A2503" s="5" t="str">
        <x:v>瑚</x:v>
      </x:c>
      <x:c r="B2503" s="6" t="str">
        <x:v>平</x:v>
      </x:c>
      <x:c r="C2503" s="6" t="str">
        <x:f>IF(B2503="","Needs decision","Ready")</x:f>
        <x:v>Ready</x:v>
      </x:c>
      <x:c r="D2503" s="6" t="str">
        <x:v>平</x:v>
      </x:c>
      <x:c r="E2503" s="6" t="str">
        <x:v>hu [ʁo] (平)</x:v>
      </x:c>
      <x:c r="F2503" s="6" t="str">
        <x:v>1</x:v>
      </x:c>
      <x:c r="G2503" s="6" t="str">
        <x:v>Tang 300 gap; frequency 3; provisional from Xun Gong</x:v>
      </x:c>
      <x:c r="H2503" s="6" t="str">
        <x:f>IF(B2503="平","平",IF(B2503="","","仄"))</x:f>
        <x:v>平</x:v>
      </x:c>
      <x:c r="I2503" s="6" t="str">
        <x:f>IF(D2492="","",IF(AND(ISNUMBER(SEARCH("平",D2492)),OR(ISNUMBER(SEARCH("上",D2492)),ISNUMBER(SEARCH("去",D2492)),ISNUMBER(SEARCH("入",D2492)))),"Ambiguous",IF(ISNUMBER(SEARCH("平",D2492)),"平","仄")))</x:f>
        <x:v>平</x:v>
      </x:c>
      <x:c r="J2503" s="7" t="str">
        <x:v>Xun Gong, Tang 300 gap fill</x:v>
      </x:c>
    </x:row>
    <x:row r="2504">
      <x:c r="A2504" s="5" t="str">
        <x:v>瑜</x:v>
      </x:c>
      <x:c r="B2504" s="6" t="str">
        <x:v>平</x:v>
      </x:c>
      <x:c r="C2504" s="6" t="str">
        <x:f>IF(B2504="","Needs decision","Ready")</x:f>
        <x:v>Ready</x:v>
      </x:c>
      <x:c r="D2504" s="6" t="str">
        <x:v>平</x:v>
      </x:c>
      <x:c r="E2504" s="6" t="str">
        <x:v>yu [以合三虞平] jo</x:v>
      </x:c>
      <x:c r="F2504" s="6" t="str">
        <x:v>1</x:v>
      </x:c>
      <x:c r="G2504" s="6" t="str">
        <x:v>Targeted preliminary fill from Xun Gong; review if uncertain</x:v>
      </x:c>
      <x:c r="H2504" s="6" t="str">
        <x:f>IF(B2504="平","平",IF(B2504="","","仄"))</x:f>
        <x:v>平</x:v>
      </x:c>
      <x:c r="I2504" s="6" t="str">
        <x:f>IF(D2493="","",IF(AND(ISNUMBER(SEARCH("平",D2493)),OR(ISNUMBER(SEARCH("上",D2493)),ISNUMBER(SEARCH("去",D2493)),ISNUMBER(SEARCH("入",D2493)))),"Ambiguous",IF(ISNUMBER(SEARCH("平",D2493)),"平","仄")))</x:f>
        <x:v>平</x:v>
      </x:c>
      <x:c r="J2504" s="7" t="str">
        <x:v>Xun Gong character-readings.csv</x:v>
      </x:c>
    </x:row>
    <x:row r="2505">
      <x:c r="A2505" s="5" t="str">
        <x:v>瑞</x:v>
      </x:c>
      <x:c r="B2505" s="6" t="str">
        <x:v>去</x:v>
      </x:c>
      <x:c r="C2505" s="6" t="str">
        <x:f>IF(B2505="","Needs decision","Ready")</x:f>
        <x:v>Ready</x:v>
      </x:c>
      <x:c r="D2505" s="6" t="str">
        <x:v>去</x:v>
      </x:c>
      <x:c r="E2505" s="6" t="str">
        <x:v>dzyweH (C)</x:v>
      </x:c>
      <x:c r="F2505" s="6" t="str">
        <x:v>1</x:v>
      </x:c>
      <x:c r="G2505" s="6" t="str"/>
      <x:c r="H2505" s="6" t="str">
        <x:f>IF(B2505="平","平",IF(B2505="","","仄"))</x:f>
        <x:v>仄</x:v>
      </x:c>
      <x:c r="I2505" s="6" t="str">
        <x:f>IF(D2494="","",IF(AND(ISNUMBER(SEARCH("平",D2494)),OR(ISNUMBER(SEARCH("上",D2494)),ISNUMBER(SEARCH("去",D2494)),ISNUMBER(SEARCH("入",D2494)))),"Ambiguous",IF(ISNUMBER(SEARCH("平",D2494)),"平","仄")))</x:f>
        <x:v>仄</x:v>
      </x:c>
      <x:c r="J2505" s="7" t="str"/>
    </x:row>
    <x:row r="2506">
      <x:c r="A2506" s="5" t="str">
        <x:v>瑟</x:v>
      </x:c>
      <x:c r="B2506" s="6" t="str">
        <x:v>入</x:v>
      </x:c>
      <x:c r="C2506" s="6" t="str">
        <x:f>IF(B2506="","Needs decision","Ready")</x:f>
        <x:v>Ready</x:v>
      </x:c>
      <x:c r="D2506" s="6" t="str">
        <x:v>入</x:v>
      </x:c>
      <x:c r="E2506" s="6" t="str">
        <x:v>srit (D)</x:v>
      </x:c>
      <x:c r="F2506" s="6" t="str">
        <x:v>1</x:v>
      </x:c>
      <x:c r="G2506" s="6" t="str"/>
      <x:c r="H2506" s="6" t="str">
        <x:f>IF(B2506="平","平",IF(B2506="","","仄"))</x:f>
        <x:v>仄</x:v>
      </x:c>
      <x:c r="I2506" s="6" t="str">
        <x:f>IF(D2495="","",IF(AND(ISNUMBER(SEARCH("平",D2495)),OR(ISNUMBER(SEARCH("上",D2495)),ISNUMBER(SEARCH("去",D2495)),ISNUMBER(SEARCH("入",D2495)))),"Ambiguous",IF(ISNUMBER(SEARCH("平",D2495)),"平","仄")))</x:f>
        <x:v>仄</x:v>
      </x:c>
      <x:c r="J2506" s="7" t="str"/>
    </x:row>
    <x:row r="2507">
      <x:c r="A2507" s="5" t="str">
        <x:v>瑣</x:v>
      </x:c>
      <x:c r="B2507" s="6" t="str">
        <x:v>上</x:v>
      </x:c>
      <x:c r="C2507" s="6" t="str">
        <x:f>IF(B2507="","Needs decision","Ready")</x:f>
        <x:v>Ready</x:v>
      </x:c>
      <x:c r="D2507" s="6" t="str">
        <x:v>上</x:v>
      </x:c>
      <x:c r="E2507" s="6" t="str">
        <x:v>swaX (B)</x:v>
      </x:c>
      <x:c r="F2507" s="6" t="str">
        <x:v>1</x:v>
      </x:c>
      <x:c r="G2507" s="6" t="str"/>
      <x:c r="H2507" s="6" t="str">
        <x:f>IF(B2507="平","平",IF(B2507="","","仄"))</x:f>
        <x:v>仄</x:v>
      </x:c>
      <x:c r="I2507" s="6" t="str">
        <x:f>IF(D2496="","",IF(AND(ISNUMBER(SEARCH("平",D2496)),OR(ISNUMBER(SEARCH("上",D2496)),ISNUMBER(SEARCH("去",D2496)),ISNUMBER(SEARCH("入",D2496)))),"Ambiguous",IF(ISNUMBER(SEARCH("平",D2496)),"平","仄")))</x:f>
        <x:v>仄</x:v>
      </x:c>
      <x:c r="J2507" s="7" t="str"/>
    </x:row>
    <x:row r="2508">
      <x:c r="A2508" s="5" t="str">
        <x:v>瑤</x:v>
      </x:c>
      <x:c r="B2508" s="6" t="str">
        <x:v>平</x:v>
      </x:c>
      <x:c r="C2508" s="6" t="str">
        <x:f>IF(B2508="","Needs decision","Ready")</x:f>
        <x:v>Ready</x:v>
      </x:c>
      <x:c r="D2508" s="6" t="str">
        <x:v>平</x:v>
      </x:c>
      <x:c r="E2508" s="6" t="str">
        <x:v>yew [以開三宵平] jew</x:v>
      </x:c>
      <x:c r="F2508" s="6" t="str">
        <x:v>1</x:v>
      </x:c>
      <x:c r="G2508" s="6" t="str">
        <x:v>Targeted preliminary fill from Xun Gong; review if uncertain</x:v>
      </x:c>
      <x:c r="H2508" s="6" t="str">
        <x:f>IF(B2508="平","平",IF(B2508="","","仄"))</x:f>
        <x:v>平</x:v>
      </x:c>
      <x:c r="I2508" s="6" t="str">
        <x:f>IF(D2497="","",IF(AND(ISNUMBER(SEARCH("平",D2497)),OR(ISNUMBER(SEARCH("上",D2497)),ISNUMBER(SEARCH("去",D2497)),ISNUMBER(SEARCH("入",D2497)))),"Ambiguous",IF(ISNUMBER(SEARCH("平",D2497)),"平","仄")))</x:f>
        <x:v>平</x:v>
      </x:c>
      <x:c r="J2508" s="7" t="str">
        <x:v>Xun Gong character-readings.csv</x:v>
      </x:c>
    </x:row>
    <x:row r="2509">
      <x:c r="A2509" s="5" t="str">
        <x:v>瑰</x:v>
      </x:c>
      <x:c r="B2509" s="6" t="str">
        <x:v>平</x:v>
      </x:c>
      <x:c r="C2509" s="6" t="str">
        <x:f>IF(B2509="","Needs decision","Ready")</x:f>
        <x:v>Ready</x:v>
      </x:c>
      <x:c r="D2509" s="6" t="str">
        <x:v>平</x:v>
      </x:c>
      <x:c r="E2509" s="6" t="str">
        <x:v>kwoj (A)</x:v>
      </x:c>
      <x:c r="F2509" s="6" t="str">
        <x:v>1</x:v>
      </x:c>
      <x:c r="G2509" s="6" t="str"/>
      <x:c r="H2509" s="6" t="str">
        <x:f>IF(B2509="平","平",IF(B2509="","","仄"))</x:f>
        <x:v>平</x:v>
      </x:c>
      <x:c r="I2509" s="6" t="str">
        <x:f>IF(D2498="","",IF(AND(ISNUMBER(SEARCH("平",D2498)),OR(ISNUMBER(SEARCH("上",D2498)),ISNUMBER(SEARCH("去",D2498)),ISNUMBER(SEARCH("入",D2498)))),"Ambiguous",IF(ISNUMBER(SEARCH("平",D2498)),"平","仄")))</x:f>
        <x:v>平</x:v>
      </x:c>
      <x:c r="J2509" s="7" t="str"/>
    </x:row>
    <x:row r="2510">
      <x:c r="A2510" s="5" t="str">
        <x:v>瑳</x:v>
      </x:c>
      <x:c r="B2510" s="6" t="str">
        <x:v>上</x:v>
      </x:c>
      <x:c r="C2510" s="6" t="str">
        <x:f>IF(B2510="","Needs decision","Ready")</x:f>
        <x:v>Ready</x:v>
      </x:c>
      <x:c r="D2510" s="6" t="str">
        <x:v>上</x:v>
      </x:c>
      <x:c r="E2510" s="6" t="str">
        <x:v>tshaX (B)</x:v>
      </x:c>
      <x:c r="F2510" s="6" t="str">
        <x:v>1</x:v>
      </x:c>
      <x:c r="G2510" s="6" t="str"/>
      <x:c r="H2510" s="6" t="str">
        <x:f>IF(B2510="平","平",IF(B2510="","","仄"))</x:f>
        <x:v>仄</x:v>
      </x:c>
      <x:c r="I2510" s="6" t="str">
        <x:f>IF(D2499="","",IF(AND(ISNUMBER(SEARCH("平",D2499)),OR(ISNUMBER(SEARCH("上",D2499)),ISNUMBER(SEARCH("去",D2499)),ISNUMBER(SEARCH("入",D2499)))),"Ambiguous",IF(ISNUMBER(SEARCH("平",D2499)),"平","仄")))</x:f>
        <x:v>平</x:v>
      </x:c>
      <x:c r="J2510" s="7" t="str"/>
    </x:row>
    <x:row r="2511">
      <x:c r="A2511" s="5" t="str">
        <x:v>璅</x:v>
      </x:c>
      <x:c r="B2511" s="6" t="str">
        <x:v>上</x:v>
      </x:c>
      <x:c r="C2511" s="6" t="str">
        <x:f>IF(B2511="","Needs decision","Ready")</x:f>
        <x:v>Ready</x:v>
      </x:c>
      <x:c r="D2511" s="6" t="str">
        <x:v>上</x:v>
      </x:c>
      <x:c r="E2511" s="6" t="str">
        <x:v>tsawX [t̙s̙əwʔ] (上)</x:v>
      </x:c>
      <x:c r="F2511" s="6" t="str">
        <x:v>1</x:v>
      </x:c>
      <x:c r="G2511" s="6" t="str">
        <x:v>Tang 300 gap; frequency 1; provisional from Xun Gong</x:v>
      </x:c>
      <x:c r="H2511" s="6" t="str">
        <x:f>IF(B2511="平","平",IF(B2511="","","仄"))</x:f>
        <x:v>仄</x:v>
      </x:c>
      <x:c r="I2511" s="6" t="str">
        <x:f>IF(D2500="","",IF(AND(ISNUMBER(SEARCH("平",D2500)),OR(ISNUMBER(SEARCH("上",D2500)),ISNUMBER(SEARCH("去",D2500)),ISNUMBER(SEARCH("入",D2500)))),"Ambiguous",IF(ISNUMBER(SEARCH("平",D2500)),"平","仄")))</x:f>
        <x:v>仄</x:v>
      </x:c>
      <x:c r="J2511" s="7" t="str">
        <x:v>Xun Gong, Tang 300 gap fill</x:v>
      </x:c>
    </x:row>
    <x:row r="2512">
      <x:c r="A2512" s="5" t="str">
        <x:v>璊</x:v>
      </x:c>
      <x:c r="B2512" s="6" t="str">
        <x:v>平</x:v>
      </x:c>
      <x:c r="C2512" s="6" t="str">
        <x:f>IF(B2512="","Needs decision","Ready")</x:f>
        <x:v>Ready</x:v>
      </x:c>
      <x:c r="D2512" s="6" t="str">
        <x:v>平</x:v>
      </x:c>
      <x:c r="E2512" s="6" t="str">
        <x:v>mwon (A)</x:v>
      </x:c>
      <x:c r="F2512" s="6" t="str">
        <x:v>1</x:v>
      </x:c>
      <x:c r="G2512" s="6" t="str"/>
      <x:c r="H2512" s="6" t="str">
        <x:f>IF(B2512="平","平",IF(B2512="","","仄"))</x:f>
        <x:v>平</x:v>
      </x:c>
      <x:c r="I2512" s="6" t="str">
        <x:f>IF(D2501="","",IF(AND(ISNUMBER(SEARCH("平",D2501)),OR(ISNUMBER(SEARCH("上",D2501)),ISNUMBER(SEARCH("去",D2501)),ISNUMBER(SEARCH("入",D2501)))),"Ambiguous",IF(ISNUMBER(SEARCH("平",D2501)),"平","仄")))</x:f>
        <x:v>仄</x:v>
      </x:c>
      <x:c r="J2512" s="7" t="str"/>
    </x:row>
    <x:row r="2513">
      <x:c r="A2513" s="5" t="str">
        <x:v>璋</x:v>
      </x:c>
      <x:c r="B2513" s="6" t="str">
        <x:v>平</x:v>
      </x:c>
      <x:c r="C2513" s="6" t="str">
        <x:f>IF(B2513="","Needs decision","Ready")</x:f>
        <x:v>Ready</x:v>
      </x:c>
      <x:c r="D2513" s="6" t="str">
        <x:v>平</x:v>
      </x:c>
      <x:c r="E2513" s="6" t="str">
        <x:v>tsyang (A)</x:v>
      </x:c>
      <x:c r="F2513" s="6" t="str">
        <x:v>1</x:v>
      </x:c>
      <x:c r="G2513" s="6" t="str"/>
      <x:c r="H2513" s="6" t="str">
        <x:f>IF(B2513="平","平",IF(B2513="","","仄"))</x:f>
        <x:v>平</x:v>
      </x:c>
      <x:c r="I2513" s="6" t="str">
        <x:f>IF(D2502="","",IF(AND(ISNUMBER(SEARCH("平",D2502)),OR(ISNUMBER(SEARCH("上",D2502)),ISNUMBER(SEARCH("去",D2502)),ISNUMBER(SEARCH("入",D2502)))),"Ambiguous",IF(ISNUMBER(SEARCH("平",D2502)),"平","仄")))</x:f>
        <x:v>平</x:v>
      </x:c>
      <x:c r="J2513" s="7" t="str"/>
    </x:row>
    <x:row r="2514">
      <x:c r="A2514" s="5" t="str">
        <x:v>璧</x:v>
      </x:c>
      <x:c r="B2514" s="6" t="str">
        <x:v>入</x:v>
      </x:c>
      <x:c r="C2514" s="6" t="str">
        <x:f>IF(B2514="","Needs decision","Ready")</x:f>
        <x:v>Ready</x:v>
      </x:c>
      <x:c r="D2514" s="6" t="str">
        <x:v>入</x:v>
      </x:c>
      <x:c r="E2514" s="6" t="str">
        <x:v>pjiek (D)</x:v>
      </x:c>
      <x:c r="F2514" s="6" t="str">
        <x:v>1</x:v>
      </x:c>
      <x:c r="G2514" s="6" t="str"/>
      <x:c r="H2514" s="6" t="str">
        <x:f>IF(B2514="平","平",IF(B2514="","","仄"))</x:f>
        <x:v>仄</x:v>
      </x:c>
      <x:c r="I2514" s="6" t="str">
        <x:f>IF(D2503="","",IF(AND(ISNUMBER(SEARCH("平",D2503)),OR(ISNUMBER(SEARCH("上",D2503)),ISNUMBER(SEARCH("去",D2503)),ISNUMBER(SEARCH("入",D2503)))),"Ambiguous",IF(ISNUMBER(SEARCH("平",D2503)),"平","仄")))</x:f>
        <x:v>平</x:v>
      </x:c>
      <x:c r="J2514" s="7" t="str"/>
    </x:row>
    <x:row r="2515">
      <x:c r="A2515" s="5" t="str">
        <x:v>璫</x:v>
      </x:c>
      <x:c r="B2515" s="6" t="str">
        <x:v>平</x:v>
      </x:c>
      <x:c r="C2515" s="6" t="str">
        <x:f>IF(B2515="","Needs decision","Ready")</x:f>
        <x:v>Ready</x:v>
      </x:c>
      <x:c r="D2515" s="6" t="str">
        <x:v>平</x:v>
      </x:c>
      <x:c r="E2515" s="6" t="str">
        <x:v>tang [t̙ɑŋ] (平)</x:v>
      </x:c>
      <x:c r="F2515" s="6" t="str">
        <x:v>1</x:v>
      </x:c>
      <x:c r="G2515" s="6" t="str">
        <x:v>Tang 300 gap; frequency 1; provisional from Xun Gong</x:v>
      </x:c>
      <x:c r="H2515" s="6" t="str">
        <x:f>IF(B2515="平","平",IF(B2515="","","仄"))</x:f>
        <x:v>平</x:v>
      </x:c>
      <x:c r="I2515" s="6" t="str">
        <x:f>IF(D2504="","",IF(AND(ISNUMBER(SEARCH("平",D2504)),OR(ISNUMBER(SEARCH("上",D2504)),ISNUMBER(SEARCH("去",D2504)),ISNUMBER(SEARCH("入",D2504)))),"Ambiguous",IF(ISNUMBER(SEARCH("平",D2504)),"平","仄")))</x:f>
        <x:v>平</x:v>
      </x:c>
      <x:c r="J2515" s="7" t="str">
        <x:v>Xun Gong, Tang 300 gap fill</x:v>
      </x:c>
    </x:row>
    <x:row r="2516">
      <x:c r="A2516" s="5" t="str">
        <x:v>環</x:v>
      </x:c>
      <x:c r="B2516" s="6" t="str">
        <x:v>平</x:v>
      </x:c>
      <x:c r="C2516" s="6" t="str">
        <x:f>IF(B2516="","Needs decision","Ready")</x:f>
        <x:v>Ready</x:v>
      </x:c>
      <x:c r="D2516" s="6" t="str">
        <x:v>平</x:v>
      </x:c>
      <x:c r="E2516" s="6" t="str">
        <x:v>hwaen (A)</x:v>
      </x:c>
      <x:c r="F2516" s="6" t="str">
        <x:v>1</x:v>
      </x:c>
      <x:c r="G2516" s="6" t="str"/>
      <x:c r="H2516" s="6" t="str">
        <x:f>IF(B2516="平","平",IF(B2516="","","仄"))</x:f>
        <x:v>平</x:v>
      </x:c>
      <x:c r="I2516" s="6" t="str">
        <x:f>IF(D2505="","",IF(AND(ISNUMBER(SEARCH("平",D2505)),OR(ISNUMBER(SEARCH("上",D2505)),ISNUMBER(SEARCH("去",D2505)),ISNUMBER(SEARCH("入",D2505)))),"Ambiguous",IF(ISNUMBER(SEARCH("平",D2505)),"平","仄")))</x:f>
        <x:v>仄</x:v>
      </x:c>
      <x:c r="J2516" s="7" t="str"/>
    </x:row>
    <x:row r="2517">
      <x:c r="A2517" s="5" t="str">
        <x:v>璽</x:v>
      </x:c>
      <x:c r="B2517" s="6" t="str">
        <x:v>上</x:v>
      </x:c>
      <x:c r="C2517" s="6" t="str">
        <x:f>IF(B2517="","Needs decision","Ready")</x:f>
        <x:v>Ready</x:v>
      </x:c>
      <x:c r="D2517" s="6" t="str">
        <x:v>上</x:v>
      </x:c>
      <x:c r="E2517" s="6" t="str">
        <x:v>sjeX (B)</x:v>
      </x:c>
      <x:c r="F2517" s="6" t="str">
        <x:v>1</x:v>
      </x:c>
      <x:c r="G2517" s="6" t="str"/>
      <x:c r="H2517" s="6" t="str">
        <x:f>IF(B2517="平","平",IF(B2517="","","仄"))</x:f>
        <x:v>仄</x:v>
      </x:c>
      <x:c r="I2517" s="6" t="str">
        <x:f>IF(D2506="","",IF(AND(ISNUMBER(SEARCH("平",D2506)),OR(ISNUMBER(SEARCH("上",D2506)),ISNUMBER(SEARCH("去",D2506)),ISNUMBER(SEARCH("入",D2506)))),"Ambiguous",IF(ISNUMBER(SEARCH("平",D2506)),"平","仄")))</x:f>
        <x:v>仄</x:v>
      </x:c>
      <x:c r="J2517" s="7" t="str"/>
    </x:row>
    <x:row r="2518">
      <x:c r="A2518" s="5" t="str">
        <x:v>璿</x:v>
      </x:c>
      <x:c r="B2518" s="6" t="str">
        <x:v>平</x:v>
      </x:c>
      <x:c r="C2518" s="6" t="str">
        <x:f>IF(B2518="","Needs decision","Ready")</x:f>
        <x:v>Ready</x:v>
      </x:c>
      <x:c r="D2518" s="6" t="str">
        <x:v>平</x:v>
      </x:c>
      <x:c r="E2518" s="6" t="str">
        <x:v>zjwen [邪合三仙平] zjwen</x:v>
      </x:c>
      <x:c r="F2518" s="6" t="str">
        <x:v>1</x:v>
      </x:c>
      <x:c r="G2518" s="6" t="str">
        <x:v>Targeted preliminary fill from Xun Gong; review if uncertain</x:v>
      </x:c>
      <x:c r="H2518" s="6" t="str">
        <x:f>IF(B2518="平","平",IF(B2518="","","仄"))</x:f>
        <x:v>平</x:v>
      </x:c>
      <x:c r="I2518" s="6" t="str">
        <x:f>IF(D2507="","",IF(AND(ISNUMBER(SEARCH("平",D2507)),OR(ISNUMBER(SEARCH("上",D2507)),ISNUMBER(SEARCH("去",D2507)),ISNUMBER(SEARCH("入",D2507)))),"Ambiguous",IF(ISNUMBER(SEARCH("平",D2507)),"平","仄")))</x:f>
        <x:v>仄</x:v>
      </x:c>
      <x:c r="J2518" s="7" t="str">
        <x:v>Xun Gong character-readings.csv</x:v>
      </x:c>
    </x:row>
    <x:row r="2519">
      <x:c r="A2519" s="5" t="str">
        <x:v>瓊</x:v>
      </x:c>
      <x:c r="B2519" s="6" t="str">
        <x:v>平</x:v>
      </x:c>
      <x:c r="C2519" s="6" t="str">
        <x:f>IF(B2519="","Needs decision","Ready")</x:f>
        <x:v>Ready</x:v>
      </x:c>
      <x:c r="D2519" s="6" t="str">
        <x:v>平</x:v>
      </x:c>
      <x:c r="E2519" s="6" t="str">
        <x:v>gjwieng [ɡjwaŋ] (平)</x:v>
      </x:c>
      <x:c r="F2519" s="6" t="str">
        <x:v>1</x:v>
      </x:c>
      <x:c r="G2519" s="6" t="str">
        <x:v>Tang 300 gap; frequency 3; provisional from Xun Gong</x:v>
      </x:c>
      <x:c r="H2519" s="6" t="str">
        <x:f>IF(B2519="平","平",IF(B2519="","","仄"))</x:f>
        <x:v>平</x:v>
      </x:c>
      <x:c r="I2519" s="6" t="str">
        <x:f>IF(D2508="","",IF(AND(ISNUMBER(SEARCH("平",D2508)),OR(ISNUMBER(SEARCH("上",D2508)),ISNUMBER(SEARCH("去",D2508)),ISNUMBER(SEARCH("入",D2508)))),"Ambiguous",IF(ISNUMBER(SEARCH("平",D2508)),"平","仄")))</x:f>
        <x:v>平</x:v>
      </x:c>
      <x:c r="J2519" s="7" t="str">
        <x:v>Xun Gong, Tang 300 gap fill</x:v>
      </x:c>
    </x:row>
    <x:row r="2520">
      <x:c r="A2520" s="5" t="str">
        <x:v>瓏</x:v>
      </x:c>
      <x:c r="B2520" s="6" t="str">
        <x:v>平</x:v>
      </x:c>
      <x:c r="C2520" s="6" t="str">
        <x:f>IF(B2520="","Needs decision","Ready")</x:f>
        <x:v>Ready</x:v>
      </x:c>
      <x:c r="D2520" s="6" t="str">
        <x:v>平</x:v>
      </x:c>
      <x:c r="E2520" s="6" t="str">
        <x:v>luwng [l̙uŋ] (平)</x:v>
      </x:c>
      <x:c r="F2520" s="6" t="str">
        <x:v>1</x:v>
      </x:c>
      <x:c r="G2520" s="6" t="str">
        <x:v>Tang 300 gap; frequency 3; provisional from Xun Gong</x:v>
      </x:c>
      <x:c r="H2520" s="6" t="str">
        <x:f>IF(B2520="平","平",IF(B2520="","","仄"))</x:f>
        <x:v>平</x:v>
      </x:c>
      <x:c r="I2520" s="6" t="str">
        <x:f>IF(D2509="","",IF(AND(ISNUMBER(SEARCH("平",D2509)),OR(ISNUMBER(SEARCH("上",D2509)),ISNUMBER(SEARCH("去",D2509)),ISNUMBER(SEARCH("入",D2509)))),"Ambiguous",IF(ISNUMBER(SEARCH("平",D2509)),"平","仄")))</x:f>
        <x:v>平</x:v>
      </x:c>
      <x:c r="J2520" s="7" t="str">
        <x:v>Xun Gong, Tang 300 gap fill</x:v>
      </x:c>
    </x:row>
    <x:row r="2521">
      <x:c r="A2521" s="5" t="str">
        <x:v>瓜</x:v>
      </x:c>
      <x:c r="B2521" s="6" t="str">
        <x:v>平</x:v>
      </x:c>
      <x:c r="C2521" s="6" t="str">
        <x:f>IF(B2521="","Needs decision","Ready")</x:f>
        <x:v>Ready</x:v>
      </x:c>
      <x:c r="D2521" s="6" t="str">
        <x:v>平</x:v>
      </x:c>
      <x:c r="E2521" s="6" t="str">
        <x:v>kwae (A)</x:v>
      </x:c>
      <x:c r="F2521" s="6" t="str">
        <x:v>1</x:v>
      </x:c>
      <x:c r="G2521" s="6" t="str"/>
      <x:c r="H2521" s="6" t="str">
        <x:f>IF(B2521="平","平",IF(B2521="","","仄"))</x:f>
        <x:v>平</x:v>
      </x:c>
      <x:c r="I2521" s="6" t="str">
        <x:f>IF(D2510="","",IF(AND(ISNUMBER(SEARCH("平",D2510)),OR(ISNUMBER(SEARCH("上",D2510)),ISNUMBER(SEARCH("去",D2510)),ISNUMBER(SEARCH("入",D2510)))),"Ambiguous",IF(ISNUMBER(SEARCH("平",D2510)),"平","仄")))</x:f>
        <x:v>仄</x:v>
      </x:c>
      <x:c r="J2521" s="7" t="str"/>
    </x:row>
    <x:row r="2522">
      <x:c r="A2522" s="5" t="str">
        <x:v>瓠</x:v>
      </x:c>
      <x:c r="B2522" s="6" t="str">
        <x:v>去</x:v>
      </x:c>
      <x:c r="C2522" s="6" t="str">
        <x:f>IF(B2522="","Needs decision","Ready")</x:f>
        <x:v>Ready</x:v>
      </x:c>
      <x:c r="D2522" s="6" t="str">
        <x:v>去</x:v>
      </x:c>
      <x:c r="E2522" s="6" t="str">
        <x:v>huH (C)</x:v>
      </x:c>
      <x:c r="F2522" s="6" t="str">
        <x:v>1</x:v>
      </x:c>
      <x:c r="G2522" s="6" t="str"/>
      <x:c r="H2522" s="6" t="str">
        <x:f>IF(B2522="平","平",IF(B2522="","","仄"))</x:f>
        <x:v>仄</x:v>
      </x:c>
      <x:c r="I2522" s="6" t="str">
        <x:f>IF(D2511="","",IF(AND(ISNUMBER(SEARCH("平",D2511)),OR(ISNUMBER(SEARCH("上",D2511)),ISNUMBER(SEARCH("去",D2511)),ISNUMBER(SEARCH("入",D2511)))),"Ambiguous",IF(ISNUMBER(SEARCH("平",D2511)),"平","仄")))</x:f>
        <x:v>仄</x:v>
      </x:c>
      <x:c r="J2522" s="7" t="str"/>
    </x:row>
    <x:row r="2523">
      <x:c r="A2523" s="5" t="str">
        <x:v>瓢</x:v>
      </x:c>
      <x:c r="B2523" s="6" t="str">
        <x:v>平</x:v>
      </x:c>
      <x:c r="C2523" s="6" t="str">
        <x:f>IF(B2523="","Needs decision","Ready")</x:f>
        <x:v>Ready</x:v>
      </x:c>
      <x:c r="D2523" s="6" t="str">
        <x:v>平</x:v>
      </x:c>
      <x:c r="E2523" s="6" t="str">
        <x:v>bjiew (A)</x:v>
      </x:c>
      <x:c r="F2523" s="6" t="str">
        <x:v>1</x:v>
      </x:c>
      <x:c r="G2523" s="6" t="str"/>
      <x:c r="H2523" s="6" t="str">
        <x:f>IF(B2523="平","平",IF(B2523="","","仄"))</x:f>
        <x:v>平</x:v>
      </x:c>
      <x:c r="I2523" s="6" t="str">
        <x:f>IF(D2512="","",IF(AND(ISNUMBER(SEARCH("平",D2512)),OR(ISNUMBER(SEARCH("上",D2512)),ISNUMBER(SEARCH("去",D2512)),ISNUMBER(SEARCH("入",D2512)))),"Ambiguous",IF(ISNUMBER(SEARCH("平",D2512)),"平","仄")))</x:f>
        <x:v>平</x:v>
      </x:c>
      <x:c r="J2523" s="7" t="str"/>
    </x:row>
    <x:row r="2524">
      <x:c r="A2524" s="5" t="str">
        <x:v>瓦</x:v>
      </x:c>
      <x:c r="B2524" s="6" t="str">
        <x:v>上</x:v>
      </x:c>
      <x:c r="C2524" s="6" t="str">
        <x:f>IF(B2524="","Needs decision","Ready")</x:f>
        <x:v>Ready</x:v>
      </x:c>
      <x:c r="D2524" s="6" t="str">
        <x:v>上</x:v>
      </x:c>
      <x:c r="E2524" s="6" t="str">
        <x:v>ngwaeX (B)</x:v>
      </x:c>
      <x:c r="F2524" s="6" t="str">
        <x:v>1</x:v>
      </x:c>
      <x:c r="G2524" s="6" t="str"/>
      <x:c r="H2524" s="6" t="str">
        <x:f>IF(B2524="平","平",IF(B2524="","","仄"))</x:f>
        <x:v>仄</x:v>
      </x:c>
      <x:c r="I2524" s="6" t="str">
        <x:f>IF(D2513="","",IF(AND(ISNUMBER(SEARCH("平",D2513)),OR(ISNUMBER(SEARCH("上",D2513)),ISNUMBER(SEARCH("去",D2513)),ISNUMBER(SEARCH("入",D2513)))),"Ambiguous",IF(ISNUMBER(SEARCH("平",D2513)),"平","仄")))</x:f>
        <x:v>平</x:v>
      </x:c>
      <x:c r="J2524" s="7" t="str"/>
    </x:row>
    <x:row r="2525">
      <x:c r="A2525" s="5" t="str">
        <x:v>瓬</x:v>
      </x:c>
      <x:c r="B2525" s="6" t="str">
        <x:v>上</x:v>
      </x:c>
      <x:c r="C2525" s="6" t="str">
        <x:f>IF(B2525="","Needs decision","Ready")</x:f>
        <x:v>Ready</x:v>
      </x:c>
      <x:c r="D2525" s="6" t="str">
        <x:v>上</x:v>
      </x:c>
      <x:c r="E2525" s="6" t="str">
        <x:v>pjangX (B)</x:v>
      </x:c>
      <x:c r="F2525" s="6" t="str">
        <x:v>1</x:v>
      </x:c>
      <x:c r="G2525" s="6" t="str"/>
      <x:c r="H2525" s="6" t="str">
        <x:f>IF(B2525="平","平",IF(B2525="","","仄"))</x:f>
        <x:v>仄</x:v>
      </x:c>
      <x:c r="I2525" s="6" t="str">
        <x:f>IF(D2514="","",IF(AND(ISNUMBER(SEARCH("平",D2514)),OR(ISNUMBER(SEARCH("上",D2514)),ISNUMBER(SEARCH("去",D2514)),ISNUMBER(SEARCH("入",D2514)))),"Ambiguous",IF(ISNUMBER(SEARCH("平",D2514)),"平","仄")))</x:f>
        <x:v>仄</x:v>
      </x:c>
      <x:c r="J2525" s="7" t="str"/>
    </x:row>
    <x:row r="2526">
      <x:c r="A2526" s="5" t="str">
        <x:v>瓮</x:v>
      </x:c>
      <x:c r="B2526" s="6" t="str">
        <x:v>去</x:v>
      </x:c>
      <x:c r="C2526" s="6" t="str">
        <x:f>IF(B2526="","Needs decision","Ready")</x:f>
        <x:v>Ready</x:v>
      </x:c>
      <x:c r="D2526" s="6" t="str">
        <x:v>去</x:v>
      </x:c>
      <x:c r="E2526" s="6" t="str">
        <x:v>'uwngH (C)</x:v>
      </x:c>
      <x:c r="F2526" s="6" t="str">
        <x:v>1</x:v>
      </x:c>
      <x:c r="G2526" s="6" t="str"/>
      <x:c r="H2526" s="6" t="str">
        <x:f>IF(B2526="平","平",IF(B2526="","","仄"))</x:f>
        <x:v>仄</x:v>
      </x:c>
      <x:c r="I2526" s="6" t="str">
        <x:f>IF(D2515="","",IF(AND(ISNUMBER(SEARCH("平",D2515)),OR(ISNUMBER(SEARCH("上",D2515)),ISNUMBER(SEARCH("去",D2515)),ISNUMBER(SEARCH("入",D2515)))),"Ambiguous",IF(ISNUMBER(SEARCH("平",D2515)),"平","仄")))</x:f>
        <x:v>平</x:v>
      </x:c>
      <x:c r="J2526" s="7" t="str"/>
    </x:row>
    <x:row r="2527">
      <x:c r="A2527" s="5" t="str">
        <x:v>瓶</x:v>
      </x:c>
      <x:c r="B2527" s="6" t="str">
        <x:v>平</x:v>
      </x:c>
      <x:c r="C2527" s="6" t="str">
        <x:f>IF(B2527="","Needs decision","Ready")</x:f>
        <x:v>Ready</x:v>
      </x:c>
      <x:c r="D2527" s="6" t="str">
        <x:v>平</x:v>
      </x:c>
      <x:c r="E2527" s="6" t="str">
        <x:v>beng (A)</x:v>
      </x:c>
      <x:c r="F2527" s="6" t="str">
        <x:v>1</x:v>
      </x:c>
      <x:c r="G2527" s="6" t="str"/>
      <x:c r="H2527" s="6" t="str">
        <x:f>IF(B2527="平","平",IF(B2527="","","仄"))</x:f>
        <x:v>平</x:v>
      </x:c>
      <x:c r="I2527" s="6" t="str">
        <x:f>IF(D2516="","",IF(AND(ISNUMBER(SEARCH("平",D2516)),OR(ISNUMBER(SEARCH("上",D2516)),ISNUMBER(SEARCH("去",D2516)),ISNUMBER(SEARCH("入",D2516)))),"Ambiguous",IF(ISNUMBER(SEARCH("平",D2516)),"平","仄")))</x:f>
        <x:v>平</x:v>
      </x:c>
      <x:c r="J2527" s="7" t="str"/>
    </x:row>
    <x:row r="2528">
      <x:c r="A2528" s="5" t="str">
        <x:v>甄</x:v>
      </x:c>
      <x:c r="B2528" s="6" t="str">
        <x:v>平</x:v>
      </x:c>
      <x:c r="C2528" s="6" t="str">
        <x:f>IF(B2528="","Needs decision","Ready")</x:f>
        <x:v>Ready</x:v>
      </x:c>
      <x:c r="D2528" s="6" t="str">
        <x:v>平</x:v>
      </x:c>
      <x:c r="E2528" s="6" t="str">
        <x:v>tsyin (A)</x:v>
      </x:c>
      <x:c r="F2528" s="6" t="str">
        <x:v>1</x:v>
      </x:c>
      <x:c r="G2528" s="6" t="str"/>
      <x:c r="H2528" s="6" t="str">
        <x:f>IF(B2528="平","平",IF(B2528="","","仄"))</x:f>
        <x:v>平</x:v>
      </x:c>
      <x:c r="I2528" s="6" t="str">
        <x:f>IF(D2517="","",IF(AND(ISNUMBER(SEARCH("平",D2517)),OR(ISNUMBER(SEARCH("上",D2517)),ISNUMBER(SEARCH("去",D2517)),ISNUMBER(SEARCH("入",D2517)))),"Ambiguous",IF(ISNUMBER(SEARCH("平",D2517)),"平","仄")))</x:f>
        <x:v>仄</x:v>
      </x:c>
      <x:c r="J2528" s="7" t="str"/>
    </x:row>
    <x:row r="2529">
      <x:c r="A2529" s="5" t="str">
        <x:v>甑</x:v>
      </x:c>
      <x:c r="B2529" s="6" t="str">
        <x:v>去</x:v>
      </x:c>
      <x:c r="C2529" s="6" t="str">
        <x:f>IF(B2529="","Needs decision","Ready")</x:f>
        <x:v>Ready</x:v>
      </x:c>
      <x:c r="D2529" s="6" t="str">
        <x:v>去</x:v>
      </x:c>
      <x:c r="E2529" s="6" t="str">
        <x:v>tsingH (C)</x:v>
      </x:c>
      <x:c r="F2529" s="6" t="str">
        <x:v>1</x:v>
      </x:c>
      <x:c r="G2529" s="6" t="str"/>
      <x:c r="H2529" s="6" t="str">
        <x:f>IF(B2529="平","平",IF(B2529="","","仄"))</x:f>
        <x:v>仄</x:v>
      </x:c>
      <x:c r="I2529" s="6" t="str">
        <x:f>IF(D2518="","",IF(AND(ISNUMBER(SEARCH("平",D2518)),OR(ISNUMBER(SEARCH("上",D2518)),ISNUMBER(SEARCH("去",D2518)),ISNUMBER(SEARCH("入",D2518)))),"Ambiguous",IF(ISNUMBER(SEARCH("平",D2518)),"平","仄")))</x:f>
        <x:v>平</x:v>
      </x:c>
      <x:c r="J2529" s="7" t="str"/>
    </x:row>
    <x:row r="2530">
      <x:c r="A2530" s="5" t="str">
        <x:v>甓</x:v>
      </x:c>
      <x:c r="B2530" s="6" t="str">
        <x:v>入</x:v>
      </x:c>
      <x:c r="C2530" s="6" t="str">
        <x:f>IF(B2530="","Needs decision","Ready")</x:f>
        <x:v>Ready</x:v>
      </x:c>
      <x:c r="D2530" s="6" t="str">
        <x:v>入</x:v>
      </x:c>
      <x:c r="E2530" s="6" t="str">
        <x:v>bek (D)</x:v>
      </x:c>
      <x:c r="F2530" s="6" t="str">
        <x:v>1</x:v>
      </x:c>
      <x:c r="G2530" s="6" t="str"/>
      <x:c r="H2530" s="6" t="str">
        <x:f>IF(B2530="平","平",IF(B2530="","","仄"))</x:f>
        <x:v>仄</x:v>
      </x:c>
      <x:c r="I2530" s="6" t="str">
        <x:f>IF(D2519="","",IF(AND(ISNUMBER(SEARCH("平",D2519)),OR(ISNUMBER(SEARCH("上",D2519)),ISNUMBER(SEARCH("去",D2519)),ISNUMBER(SEARCH("入",D2519)))),"Ambiguous",IF(ISNUMBER(SEARCH("平",D2519)),"平","仄")))</x:f>
        <x:v>平</x:v>
      </x:c>
      <x:c r="J2530" s="7" t="str"/>
    </x:row>
    <x:row r="2531">
      <x:c r="A2531" s="5" t="str">
        <x:v>甕</x:v>
      </x:c>
      <x:c r="B2531" s="6" t="str">
        <x:v>去</x:v>
      </x:c>
      <x:c r="C2531" s="6" t="str">
        <x:f>IF(B2531="","Needs decision","Ready")</x:f>
        <x:v>Ready</x:v>
      </x:c>
      <x:c r="D2531" s="6" t="str">
        <x:v>去</x:v>
      </x:c>
      <x:c r="E2531" s="6" t="str">
        <x:v>'uwngH (C)</x:v>
      </x:c>
      <x:c r="F2531" s="6" t="str">
        <x:v>1</x:v>
      </x:c>
      <x:c r="G2531" s="6" t="str"/>
      <x:c r="H2531" s="6" t="str">
        <x:f>IF(B2531="平","平",IF(B2531="","","仄"))</x:f>
        <x:v>仄</x:v>
      </x:c>
      <x:c r="I2531" s="6" t="str">
        <x:f>IF(D2520="","",IF(AND(ISNUMBER(SEARCH("平",D2520)),OR(ISNUMBER(SEARCH("上",D2520)),ISNUMBER(SEARCH("去",D2520)),ISNUMBER(SEARCH("入",D2520)))),"Ambiguous",IF(ISNUMBER(SEARCH("平",D2520)),"平","仄")))</x:f>
        <x:v>平</x:v>
      </x:c>
      <x:c r="J2531" s="7" t="str"/>
    </x:row>
    <x:row r="2532">
      <x:c r="A2532" s="5" t="str">
        <x:v>甗</x:v>
      </x:c>
      <x:c r="B2532" s="6" t="str"/>
      <x:c r="C2532" s="6" t="str">
        <x:f>IF(B2532="","Needs decision","Ready")</x:f>
        <x:v>Needs decision</x:v>
      </x:c>
      <x:c r="D2532" s="6" t="str">
        <x:v>去/平</x:v>
      </x:c>
      <x:c r="E2532" s="6" t="str">
        <x:v>ngjenH (C); ngjon (A)</x:v>
      </x:c>
      <x:c r="F2532" s="6" t="str">
        <x:v>2</x:v>
      </x:c>
      <x:c r="G2532" s="6" t="str"/>
      <x:c r="H2532" s="6" t="str">
        <x:f>IF(B2532="平","平",IF(B2532="","","仄"))</x:f>
      </x:c>
      <x:c r="I2532" s="6" t="str">
        <x:f>IF(D2521="","",IF(AND(ISNUMBER(SEARCH("平",D2521)),OR(ISNUMBER(SEARCH("上",D2521)),ISNUMBER(SEARCH("去",D2521)),ISNUMBER(SEARCH("入",D2521)))),"Ambiguous",IF(ISNUMBER(SEARCH("平",D2521)),"平","仄")))</x:f>
        <x:v>平</x:v>
      </x:c>
      <x:c r="J2532" s="7" t="str"/>
    </x:row>
    <x:row r="2533">
      <x:c r="A2533" s="5" t="str">
        <x:v>甘</x:v>
      </x:c>
      <x:c r="B2533" s="6" t="str">
        <x:v>平</x:v>
      </x:c>
      <x:c r="C2533" s="6" t="str">
        <x:f>IF(B2533="","Needs decision","Ready")</x:f>
        <x:v>Ready</x:v>
      </x:c>
      <x:c r="D2533" s="6" t="str">
        <x:v>平</x:v>
      </x:c>
      <x:c r="E2533" s="6" t="str">
        <x:v>kam (A)</x:v>
      </x:c>
      <x:c r="F2533" s="6" t="str">
        <x:v>1</x:v>
      </x:c>
      <x:c r="G2533" s="6" t="str"/>
      <x:c r="H2533" s="6" t="str">
        <x:f>IF(B2533="平","平",IF(B2533="","","仄"))</x:f>
        <x:v>平</x:v>
      </x:c>
      <x:c r="I2533" s="6" t="str">
        <x:f>IF(D2522="","",IF(AND(ISNUMBER(SEARCH("平",D2522)),OR(ISNUMBER(SEARCH("上",D2522)),ISNUMBER(SEARCH("去",D2522)),ISNUMBER(SEARCH("入",D2522)))),"Ambiguous",IF(ISNUMBER(SEARCH("平",D2522)),"平","仄")))</x:f>
        <x:v>仄</x:v>
      </x:c>
      <x:c r="J2533" s="7" t="str"/>
    </x:row>
    <x:row r="2534">
      <x:c r="A2534" s="5" t="str">
        <x:v>甚</x:v>
      </x:c>
      <x:c r="B2534" s="6" t="str"/>
      <x:c r="C2534" s="6" t="str">
        <x:f>IF(B2534="","Needs decision","Ready")</x:f>
        <x:v>Needs decision</x:v>
      </x:c>
      <x:c r="D2534" s="6" t="str">
        <x:v>上/去</x:v>
      </x:c>
      <x:c r="E2534" s="6" t="str">
        <x:v>dzyimX (B); dzyimH (C)</x:v>
      </x:c>
      <x:c r="F2534" s="6" t="str">
        <x:v>2</x:v>
      </x:c>
      <x:c r="G2534" s="6" t="str"/>
      <x:c r="H2534" s="6" t="str">
        <x:f>IF(B2534="平","平",IF(B2534="","","仄"))</x:f>
      </x:c>
      <x:c r="I2534" s="6" t="str">
        <x:f>IF(D2523="","",IF(AND(ISNUMBER(SEARCH("平",D2523)),OR(ISNUMBER(SEARCH("上",D2523)),ISNUMBER(SEARCH("去",D2523)),ISNUMBER(SEARCH("入",D2523)))),"Ambiguous",IF(ISNUMBER(SEARCH("平",D2523)),"平","仄")))</x:f>
        <x:v>平</x:v>
      </x:c>
      <x:c r="J2534" s="7" t="str"/>
    </x:row>
    <x:row r="2535">
      <x:c r="A2535" s="5" t="str">
        <x:v>生</x:v>
      </x:c>
      <x:c r="B2535" s="6" t="str">
        <x:v>平</x:v>
      </x:c>
      <x:c r="C2535" s="6" t="str">
        <x:f>IF(B2535="","Needs decision","Ready")</x:f>
        <x:v>Ready</x:v>
      </x:c>
      <x:c r="D2535" s="6" t="str">
        <x:v>平</x:v>
      </x:c>
      <x:c r="E2535" s="6" t="str">
        <x:v>sraeng (A); srjaeng (A)</x:v>
      </x:c>
      <x:c r="F2535" s="6" t="str">
        <x:v>2</x:v>
      </x:c>
      <x:c r="G2535" s="6" t="str"/>
      <x:c r="H2535" s="6" t="str">
        <x:f>IF(B2535="平","平",IF(B2535="","","仄"))</x:f>
        <x:v>平</x:v>
      </x:c>
      <x:c r="I2535" s="6" t="str">
        <x:f>IF(D2524="","",IF(AND(ISNUMBER(SEARCH("平",D2524)),OR(ISNUMBER(SEARCH("上",D2524)),ISNUMBER(SEARCH("去",D2524)),ISNUMBER(SEARCH("入",D2524)))),"Ambiguous",IF(ISNUMBER(SEARCH("平",D2524)),"平","仄")))</x:f>
        <x:v>仄</x:v>
      </x:c>
      <x:c r="J2535" s="7" t="str"/>
    </x:row>
    <x:row r="2536">
      <x:c r="A2536" s="5" t="str">
        <x:v>產</x:v>
      </x:c>
      <x:c r="B2536" s="6" t="str">
        <x:v>上</x:v>
      </x:c>
      <x:c r="C2536" s="6" t="str">
        <x:f>IF(B2536="","Needs decision","Ready")</x:f>
        <x:v>Ready</x:v>
      </x:c>
      <x:c r="D2536" s="6" t="str">
        <x:v>上</x:v>
      </x:c>
      <x:c r="E2536" s="6" t="str">
        <x:v>sreanX (B)</x:v>
      </x:c>
      <x:c r="F2536" s="6" t="str">
        <x:v>1</x:v>
      </x:c>
      <x:c r="G2536" s="6" t="str"/>
      <x:c r="H2536" s="6" t="str">
        <x:f>IF(B2536="平","平",IF(B2536="","","仄"))</x:f>
        <x:v>仄</x:v>
      </x:c>
      <x:c r="I2536" s="6" t="str">
        <x:f>IF(D2525="","",IF(AND(ISNUMBER(SEARCH("平",D2525)),OR(ISNUMBER(SEARCH("上",D2525)),ISNUMBER(SEARCH("去",D2525)),ISNUMBER(SEARCH("入",D2525)))),"Ambiguous",IF(ISNUMBER(SEARCH("平",D2525)),"平","仄")))</x:f>
        <x:v>仄</x:v>
      </x:c>
      <x:c r="J2536" s="7" t="str"/>
    </x:row>
    <x:row r="2537">
      <x:c r="A2537" s="5" t="str">
        <x:v>甥</x:v>
      </x:c>
      <x:c r="B2537" s="6" t="str">
        <x:v>平</x:v>
      </x:c>
      <x:c r="C2537" s="6" t="str">
        <x:f>IF(B2537="","Needs decision","Ready")</x:f>
        <x:v>Ready</x:v>
      </x:c>
      <x:c r="D2537" s="6" t="str">
        <x:v>平</x:v>
      </x:c>
      <x:c r="E2537" s="6" t="str">
        <x:v>sraeng (A)</x:v>
      </x:c>
      <x:c r="F2537" s="6" t="str">
        <x:v>1</x:v>
      </x:c>
      <x:c r="G2537" s="6" t="str"/>
      <x:c r="H2537" s="6" t="str">
        <x:f>IF(B2537="平","平",IF(B2537="","","仄"))</x:f>
        <x:v>平</x:v>
      </x:c>
      <x:c r="I2537" s="6" t="str">
        <x:f>IF(D2526="","",IF(AND(ISNUMBER(SEARCH("平",D2526)),OR(ISNUMBER(SEARCH("上",D2526)),ISNUMBER(SEARCH("去",D2526)),ISNUMBER(SEARCH("入",D2526)))),"Ambiguous",IF(ISNUMBER(SEARCH("平",D2526)),"平","仄")))</x:f>
        <x:v>仄</x:v>
      </x:c>
      <x:c r="J2537" s="7" t="str"/>
    </x:row>
    <x:row r="2538">
      <x:c r="A2538" s="5" t="str">
        <x:v>用</x:v>
      </x:c>
      <x:c r="B2538" s="6" t="str">
        <x:v>去</x:v>
      </x:c>
      <x:c r="C2538" s="6" t="str">
        <x:f>IF(B2538="","Needs decision","Ready")</x:f>
        <x:v>Ready</x:v>
      </x:c>
      <x:c r="D2538" s="6" t="str">
        <x:v>去</x:v>
      </x:c>
      <x:c r="E2538" s="6" t="str">
        <x:v>yowngH (C)</x:v>
      </x:c>
      <x:c r="F2538" s="6" t="str">
        <x:v>1</x:v>
      </x:c>
      <x:c r="G2538" s="6" t="str"/>
      <x:c r="H2538" s="6" t="str">
        <x:f>IF(B2538="平","平",IF(B2538="","","仄"))</x:f>
        <x:v>仄</x:v>
      </x:c>
      <x:c r="I2538" s="6" t="str">
        <x:f>IF(D2527="","",IF(AND(ISNUMBER(SEARCH("平",D2527)),OR(ISNUMBER(SEARCH("上",D2527)),ISNUMBER(SEARCH("去",D2527)),ISNUMBER(SEARCH("入",D2527)))),"Ambiguous",IF(ISNUMBER(SEARCH("平",D2527)),"平","仄")))</x:f>
        <x:v>平</x:v>
      </x:c>
      <x:c r="J2538" s="7" t="str"/>
    </x:row>
    <x:row r="2539">
      <x:c r="A2539" s="5" t="str">
        <x:v>甫</x:v>
      </x:c>
      <x:c r="B2539" s="6" t="str">
        <x:v>上</x:v>
      </x:c>
      <x:c r="C2539" s="6" t="str">
        <x:f>IF(B2539="","Needs decision","Ready")</x:f>
        <x:v>Ready</x:v>
      </x:c>
      <x:c r="D2539" s="6" t="str">
        <x:v>上</x:v>
      </x:c>
      <x:c r="E2539" s="6" t="str">
        <x:v>pjuX (B)</x:v>
      </x:c>
      <x:c r="F2539" s="6" t="str">
        <x:v>1</x:v>
      </x:c>
      <x:c r="G2539" s="6" t="str"/>
      <x:c r="H2539" s="6" t="str">
        <x:f>IF(B2539="平","平",IF(B2539="","","仄"))</x:f>
        <x:v>仄</x:v>
      </x:c>
      <x:c r="I2539" s="6" t="str">
        <x:f>IF(D2528="","",IF(AND(ISNUMBER(SEARCH("平",D2528)),OR(ISNUMBER(SEARCH("上",D2528)),ISNUMBER(SEARCH("去",D2528)),ISNUMBER(SEARCH("入",D2528)))),"Ambiguous",IF(ISNUMBER(SEARCH("平",D2528)),"平","仄")))</x:f>
        <x:v>平</x:v>
      </x:c>
      <x:c r="J2539" s="7" t="str"/>
    </x:row>
    <x:row r="2540">
      <x:c r="A2540" s="5" t="str">
        <x:v>甯</x:v>
      </x:c>
      <x:c r="B2540" s="6" t="str"/>
      <x:c r="C2540" s="6" t="str">
        <x:f>IF(B2540="","Needs decision","Ready")</x:f>
        <x:v>Needs decision</x:v>
      </x:c>
      <x:c r="D2540" s="6" t="str">
        <x:v>平/去</x:v>
      </x:c>
      <x:c r="E2540" s="6" t="str">
        <x:v>neng (A); nengH (C)</x:v>
      </x:c>
      <x:c r="F2540" s="6" t="str">
        <x:v>2</x:v>
      </x:c>
      <x:c r="G2540" s="6" t="str"/>
      <x:c r="H2540" s="6" t="str">
        <x:f>IF(B2540="平","平",IF(B2540="","","仄"))</x:f>
      </x:c>
      <x:c r="I2540" s="6" t="str">
        <x:f>IF(D2529="","",IF(AND(ISNUMBER(SEARCH("平",D2529)),OR(ISNUMBER(SEARCH("上",D2529)),ISNUMBER(SEARCH("去",D2529)),ISNUMBER(SEARCH("入",D2529)))),"Ambiguous",IF(ISNUMBER(SEARCH("平",D2529)),"平","仄")))</x:f>
        <x:v>仄</x:v>
      </x:c>
      <x:c r="J2540" s="7" t="str"/>
    </x:row>
    <x:row r="2541">
      <x:c r="A2541" s="5" t="str">
        <x:v>田</x:v>
      </x:c>
      <x:c r="B2541" s="6" t="str">
        <x:v>平</x:v>
      </x:c>
      <x:c r="C2541" s="6" t="str">
        <x:f>IF(B2541="","Needs decision","Ready")</x:f>
        <x:v>Ready</x:v>
      </x:c>
      <x:c r="D2541" s="6" t="str">
        <x:v>平</x:v>
      </x:c>
      <x:c r="E2541" s="6" t="str">
        <x:v>den (A)</x:v>
      </x:c>
      <x:c r="F2541" s="6" t="str">
        <x:v>1</x:v>
      </x:c>
      <x:c r="G2541" s="6" t="str"/>
      <x:c r="H2541" s="6" t="str">
        <x:f>IF(B2541="平","平",IF(B2541="","","仄"))</x:f>
        <x:v>平</x:v>
      </x:c>
      <x:c r="I2541" s="6" t="str">
        <x:f>IF(D2530="","",IF(AND(ISNUMBER(SEARCH("平",D2530)),OR(ISNUMBER(SEARCH("上",D2530)),ISNUMBER(SEARCH("去",D2530)),ISNUMBER(SEARCH("入",D2530)))),"Ambiguous",IF(ISNUMBER(SEARCH("平",D2530)),"平","仄")))</x:f>
        <x:v>仄</x:v>
      </x:c>
      <x:c r="J2541" s="7" t="str"/>
    </x:row>
    <x:row r="2542">
      <x:c r="A2542" s="5" t="str">
        <x:v>由</x:v>
      </x:c>
      <x:c r="B2542" s="6" t="str">
        <x:v>平</x:v>
      </x:c>
      <x:c r="C2542" s="6" t="str">
        <x:f>IF(B2542="","Needs decision","Ready")</x:f>
        <x:v>Ready</x:v>
      </x:c>
      <x:c r="D2542" s="6" t="str">
        <x:v>平</x:v>
      </x:c>
      <x:c r="E2542" s="6" t="str">
        <x:v>yuw (A)</x:v>
      </x:c>
      <x:c r="F2542" s="6" t="str">
        <x:v>1</x:v>
      </x:c>
      <x:c r="G2542" s="6" t="str"/>
      <x:c r="H2542" s="6" t="str">
        <x:f>IF(B2542="平","平",IF(B2542="","","仄"))</x:f>
        <x:v>平</x:v>
      </x:c>
      <x:c r="I2542" s="6" t="str">
        <x:f>IF(D2531="","",IF(AND(ISNUMBER(SEARCH("平",D2531)),OR(ISNUMBER(SEARCH("上",D2531)),ISNUMBER(SEARCH("去",D2531)),ISNUMBER(SEARCH("入",D2531)))),"Ambiguous",IF(ISNUMBER(SEARCH("平",D2531)),"平","仄")))</x:f>
        <x:v>仄</x:v>
      </x:c>
      <x:c r="J2542" s="7" t="str"/>
    </x:row>
    <x:row r="2543">
      <x:c r="A2543" s="5" t="str">
        <x:v>甲</x:v>
      </x:c>
      <x:c r="B2543" s="6" t="str">
        <x:v>入</x:v>
      </x:c>
      <x:c r="C2543" s="6" t="str">
        <x:f>IF(B2543="","Needs decision","Ready")</x:f>
        <x:v>Ready</x:v>
      </x:c>
      <x:c r="D2543" s="6" t="str">
        <x:v>入</x:v>
      </x:c>
      <x:c r="E2543" s="6" t="str">
        <x:v>kaep (D)</x:v>
      </x:c>
      <x:c r="F2543" s="6" t="str">
        <x:v>1</x:v>
      </x:c>
      <x:c r="G2543" s="6" t="str"/>
      <x:c r="H2543" s="6" t="str">
        <x:f>IF(B2543="平","平",IF(B2543="","","仄"))</x:f>
        <x:v>仄</x:v>
      </x:c>
      <x:c r="I2543" s="6" t="str">
        <x:f>IF(D2532="","",IF(AND(ISNUMBER(SEARCH("平",D2532)),OR(ISNUMBER(SEARCH("上",D2532)),ISNUMBER(SEARCH("去",D2532)),ISNUMBER(SEARCH("入",D2532)))),"Ambiguous",IF(ISNUMBER(SEARCH("平",D2532)),"平","仄")))</x:f>
        <x:v>Ambiguous</x:v>
      </x:c>
      <x:c r="J2543" s="7" t="str"/>
    </x:row>
    <x:row r="2544">
      <x:c r="A2544" s="5" t="str">
        <x:v>申</x:v>
      </x:c>
      <x:c r="B2544" s="6" t="str">
        <x:v>平</x:v>
      </x:c>
      <x:c r="C2544" s="6" t="str">
        <x:f>IF(B2544="","Needs decision","Ready")</x:f>
        <x:v>Ready</x:v>
      </x:c>
      <x:c r="D2544" s="6" t="str">
        <x:v>平</x:v>
      </x:c>
      <x:c r="E2544" s="6" t="str">
        <x:v>syin (A)</x:v>
      </x:c>
      <x:c r="F2544" s="6" t="str">
        <x:v>1</x:v>
      </x:c>
      <x:c r="G2544" s="6" t="str"/>
      <x:c r="H2544" s="6" t="str">
        <x:f>IF(B2544="平","平",IF(B2544="","","仄"))</x:f>
        <x:v>平</x:v>
      </x:c>
      <x:c r="I2544" s="6" t="str">
        <x:f>IF(D2533="","",IF(AND(ISNUMBER(SEARCH("平",D2533)),OR(ISNUMBER(SEARCH("上",D2533)),ISNUMBER(SEARCH("去",D2533)),ISNUMBER(SEARCH("入",D2533)))),"Ambiguous",IF(ISNUMBER(SEARCH("平",D2533)),"平","仄")))</x:f>
        <x:v>平</x:v>
      </x:c>
      <x:c r="J2544" s="7" t="str"/>
    </x:row>
    <x:row r="2545">
      <x:c r="A2545" s="5" t="str">
        <x:v>男</x:v>
      </x:c>
      <x:c r="B2545" s="6" t="str">
        <x:v>平</x:v>
      </x:c>
      <x:c r="C2545" s="6" t="str">
        <x:f>IF(B2545="","Needs decision","Ready")</x:f>
        <x:v>Ready</x:v>
      </x:c>
      <x:c r="D2545" s="6" t="str">
        <x:v>平</x:v>
      </x:c>
      <x:c r="E2545" s="6" t="str">
        <x:v>nom (A)</x:v>
      </x:c>
      <x:c r="F2545" s="6" t="str">
        <x:v>1</x:v>
      </x:c>
      <x:c r="G2545" s="6" t="str"/>
      <x:c r="H2545" s="6" t="str">
        <x:f>IF(B2545="平","平",IF(B2545="","","仄"))</x:f>
        <x:v>平</x:v>
      </x:c>
      <x:c r="I2545" s="6" t="str">
        <x:f>IF(D2534="","",IF(AND(ISNUMBER(SEARCH("平",D2534)),OR(ISNUMBER(SEARCH("上",D2534)),ISNUMBER(SEARCH("去",D2534)),ISNUMBER(SEARCH("入",D2534)))),"Ambiguous",IF(ISNUMBER(SEARCH("平",D2534)),"平","仄")))</x:f>
        <x:v>仄</x:v>
      </x:c>
      <x:c r="J2545" s="7" t="str"/>
    </x:row>
    <x:row r="2546">
      <x:c r="A2546" s="5" t="str">
        <x:v>甸</x:v>
      </x:c>
      <x:c r="B2546" s="6" t="str">
        <x:v>去</x:v>
      </x:c>
      <x:c r="C2546" s="6" t="str">
        <x:f>IF(B2546="","Needs decision","Ready")</x:f>
        <x:v>Ready</x:v>
      </x:c>
      <x:c r="D2546" s="6" t="str">
        <x:v>去</x:v>
      </x:c>
      <x:c r="E2546" s="6" t="str">
        <x:v>denH (C)</x:v>
      </x:c>
      <x:c r="F2546" s="6" t="str">
        <x:v>1</x:v>
      </x:c>
      <x:c r="G2546" s="6" t="str"/>
      <x:c r="H2546" s="6" t="str">
        <x:f>IF(B2546="平","平",IF(B2546="","","仄"))</x:f>
        <x:v>仄</x:v>
      </x:c>
      <x:c r="I2546" s="6" t="str">
        <x:f>IF(D2535="","",IF(AND(ISNUMBER(SEARCH("平",D2535)),OR(ISNUMBER(SEARCH("上",D2535)),ISNUMBER(SEARCH("去",D2535)),ISNUMBER(SEARCH("入",D2535)))),"Ambiguous",IF(ISNUMBER(SEARCH("平",D2535)),"平","仄")))</x:f>
        <x:v>平</x:v>
      </x:c>
      <x:c r="J2546" s="7" t="str"/>
    </x:row>
    <x:row r="2547">
      <x:c r="A2547" s="5" t="str">
        <x:v>甹</x:v>
      </x:c>
      <x:c r="B2547" s="6" t="str">
        <x:v>平</x:v>
      </x:c>
      <x:c r="C2547" s="6" t="str">
        <x:f>IF(B2547="","Needs decision","Ready")</x:f>
        <x:v>Ready</x:v>
      </x:c>
      <x:c r="D2547" s="6" t="str">
        <x:v>平</x:v>
      </x:c>
      <x:c r="E2547" s="6" t="str">
        <x:v>pheng (A)</x:v>
      </x:c>
      <x:c r="F2547" s="6" t="str">
        <x:v>1</x:v>
      </x:c>
      <x:c r="G2547" s="6" t="str"/>
      <x:c r="H2547" s="6" t="str">
        <x:f>IF(B2547="平","平",IF(B2547="","","仄"))</x:f>
        <x:v>平</x:v>
      </x:c>
      <x:c r="I2547" s="6" t="str">
        <x:f>IF(D2536="","",IF(AND(ISNUMBER(SEARCH("平",D2536)),OR(ISNUMBER(SEARCH("上",D2536)),ISNUMBER(SEARCH("去",D2536)),ISNUMBER(SEARCH("入",D2536)))),"Ambiguous",IF(ISNUMBER(SEARCH("平",D2536)),"平","仄")))</x:f>
        <x:v>仄</x:v>
      </x:c>
      <x:c r="J2547" s="7" t="str"/>
    </x:row>
    <x:row r="2548">
      <x:c r="A2548" s="5" t="str">
        <x:v>町</x:v>
      </x:c>
      <x:c r="B2548" s="6" t="str">
        <x:v>上</x:v>
      </x:c>
      <x:c r="C2548" s="6" t="str">
        <x:f>IF(B2548="","Needs decision","Ready")</x:f>
        <x:v>Ready</x:v>
      </x:c>
      <x:c r="D2548" s="6" t="str">
        <x:v>上</x:v>
      </x:c>
      <x:c r="E2548" s="6" t="str">
        <x:v>thengX (B)</x:v>
      </x:c>
      <x:c r="F2548" s="6" t="str">
        <x:v>1</x:v>
      </x:c>
      <x:c r="G2548" s="6" t="str"/>
      <x:c r="H2548" s="6" t="str">
        <x:f>IF(B2548="平","平",IF(B2548="","","仄"))</x:f>
        <x:v>仄</x:v>
      </x:c>
      <x:c r="I2548" s="6" t="str">
        <x:f>IF(D2537="","",IF(AND(ISNUMBER(SEARCH("平",D2537)),OR(ISNUMBER(SEARCH("上",D2537)),ISNUMBER(SEARCH("去",D2537)),ISNUMBER(SEARCH("入",D2537)))),"Ambiguous",IF(ISNUMBER(SEARCH("平",D2537)),"平","仄")))</x:f>
        <x:v>平</x:v>
      </x:c>
      <x:c r="J2548" s="7" t="str"/>
    </x:row>
    <x:row r="2549">
      <x:c r="A2549" s="5" t="str">
        <x:v>畀</x:v>
      </x:c>
      <x:c r="B2549" s="6" t="str">
        <x:v>去</x:v>
      </x:c>
      <x:c r="C2549" s="6" t="str">
        <x:f>IF(B2549="","Needs decision","Ready")</x:f>
        <x:v>Ready</x:v>
      </x:c>
      <x:c r="D2549" s="6" t="str">
        <x:v>去</x:v>
      </x:c>
      <x:c r="E2549" s="6" t="str">
        <x:v>pjijH (C)</x:v>
      </x:c>
      <x:c r="F2549" s="6" t="str">
        <x:v>1</x:v>
      </x:c>
      <x:c r="G2549" s="6" t="str"/>
      <x:c r="H2549" s="6" t="str">
        <x:f>IF(B2549="平","平",IF(B2549="","","仄"))</x:f>
        <x:v>仄</x:v>
      </x:c>
      <x:c r="I2549" s="6" t="str">
        <x:f>IF(D2538="","",IF(AND(ISNUMBER(SEARCH("平",D2538)),OR(ISNUMBER(SEARCH("上",D2538)),ISNUMBER(SEARCH("去",D2538)),ISNUMBER(SEARCH("入",D2538)))),"Ambiguous",IF(ISNUMBER(SEARCH("平",D2538)),"平","仄")))</x:f>
        <x:v>仄</x:v>
      </x:c>
      <x:c r="J2549" s="7" t="str"/>
    </x:row>
    <x:row r="2550">
      <x:c r="A2550" s="5" t="str">
        <x:v>畋</x:v>
      </x:c>
      <x:c r="B2550" s="6" t="str">
        <x:v>平</x:v>
      </x:c>
      <x:c r="C2550" s="6" t="str">
        <x:f>IF(B2550="","Needs decision","Ready")</x:f>
        <x:v>Ready</x:v>
      </x:c>
      <x:c r="D2550" s="6" t="str">
        <x:v>去/平</x:v>
      </x:c>
      <x:c r="E2550" s="6" t="str">
        <x:v>denH (C); den (A)</x:v>
      </x:c>
      <x:c r="F2550" s="6" t="str">
        <x:v>2</x:v>
      </x:c>
      <x:c r="G2550" s="6" t="str"/>
      <x:c r="H2550" s="6" t="str">
        <x:f>IF(B2550="平","平",IF(B2550="","","仄"))</x:f>
        <x:v>平</x:v>
      </x:c>
      <x:c r="I2550" s="6" t="str">
        <x:f>IF(D2539="","",IF(AND(ISNUMBER(SEARCH("平",D2539)),OR(ISNUMBER(SEARCH("上",D2539)),ISNUMBER(SEARCH("去",D2539)),ISNUMBER(SEARCH("入",D2539)))),"Ambiguous",IF(ISNUMBER(SEARCH("平",D2539)),"平","仄")))</x:f>
        <x:v>仄</x:v>
      </x:c>
      <x:c r="J2550" s="7" t="str"/>
    </x:row>
    <x:row r="2551">
      <x:c r="A2551" s="5" t="str">
        <x:v>界</x:v>
      </x:c>
      <x:c r="B2551" s="6" t="str">
        <x:v>去</x:v>
      </x:c>
      <x:c r="C2551" s="6" t="str">
        <x:f>IF(B2551="","Needs decision","Ready")</x:f>
        <x:v>Ready</x:v>
      </x:c>
      <x:c r="D2551" s="6" t="str">
        <x:v>去</x:v>
      </x:c>
      <x:c r="E2551" s="6" t="str">
        <x:v>keajH (C)</x:v>
      </x:c>
      <x:c r="F2551" s="6" t="str">
        <x:v>1</x:v>
      </x:c>
      <x:c r="G2551" s="6" t="str"/>
      <x:c r="H2551" s="6" t="str">
        <x:f>IF(B2551="平","平",IF(B2551="","","仄"))</x:f>
        <x:v>仄</x:v>
      </x:c>
      <x:c r="I2551" s="6" t="str">
        <x:f>IF(D2540="","",IF(AND(ISNUMBER(SEARCH("平",D2540)),OR(ISNUMBER(SEARCH("上",D2540)),ISNUMBER(SEARCH("去",D2540)),ISNUMBER(SEARCH("入",D2540)))),"Ambiguous",IF(ISNUMBER(SEARCH("平",D2540)),"平","仄")))</x:f>
        <x:v>Ambiguous</x:v>
      </x:c>
      <x:c r="J2551" s="7" t="str"/>
    </x:row>
    <x:row r="2552">
      <x:c r="A2552" s="5" t="str">
        <x:v>畎</x:v>
      </x:c>
      <x:c r="B2552" s="6" t="str">
        <x:v>上</x:v>
      </x:c>
      <x:c r="C2552" s="6" t="str">
        <x:f>IF(B2552="","Needs decision","Ready")</x:f>
        <x:v>Ready</x:v>
      </x:c>
      <x:c r="D2552" s="6" t="str">
        <x:v>上</x:v>
      </x:c>
      <x:c r="E2552" s="6" t="str">
        <x:v>kwenX (B)</x:v>
      </x:c>
      <x:c r="F2552" s="6" t="str">
        <x:v>1</x:v>
      </x:c>
      <x:c r="G2552" s="6" t="str"/>
      <x:c r="H2552" s="6" t="str">
        <x:f>IF(B2552="平","平",IF(B2552="","","仄"))</x:f>
        <x:v>仄</x:v>
      </x:c>
      <x:c r="I2552" s="6" t="str">
        <x:f>IF(D2541="","",IF(AND(ISNUMBER(SEARCH("平",D2541)),OR(ISNUMBER(SEARCH("上",D2541)),ISNUMBER(SEARCH("去",D2541)),ISNUMBER(SEARCH("入",D2541)))),"Ambiguous",IF(ISNUMBER(SEARCH("平",D2541)),"平","仄")))</x:f>
        <x:v>平</x:v>
      </x:c>
      <x:c r="J2552" s="7" t="str"/>
    </x:row>
    <x:row r="2553">
      <x:c r="A2553" s="5" t="str">
        <x:v>畏</x:v>
      </x:c>
      <x:c r="B2553" s="6" t="str">
        <x:v>去</x:v>
      </x:c>
      <x:c r="C2553" s="6" t="str">
        <x:f>IF(B2553="","Needs decision","Ready")</x:f>
        <x:v>Ready</x:v>
      </x:c>
      <x:c r="D2553" s="6" t="str">
        <x:v>去</x:v>
      </x:c>
      <x:c r="E2553" s="6" t="str">
        <x:v>'jw+jH (C)</x:v>
      </x:c>
      <x:c r="F2553" s="6" t="str">
        <x:v>1</x:v>
      </x:c>
      <x:c r="G2553" s="6" t="str"/>
      <x:c r="H2553" s="6" t="str">
        <x:f>IF(B2553="平","平",IF(B2553="","","仄"))</x:f>
        <x:v>仄</x:v>
      </x:c>
      <x:c r="I2553" s="6" t="str">
        <x:f>IF(D2542="","",IF(AND(ISNUMBER(SEARCH("平",D2542)),OR(ISNUMBER(SEARCH("上",D2542)),ISNUMBER(SEARCH("去",D2542)),ISNUMBER(SEARCH("入",D2542)))),"Ambiguous",IF(ISNUMBER(SEARCH("平",D2542)),"平","仄")))</x:f>
        <x:v>平</x:v>
      </x:c>
      <x:c r="J2553" s="7" t="str"/>
    </x:row>
    <x:row r="2554">
      <x:c r="A2554" s="5" t="str">
        <x:v>畐</x:v>
      </x:c>
      <x:c r="B2554" s="6" t="str">
        <x:v>入</x:v>
      </x:c>
      <x:c r="C2554" s="6" t="str">
        <x:f>IF(B2554="","Needs decision","Ready")</x:f>
        <x:v>Ready</x:v>
      </x:c>
      <x:c r="D2554" s="6" t="str">
        <x:v>入</x:v>
      </x:c>
      <x:c r="E2554" s="6" t="str">
        <x:v>bjuwk (D)</x:v>
      </x:c>
      <x:c r="F2554" s="6" t="str">
        <x:v>1</x:v>
      </x:c>
      <x:c r="G2554" s="6" t="str"/>
      <x:c r="H2554" s="6" t="str">
        <x:f>IF(B2554="平","平",IF(B2554="","","仄"))</x:f>
        <x:v>仄</x:v>
      </x:c>
      <x:c r="I2554" s="6" t="str">
        <x:f>IF(D2543="","",IF(AND(ISNUMBER(SEARCH("平",D2543)),OR(ISNUMBER(SEARCH("上",D2543)),ISNUMBER(SEARCH("去",D2543)),ISNUMBER(SEARCH("入",D2543)))),"Ambiguous",IF(ISNUMBER(SEARCH("平",D2543)),"平","仄")))</x:f>
        <x:v>仄</x:v>
      </x:c>
      <x:c r="J2554" s="7" t="str"/>
    </x:row>
    <x:row r="2555">
      <x:c r="A2555" s="5" t="str">
        <x:v>畔</x:v>
      </x:c>
      <x:c r="B2555" s="6" t="str">
        <x:v>去</x:v>
      </x:c>
      <x:c r="C2555" s="6" t="str">
        <x:f>IF(B2555="","Needs decision","Ready")</x:f>
        <x:v>Ready</x:v>
      </x:c>
      <x:c r="D2555" s="6" t="str">
        <x:v>去</x:v>
      </x:c>
      <x:c r="E2555" s="6" t="str">
        <x:v>banH (C)</x:v>
      </x:c>
      <x:c r="F2555" s="6" t="str">
        <x:v>1</x:v>
      </x:c>
      <x:c r="G2555" s="6" t="str"/>
      <x:c r="H2555" s="6" t="str">
        <x:f>IF(B2555="平","平",IF(B2555="","","仄"))</x:f>
        <x:v>仄</x:v>
      </x:c>
      <x:c r="I2555" s="6" t="str">
        <x:f>IF(D2544="","",IF(AND(ISNUMBER(SEARCH("平",D2544)),OR(ISNUMBER(SEARCH("上",D2544)),ISNUMBER(SEARCH("去",D2544)),ISNUMBER(SEARCH("入",D2544)))),"Ambiguous",IF(ISNUMBER(SEARCH("平",D2544)),"平","仄")))</x:f>
        <x:v>平</x:v>
      </x:c>
      <x:c r="J2555" s="7" t="str"/>
    </x:row>
    <x:row r="2556">
      <x:c r="A2556" s="5" t="str">
        <x:v>留</x:v>
      </x:c>
      <x:c r="B2556" s="6" t="str">
        <x:v>平</x:v>
      </x:c>
      <x:c r="C2556" s="6" t="str">
        <x:f>IF(B2556="","Needs decision","Ready")</x:f>
        <x:v>Ready</x:v>
      </x:c>
      <x:c r="D2556" s="6" t="str">
        <x:v>平</x:v>
      </x:c>
      <x:c r="E2556" s="6" t="str">
        <x:v>ljuw (A)</x:v>
      </x:c>
      <x:c r="F2556" s="6" t="str">
        <x:v>1</x:v>
      </x:c>
      <x:c r="G2556" s="6" t="str"/>
      <x:c r="H2556" s="6" t="str">
        <x:f>IF(B2556="平","平",IF(B2556="","","仄"))</x:f>
        <x:v>平</x:v>
      </x:c>
      <x:c r="I2556" s="6" t="str">
        <x:f>IF(D2545="","",IF(AND(ISNUMBER(SEARCH("平",D2545)),OR(ISNUMBER(SEARCH("上",D2545)),ISNUMBER(SEARCH("去",D2545)),ISNUMBER(SEARCH("入",D2545)))),"Ambiguous",IF(ISNUMBER(SEARCH("平",D2545)),"平","仄")))</x:f>
        <x:v>平</x:v>
      </x:c>
      <x:c r="J2556" s="7" t="str"/>
    </x:row>
    <x:row r="2557">
      <x:c r="A2557" s="5" t="str">
        <x:v>畚</x:v>
      </x:c>
      <x:c r="B2557" s="6" t="str">
        <x:v>上</x:v>
      </x:c>
      <x:c r="C2557" s="6" t="str">
        <x:f>IF(B2557="","Needs decision","Ready")</x:f>
        <x:v>Ready</x:v>
      </x:c>
      <x:c r="D2557" s="6" t="str">
        <x:v>上</x:v>
      </x:c>
      <x:c r="E2557" s="6" t="str">
        <x:v>pwonX (B)</x:v>
      </x:c>
      <x:c r="F2557" s="6" t="str">
        <x:v>1</x:v>
      </x:c>
      <x:c r="G2557" s="6" t="str"/>
      <x:c r="H2557" s="6" t="str">
        <x:f>IF(B2557="平","平",IF(B2557="","","仄"))</x:f>
        <x:v>仄</x:v>
      </x:c>
      <x:c r="I2557" s="6" t="str">
        <x:f>IF(D2546="","",IF(AND(ISNUMBER(SEARCH("平",D2546)),OR(ISNUMBER(SEARCH("上",D2546)),ISNUMBER(SEARCH("去",D2546)),ISNUMBER(SEARCH("入",D2546)))),"Ambiguous",IF(ISNUMBER(SEARCH("平",D2546)),"平","仄")))</x:f>
        <x:v>仄</x:v>
      </x:c>
      <x:c r="J2557" s="7" t="str"/>
    </x:row>
    <x:row r="2558">
      <x:c r="A2558" s="5" t="str">
        <x:v>畛</x:v>
      </x:c>
      <x:c r="B2558" s="6" t="str">
        <x:v>上</x:v>
      </x:c>
      <x:c r="C2558" s="6" t="str">
        <x:f>IF(B2558="","Needs decision","Ready")</x:f>
        <x:v>Ready</x:v>
      </x:c>
      <x:c r="D2558" s="6" t="str">
        <x:v>上</x:v>
      </x:c>
      <x:c r="E2558" s="6" t="str">
        <x:v>tsyinX (B)</x:v>
      </x:c>
      <x:c r="F2558" s="6" t="str">
        <x:v>1</x:v>
      </x:c>
      <x:c r="G2558" s="6" t="str"/>
      <x:c r="H2558" s="6" t="str">
        <x:f>IF(B2558="平","平",IF(B2558="","","仄"))</x:f>
        <x:v>仄</x:v>
      </x:c>
      <x:c r="I2558" s="6" t="str">
        <x:f>IF(D2547="","",IF(AND(ISNUMBER(SEARCH("平",D2547)),OR(ISNUMBER(SEARCH("上",D2547)),ISNUMBER(SEARCH("去",D2547)),ISNUMBER(SEARCH("入",D2547)))),"Ambiguous",IF(ISNUMBER(SEARCH("平",D2547)),"平","仄")))</x:f>
        <x:v>平</x:v>
      </x:c>
      <x:c r="J2558" s="7" t="str"/>
    </x:row>
    <x:row r="2559">
      <x:c r="A2559" s="5" t="str">
        <x:v>畜</x:v>
      </x:c>
      <x:c r="B2559" s="6" t="str"/>
      <x:c r="C2559" s="6" t="str">
        <x:f>IF(B2559="","Needs decision","Ready")</x:f>
        <x:v>Needs decision</x:v>
      </x:c>
      <x:c r="D2559" s="6" t="str">
        <x:v>去/入</x:v>
      </x:c>
      <x:c r="E2559" s="6" t="str">
        <x:v>trhjuwH (C); trhjuwk (D); xjuwH (C); xjuwk (D)</x:v>
      </x:c>
      <x:c r="F2559" s="6" t="str">
        <x:v>4</x:v>
      </x:c>
      <x:c r="G2559" s="6" t="str"/>
      <x:c r="H2559" s="6" t="str">
        <x:f>IF(B2559="平","平",IF(B2559="","","仄"))</x:f>
      </x:c>
      <x:c r="I2559" s="6" t="str">
        <x:f>IF(D2548="","",IF(AND(ISNUMBER(SEARCH("平",D2548)),OR(ISNUMBER(SEARCH("上",D2548)),ISNUMBER(SEARCH("去",D2548)),ISNUMBER(SEARCH("入",D2548)))),"Ambiguous",IF(ISNUMBER(SEARCH("平",D2548)),"平","仄")))</x:f>
        <x:v>仄</x:v>
      </x:c>
      <x:c r="J2559" s="7" t="str"/>
    </x:row>
    <x:row r="2560">
      <x:c r="A2560" s="5" t="str">
        <x:v>畝</x:v>
      </x:c>
      <x:c r="B2560" s="6" t="str">
        <x:v>上</x:v>
      </x:c>
      <x:c r="C2560" s="6" t="str">
        <x:f>IF(B2560="","Needs decision","Ready")</x:f>
        <x:v>Ready</x:v>
      </x:c>
      <x:c r="D2560" s="6" t="str">
        <x:v>上</x:v>
      </x:c>
      <x:c r="E2560" s="6" t="str">
        <x:v>muwX (B)</x:v>
      </x:c>
      <x:c r="F2560" s="6" t="str">
        <x:v>1</x:v>
      </x:c>
      <x:c r="G2560" s="6" t="str"/>
      <x:c r="H2560" s="6" t="str">
        <x:f>IF(B2560="平","平",IF(B2560="","","仄"))</x:f>
        <x:v>仄</x:v>
      </x:c>
      <x:c r="I2560" s="6" t="str">
        <x:f>IF(D2549="","",IF(AND(ISNUMBER(SEARCH("平",D2549)),OR(ISNUMBER(SEARCH("上",D2549)),ISNUMBER(SEARCH("去",D2549)),ISNUMBER(SEARCH("入",D2549)))),"Ambiguous",IF(ISNUMBER(SEARCH("平",D2549)),"平","仄")))</x:f>
        <x:v>仄</x:v>
      </x:c>
      <x:c r="J2560" s="7" t="str"/>
    </x:row>
    <x:row r="2561">
      <x:c r="A2561" s="5" t="str">
        <x:v>畟</x:v>
      </x:c>
      <x:c r="B2561" s="6" t="str">
        <x:v>入</x:v>
      </x:c>
      <x:c r="C2561" s="6" t="str">
        <x:f>IF(B2561="","Needs decision","Ready")</x:f>
        <x:v>Ready</x:v>
      </x:c>
      <x:c r="D2561" s="6" t="str">
        <x:v>入</x:v>
      </x:c>
      <x:c r="E2561" s="6" t="str">
        <x:v>tsrhik (D)</x:v>
      </x:c>
      <x:c r="F2561" s="6" t="str">
        <x:v>1</x:v>
      </x:c>
      <x:c r="G2561" s="6" t="str"/>
      <x:c r="H2561" s="6" t="str">
        <x:f>IF(B2561="平","平",IF(B2561="","","仄"))</x:f>
        <x:v>仄</x:v>
      </x:c>
      <x:c r="I2561" s="6" t="str">
        <x:f>IF(D2550="","",IF(AND(ISNUMBER(SEARCH("平",D2550)),OR(ISNUMBER(SEARCH("上",D2550)),ISNUMBER(SEARCH("去",D2550)),ISNUMBER(SEARCH("入",D2550)))),"Ambiguous",IF(ISNUMBER(SEARCH("平",D2550)),"平","仄")))</x:f>
        <x:v>Ambiguous</x:v>
      </x:c>
      <x:c r="J2561" s="7" t="str"/>
    </x:row>
    <x:row r="2562">
      <x:c r="A2562" s="5" t="str">
        <x:v>畢</x:v>
      </x:c>
      <x:c r="B2562" s="6" t="str">
        <x:v>入</x:v>
      </x:c>
      <x:c r="C2562" s="6" t="str">
        <x:f>IF(B2562="","Needs decision","Ready")</x:f>
        <x:v>Ready</x:v>
      </x:c>
      <x:c r="D2562" s="6" t="str">
        <x:v>入</x:v>
      </x:c>
      <x:c r="E2562" s="6" t="str">
        <x:v>pjit (D)</x:v>
      </x:c>
      <x:c r="F2562" s="6" t="str">
        <x:v>1</x:v>
      </x:c>
      <x:c r="G2562" s="6" t="str"/>
      <x:c r="H2562" s="6" t="str">
        <x:f>IF(B2562="平","平",IF(B2562="","","仄"))</x:f>
        <x:v>仄</x:v>
      </x:c>
      <x:c r="I2562" s="6" t="str">
        <x:f>IF(D2551="","",IF(AND(ISNUMBER(SEARCH("平",D2551)),OR(ISNUMBER(SEARCH("上",D2551)),ISNUMBER(SEARCH("去",D2551)),ISNUMBER(SEARCH("入",D2551)))),"Ambiguous",IF(ISNUMBER(SEARCH("平",D2551)),"平","仄")))</x:f>
        <x:v>仄</x:v>
      </x:c>
      <x:c r="J2562" s="7" t="str"/>
    </x:row>
    <x:row r="2563">
      <x:c r="A2563" s="5" t="str">
        <x:v>畤</x:v>
      </x:c>
      <x:c r="B2563" s="6" t="str">
        <x:v>上</x:v>
      </x:c>
      <x:c r="C2563" s="6" t="str">
        <x:f>IF(B2563="","Needs decision","Ready")</x:f>
        <x:v>Ready</x:v>
      </x:c>
      <x:c r="D2563" s="6" t="str">
        <x:v>上</x:v>
      </x:c>
      <x:c r="E2563" s="6" t="str">
        <x:v>driX [ɖjɨʔ] (上); dzyiX [dʑɨʔ] (上); tsyiX [tɕɨʔ] (上)</x:v>
      </x:c>
      <x:c r="F2563" s="6" t="str">
        <x:v>3</x:v>
      </x:c>
      <x:c r="G2563" s="6" t="str">
        <x:v>Tang 300 gap; frequency 1; provisional from Xun Gong</x:v>
      </x:c>
      <x:c r="H2563" s="6" t="str">
        <x:f>IF(B2563="平","平",IF(B2563="","","仄"))</x:f>
        <x:v>仄</x:v>
      </x:c>
      <x:c r="I2563" s="6" t="str">
        <x:f>IF(D2552="","",IF(AND(ISNUMBER(SEARCH("平",D2552)),OR(ISNUMBER(SEARCH("上",D2552)),ISNUMBER(SEARCH("去",D2552)),ISNUMBER(SEARCH("入",D2552)))),"Ambiguous",IF(ISNUMBER(SEARCH("平",D2552)),"平","仄")))</x:f>
        <x:v>仄</x:v>
      </x:c>
      <x:c r="J2563" s="7" t="str">
        <x:v>Xun Gong, Tang 300 gap fill</x:v>
      </x:c>
    </x:row>
    <x:row r="2564">
      <x:c r="A2564" s="5" t="str">
        <x:v>略</x:v>
      </x:c>
      <x:c r="B2564" s="6" t="str">
        <x:v>入</x:v>
      </x:c>
      <x:c r="C2564" s="6" t="str">
        <x:f>IF(B2564="","Needs decision","Ready")</x:f>
        <x:v>Ready</x:v>
      </x:c>
      <x:c r="D2564" s="6" t="str">
        <x:v>入</x:v>
      </x:c>
      <x:c r="E2564" s="6" t="str">
        <x:v>ljak (D)</x:v>
      </x:c>
      <x:c r="F2564" s="6" t="str">
        <x:v>1</x:v>
      </x:c>
      <x:c r="G2564" s="6" t="str"/>
      <x:c r="H2564" s="6" t="str">
        <x:f>IF(B2564="平","平",IF(B2564="","","仄"))</x:f>
        <x:v>仄</x:v>
      </x:c>
      <x:c r="I2564" s="6" t="str">
        <x:f>IF(D2553="","",IF(AND(ISNUMBER(SEARCH("平",D2553)),OR(ISNUMBER(SEARCH("上",D2553)),ISNUMBER(SEARCH("去",D2553)),ISNUMBER(SEARCH("入",D2553)))),"Ambiguous",IF(ISNUMBER(SEARCH("平",D2553)),"平","仄")))</x:f>
        <x:v>仄</x:v>
      </x:c>
      <x:c r="J2564" s="7" t="str"/>
    </x:row>
    <x:row r="2565">
      <x:c r="A2565" s="5" t="str">
        <x:v>番</x:v>
      </x:c>
      <x:c r="B2565" s="6" t="str">
        <x:v>平</x:v>
      </x:c>
      <x:c r="C2565" s="6" t="str">
        <x:f>IF(B2565="","Needs decision","Ready")</x:f>
        <x:v>Ready</x:v>
      </x:c>
      <x:c r="D2565" s="6" t="str">
        <x:v>平</x:v>
      </x:c>
      <x:c r="E2565" s="6" t="str">
        <x:v>pa (A); phjon (A)</x:v>
      </x:c>
      <x:c r="F2565" s="6" t="str">
        <x:v>2</x:v>
      </x:c>
      <x:c r="G2565" s="6" t="str"/>
      <x:c r="H2565" s="6" t="str">
        <x:f>IF(B2565="平","平",IF(B2565="","","仄"))</x:f>
        <x:v>平</x:v>
      </x:c>
      <x:c r="I2565" s="6" t="str">
        <x:f>IF(D2554="","",IF(AND(ISNUMBER(SEARCH("平",D2554)),OR(ISNUMBER(SEARCH("上",D2554)),ISNUMBER(SEARCH("去",D2554)),ISNUMBER(SEARCH("入",D2554)))),"Ambiguous",IF(ISNUMBER(SEARCH("平",D2554)),"平","仄")))</x:f>
        <x:v>仄</x:v>
      </x:c>
      <x:c r="J2565" s="7" t="str"/>
    </x:row>
    <x:row r="2566">
      <x:c r="A2566" s="5" t="str">
        <x:v>畫</x:v>
      </x:c>
      <x:c r="B2566" s="6" t="str"/>
      <x:c r="C2566" s="6" t="str">
        <x:f>IF(B2566="","Needs decision","Ready")</x:f>
        <x:v>Needs decision</x:v>
      </x:c>
      <x:c r="D2566" s="6" t="str">
        <x:v>去/入</x:v>
      </x:c>
      <x:c r="E2566" s="6" t="str">
        <x:v>hweaH (C); hweak (D)</x:v>
      </x:c>
      <x:c r="F2566" s="6" t="str">
        <x:v>2</x:v>
      </x:c>
      <x:c r="G2566" s="6" t="str"/>
      <x:c r="H2566" s="6" t="str">
        <x:f>IF(B2566="平","平",IF(B2566="","","仄"))</x:f>
      </x:c>
      <x:c r="I2566" s="6" t="str">
        <x:f>IF(D2555="","",IF(AND(ISNUMBER(SEARCH("平",D2555)),OR(ISNUMBER(SEARCH("上",D2555)),ISNUMBER(SEARCH("去",D2555)),ISNUMBER(SEARCH("入",D2555)))),"Ambiguous",IF(ISNUMBER(SEARCH("平",D2555)),"平","仄")))</x:f>
        <x:v>仄</x:v>
      </x:c>
      <x:c r="J2566" s="7" t="str"/>
    </x:row>
    <x:row r="2567">
      <x:c r="A2567" s="5" t="str">
        <x:v>畮</x:v>
      </x:c>
      <x:c r="B2567" s="6" t="str">
        <x:v>上</x:v>
      </x:c>
      <x:c r="C2567" s="6" t="str">
        <x:f>IF(B2567="","Needs decision","Ready")</x:f>
        <x:v>Ready</x:v>
      </x:c>
      <x:c r="D2567" s="6" t="str">
        <x:v>上</x:v>
      </x:c>
      <x:c r="E2567" s="6" t="str">
        <x:v>muwX (B)</x:v>
      </x:c>
      <x:c r="F2567" s="6" t="str">
        <x:v>1</x:v>
      </x:c>
      <x:c r="G2567" s="6" t="str"/>
      <x:c r="H2567" s="6" t="str">
        <x:f>IF(B2567="平","平",IF(B2567="","","仄"))</x:f>
        <x:v>仄</x:v>
      </x:c>
      <x:c r="I2567" s="6" t="str">
        <x:f>IF(D2556="","",IF(AND(ISNUMBER(SEARCH("平",D2556)),OR(ISNUMBER(SEARCH("上",D2556)),ISNUMBER(SEARCH("去",D2556)),ISNUMBER(SEARCH("入",D2556)))),"Ambiguous",IF(ISNUMBER(SEARCH("平",D2556)),"平","仄")))</x:f>
        <x:v>平</x:v>
      </x:c>
      <x:c r="J2567" s="7" t="str"/>
    </x:row>
    <x:row r="2568">
      <x:c r="A2568" s="5" t="str">
        <x:v>異</x:v>
      </x:c>
      <x:c r="B2568" s="6" t="str">
        <x:v>去</x:v>
      </x:c>
      <x:c r="C2568" s="6" t="str">
        <x:f>IF(B2568="","Needs decision","Ready")</x:f>
        <x:v>Ready</x:v>
      </x:c>
      <x:c r="D2568" s="6" t="str">
        <x:v>去</x:v>
      </x:c>
      <x:c r="E2568" s="6" t="str">
        <x:v>yiH (C)</x:v>
      </x:c>
      <x:c r="F2568" s="6" t="str">
        <x:v>1</x:v>
      </x:c>
      <x:c r="G2568" s="6" t="str"/>
      <x:c r="H2568" s="6" t="str">
        <x:f>IF(B2568="平","平",IF(B2568="","","仄"))</x:f>
        <x:v>仄</x:v>
      </x:c>
      <x:c r="I2568" s="6" t="str">
        <x:f>IF(D2557="","",IF(AND(ISNUMBER(SEARCH("平",D2557)),OR(ISNUMBER(SEARCH("上",D2557)),ISNUMBER(SEARCH("去",D2557)),ISNUMBER(SEARCH("入",D2557)))),"Ambiguous",IF(ISNUMBER(SEARCH("平",D2557)),"平","仄")))</x:f>
        <x:v>仄</x:v>
      </x:c>
      <x:c r="J2568" s="7" t="str"/>
    </x:row>
    <x:row r="2569">
      <x:c r="A2569" s="5" t="str">
        <x:v>畱</x:v>
      </x:c>
      <x:c r="B2569" s="6" t="str">
        <x:v>平</x:v>
      </x:c>
      <x:c r="C2569" s="6" t="str">
        <x:f>IF(B2569="","Needs decision","Ready")</x:f>
        <x:v>Ready</x:v>
      </x:c>
      <x:c r="D2569" s="6" t="str">
        <x:v>去/平</x:v>
      </x:c>
      <x:c r="E2569" s="6" t="str">
        <x:v>ljuwH [來三尤去] ljuh; ljuw [來三尤平] lju</x:v>
      </x:c>
      <x:c r="F2569" s="6" t="str">
        <x:v>2</x:v>
      </x:c>
      <x:c r="G2569" s="6" t="str">
        <x:v>Targeted preliminary fill from Xun Gong; review if uncertain (looked up under 留)</x:v>
      </x:c>
      <x:c r="H2569" s="6" t="str">
        <x:f>IF(B2569="平","平",IF(B2569="","","仄"))</x:f>
        <x:v>平</x:v>
      </x:c>
      <x:c r="I2569" s="6" t="str">
        <x:f>IF(D2558="","",IF(AND(ISNUMBER(SEARCH("平",D2558)),OR(ISNUMBER(SEARCH("上",D2558)),ISNUMBER(SEARCH("去",D2558)),ISNUMBER(SEARCH("入",D2558)))),"Ambiguous",IF(ISNUMBER(SEARCH("平",D2558)),"平","仄")))</x:f>
        <x:v>仄</x:v>
      </x:c>
      <x:c r="J2569" s="7" t="str">
        <x:v>Xun Gong character-readings.csv</x:v>
      </x:c>
    </x:row>
    <x:row r="2570">
      <x:c r="A2570" s="5" t="str">
        <x:v>當</x:v>
      </x:c>
      <x:c r="B2570" s="6" t="str"/>
      <x:c r="C2570" s="6" t="str">
        <x:f>IF(B2570="","Needs decision","Ready")</x:f>
        <x:v>Needs decision</x:v>
      </x:c>
      <x:c r="D2570" s="6" t="str">
        <x:v>平/去</x:v>
      </x:c>
      <x:c r="E2570" s="6" t="str">
        <x:v>tang (A); tangH (C)</x:v>
      </x:c>
      <x:c r="F2570" s="6" t="str">
        <x:v>2</x:v>
      </x:c>
      <x:c r="G2570" s="6" t="str"/>
      <x:c r="H2570" s="6" t="str">
        <x:f>IF(B2570="平","平",IF(B2570="","","仄"))</x:f>
      </x:c>
      <x:c r="I2570" s="6" t="str">
        <x:f>IF(D2559="","",IF(AND(ISNUMBER(SEARCH("平",D2559)),OR(ISNUMBER(SEARCH("上",D2559)),ISNUMBER(SEARCH("去",D2559)),ISNUMBER(SEARCH("入",D2559)))),"Ambiguous",IF(ISNUMBER(SEARCH("平",D2559)),"平","仄")))</x:f>
        <x:v>仄</x:v>
      </x:c>
      <x:c r="J2570" s="7" t="str"/>
    </x:row>
    <x:row r="2571">
      <x:c r="A2571" s="5" t="str">
        <x:v>畺</x:v>
      </x:c>
      <x:c r="B2571" s="6" t="str">
        <x:v>平</x:v>
      </x:c>
      <x:c r="C2571" s="6" t="str">
        <x:f>IF(B2571="","Needs decision","Ready")</x:f>
        <x:v>Ready</x:v>
      </x:c>
      <x:c r="D2571" s="6" t="str">
        <x:v>平</x:v>
      </x:c>
      <x:c r="E2571" s="6" t="str">
        <x:v>kjang (A)</x:v>
      </x:c>
      <x:c r="F2571" s="6" t="str">
        <x:v>1</x:v>
      </x:c>
      <x:c r="G2571" s="6" t="str"/>
      <x:c r="H2571" s="6" t="str">
        <x:f>IF(B2571="平","平",IF(B2571="","","仄"))</x:f>
        <x:v>平</x:v>
      </x:c>
      <x:c r="I2571" s="6" t="str">
        <x:f>IF(D2560="","",IF(AND(ISNUMBER(SEARCH("平",D2560)),OR(ISNUMBER(SEARCH("上",D2560)),ISNUMBER(SEARCH("去",D2560)),ISNUMBER(SEARCH("入",D2560)))),"Ambiguous",IF(ISNUMBER(SEARCH("平",D2560)),"平","仄")))</x:f>
        <x:v>仄</x:v>
      </x:c>
      <x:c r="J2571" s="7" t="str"/>
    </x:row>
    <x:row r="2572">
      <x:c r="A2572" s="5" t="str">
        <x:v>畽</x:v>
      </x:c>
      <x:c r="B2572" s="6" t="str">
        <x:v>上</x:v>
      </x:c>
      <x:c r="C2572" s="6" t="str">
        <x:f>IF(B2572="","Needs decision","Ready")</x:f>
        <x:v>Ready</x:v>
      </x:c>
      <x:c r="D2572" s="6" t="str">
        <x:v>上</x:v>
      </x:c>
      <x:c r="E2572" s="6" t="str">
        <x:v>thwanX (B)</x:v>
      </x:c>
      <x:c r="F2572" s="6" t="str">
        <x:v>1</x:v>
      </x:c>
      <x:c r="G2572" s="6" t="str"/>
      <x:c r="H2572" s="6" t="str">
        <x:f>IF(B2572="平","平",IF(B2572="","","仄"))</x:f>
        <x:v>仄</x:v>
      </x:c>
      <x:c r="I2572" s="6" t="str">
        <x:f>IF(D2561="","",IF(AND(ISNUMBER(SEARCH("平",D2561)),OR(ISNUMBER(SEARCH("上",D2561)),ISNUMBER(SEARCH("去",D2561)),ISNUMBER(SEARCH("入",D2561)))),"Ambiguous",IF(ISNUMBER(SEARCH("平",D2561)),"平","仄")))</x:f>
        <x:v>仄</x:v>
      </x:c>
      <x:c r="J2572" s="7" t="str"/>
    </x:row>
    <x:row r="2573">
      <x:c r="A2573" s="5" t="str">
        <x:v>畿</x:v>
      </x:c>
      <x:c r="B2573" s="6" t="str">
        <x:v>平</x:v>
      </x:c>
      <x:c r="C2573" s="6" t="str">
        <x:f>IF(B2573="","Needs decision","Ready")</x:f>
        <x:v>Ready</x:v>
      </x:c>
      <x:c r="D2573" s="6" t="str">
        <x:v>平</x:v>
      </x:c>
      <x:c r="E2573" s="6" t="str">
        <x:v>gj+j (A)</x:v>
      </x:c>
      <x:c r="F2573" s="6" t="str">
        <x:v>1</x:v>
      </x:c>
      <x:c r="G2573" s="6" t="str"/>
      <x:c r="H2573" s="6" t="str">
        <x:f>IF(B2573="平","平",IF(B2573="","","仄"))</x:f>
        <x:v>平</x:v>
      </x:c>
      <x:c r="I2573" s="6" t="str">
        <x:f>IF(D2562="","",IF(AND(ISNUMBER(SEARCH("平",D2562)),OR(ISNUMBER(SEARCH("上",D2562)),ISNUMBER(SEARCH("去",D2562)),ISNUMBER(SEARCH("入",D2562)))),"Ambiguous",IF(ISNUMBER(SEARCH("平",D2562)),"平","仄")))</x:f>
        <x:v>仄</x:v>
      </x:c>
      <x:c r="J2573" s="7" t="str"/>
    </x:row>
    <x:row r="2574">
      <x:c r="A2574" s="5" t="str">
        <x:v>疆</x:v>
      </x:c>
      <x:c r="B2574" s="6" t="str">
        <x:v>平</x:v>
      </x:c>
      <x:c r="C2574" s="6" t="str">
        <x:f>IF(B2574="","Needs decision","Ready")</x:f>
        <x:v>Ready</x:v>
      </x:c>
      <x:c r="D2574" s="6" t="str">
        <x:v>平</x:v>
      </x:c>
      <x:c r="E2574" s="6" t="str">
        <x:v>kjang (A)</x:v>
      </x:c>
      <x:c r="F2574" s="6" t="str">
        <x:v>1</x:v>
      </x:c>
      <x:c r="G2574" s="6" t="str"/>
      <x:c r="H2574" s="6" t="str">
        <x:f>IF(B2574="平","平",IF(B2574="","","仄"))</x:f>
        <x:v>平</x:v>
      </x:c>
      <x:c r="I2574" s="6" t="str">
        <x:f>IF(D2563="","",IF(AND(ISNUMBER(SEARCH("平",D2563)),OR(ISNUMBER(SEARCH("上",D2563)),ISNUMBER(SEARCH("去",D2563)),ISNUMBER(SEARCH("入",D2563)))),"Ambiguous",IF(ISNUMBER(SEARCH("平",D2563)),"平","仄")))</x:f>
        <x:v>仄</x:v>
      </x:c>
      <x:c r="J2574" s="7" t="str"/>
    </x:row>
    <x:row r="2575">
      <x:c r="A2575" s="5" t="str">
        <x:v>疇</x:v>
      </x:c>
      <x:c r="B2575" s="6" t="str">
        <x:v>平</x:v>
      </x:c>
      <x:c r="C2575" s="6" t="str">
        <x:f>IF(B2575="","Needs decision","Ready")</x:f>
        <x:v>Ready</x:v>
      </x:c>
      <x:c r="D2575" s="6" t="str">
        <x:v>平</x:v>
      </x:c>
      <x:c r="E2575" s="6" t="str">
        <x:v>drjuw (A)</x:v>
      </x:c>
      <x:c r="F2575" s="6" t="str">
        <x:v>1</x:v>
      </x:c>
      <x:c r="G2575" s="6" t="str"/>
      <x:c r="H2575" s="6" t="str">
        <x:f>IF(B2575="平","平",IF(B2575="","","仄"))</x:f>
        <x:v>平</x:v>
      </x:c>
      <x:c r="I2575" s="6" t="str">
        <x:f>IF(D2564="","",IF(AND(ISNUMBER(SEARCH("平",D2564)),OR(ISNUMBER(SEARCH("上",D2564)),ISNUMBER(SEARCH("去",D2564)),ISNUMBER(SEARCH("入",D2564)))),"Ambiguous",IF(ISNUMBER(SEARCH("平",D2564)),"平","仄")))</x:f>
        <x:v>仄</x:v>
      </x:c>
      <x:c r="J2575" s="7" t="str"/>
    </x:row>
    <x:row r="2576">
      <x:c r="A2576" s="5" t="str">
        <x:v>疊</x:v>
      </x:c>
      <x:c r="B2576" s="6" t="str">
        <x:v>入</x:v>
      </x:c>
      <x:c r="C2576" s="6" t="str">
        <x:f>IF(B2576="","Needs decision","Ready")</x:f>
        <x:v>Ready</x:v>
      </x:c>
      <x:c r="D2576" s="6" t="str">
        <x:v>入</x:v>
      </x:c>
      <x:c r="E2576" s="6" t="str">
        <x:v>dep (D)</x:v>
      </x:c>
      <x:c r="F2576" s="6" t="str">
        <x:v>1</x:v>
      </x:c>
      <x:c r="G2576" s="6" t="str"/>
      <x:c r="H2576" s="6" t="str">
        <x:f>IF(B2576="平","平",IF(B2576="","","仄"))</x:f>
        <x:v>仄</x:v>
      </x:c>
      <x:c r="I2576" s="6" t="str">
        <x:f>IF(D2565="","",IF(AND(ISNUMBER(SEARCH("平",D2565)),OR(ISNUMBER(SEARCH("上",D2565)),ISNUMBER(SEARCH("去",D2565)),ISNUMBER(SEARCH("入",D2565)))),"Ambiguous",IF(ISNUMBER(SEARCH("平",D2565)),"平","仄")))</x:f>
        <x:v>平</x:v>
      </x:c>
      <x:c r="J2576" s="7" t="str"/>
    </x:row>
    <x:row r="2577">
      <x:c r="A2577" s="5" t="str">
        <x:v>疋</x:v>
      </x:c>
      <x:c r="B2577" s="6" t="str">
        <x:v>平</x:v>
      </x:c>
      <x:c r="C2577" s="6" t="str">
        <x:f>IF(B2577="","Needs decision","Ready")</x:f>
        <x:v>Ready</x:v>
      </x:c>
      <x:c r="D2577" s="6" t="str">
        <x:v>平</x:v>
      </x:c>
      <x:c r="E2577" s="6" t="str">
        <x:v>srjo (A)</x:v>
      </x:c>
      <x:c r="F2577" s="6" t="str">
        <x:v>1</x:v>
      </x:c>
      <x:c r="G2577" s="6" t="str"/>
      <x:c r="H2577" s="6" t="str">
        <x:f>IF(B2577="平","平",IF(B2577="","","仄"))</x:f>
        <x:v>平</x:v>
      </x:c>
      <x:c r="I2577" s="6" t="str">
        <x:f>IF(D2566="","",IF(AND(ISNUMBER(SEARCH("平",D2566)),OR(ISNUMBER(SEARCH("上",D2566)),ISNUMBER(SEARCH("去",D2566)),ISNUMBER(SEARCH("入",D2566)))),"Ambiguous",IF(ISNUMBER(SEARCH("平",D2566)),"平","仄")))</x:f>
        <x:v>仄</x:v>
      </x:c>
      <x:c r="J2577" s="7" t="str"/>
    </x:row>
    <x:row r="2578">
      <x:c r="A2578" s="5" t="str">
        <x:v>疎</x:v>
      </x:c>
      <x:c r="B2578" s="6" t="str">
        <x:v>平</x:v>
      </x:c>
      <x:c r="C2578" s="6" t="str">
        <x:f>IF(B2578="","Needs decision","Ready")</x:f>
        <x:v>Ready</x:v>
      </x:c>
      <x:c r="D2578" s="6" t="str">
        <x:v>平</x:v>
      </x:c>
      <x:c r="E2578" s="6" t="str">
        <x:v>srjo (A)</x:v>
      </x:c>
      <x:c r="F2578" s="6" t="str">
        <x:v>1</x:v>
      </x:c>
      <x:c r="G2578" s="6" t="str"/>
      <x:c r="H2578" s="6" t="str">
        <x:f>IF(B2578="平","平",IF(B2578="","","仄"))</x:f>
        <x:v>平</x:v>
      </x:c>
      <x:c r="I2578" s="6" t="str">
        <x:f>IF(D2567="","",IF(AND(ISNUMBER(SEARCH("平",D2567)),OR(ISNUMBER(SEARCH("上",D2567)),ISNUMBER(SEARCH("去",D2567)),ISNUMBER(SEARCH("入",D2567)))),"Ambiguous",IF(ISNUMBER(SEARCH("平",D2567)),"平","仄")))</x:f>
        <x:v>仄</x:v>
      </x:c>
      <x:c r="J2578" s="7" t="str"/>
    </x:row>
    <x:row r="2579">
      <x:c r="A2579" s="5" t="str">
        <x:v>疏</x:v>
      </x:c>
      <x:c r="B2579" s="6" t="str">
        <x:v>平</x:v>
      </x:c>
      <x:c r="C2579" s="6" t="str">
        <x:f>IF(B2579="","Needs decision","Ready")</x:f>
        <x:v>Ready</x:v>
      </x:c>
      <x:c r="D2579" s="6" t="str">
        <x:v>平</x:v>
      </x:c>
      <x:c r="E2579" s="6" t="str">
        <x:v>srjo (A)</x:v>
      </x:c>
      <x:c r="F2579" s="6" t="str">
        <x:v>1</x:v>
      </x:c>
      <x:c r="G2579" s="6" t="str"/>
      <x:c r="H2579" s="6" t="str">
        <x:f>IF(B2579="平","平",IF(B2579="","","仄"))</x:f>
        <x:v>平</x:v>
      </x:c>
      <x:c r="I2579" s="6" t="str">
        <x:f>IF(D2568="","",IF(AND(ISNUMBER(SEARCH("平",D2568)),OR(ISNUMBER(SEARCH("上",D2568)),ISNUMBER(SEARCH("去",D2568)),ISNUMBER(SEARCH("入",D2568)))),"Ambiguous",IF(ISNUMBER(SEARCH("平",D2568)),"平","仄")))</x:f>
        <x:v>仄</x:v>
      </x:c>
      <x:c r="J2579" s="7" t="str"/>
    </x:row>
    <x:row r="2580">
      <x:c r="A2580" s="5" t="str">
        <x:v>疐</x:v>
      </x:c>
      <x:c r="B2580" s="6" t="str">
        <x:v>去</x:v>
      </x:c>
      <x:c r="C2580" s="6" t="str">
        <x:f>IF(B2580="","Needs decision","Ready")</x:f>
        <x:v>Ready</x:v>
      </x:c>
      <x:c r="D2580" s="6" t="str">
        <x:v>去</x:v>
      </x:c>
      <x:c r="E2580" s="6" t="str">
        <x:v>trijH (C)</x:v>
      </x:c>
      <x:c r="F2580" s="6" t="str">
        <x:v>1</x:v>
      </x:c>
      <x:c r="G2580" s="6" t="str"/>
      <x:c r="H2580" s="6" t="str">
        <x:f>IF(B2580="平","平",IF(B2580="","","仄"))</x:f>
        <x:v>仄</x:v>
      </x:c>
      <x:c r="I2580" s="6" t="str">
        <x:f>IF(D2569="","",IF(AND(ISNUMBER(SEARCH("平",D2569)),OR(ISNUMBER(SEARCH("上",D2569)),ISNUMBER(SEARCH("去",D2569)),ISNUMBER(SEARCH("入",D2569)))),"Ambiguous",IF(ISNUMBER(SEARCH("平",D2569)),"平","仄")))</x:f>
        <x:v>Ambiguous</x:v>
      </x:c>
      <x:c r="J2580" s="7" t="str"/>
    </x:row>
    <x:row r="2581">
      <x:c r="A2581" s="5" t="str">
        <x:v>疑</x:v>
      </x:c>
      <x:c r="B2581" s="6" t="str">
        <x:v>平</x:v>
      </x:c>
      <x:c r="C2581" s="6" t="str">
        <x:f>IF(B2581="","Needs decision","Ready")</x:f>
        <x:v>Ready</x:v>
      </x:c>
      <x:c r="D2581" s="6" t="str">
        <x:v>平</x:v>
      </x:c>
      <x:c r="E2581" s="6" t="str">
        <x:v>ngi (A)</x:v>
      </x:c>
      <x:c r="F2581" s="6" t="str">
        <x:v>1</x:v>
      </x:c>
      <x:c r="G2581" s="6" t="str"/>
      <x:c r="H2581" s="6" t="str">
        <x:f>IF(B2581="平","平",IF(B2581="","","仄"))</x:f>
        <x:v>平</x:v>
      </x:c>
      <x:c r="I2581" s="6" t="str">
        <x:f>IF(D2570="","",IF(AND(ISNUMBER(SEARCH("平",D2570)),OR(ISNUMBER(SEARCH("上",D2570)),ISNUMBER(SEARCH("去",D2570)),ISNUMBER(SEARCH("入",D2570)))),"Ambiguous",IF(ISNUMBER(SEARCH("平",D2570)),"平","仄")))</x:f>
        <x:v>Ambiguous</x:v>
      </x:c>
      <x:c r="J2581" s="7" t="str"/>
    </x:row>
    <x:row r="2582">
      <x:c r="A2582" s="5" t="str">
        <x:v>疚</x:v>
      </x:c>
      <x:c r="B2582" s="6" t="str">
        <x:v>去</x:v>
      </x:c>
      <x:c r="C2582" s="6" t="str">
        <x:f>IF(B2582="","Needs decision","Ready")</x:f>
        <x:v>Ready</x:v>
      </x:c>
      <x:c r="D2582" s="6" t="str">
        <x:v>去</x:v>
      </x:c>
      <x:c r="E2582" s="6" t="str">
        <x:v>kjuwH [見三C尤去] kɨ̯uh</x:v>
      </x:c>
      <x:c r="F2582" s="6" t="str">
        <x:v>1</x:v>
      </x:c>
      <x:c r="G2582" s="6" t="str">
        <x:v>Targeted preliminary fill from Xun Gong; review if uncertain</x:v>
      </x:c>
      <x:c r="H2582" s="6" t="str">
        <x:f>IF(B2582="平","平",IF(B2582="","","仄"))</x:f>
        <x:v>仄</x:v>
      </x:c>
      <x:c r="I2582" s="6" t="str">
        <x:f>IF(D2571="","",IF(AND(ISNUMBER(SEARCH("平",D2571)),OR(ISNUMBER(SEARCH("上",D2571)),ISNUMBER(SEARCH("去",D2571)),ISNUMBER(SEARCH("入",D2571)))),"Ambiguous",IF(ISNUMBER(SEARCH("平",D2571)),"平","仄")))</x:f>
        <x:v>平</x:v>
      </x:c>
      <x:c r="J2582" s="7" t="str">
        <x:v>Xun Gong character-readings.csv</x:v>
      </x:c>
    </x:row>
    <x:row r="2583">
      <x:c r="A2583" s="5" t="str">
        <x:v>疛</x:v>
      </x:c>
      <x:c r="B2583" s="6" t="str">
        <x:v>上</x:v>
      </x:c>
      <x:c r="C2583" s="6" t="str">
        <x:f>IF(B2583="","Needs decision","Ready")</x:f>
        <x:v>Ready</x:v>
      </x:c>
      <x:c r="D2583" s="6" t="str">
        <x:v>上</x:v>
      </x:c>
      <x:c r="E2583" s="6" t="str">
        <x:v>trjuwX (B)</x:v>
      </x:c>
      <x:c r="F2583" s="6" t="str">
        <x:v>1</x:v>
      </x:c>
      <x:c r="G2583" s="6" t="str"/>
      <x:c r="H2583" s="6" t="str">
        <x:f>IF(B2583="平","平",IF(B2583="","","仄"))</x:f>
        <x:v>仄</x:v>
      </x:c>
      <x:c r="I2583" s="6" t="str">
        <x:f>IF(D2572="","",IF(AND(ISNUMBER(SEARCH("平",D2572)),OR(ISNUMBER(SEARCH("上",D2572)),ISNUMBER(SEARCH("去",D2572)),ISNUMBER(SEARCH("入",D2572)))),"Ambiguous",IF(ISNUMBER(SEARCH("平",D2572)),"平","仄")))</x:f>
        <x:v>仄</x:v>
      </x:c>
      <x:c r="J2583" s="7" t="str"/>
    </x:row>
    <x:row r="2584">
      <x:c r="A2584" s="5" t="str">
        <x:v>疥</x:v>
      </x:c>
      <x:c r="B2584" s="6" t="str">
        <x:v>去</x:v>
      </x:c>
      <x:c r="C2584" s="6" t="str">
        <x:f>IF(B2584="","Needs decision","Ready")</x:f>
        <x:v>Ready</x:v>
      </x:c>
      <x:c r="D2584" s="6" t="str">
        <x:v>去</x:v>
      </x:c>
      <x:c r="E2584" s="6" t="str">
        <x:v>keajH (C)</x:v>
      </x:c>
      <x:c r="F2584" s="6" t="str">
        <x:v>1</x:v>
      </x:c>
      <x:c r="G2584" s="6" t="str"/>
      <x:c r="H2584" s="6" t="str">
        <x:f>IF(B2584="平","平",IF(B2584="","","仄"))</x:f>
        <x:v>仄</x:v>
      </x:c>
      <x:c r="I2584" s="6" t="str">
        <x:f>IF(D2573="","",IF(AND(ISNUMBER(SEARCH("平",D2573)),OR(ISNUMBER(SEARCH("上",D2573)),ISNUMBER(SEARCH("去",D2573)),ISNUMBER(SEARCH("入",D2573)))),"Ambiguous",IF(ISNUMBER(SEARCH("平",D2573)),"平","仄")))</x:f>
        <x:v>平</x:v>
      </x:c>
      <x:c r="J2584" s="7" t="str"/>
    </x:row>
    <x:row r="2585">
      <x:c r="A2585" s="5" t="str">
        <x:v>疫</x:v>
      </x:c>
      <x:c r="B2585" s="6" t="str">
        <x:v>入</x:v>
      </x:c>
      <x:c r="C2585" s="6" t="str">
        <x:f>IF(B2585="","Needs decision","Ready")</x:f>
        <x:v>Ready</x:v>
      </x:c>
      <x:c r="D2585" s="6" t="str">
        <x:v>入</x:v>
      </x:c>
      <x:c r="E2585" s="6" t="str">
        <x:v>ywek (D)</x:v>
      </x:c>
      <x:c r="F2585" s="6" t="str">
        <x:v>1</x:v>
      </x:c>
      <x:c r="G2585" s="6" t="str"/>
      <x:c r="H2585" s="6" t="str">
        <x:f>IF(B2585="平","平",IF(B2585="","","仄"))</x:f>
        <x:v>仄</x:v>
      </x:c>
      <x:c r="I2585" s="6" t="str">
        <x:f>IF(D2574="","",IF(AND(ISNUMBER(SEARCH("平",D2574)),OR(ISNUMBER(SEARCH("上",D2574)),ISNUMBER(SEARCH("去",D2574)),ISNUMBER(SEARCH("入",D2574)))),"Ambiguous",IF(ISNUMBER(SEARCH("平",D2574)),"平","仄")))</x:f>
        <x:v>平</x:v>
      </x:c>
      <x:c r="J2585" s="7" t="str"/>
    </x:row>
    <x:row r="2586">
      <x:c r="A2586" s="5" t="str">
        <x:v>疲</x:v>
      </x:c>
      <x:c r="B2586" s="6" t="str">
        <x:v>平</x:v>
      </x:c>
      <x:c r="C2586" s="6" t="str">
        <x:f>IF(B2586="","Needs decision","Ready")</x:f>
        <x:v>Ready</x:v>
      </x:c>
      <x:c r="D2586" s="6" t="str">
        <x:v>平</x:v>
      </x:c>
      <x:c r="E2586" s="6" t="str">
        <x:v>bje (A)</x:v>
      </x:c>
      <x:c r="F2586" s="6" t="str">
        <x:v>1</x:v>
      </x:c>
      <x:c r="G2586" s="6" t="str"/>
      <x:c r="H2586" s="6" t="str">
        <x:f>IF(B2586="平","平",IF(B2586="","","仄"))</x:f>
        <x:v>平</x:v>
      </x:c>
      <x:c r="I2586" s="6" t="str">
        <x:f>IF(D2575="","",IF(AND(ISNUMBER(SEARCH("平",D2575)),OR(ISNUMBER(SEARCH("上",D2575)),ISNUMBER(SEARCH("去",D2575)),ISNUMBER(SEARCH("入",D2575)))),"Ambiguous",IF(ISNUMBER(SEARCH("平",D2575)),"平","仄")))</x:f>
        <x:v>平</x:v>
      </x:c>
      <x:c r="J2586" s="7" t="str"/>
    </x:row>
    <x:row r="2587">
      <x:c r="A2587" s="5" t="str">
        <x:v>疹</x:v>
      </x:c>
      <x:c r="B2587" s="6" t="str">
        <x:v>去</x:v>
      </x:c>
      <x:c r="C2587" s="6" t="str">
        <x:f>IF(B2587="","Needs decision","Ready")</x:f>
        <x:v>Ready</x:v>
      </x:c>
      <x:c r="D2587" s="6" t="str">
        <x:v>去</x:v>
      </x:c>
      <x:c r="E2587" s="6" t="str">
        <x:v>trhinH (C)</x:v>
      </x:c>
      <x:c r="F2587" s="6" t="str">
        <x:v>1</x:v>
      </x:c>
      <x:c r="G2587" s="6" t="str"/>
      <x:c r="H2587" s="6" t="str">
        <x:f>IF(B2587="平","平",IF(B2587="","","仄"))</x:f>
        <x:v>仄</x:v>
      </x:c>
      <x:c r="I2587" s="6" t="str">
        <x:f>IF(D2576="","",IF(AND(ISNUMBER(SEARCH("平",D2576)),OR(ISNUMBER(SEARCH("上",D2576)),ISNUMBER(SEARCH("去",D2576)),ISNUMBER(SEARCH("入",D2576)))),"Ambiguous",IF(ISNUMBER(SEARCH("平",D2576)),"平","仄")))</x:f>
        <x:v>仄</x:v>
      </x:c>
      <x:c r="J2587" s="7" t="str"/>
    </x:row>
    <x:row r="2588">
      <x:c r="A2588" s="5" t="str">
        <x:v>疾</x:v>
      </x:c>
      <x:c r="B2588" s="6" t="str">
        <x:v>入</x:v>
      </x:c>
      <x:c r="C2588" s="6" t="str">
        <x:f>IF(B2588="","Needs decision","Ready")</x:f>
        <x:v>Ready</x:v>
      </x:c>
      <x:c r="D2588" s="6" t="str">
        <x:v>入</x:v>
      </x:c>
      <x:c r="E2588" s="6" t="str">
        <x:v>dzit (D)</x:v>
      </x:c>
      <x:c r="F2588" s="6" t="str">
        <x:v>1</x:v>
      </x:c>
      <x:c r="G2588" s="6" t="str"/>
      <x:c r="H2588" s="6" t="str">
        <x:f>IF(B2588="平","平",IF(B2588="","","仄"))</x:f>
        <x:v>仄</x:v>
      </x:c>
      <x:c r="I2588" s="6" t="str">
        <x:f>IF(D2577="","",IF(AND(ISNUMBER(SEARCH("平",D2577)),OR(ISNUMBER(SEARCH("上",D2577)),ISNUMBER(SEARCH("去",D2577)),ISNUMBER(SEARCH("入",D2577)))),"Ambiguous",IF(ISNUMBER(SEARCH("平",D2577)),"平","仄")))</x:f>
        <x:v>平</x:v>
      </x:c>
      <x:c r="J2588" s="7" t="str"/>
    </x:row>
    <x:row r="2589">
      <x:c r="A2589" s="5" t="str">
        <x:v>疿</x:v>
      </x:c>
      <x:c r="B2589" s="6" t="str">
        <x:v>去</x:v>
      </x:c>
      <x:c r="C2589" s="6" t="str">
        <x:f>IF(B2589="","Needs decision","Ready")</x:f>
        <x:v>Ready</x:v>
      </x:c>
      <x:c r="D2589" s="6" t="str">
        <x:v>去</x:v>
      </x:c>
      <x:c r="E2589" s="6" t="str">
        <x:v>pj+jH (C)</x:v>
      </x:c>
      <x:c r="F2589" s="6" t="str">
        <x:v>1</x:v>
      </x:c>
      <x:c r="G2589" s="6" t="str"/>
      <x:c r="H2589" s="6" t="str">
        <x:f>IF(B2589="平","平",IF(B2589="","","仄"))</x:f>
        <x:v>仄</x:v>
      </x:c>
      <x:c r="I2589" s="6" t="str">
        <x:f>IF(D2578="","",IF(AND(ISNUMBER(SEARCH("平",D2578)),OR(ISNUMBER(SEARCH("上",D2578)),ISNUMBER(SEARCH("去",D2578)),ISNUMBER(SEARCH("入",D2578)))),"Ambiguous",IF(ISNUMBER(SEARCH("平",D2578)),"平","仄")))</x:f>
        <x:v>平</x:v>
      </x:c>
      <x:c r="J2589" s="7" t="str"/>
    </x:row>
    <x:row r="2590">
      <x:c r="A2590" s="5" t="str">
        <x:v>病</x:v>
      </x:c>
      <x:c r="B2590" s="6" t="str">
        <x:v>去</x:v>
      </x:c>
      <x:c r="C2590" s="6" t="str">
        <x:f>IF(B2590="","Needs decision","Ready")</x:f>
        <x:v>Ready</x:v>
      </x:c>
      <x:c r="D2590" s="6" t="str">
        <x:v>去</x:v>
      </x:c>
      <x:c r="E2590" s="6" t="str">
        <x:v>bjaengH (C)</x:v>
      </x:c>
      <x:c r="F2590" s="6" t="str">
        <x:v>1</x:v>
      </x:c>
      <x:c r="G2590" s="6" t="str"/>
      <x:c r="H2590" s="6" t="str">
        <x:f>IF(B2590="平","平",IF(B2590="","","仄"))</x:f>
        <x:v>仄</x:v>
      </x:c>
      <x:c r="I2590" s="6" t="str">
        <x:f>IF(D2579="","",IF(AND(ISNUMBER(SEARCH("平",D2579)),OR(ISNUMBER(SEARCH("上",D2579)),ISNUMBER(SEARCH("去",D2579)),ISNUMBER(SEARCH("入",D2579)))),"Ambiguous",IF(ISNUMBER(SEARCH("平",D2579)),"平","仄")))</x:f>
        <x:v>平</x:v>
      </x:c>
      <x:c r="J2590" s="7" t="str"/>
    </x:row>
    <x:row r="2591">
      <x:c r="A2591" s="5" t="str">
        <x:v>痒</x:v>
      </x:c>
      <x:c r="B2591" s="6" t="str">
        <x:v>平</x:v>
      </x:c>
      <x:c r="C2591" s="6" t="str">
        <x:f>IF(B2591="","Needs decision","Ready")</x:f>
        <x:v>Ready</x:v>
      </x:c>
      <x:c r="D2591" s="6" t="str">
        <x:v>平</x:v>
      </x:c>
      <x:c r="E2591" s="6" t="str">
        <x:v>yang (A); zjang (A)</x:v>
      </x:c>
      <x:c r="F2591" s="6" t="str">
        <x:v>2</x:v>
      </x:c>
      <x:c r="G2591" s="6" t="str"/>
      <x:c r="H2591" s="6" t="str">
        <x:f>IF(B2591="平","平",IF(B2591="","","仄"))</x:f>
        <x:v>平</x:v>
      </x:c>
      <x:c r="I2591" s="6" t="str">
        <x:f>IF(D2580="","",IF(AND(ISNUMBER(SEARCH("平",D2580)),OR(ISNUMBER(SEARCH("上",D2580)),ISNUMBER(SEARCH("去",D2580)),ISNUMBER(SEARCH("入",D2580)))),"Ambiguous",IF(ISNUMBER(SEARCH("平",D2580)),"平","仄")))</x:f>
        <x:v>仄</x:v>
      </x:c>
      <x:c r="J2591" s="7" t="str"/>
    </x:row>
    <x:row r="2592">
      <x:c r="A2592" s="5" t="str">
        <x:v>痕</x:v>
      </x:c>
      <x:c r="B2592" s="6" t="str">
        <x:v>平</x:v>
      </x:c>
      <x:c r="C2592" s="6" t="str">
        <x:f>IF(B2592="","Needs decision","Ready")</x:f>
        <x:v>Ready</x:v>
      </x:c>
      <x:c r="D2592" s="6" t="str">
        <x:v>平</x:v>
      </x:c>
      <x:c r="E2592" s="6" t="str">
        <x:v>hon [ʁən] (平)</x:v>
      </x:c>
      <x:c r="F2592" s="6" t="str">
        <x:v>1</x:v>
      </x:c>
      <x:c r="G2592" s="6" t="str">
        <x:v>Tang 300 gap; frequency 5; provisional from Xun Gong</x:v>
      </x:c>
      <x:c r="H2592" s="6" t="str">
        <x:f>IF(B2592="平","平",IF(B2592="","","仄"))</x:f>
        <x:v>平</x:v>
      </x:c>
      <x:c r="I2592" s="6" t="str">
        <x:f>IF(D2581="","",IF(AND(ISNUMBER(SEARCH("平",D2581)),OR(ISNUMBER(SEARCH("上",D2581)),ISNUMBER(SEARCH("去",D2581)),ISNUMBER(SEARCH("入",D2581)))),"Ambiguous",IF(ISNUMBER(SEARCH("平",D2581)),"平","仄")))</x:f>
        <x:v>平</x:v>
      </x:c>
      <x:c r="J2592" s="7" t="str">
        <x:v>Xun Gong, Tang 300 gap fill</x:v>
      </x:c>
    </x:row>
    <x:row r="2593">
      <x:c r="A2593" s="5" t="str">
        <x:v>痛</x:v>
      </x:c>
      <x:c r="B2593" s="6" t="str">
        <x:v>去</x:v>
      </x:c>
      <x:c r="C2593" s="6" t="str">
        <x:f>IF(B2593="","Needs decision","Ready")</x:f>
        <x:v>Ready</x:v>
      </x:c>
      <x:c r="D2593" s="6" t="str">
        <x:v>去</x:v>
      </x:c>
      <x:c r="E2593" s="6" t="str">
        <x:v>thuwngH (C)</x:v>
      </x:c>
      <x:c r="F2593" s="6" t="str">
        <x:v>1</x:v>
      </x:c>
      <x:c r="G2593" s="6" t="str"/>
      <x:c r="H2593" s="6" t="str">
        <x:f>IF(B2593="平","平",IF(B2593="","","仄"))</x:f>
        <x:v>仄</x:v>
      </x:c>
      <x:c r="I2593" s="6" t="str">
        <x:f>IF(D2582="","",IF(AND(ISNUMBER(SEARCH("平",D2582)),OR(ISNUMBER(SEARCH("上",D2582)),ISNUMBER(SEARCH("去",D2582)),ISNUMBER(SEARCH("入",D2582)))),"Ambiguous",IF(ISNUMBER(SEARCH("平",D2582)),"平","仄")))</x:f>
        <x:v>仄</x:v>
      </x:c>
      <x:c r="J2593" s="7" t="str"/>
    </x:row>
    <x:row r="2594">
      <x:c r="A2594" s="5" t="str">
        <x:v>痡</x:v>
      </x:c>
      <x:c r="B2594" s="6" t="str">
        <x:v>平</x:v>
      </x:c>
      <x:c r="C2594" s="6" t="str">
        <x:f>IF(B2594="","Needs decision","Ready")</x:f>
        <x:v>Ready</x:v>
      </x:c>
      <x:c r="D2594" s="6" t="str">
        <x:v>平</x:v>
      </x:c>
      <x:c r="E2594" s="6" t="str">
        <x:v>phju (A); phu (A)</x:v>
      </x:c>
      <x:c r="F2594" s="6" t="str">
        <x:v>2</x:v>
      </x:c>
      <x:c r="G2594" s="6" t="str"/>
      <x:c r="H2594" s="6" t="str">
        <x:f>IF(B2594="平","平",IF(B2594="","","仄"))</x:f>
        <x:v>平</x:v>
      </x:c>
      <x:c r="I2594" s="6" t="str">
        <x:f>IF(D2583="","",IF(AND(ISNUMBER(SEARCH("平",D2583)),OR(ISNUMBER(SEARCH("上",D2583)),ISNUMBER(SEARCH("去",D2583)),ISNUMBER(SEARCH("入",D2583)))),"Ambiguous",IF(ISNUMBER(SEARCH("平",D2583)),"平","仄")))</x:f>
        <x:v>仄</x:v>
      </x:c>
      <x:c r="J2594" s="7" t="str"/>
    </x:row>
    <x:row r="2595">
      <x:c r="A2595" s="5" t="str">
        <x:v>痯</x:v>
      </x:c>
      <x:c r="B2595" s="6" t="str">
        <x:v>上</x:v>
      </x:c>
      <x:c r="C2595" s="6" t="str">
        <x:f>IF(B2595="","Needs decision","Ready")</x:f>
        <x:v>Ready</x:v>
      </x:c>
      <x:c r="D2595" s="6" t="str">
        <x:v>上</x:v>
      </x:c>
      <x:c r="E2595" s="6" t="str">
        <x:v>kwanX (B)</x:v>
      </x:c>
      <x:c r="F2595" s="6" t="str">
        <x:v>1</x:v>
      </x:c>
      <x:c r="G2595" s="6" t="str"/>
      <x:c r="H2595" s="6" t="str">
        <x:f>IF(B2595="平","平",IF(B2595="","","仄"))</x:f>
        <x:v>仄</x:v>
      </x:c>
      <x:c r="I2595" s="6" t="str">
        <x:f>IF(D2584="","",IF(AND(ISNUMBER(SEARCH("平",D2584)),OR(ISNUMBER(SEARCH("上",D2584)),ISNUMBER(SEARCH("去",D2584)),ISNUMBER(SEARCH("入",D2584)))),"Ambiguous",IF(ISNUMBER(SEARCH("平",D2584)),"平","仄")))</x:f>
        <x:v>仄</x:v>
      </x:c>
      <x:c r="J2595" s="7" t="str"/>
    </x:row>
    <x:row r="2596">
      <x:c r="A2596" s="5" t="str">
        <x:v>痼</x:v>
      </x:c>
      <x:c r="B2596" s="6" t="str">
        <x:v>去</x:v>
      </x:c>
      <x:c r="C2596" s="6" t="str">
        <x:f>IF(B2596="","Needs decision","Ready")</x:f>
        <x:v>Ready</x:v>
      </x:c>
      <x:c r="D2596" s="6" t="str">
        <x:v>去</x:v>
      </x:c>
      <x:c r="E2596" s="6" t="str">
        <x:v>kuH (C)</x:v>
      </x:c>
      <x:c r="F2596" s="6" t="str">
        <x:v>1</x:v>
      </x:c>
      <x:c r="G2596" s="6" t="str"/>
      <x:c r="H2596" s="6" t="str">
        <x:f>IF(B2596="平","平",IF(B2596="","","仄"))</x:f>
        <x:v>仄</x:v>
      </x:c>
      <x:c r="I2596" s="6" t="str">
        <x:f>IF(D2585="","",IF(AND(ISNUMBER(SEARCH("平",D2585)),OR(ISNUMBER(SEARCH("上",D2585)),ISNUMBER(SEARCH("去",D2585)),ISNUMBER(SEARCH("入",D2585)))),"Ambiguous",IF(ISNUMBER(SEARCH("平",D2585)),"平","仄")))</x:f>
        <x:v>仄</x:v>
      </x:c>
      <x:c r="J2596" s="7" t="str"/>
    </x:row>
    <x:row r="2597">
      <x:c r="A2597" s="5" t="str">
        <x:v>痾</x:v>
      </x:c>
      <x:c r="B2597" s="6" t="str">
        <x:v>平</x:v>
      </x:c>
      <x:c r="C2597" s="6" t="str">
        <x:f>IF(B2597="","Needs decision","Ready")</x:f>
        <x:v>Ready</x:v>
      </x:c>
      <x:c r="D2597" s="6" t="str">
        <x:v>平</x:v>
      </x:c>
      <x:c r="E2597" s="6" t="str">
        <x:v>'a [ʔ̙ɑ] (平)</x:v>
      </x:c>
      <x:c r="F2597" s="6" t="str">
        <x:v>1</x:v>
      </x:c>
      <x:c r="G2597" s="6" t="str">
        <x:v>Tang 300 gap; frequency 1; provisional from Xun Gong</x:v>
      </x:c>
      <x:c r="H2597" s="6" t="str">
        <x:f>IF(B2597="平","平",IF(B2597="","","仄"))</x:f>
        <x:v>平</x:v>
      </x:c>
      <x:c r="I2597" s="6" t="str">
        <x:f>IF(D2586="","",IF(AND(ISNUMBER(SEARCH("平",D2586)),OR(ISNUMBER(SEARCH("上",D2586)),ISNUMBER(SEARCH("去",D2586)),ISNUMBER(SEARCH("入",D2586)))),"Ambiguous",IF(ISNUMBER(SEARCH("平",D2586)),"平","仄")))</x:f>
        <x:v>平</x:v>
      </x:c>
      <x:c r="J2597" s="7" t="str">
        <x:v>Xun Gong, Tang 300 gap fill</x:v>
      </x:c>
    </x:row>
    <x:row r="2598">
      <x:c r="A2598" s="5" t="str">
        <x:v>瘃</x:v>
      </x:c>
      <x:c r="B2598" s="6" t="str">
        <x:v>入</x:v>
      </x:c>
      <x:c r="C2598" s="6" t="str">
        <x:f>IF(B2598="","Needs decision","Ready")</x:f>
        <x:v>Ready</x:v>
      </x:c>
      <x:c r="D2598" s="6" t="str">
        <x:v>入</x:v>
      </x:c>
      <x:c r="E2598" s="6" t="str">
        <x:v>trjowk (D)</x:v>
      </x:c>
      <x:c r="F2598" s="6" t="str">
        <x:v>1</x:v>
      </x:c>
      <x:c r="G2598" s="6" t="str"/>
      <x:c r="H2598" s="6" t="str">
        <x:f>IF(B2598="平","平",IF(B2598="","","仄"))</x:f>
        <x:v>仄</x:v>
      </x:c>
      <x:c r="I2598" s="6" t="str">
        <x:f>IF(D2587="","",IF(AND(ISNUMBER(SEARCH("平",D2587)),OR(ISNUMBER(SEARCH("上",D2587)),ISNUMBER(SEARCH("去",D2587)),ISNUMBER(SEARCH("入",D2587)))),"Ambiguous",IF(ISNUMBER(SEARCH("平",D2587)),"平","仄")))</x:f>
        <x:v>仄</x:v>
      </x:c>
      <x:c r="J2598" s="7" t="str"/>
    </x:row>
    <x:row r="2599">
      <x:c r="A2599" s="5" t="str">
        <x:v>瘈</x:v>
      </x:c>
      <x:c r="B2599" s="6" t="str">
        <x:v>去</x:v>
      </x:c>
      <x:c r="C2599" s="6" t="str">
        <x:f>IF(B2599="","Needs decision","Ready")</x:f>
        <x:v>Ready</x:v>
      </x:c>
      <x:c r="D2599" s="6" t="str">
        <x:v>去</x:v>
      </x:c>
      <x:c r="E2599" s="6" t="str">
        <x:v>kjiejH (C); tsyejH (C)</x:v>
      </x:c>
      <x:c r="F2599" s="6" t="str">
        <x:v>2</x:v>
      </x:c>
      <x:c r="G2599" s="6" t="str"/>
      <x:c r="H2599" s="6" t="str">
        <x:f>IF(B2599="平","平",IF(B2599="","","仄"))</x:f>
        <x:v>仄</x:v>
      </x:c>
      <x:c r="I2599" s="6" t="str">
        <x:f>IF(D2588="","",IF(AND(ISNUMBER(SEARCH("平",D2588)),OR(ISNUMBER(SEARCH("上",D2588)),ISNUMBER(SEARCH("去",D2588)),ISNUMBER(SEARCH("入",D2588)))),"Ambiguous",IF(ISNUMBER(SEARCH("平",D2588)),"平","仄")))</x:f>
        <x:v>仄</x:v>
      </x:c>
      <x:c r="J2599" s="7" t="str"/>
    </x:row>
    <x:row r="2600">
      <x:c r="A2600" s="5" t="str">
        <x:v>瘍</x:v>
      </x:c>
      <x:c r="B2600" s="6" t="str">
        <x:v>平</x:v>
      </x:c>
      <x:c r="C2600" s="6" t="str">
        <x:f>IF(B2600="","Needs decision","Ready")</x:f>
        <x:v>Ready</x:v>
      </x:c>
      <x:c r="D2600" s="6" t="str">
        <x:v>平</x:v>
      </x:c>
      <x:c r="E2600" s="6" t="str">
        <x:v>yang (A)</x:v>
      </x:c>
      <x:c r="F2600" s="6" t="str">
        <x:v>1</x:v>
      </x:c>
      <x:c r="G2600" s="6" t="str"/>
      <x:c r="H2600" s="6" t="str">
        <x:f>IF(B2600="平","平",IF(B2600="","","仄"))</x:f>
        <x:v>平</x:v>
      </x:c>
      <x:c r="I2600" s="6" t="str">
        <x:f>IF(D2589="","",IF(AND(ISNUMBER(SEARCH("平",D2589)),OR(ISNUMBER(SEARCH("上",D2589)),ISNUMBER(SEARCH("去",D2589)),ISNUMBER(SEARCH("入",D2589)))),"Ambiguous",IF(ISNUMBER(SEARCH("平",D2589)),"平","仄")))</x:f>
        <x:v>仄</x:v>
      </x:c>
      <x:c r="J2600" s="7" t="str"/>
    </x:row>
    <x:row r="2601">
      <x:c r="A2601" s="5" t="str">
        <x:v>瘏</x:v>
      </x:c>
      <x:c r="B2601" s="6" t="str">
        <x:v>平</x:v>
      </x:c>
      <x:c r="C2601" s="6" t="str">
        <x:f>IF(B2601="","Needs decision","Ready")</x:f>
        <x:v>Ready</x:v>
      </x:c>
      <x:c r="D2601" s="6" t="str">
        <x:v>平</x:v>
      </x:c>
      <x:c r="E2601" s="6" t="str">
        <x:v>du (A)</x:v>
      </x:c>
      <x:c r="F2601" s="6" t="str">
        <x:v>1</x:v>
      </x:c>
      <x:c r="G2601" s="6" t="str"/>
      <x:c r="H2601" s="6" t="str">
        <x:f>IF(B2601="平","平",IF(B2601="","","仄"))</x:f>
        <x:v>平</x:v>
      </x:c>
      <x:c r="I2601" s="6" t="str">
        <x:f>IF(D2590="","",IF(AND(ISNUMBER(SEARCH("平",D2590)),OR(ISNUMBER(SEARCH("上",D2590)),ISNUMBER(SEARCH("去",D2590)),ISNUMBER(SEARCH("入",D2590)))),"Ambiguous",IF(ISNUMBER(SEARCH("平",D2590)),"平","仄")))</x:f>
        <x:v>仄</x:v>
      </x:c>
      <x:c r="J2601" s="7" t="str"/>
    </x:row>
    <x:row r="2602">
      <x:c r="A2602" s="5" t="str">
        <x:v>瘞</x:v>
      </x:c>
      <x:c r="B2602" s="6" t="str">
        <x:v>去</x:v>
      </x:c>
      <x:c r="C2602" s="6" t="str">
        <x:f>IF(B2602="","Needs decision","Ready")</x:f>
        <x:v>Ready</x:v>
      </x:c>
      <x:c r="D2602" s="6" t="str">
        <x:v>去</x:v>
      </x:c>
      <x:c r="E2602" s="6" t="str">
        <x:v>'jejH (C)</x:v>
      </x:c>
      <x:c r="F2602" s="6" t="str">
        <x:v>1</x:v>
      </x:c>
      <x:c r="G2602" s="6" t="str"/>
      <x:c r="H2602" s="6" t="str">
        <x:f>IF(B2602="平","平",IF(B2602="","","仄"))</x:f>
        <x:v>仄</x:v>
      </x:c>
      <x:c r="I2602" s="6" t="str">
        <x:f>IF(D2591="","",IF(AND(ISNUMBER(SEARCH("平",D2591)),OR(ISNUMBER(SEARCH("上",D2591)),ISNUMBER(SEARCH("去",D2591)),ISNUMBER(SEARCH("入",D2591)))),"Ambiguous",IF(ISNUMBER(SEARCH("平",D2591)),"平","仄")))</x:f>
        <x:v>平</x:v>
      </x:c>
      <x:c r="J2602" s="7" t="str"/>
    </x:row>
    <x:row r="2603">
      <x:c r="A2603" s="5" t="str">
        <x:v>瘡</x:v>
      </x:c>
      <x:c r="B2603" s="6" t="str">
        <x:v>平</x:v>
      </x:c>
      <x:c r="C2603" s="6" t="str">
        <x:f>IF(B2603="","Needs decision","Ready")</x:f>
        <x:v>Ready</x:v>
      </x:c>
      <x:c r="D2603" s="6" t="str">
        <x:v>平</x:v>
      </x:c>
      <x:c r="E2603" s="6" t="str">
        <x:v>tsrhjang (A)</x:v>
      </x:c>
      <x:c r="F2603" s="6" t="str">
        <x:v>1</x:v>
      </x:c>
      <x:c r="G2603" s="6" t="str"/>
      <x:c r="H2603" s="6" t="str">
        <x:f>IF(B2603="平","平",IF(B2603="","","仄"))</x:f>
        <x:v>平</x:v>
      </x:c>
      <x:c r="I2603" s="6" t="str">
        <x:f>IF(D2592="","",IF(AND(ISNUMBER(SEARCH("平",D2592)),OR(ISNUMBER(SEARCH("上",D2592)),ISNUMBER(SEARCH("去",D2592)),ISNUMBER(SEARCH("入",D2592)))),"Ambiguous",IF(ISNUMBER(SEARCH("平",D2592)),"平","仄")))</x:f>
        <x:v>平</x:v>
      </x:c>
      <x:c r="J2603" s="7" t="str"/>
    </x:row>
    <x:row r="2604">
      <x:c r="A2604" s="5" t="str">
        <x:v>瘦</x:v>
      </x:c>
      <x:c r="B2604" s="6" t="str">
        <x:v>去</x:v>
      </x:c>
      <x:c r="C2604" s="6" t="str">
        <x:f>IF(B2604="","Needs decision","Ready")</x:f>
        <x:v>Ready</x:v>
      </x:c>
      <x:c r="D2604" s="6" t="str">
        <x:v>去</x:v>
      </x:c>
      <x:c r="E2604" s="6" t="str">
        <x:v>srjuwH (C)</x:v>
      </x:c>
      <x:c r="F2604" s="6" t="str">
        <x:v>1</x:v>
      </x:c>
      <x:c r="G2604" s="6" t="str"/>
      <x:c r="H2604" s="6" t="str">
        <x:f>IF(B2604="平","平",IF(B2604="","","仄"))</x:f>
        <x:v>仄</x:v>
      </x:c>
      <x:c r="I2604" s="6" t="str">
        <x:f>IF(D2593="","",IF(AND(ISNUMBER(SEARCH("平",D2593)),OR(ISNUMBER(SEARCH("上",D2593)),ISNUMBER(SEARCH("去",D2593)),ISNUMBER(SEARCH("入",D2593)))),"Ambiguous",IF(ISNUMBER(SEARCH("平",D2593)),"平","仄")))</x:f>
        <x:v>仄</x:v>
      </x:c>
      <x:c r="J2604" s="7" t="str"/>
    </x:row>
    <x:row r="2605">
      <x:c r="A2605" s="5" t="str">
        <x:v>瘳</x:v>
      </x:c>
      <x:c r="B2605" s="6" t="str">
        <x:v>平</x:v>
      </x:c>
      <x:c r="C2605" s="6" t="str">
        <x:f>IF(B2605="","Needs decision","Ready")</x:f>
        <x:v>Ready</x:v>
      </x:c>
      <x:c r="D2605" s="6" t="str">
        <x:v>平</x:v>
      </x:c>
      <x:c r="E2605" s="6" t="str">
        <x:v>trhjuw (A)</x:v>
      </x:c>
      <x:c r="F2605" s="6" t="str">
        <x:v>1</x:v>
      </x:c>
      <x:c r="G2605" s="6" t="str"/>
      <x:c r="H2605" s="6" t="str">
        <x:f>IF(B2605="平","平",IF(B2605="","","仄"))</x:f>
        <x:v>平</x:v>
      </x:c>
      <x:c r="I2605" s="6" t="str">
        <x:f>IF(D2594="","",IF(AND(ISNUMBER(SEARCH("平",D2594)),OR(ISNUMBER(SEARCH("上",D2594)),ISNUMBER(SEARCH("去",D2594)),ISNUMBER(SEARCH("入",D2594)))),"Ambiguous",IF(ISNUMBER(SEARCH("平",D2594)),"平","仄")))</x:f>
        <x:v>平</x:v>
      </x:c>
      <x:c r="J2605" s="7" t="str"/>
    </x:row>
    <x:row r="2606">
      <x:c r="A2606" s="5" t="str">
        <x:v>瘴</x:v>
      </x:c>
      <x:c r="B2606" s="6" t="str">
        <x:v>去</x:v>
      </x:c>
      <x:c r="C2606" s="6" t="str">
        <x:f>IF(B2606="","Needs decision","Ready")</x:f>
        <x:v>Ready</x:v>
      </x:c>
      <x:c r="D2606" s="6" t="str">
        <x:v>去</x:v>
      </x:c>
      <x:c r="E2606" s="6" t="str">
        <x:v>tsyangH [tɕɑŋh] (去)</x:v>
      </x:c>
      <x:c r="F2606" s="6" t="str">
        <x:v>1</x:v>
      </x:c>
      <x:c r="G2606" s="6" t="str">
        <x:v>Tang 300 gap; frequency 2; provisional from Xun Gong</x:v>
      </x:c>
      <x:c r="H2606" s="6" t="str">
        <x:f>IF(B2606="平","平",IF(B2606="","","仄"))</x:f>
        <x:v>仄</x:v>
      </x:c>
      <x:c r="I2606" s="6" t="str">
        <x:f>IF(D2595="","",IF(AND(ISNUMBER(SEARCH("平",D2595)),OR(ISNUMBER(SEARCH("上",D2595)),ISNUMBER(SEARCH("去",D2595)),ISNUMBER(SEARCH("入",D2595)))),"Ambiguous",IF(ISNUMBER(SEARCH("平",D2595)),"平","仄")))</x:f>
        <x:v>仄</x:v>
      </x:c>
      <x:c r="J2606" s="7" t="str">
        <x:v>Xun Gong, Tang 300 gap fill</x:v>
      </x:c>
    </x:row>
    <x:row r="2607">
      <x:c r="A2607" s="5" t="str">
        <x:v>瘵</x:v>
      </x:c>
      <x:c r="B2607" s="6" t="str">
        <x:v>去</x:v>
      </x:c>
      <x:c r="C2607" s="6" t="str">
        <x:f>IF(B2607="","Needs decision","Ready")</x:f>
        <x:v>Ready</x:v>
      </x:c>
      <x:c r="D2607" s="6" t="str">
        <x:v>去</x:v>
      </x:c>
      <x:c r="E2607" s="6" t="str">
        <x:v>tsreajH (C)</x:v>
      </x:c>
      <x:c r="F2607" s="6" t="str">
        <x:v>1</x:v>
      </x:c>
      <x:c r="G2607" s="6" t="str"/>
      <x:c r="H2607" s="6" t="str">
        <x:f>IF(B2607="平","平",IF(B2607="","","仄"))</x:f>
        <x:v>仄</x:v>
      </x:c>
      <x:c r="I2607" s="6" t="str">
        <x:f>IF(D2596="","",IF(AND(ISNUMBER(SEARCH("平",D2596)),OR(ISNUMBER(SEARCH("上",D2596)),ISNUMBER(SEARCH("去",D2596)),ISNUMBER(SEARCH("入",D2596)))),"Ambiguous",IF(ISNUMBER(SEARCH("平",D2596)),"平","仄")))</x:f>
        <x:v>仄</x:v>
      </x:c>
      <x:c r="J2607" s="7" t="str"/>
    </x:row>
    <x:row r="2608">
      <x:c r="A2608" s="5" t="str">
        <x:v>癉</x:v>
      </x:c>
      <x:c r="B2608" s="6" t="str">
        <x:v>上</x:v>
      </x:c>
      <x:c r="C2608" s="6" t="str">
        <x:f>IF(B2608="","Needs decision","Ready")</x:f>
        <x:v>Ready</x:v>
      </x:c>
      <x:c r="D2608" s="6" t="str">
        <x:v>上</x:v>
      </x:c>
      <x:c r="E2608" s="6" t="str">
        <x:v>tanX (B)</x:v>
      </x:c>
      <x:c r="F2608" s="6" t="str">
        <x:v>1</x:v>
      </x:c>
      <x:c r="G2608" s="6" t="str"/>
      <x:c r="H2608" s="6" t="str">
        <x:f>IF(B2608="平","平",IF(B2608="","","仄"))</x:f>
        <x:v>仄</x:v>
      </x:c>
      <x:c r="I2608" s="6" t="str">
        <x:f>IF(D2597="","",IF(AND(ISNUMBER(SEARCH("平",D2597)),OR(ISNUMBER(SEARCH("上",D2597)),ISNUMBER(SEARCH("去",D2597)),ISNUMBER(SEARCH("入",D2597)))),"Ambiguous",IF(ISNUMBER(SEARCH("平",D2597)),"平","仄")))</x:f>
        <x:v>平</x:v>
      </x:c>
      <x:c r="J2608" s="7" t="str"/>
    </x:row>
    <x:row r="2609">
      <x:c r="A2609" s="5" t="str">
        <x:v>癘</x:v>
      </x:c>
      <x:c r="B2609" s="6" t="str">
        <x:v>去</x:v>
      </x:c>
      <x:c r="C2609" s="6" t="str">
        <x:f>IF(B2609="","Needs decision","Ready")</x:f>
        <x:v>Ready</x:v>
      </x:c>
      <x:c r="D2609" s="6" t="str">
        <x:v>去</x:v>
      </x:c>
      <x:c r="E2609" s="6" t="str">
        <x:v>ljejH [ljejh] (去)</x:v>
      </x:c>
      <x:c r="F2609" s="6" t="str">
        <x:v>1</x:v>
      </x:c>
      <x:c r="G2609" s="6" t="str">
        <x:v>Tang 300 gap; frequency 1; provisional from Xun Gong</x:v>
      </x:c>
      <x:c r="H2609" s="6" t="str">
        <x:f>IF(B2609="平","平",IF(B2609="","","仄"))</x:f>
        <x:v>仄</x:v>
      </x:c>
      <x:c r="I2609" s="6" t="str">
        <x:f>IF(D2598="","",IF(AND(ISNUMBER(SEARCH("平",D2598)),OR(ISNUMBER(SEARCH("上",D2598)),ISNUMBER(SEARCH("去",D2598)),ISNUMBER(SEARCH("入",D2598)))),"Ambiguous",IF(ISNUMBER(SEARCH("平",D2598)),"平","仄")))</x:f>
        <x:v>仄</x:v>
      </x:c>
      <x:c r="J2609" s="7" t="str">
        <x:v>Xun Gong, Tang 300 gap fill</x:v>
      </x:c>
    </x:row>
    <x:row r="2610">
      <x:c r="A2610" s="5" t="str">
        <x:v>癙</x:v>
      </x:c>
      <x:c r="B2610" s="6" t="str">
        <x:v>上</x:v>
      </x:c>
      <x:c r="C2610" s="6" t="str">
        <x:f>IF(B2610="","Needs decision","Ready")</x:f>
        <x:v>Ready</x:v>
      </x:c>
      <x:c r="D2610" s="6" t="str">
        <x:v>上</x:v>
      </x:c>
      <x:c r="E2610" s="6" t="str">
        <x:v>syoX (B)</x:v>
      </x:c>
      <x:c r="F2610" s="6" t="str">
        <x:v>1</x:v>
      </x:c>
      <x:c r="G2610" s="6" t="str"/>
      <x:c r="H2610" s="6" t="str">
        <x:f>IF(B2610="平","平",IF(B2610="","","仄"))</x:f>
        <x:v>仄</x:v>
      </x:c>
      <x:c r="I2610" s="6" t="str">
        <x:f>IF(D2599="","",IF(AND(ISNUMBER(SEARCH("平",D2599)),OR(ISNUMBER(SEARCH("上",D2599)),ISNUMBER(SEARCH("去",D2599)),ISNUMBER(SEARCH("入",D2599)))),"Ambiguous",IF(ISNUMBER(SEARCH("平",D2599)),"平","仄")))</x:f>
        <x:v>仄</x:v>
      </x:c>
      <x:c r="J2610" s="7" t="str"/>
    </x:row>
    <x:row r="2611">
      <x:c r="A2611" s="5" t="str">
        <x:v>癢</x:v>
      </x:c>
      <x:c r="B2611" s="6" t="str">
        <x:v>上</x:v>
      </x:c>
      <x:c r="C2611" s="6" t="str">
        <x:f>IF(B2611="","Needs decision","Ready")</x:f>
        <x:v>Ready</x:v>
      </x:c>
      <x:c r="D2611" s="6" t="str">
        <x:v>上</x:v>
      </x:c>
      <x:c r="E2611" s="6" t="str">
        <x:v>yangX (B)</x:v>
      </x:c>
      <x:c r="F2611" s="6" t="str">
        <x:v>1</x:v>
      </x:c>
      <x:c r="G2611" s="6" t="str"/>
      <x:c r="H2611" s="6" t="str">
        <x:f>IF(B2611="平","平",IF(B2611="","","仄"))</x:f>
        <x:v>仄</x:v>
      </x:c>
      <x:c r="I2611" s="6" t="str">
        <x:f>IF(D2600="","",IF(AND(ISNUMBER(SEARCH("平",D2600)),OR(ISNUMBER(SEARCH("上",D2600)),ISNUMBER(SEARCH("去",D2600)),ISNUMBER(SEARCH("入",D2600)))),"Ambiguous",IF(ISNUMBER(SEARCH("平",D2600)),"平","仄")))</x:f>
        <x:v>平</x:v>
      </x:c>
      <x:c r="J2611" s="7" t="str"/>
    </x:row>
    <x:row r="2612">
      <x:c r="A2612" s="5" t="str">
        <x:v>癬</x:v>
      </x:c>
      <x:c r="B2612" s="6" t="str">
        <x:v>上</x:v>
      </x:c>
      <x:c r="C2612" s="6" t="str">
        <x:f>IF(B2612="","Needs decision","Ready")</x:f>
        <x:v>Ready</x:v>
      </x:c>
      <x:c r="D2612" s="6" t="str">
        <x:v>上</x:v>
      </x:c>
      <x:c r="E2612" s="6" t="str">
        <x:v>sjenX (B)</x:v>
      </x:c>
      <x:c r="F2612" s="6" t="str">
        <x:v>1</x:v>
      </x:c>
      <x:c r="G2612" s="6" t="str"/>
      <x:c r="H2612" s="6" t="str">
        <x:f>IF(B2612="平","平",IF(B2612="","","仄"))</x:f>
        <x:v>仄</x:v>
      </x:c>
      <x:c r="I2612" s="6" t="str">
        <x:f>IF(D2601="","",IF(AND(ISNUMBER(SEARCH("平",D2601)),OR(ISNUMBER(SEARCH("上",D2601)),ISNUMBER(SEARCH("去",D2601)),ISNUMBER(SEARCH("入",D2601)))),"Ambiguous",IF(ISNUMBER(SEARCH("平",D2601)),"平","仄")))</x:f>
        <x:v>平</x:v>
      </x:c>
      <x:c r="J2612" s="7" t="str"/>
    </x:row>
    <x:row r="2613">
      <x:c r="A2613" s="5" t="str">
        <x:v>癰</x:v>
      </x:c>
      <x:c r="B2613" s="6" t="str">
        <x:v>平</x:v>
      </x:c>
      <x:c r="C2613" s="6" t="str">
        <x:f>IF(B2613="","Needs decision","Ready")</x:f>
        <x:v>Ready</x:v>
      </x:c>
      <x:c r="D2613" s="6" t="str">
        <x:v>平</x:v>
      </x:c>
      <x:c r="E2613" s="6" t="str">
        <x:v>'jowng (A)</x:v>
      </x:c>
      <x:c r="F2613" s="6" t="str">
        <x:v>1</x:v>
      </x:c>
      <x:c r="G2613" s="6" t="str"/>
      <x:c r="H2613" s="6" t="str">
        <x:f>IF(B2613="平","平",IF(B2613="","","仄"))</x:f>
        <x:v>平</x:v>
      </x:c>
      <x:c r="I2613" s="6" t="str">
        <x:f>IF(D2602="","",IF(AND(ISNUMBER(SEARCH("平",D2602)),OR(ISNUMBER(SEARCH("上",D2602)),ISNUMBER(SEARCH("去",D2602)),ISNUMBER(SEARCH("入",D2602)))),"Ambiguous",IF(ISNUMBER(SEARCH("平",D2602)),"平","仄")))</x:f>
        <x:v>仄</x:v>
      </x:c>
      <x:c r="J2613" s="7" t="str"/>
    </x:row>
    <x:row r="2614">
      <x:c r="A2614" s="5" t="str">
        <x:v>癸</x:v>
      </x:c>
      <x:c r="B2614" s="6" t="str">
        <x:v>上</x:v>
      </x:c>
      <x:c r="C2614" s="6" t="str">
        <x:f>IF(B2614="","Needs decision","Ready")</x:f>
        <x:v>Ready</x:v>
      </x:c>
      <x:c r="D2614" s="6" t="str">
        <x:v>上</x:v>
      </x:c>
      <x:c r="E2614" s="6" t="str">
        <x:v>kjwijX (B)</x:v>
      </x:c>
      <x:c r="F2614" s="6" t="str">
        <x:v>1</x:v>
      </x:c>
      <x:c r="G2614" s="6" t="str"/>
      <x:c r="H2614" s="6" t="str">
        <x:f>IF(B2614="平","平",IF(B2614="","","仄"))</x:f>
        <x:v>仄</x:v>
      </x:c>
      <x:c r="I2614" s="6" t="str">
        <x:f>IF(D2603="","",IF(AND(ISNUMBER(SEARCH("平",D2603)),OR(ISNUMBER(SEARCH("上",D2603)),ISNUMBER(SEARCH("去",D2603)),ISNUMBER(SEARCH("入",D2603)))),"Ambiguous",IF(ISNUMBER(SEARCH("平",D2603)),"平","仄")))</x:f>
        <x:v>平</x:v>
      </x:c>
      <x:c r="J2614" s="7" t="str"/>
    </x:row>
    <x:row r="2615">
      <x:c r="A2615" s="5" t="str">
        <x:v>登</x:v>
      </x:c>
      <x:c r="B2615" s="6" t="str">
        <x:v>平</x:v>
      </x:c>
      <x:c r="C2615" s="6" t="str">
        <x:f>IF(B2615="","Needs decision","Ready")</x:f>
        <x:v>Ready</x:v>
      </x:c>
      <x:c r="D2615" s="6" t="str">
        <x:v>平</x:v>
      </x:c>
      <x:c r="E2615" s="6" t="str">
        <x:v>tong (A)</x:v>
      </x:c>
      <x:c r="F2615" s="6" t="str">
        <x:v>1</x:v>
      </x:c>
      <x:c r="G2615" s="6" t="str"/>
      <x:c r="H2615" s="6" t="str">
        <x:f>IF(B2615="平","平",IF(B2615="","","仄"))</x:f>
        <x:v>平</x:v>
      </x:c>
      <x:c r="I2615" s="6" t="str">
        <x:f>IF(D2604="","",IF(AND(ISNUMBER(SEARCH("平",D2604)),OR(ISNUMBER(SEARCH("上",D2604)),ISNUMBER(SEARCH("去",D2604)),ISNUMBER(SEARCH("入",D2604)))),"Ambiguous",IF(ISNUMBER(SEARCH("平",D2604)),"平","仄")))</x:f>
        <x:v>仄</x:v>
      </x:c>
      <x:c r="J2615" s="7" t="str"/>
    </x:row>
    <x:row r="2616">
      <x:c r="A2616" s="5" t="str">
        <x:v>發</x:v>
      </x:c>
      <x:c r="B2616" s="6" t="str">
        <x:v>入</x:v>
      </x:c>
      <x:c r="C2616" s="6" t="str">
        <x:f>IF(B2616="","Needs decision","Ready")</x:f>
        <x:v>Ready</x:v>
      </x:c>
      <x:c r="D2616" s="6" t="str">
        <x:v>入</x:v>
      </x:c>
      <x:c r="E2616" s="6" t="str">
        <x:v>pjot (D)</x:v>
      </x:c>
      <x:c r="F2616" s="6" t="str">
        <x:v>1</x:v>
      </x:c>
      <x:c r="G2616" s="6" t="str"/>
      <x:c r="H2616" s="6" t="str">
        <x:f>IF(B2616="平","平",IF(B2616="","","仄"))</x:f>
        <x:v>仄</x:v>
      </x:c>
      <x:c r="I2616" s="6" t="str">
        <x:f>IF(D2605="","",IF(AND(ISNUMBER(SEARCH("平",D2605)),OR(ISNUMBER(SEARCH("上",D2605)),ISNUMBER(SEARCH("去",D2605)),ISNUMBER(SEARCH("入",D2605)))),"Ambiguous",IF(ISNUMBER(SEARCH("平",D2605)),"平","仄")))</x:f>
        <x:v>平</x:v>
      </x:c>
      <x:c r="J2616" s="7" t="str"/>
    </x:row>
    <x:row r="2617">
      <x:c r="A2617" s="5" t="str">
        <x:v>白</x:v>
      </x:c>
      <x:c r="B2617" s="6" t="str">
        <x:v>入</x:v>
      </x:c>
      <x:c r="C2617" s="6" t="str">
        <x:f>IF(B2617="","Needs decision","Ready")</x:f>
        <x:v>Ready</x:v>
      </x:c>
      <x:c r="D2617" s="6" t="str">
        <x:v>入</x:v>
      </x:c>
      <x:c r="E2617" s="6" t="str">
        <x:v>baek (D)</x:v>
      </x:c>
      <x:c r="F2617" s="6" t="str">
        <x:v>1</x:v>
      </x:c>
      <x:c r="G2617" s="6" t="str"/>
      <x:c r="H2617" s="6" t="str">
        <x:f>IF(B2617="平","平",IF(B2617="","","仄"))</x:f>
        <x:v>仄</x:v>
      </x:c>
      <x:c r="I2617" s="6" t="str">
        <x:f>IF(D2606="","",IF(AND(ISNUMBER(SEARCH("平",D2606)),OR(ISNUMBER(SEARCH("上",D2606)),ISNUMBER(SEARCH("去",D2606)),ISNUMBER(SEARCH("入",D2606)))),"Ambiguous",IF(ISNUMBER(SEARCH("平",D2606)),"平","仄")))</x:f>
        <x:v>仄</x:v>
      </x:c>
      <x:c r="J2617" s="7" t="str"/>
    </x:row>
    <x:row r="2618">
      <x:c r="A2618" s="5" t="str">
        <x:v>百</x:v>
      </x:c>
      <x:c r="B2618" s="6" t="str">
        <x:v>入</x:v>
      </x:c>
      <x:c r="C2618" s="6" t="str">
        <x:f>IF(B2618="","Needs decision","Ready")</x:f>
        <x:v>Ready</x:v>
      </x:c>
      <x:c r="D2618" s="6" t="str">
        <x:v>入</x:v>
      </x:c>
      <x:c r="E2618" s="6" t="str">
        <x:v>paek (D)</x:v>
      </x:c>
      <x:c r="F2618" s="6" t="str">
        <x:v>1</x:v>
      </x:c>
      <x:c r="G2618" s="6" t="str"/>
      <x:c r="H2618" s="6" t="str">
        <x:f>IF(B2618="平","平",IF(B2618="","","仄"))</x:f>
        <x:v>仄</x:v>
      </x:c>
      <x:c r="I2618" s="6" t="str">
        <x:f>IF(D2607="","",IF(AND(ISNUMBER(SEARCH("平",D2607)),OR(ISNUMBER(SEARCH("上",D2607)),ISNUMBER(SEARCH("去",D2607)),ISNUMBER(SEARCH("入",D2607)))),"Ambiguous",IF(ISNUMBER(SEARCH("平",D2607)),"平","仄")))</x:f>
        <x:v>仄</x:v>
      </x:c>
      <x:c r="J2618" s="7" t="str"/>
    </x:row>
    <x:row r="2619">
      <x:c r="A2619" s="5" t="str">
        <x:v>皀</x:v>
      </x:c>
      <x:c r="B2619" s="6" t="str">
        <x:v>平</x:v>
      </x:c>
      <x:c r="C2619" s="6" t="str">
        <x:f>IF(B2619="","Needs decision","Ready")</x:f>
        <x:v>Ready</x:v>
      </x:c>
      <x:c r="D2619" s="6" t="str">
        <x:v>平</x:v>
      </x:c>
      <x:c r="E2619" s="6" t="str">
        <x:v>xjang (A)</x:v>
      </x:c>
      <x:c r="F2619" s="6" t="str">
        <x:v>1</x:v>
      </x:c>
      <x:c r="G2619" s="6" t="str"/>
      <x:c r="H2619" s="6" t="str">
        <x:f>IF(B2619="平","平",IF(B2619="","","仄"))</x:f>
        <x:v>平</x:v>
      </x:c>
      <x:c r="I2619" s="6" t="str">
        <x:f>IF(D2608="","",IF(AND(ISNUMBER(SEARCH("平",D2608)),OR(ISNUMBER(SEARCH("上",D2608)),ISNUMBER(SEARCH("去",D2608)),ISNUMBER(SEARCH("入",D2608)))),"Ambiguous",IF(ISNUMBER(SEARCH("平",D2608)),"平","仄")))</x:f>
        <x:v>仄</x:v>
      </x:c>
      <x:c r="J2619" s="7" t="str"/>
    </x:row>
    <x:row r="2620">
      <x:c r="A2620" s="5" t="str">
        <x:v>皁</x:v>
      </x:c>
      <x:c r="B2620" s="6" t="str">
        <x:v>上</x:v>
      </x:c>
      <x:c r="C2620" s="6" t="str">
        <x:f>IF(B2620="","Needs decision","Ready")</x:f>
        <x:v>Ready</x:v>
      </x:c>
      <x:c r="D2620" s="6" t="str">
        <x:v>上</x:v>
      </x:c>
      <x:c r="E2620" s="6" t="str">
        <x:v>dzawX (B)</x:v>
      </x:c>
      <x:c r="F2620" s="6" t="str">
        <x:v>1</x:v>
      </x:c>
      <x:c r="G2620" s="6" t="str"/>
      <x:c r="H2620" s="6" t="str">
        <x:f>IF(B2620="平","平",IF(B2620="","","仄"))</x:f>
        <x:v>仄</x:v>
      </x:c>
      <x:c r="I2620" s="6" t="str">
        <x:f>IF(D2609="","",IF(AND(ISNUMBER(SEARCH("平",D2609)),OR(ISNUMBER(SEARCH("上",D2609)),ISNUMBER(SEARCH("去",D2609)),ISNUMBER(SEARCH("入",D2609)))),"Ambiguous",IF(ISNUMBER(SEARCH("平",D2609)),"平","仄")))</x:f>
        <x:v>仄</x:v>
      </x:c>
      <x:c r="J2620" s="7" t="str"/>
    </x:row>
    <x:row r="2621">
      <x:c r="A2621" s="5" t="str">
        <x:v>的</x:v>
      </x:c>
      <x:c r="B2621" s="6" t="str">
        <x:v>入</x:v>
      </x:c>
      <x:c r="C2621" s="6" t="str">
        <x:f>IF(B2621="","Needs decision","Ready")</x:f>
        <x:v>Ready</x:v>
      </x:c>
      <x:c r="D2621" s="6" t="str">
        <x:v>入</x:v>
      </x:c>
      <x:c r="E2621" s="6" t="str">
        <x:v>tek (D)</x:v>
      </x:c>
      <x:c r="F2621" s="6" t="str">
        <x:v>1</x:v>
      </x:c>
      <x:c r="G2621" s="6" t="str"/>
      <x:c r="H2621" s="6" t="str">
        <x:f>IF(B2621="平","平",IF(B2621="","","仄"))</x:f>
        <x:v>仄</x:v>
      </x:c>
      <x:c r="I2621" s="6" t="str">
        <x:f>IF(D2610="","",IF(AND(ISNUMBER(SEARCH("平",D2610)),OR(ISNUMBER(SEARCH("上",D2610)),ISNUMBER(SEARCH("去",D2610)),ISNUMBER(SEARCH("入",D2610)))),"Ambiguous",IF(ISNUMBER(SEARCH("平",D2610)),"平","仄")))</x:f>
        <x:v>仄</x:v>
      </x:c>
      <x:c r="J2621" s="7" t="str"/>
    </x:row>
    <x:row r="2622">
      <x:c r="A2622" s="5" t="str">
        <x:v>皆</x:v>
      </x:c>
      <x:c r="B2622" s="6" t="str">
        <x:v>平</x:v>
      </x:c>
      <x:c r="C2622" s="6" t="str">
        <x:f>IF(B2622="","Needs decision","Ready")</x:f>
        <x:v>Ready</x:v>
      </x:c>
      <x:c r="D2622" s="6" t="str">
        <x:v>平</x:v>
      </x:c>
      <x:c r="E2622" s="6" t="str">
        <x:v>keaj (A)</x:v>
      </x:c>
      <x:c r="F2622" s="6" t="str">
        <x:v>1</x:v>
      </x:c>
      <x:c r="G2622" s="6" t="str"/>
      <x:c r="H2622" s="6" t="str">
        <x:f>IF(B2622="平","平",IF(B2622="","","仄"))</x:f>
        <x:v>平</x:v>
      </x:c>
      <x:c r="I2622" s="6" t="str">
        <x:f>IF(D2611="","",IF(AND(ISNUMBER(SEARCH("平",D2611)),OR(ISNUMBER(SEARCH("上",D2611)),ISNUMBER(SEARCH("去",D2611)),ISNUMBER(SEARCH("入",D2611)))),"Ambiguous",IF(ISNUMBER(SEARCH("平",D2611)),"平","仄")))</x:f>
        <x:v>仄</x:v>
      </x:c>
      <x:c r="J2622" s="7" t="str"/>
    </x:row>
    <x:row r="2623">
      <x:c r="A2623" s="5" t="str">
        <x:v>皇</x:v>
      </x:c>
      <x:c r="B2623" s="6" t="str">
        <x:v>平</x:v>
      </x:c>
      <x:c r="C2623" s="6" t="str">
        <x:f>IF(B2623="","Needs decision","Ready")</x:f>
        <x:v>Ready</x:v>
      </x:c>
      <x:c r="D2623" s="6" t="str">
        <x:v>平</x:v>
      </x:c>
      <x:c r="E2623" s="6" t="str">
        <x:v>hwang (A)</x:v>
      </x:c>
      <x:c r="F2623" s="6" t="str">
        <x:v>1</x:v>
      </x:c>
      <x:c r="G2623" s="6" t="str"/>
      <x:c r="H2623" s="6" t="str">
        <x:f>IF(B2623="平","平",IF(B2623="","","仄"))</x:f>
        <x:v>平</x:v>
      </x:c>
      <x:c r="I2623" s="6" t="str">
        <x:f>IF(D2612="","",IF(AND(ISNUMBER(SEARCH("平",D2612)),OR(ISNUMBER(SEARCH("上",D2612)),ISNUMBER(SEARCH("去",D2612)),ISNUMBER(SEARCH("入",D2612)))),"Ambiguous",IF(ISNUMBER(SEARCH("平",D2612)),"平","仄")))</x:f>
        <x:v>仄</x:v>
      </x:c>
      <x:c r="J2623" s="7" t="str"/>
    </x:row>
    <x:row r="2624">
      <x:c r="A2624" s="5" t="str">
        <x:v>皋</x:v>
      </x:c>
      <x:c r="B2624" s="6" t="str">
        <x:v>平</x:v>
      </x:c>
      <x:c r="C2624" s="6" t="str">
        <x:f>IF(B2624="","Needs decision","Ready")</x:f>
        <x:v>Ready</x:v>
      </x:c>
      <x:c r="D2624" s="6" t="str">
        <x:v>平</x:v>
      </x:c>
      <x:c r="E2624" s="6" t="str">
        <x:v>kaw (A)</x:v>
      </x:c>
      <x:c r="F2624" s="6" t="str">
        <x:v>1</x:v>
      </x:c>
      <x:c r="G2624" s="6" t="str"/>
      <x:c r="H2624" s="6" t="str">
        <x:f>IF(B2624="平","平",IF(B2624="","","仄"))</x:f>
        <x:v>平</x:v>
      </x:c>
      <x:c r="I2624" s="6" t="str">
        <x:f>IF(D2613="","",IF(AND(ISNUMBER(SEARCH("平",D2613)),OR(ISNUMBER(SEARCH("上",D2613)),ISNUMBER(SEARCH("去",D2613)),ISNUMBER(SEARCH("入",D2613)))),"Ambiguous",IF(ISNUMBER(SEARCH("平",D2613)),"平","仄")))</x:f>
        <x:v>平</x:v>
      </x:c>
      <x:c r="J2624" s="7" t="str"/>
    </x:row>
    <x:row r="2625">
      <x:c r="A2625" s="5" t="str">
        <x:v>皎</x:v>
      </x:c>
      <x:c r="B2625" s="6" t="str">
        <x:v>上</x:v>
      </x:c>
      <x:c r="C2625" s="6" t="str">
        <x:f>IF(B2625="","Needs decision","Ready")</x:f>
        <x:v>Ready</x:v>
      </x:c>
      <x:c r="D2625" s="6" t="str"/>
      <x:c r="E2625" s="6" t="str"/>
      <x:c r="F2625" s="6" t="str"/>
      <x:c r="G2625" s="6" t="str"/>
      <x:c r="H2625" s="6" t="str">
        <x:f>IF(B2625="平","平",IF(B2625="","","仄"))</x:f>
        <x:v>仄</x:v>
      </x:c>
      <x:c r="I2625" s="6" t="str">
        <x:f>IF(D2614="","",IF(AND(ISNUMBER(SEARCH("平",D2614)),OR(ISNUMBER(SEARCH("上",D2614)),ISNUMBER(SEARCH("去",D2614)),ISNUMBER(SEARCH("入",D2614)))),"Ambiguous",IF(ISNUMBER(SEARCH("平",D2614)),"平","仄")))</x:f>
        <x:v>仄</x:v>
      </x:c>
      <x:c r="J2625" s="7" t="str"/>
    </x:row>
    <x:row r="2626">
      <x:c r="A2626" s="5" t="str">
        <x:v>皤</x:v>
      </x:c>
      <x:c r="B2626" s="6" t="str">
        <x:v>平</x:v>
      </x:c>
      <x:c r="C2626" s="6" t="str">
        <x:f>IF(B2626="","Needs decision","Ready")</x:f>
        <x:v>Ready</x:v>
      </x:c>
      <x:c r="D2626" s="6" t="str">
        <x:v>平</x:v>
      </x:c>
      <x:c r="E2626" s="6" t="str">
        <x:v>ba (A)</x:v>
      </x:c>
      <x:c r="F2626" s="6" t="str">
        <x:v>1</x:v>
      </x:c>
      <x:c r="G2626" s="6" t="str"/>
      <x:c r="H2626" s="6" t="str">
        <x:f>IF(B2626="平","平",IF(B2626="","","仄"))</x:f>
        <x:v>平</x:v>
      </x:c>
      <x:c r="I2626" s="6" t="str">
        <x:f>IF(D2615="","",IF(AND(ISNUMBER(SEARCH("平",D2615)),OR(ISNUMBER(SEARCH("上",D2615)),ISNUMBER(SEARCH("去",D2615)),ISNUMBER(SEARCH("入",D2615)))),"Ambiguous",IF(ISNUMBER(SEARCH("平",D2615)),"平","仄")))</x:f>
        <x:v>平</x:v>
      </x:c>
      <x:c r="J2626" s="7" t="str"/>
    </x:row>
    <x:row r="2627">
      <x:c r="A2627" s="5" t="str">
        <x:v>皮</x:v>
      </x:c>
      <x:c r="B2627" s="6" t="str">
        <x:v>平</x:v>
      </x:c>
      <x:c r="C2627" s="6" t="str">
        <x:f>IF(B2627="","Needs decision","Ready")</x:f>
        <x:v>Ready</x:v>
      </x:c>
      <x:c r="D2627" s="6" t="str">
        <x:v>平</x:v>
      </x:c>
      <x:c r="E2627" s="6" t="str">
        <x:v>bje (A)</x:v>
      </x:c>
      <x:c r="F2627" s="6" t="str">
        <x:v>1</x:v>
      </x:c>
      <x:c r="G2627" s="6" t="str"/>
      <x:c r="H2627" s="6" t="str">
        <x:f>IF(B2627="平","平",IF(B2627="","","仄"))</x:f>
        <x:v>平</x:v>
      </x:c>
      <x:c r="I2627" s="6" t="str">
        <x:f>IF(D2616="","",IF(AND(ISNUMBER(SEARCH("平",D2616)),OR(ISNUMBER(SEARCH("上",D2616)),ISNUMBER(SEARCH("去",D2616)),ISNUMBER(SEARCH("入",D2616)))),"Ambiguous",IF(ISNUMBER(SEARCH("平",D2616)),"平","仄")))</x:f>
        <x:v>仄</x:v>
      </x:c>
      <x:c r="J2627" s="7" t="str"/>
    </x:row>
    <x:row r="2628">
      <x:c r="A2628" s="5" t="str">
        <x:v>皺</x:v>
      </x:c>
      <x:c r="B2628" s="6" t="str">
        <x:v>去</x:v>
      </x:c>
      <x:c r="C2628" s="6" t="str">
        <x:f>IF(B2628="","Needs decision","Ready")</x:f>
        <x:v>Ready</x:v>
      </x:c>
      <x:c r="D2628" s="6" t="str">
        <x:v>去</x:v>
      </x:c>
      <x:c r="E2628" s="6" t="str">
        <x:v>tsrjuwH (C)</x:v>
      </x:c>
      <x:c r="F2628" s="6" t="str">
        <x:v>1</x:v>
      </x:c>
      <x:c r="G2628" s="6" t="str"/>
      <x:c r="H2628" s="6" t="str">
        <x:f>IF(B2628="平","平",IF(B2628="","","仄"))</x:f>
        <x:v>仄</x:v>
      </x:c>
      <x:c r="I2628" s="6" t="str">
        <x:f>IF(D2617="","",IF(AND(ISNUMBER(SEARCH("平",D2617)),OR(ISNUMBER(SEARCH("上",D2617)),ISNUMBER(SEARCH("去",D2617)),ISNUMBER(SEARCH("入",D2617)))),"Ambiguous",IF(ISNUMBER(SEARCH("平",D2617)),"平","仄")))</x:f>
        <x:v>仄</x:v>
      </x:c>
      <x:c r="J2628" s="7" t="str"/>
    </x:row>
    <x:row r="2629">
      <x:c r="A2629" s="5" t="str">
        <x:v>皿</x:v>
      </x:c>
      <x:c r="B2629" s="6" t="str">
        <x:v>上</x:v>
      </x:c>
      <x:c r="C2629" s="6" t="str">
        <x:f>IF(B2629="","Needs decision","Ready")</x:f>
        <x:v>Ready</x:v>
      </x:c>
      <x:c r="D2629" s="6" t="str">
        <x:v>上</x:v>
      </x:c>
      <x:c r="E2629" s="6" t="str">
        <x:v>mjaengX (B)</x:v>
      </x:c>
      <x:c r="F2629" s="6" t="str">
        <x:v>1</x:v>
      </x:c>
      <x:c r="G2629" s="6" t="str"/>
      <x:c r="H2629" s="6" t="str">
        <x:f>IF(B2629="平","平",IF(B2629="","","仄"))</x:f>
        <x:v>仄</x:v>
      </x:c>
      <x:c r="I2629" s="6" t="str">
        <x:f>IF(D2618="","",IF(AND(ISNUMBER(SEARCH("平",D2618)),OR(ISNUMBER(SEARCH("上",D2618)),ISNUMBER(SEARCH("去",D2618)),ISNUMBER(SEARCH("入",D2618)))),"Ambiguous",IF(ISNUMBER(SEARCH("平",D2618)),"平","仄")))</x:f>
        <x:v>仄</x:v>
      </x:c>
      <x:c r="J2629" s="7" t="str"/>
    </x:row>
    <x:row r="2630">
      <x:c r="A2630" s="5" t="str">
        <x:v>盂</x:v>
      </x:c>
      <x:c r="B2630" s="6" t="str">
        <x:v>平</x:v>
      </x:c>
      <x:c r="C2630" s="6" t="str">
        <x:f>IF(B2630="","Needs decision","Ready")</x:f>
        <x:v>Ready</x:v>
      </x:c>
      <x:c r="D2630" s="6" t="str">
        <x:v>平</x:v>
      </x:c>
      <x:c r="E2630" s="6" t="str">
        <x:v>hju (A)</x:v>
      </x:c>
      <x:c r="F2630" s="6" t="str">
        <x:v>1</x:v>
      </x:c>
      <x:c r="G2630" s="6" t="str"/>
      <x:c r="H2630" s="6" t="str">
        <x:f>IF(B2630="平","平",IF(B2630="","","仄"))</x:f>
        <x:v>平</x:v>
      </x:c>
      <x:c r="I2630" s="6" t="str">
        <x:f>IF(D2619="","",IF(AND(ISNUMBER(SEARCH("平",D2619)),OR(ISNUMBER(SEARCH("上",D2619)),ISNUMBER(SEARCH("去",D2619)),ISNUMBER(SEARCH("入",D2619)))),"Ambiguous",IF(ISNUMBER(SEARCH("平",D2619)),"平","仄")))</x:f>
        <x:v>平</x:v>
      </x:c>
      <x:c r="J2630" s="7" t="str"/>
    </x:row>
    <x:row r="2631">
      <x:c r="A2631" s="5" t="str">
        <x:v>盃</x:v>
      </x:c>
      <x:c r="B2631" s="6" t="str">
        <x:v>平</x:v>
      </x:c>
      <x:c r="C2631" s="6" t="str">
        <x:f>IF(B2631="","Needs decision","Ready")</x:f>
        <x:v>Ready</x:v>
      </x:c>
      <x:c r="D2631" s="6" t="str">
        <x:v>平</x:v>
      </x:c>
      <x:c r="E2631" s="6" t="str">
        <x:v>pwoj [p̙wəj] (平)</x:v>
      </x:c>
      <x:c r="F2631" s="6" t="str">
        <x:v>1</x:v>
      </x:c>
      <x:c r="G2631" s="6" t="str">
        <x:v>Tang 300 gap; frequency 2; provisional from Xun Gong</x:v>
      </x:c>
      <x:c r="H2631" s="6" t="str">
        <x:f>IF(B2631="平","平",IF(B2631="","","仄"))</x:f>
        <x:v>平</x:v>
      </x:c>
      <x:c r="I2631" s="6" t="str">
        <x:f>IF(D2620="","",IF(AND(ISNUMBER(SEARCH("平",D2620)),OR(ISNUMBER(SEARCH("上",D2620)),ISNUMBER(SEARCH("去",D2620)),ISNUMBER(SEARCH("入",D2620)))),"Ambiguous",IF(ISNUMBER(SEARCH("平",D2620)),"平","仄")))</x:f>
        <x:v>仄</x:v>
      </x:c>
      <x:c r="J2631" s="7" t="str">
        <x:v>Xun Gong, Tang 300 gap fill</x:v>
      </x:c>
    </x:row>
    <x:row r="2632">
      <x:c r="A2632" s="5" t="str">
        <x:v>盆</x:v>
      </x:c>
      <x:c r="B2632" s="6" t="str">
        <x:v>平</x:v>
      </x:c>
      <x:c r="C2632" s="6" t="str">
        <x:f>IF(B2632="","Needs decision","Ready")</x:f>
        <x:v>Ready</x:v>
      </x:c>
      <x:c r="D2632" s="6" t="str">
        <x:v>平</x:v>
      </x:c>
      <x:c r="E2632" s="6" t="str">
        <x:v>bwon (A)</x:v>
      </x:c>
      <x:c r="F2632" s="6" t="str">
        <x:v>1</x:v>
      </x:c>
      <x:c r="G2632" s="6" t="str"/>
      <x:c r="H2632" s="6" t="str">
        <x:f>IF(B2632="平","平",IF(B2632="","","仄"))</x:f>
        <x:v>平</x:v>
      </x:c>
      <x:c r="I2632" s="6" t="str">
        <x:f>IF(D2621="","",IF(AND(ISNUMBER(SEARCH("平",D2621)),OR(ISNUMBER(SEARCH("上",D2621)),ISNUMBER(SEARCH("去",D2621)),ISNUMBER(SEARCH("入",D2621)))),"Ambiguous",IF(ISNUMBER(SEARCH("平",D2621)),"平","仄")))</x:f>
        <x:v>仄</x:v>
      </x:c>
      <x:c r="J2632" s="7" t="str"/>
    </x:row>
    <x:row r="2633">
      <x:c r="A2633" s="5" t="str">
        <x:v>盈</x:v>
      </x:c>
      <x:c r="B2633" s="6" t="str">
        <x:v>平</x:v>
      </x:c>
      <x:c r="C2633" s="6" t="str">
        <x:f>IF(B2633="","Needs decision","Ready")</x:f>
        <x:v>Ready</x:v>
      </x:c>
      <x:c r="D2633" s="6" t="str">
        <x:v>平</x:v>
      </x:c>
      <x:c r="E2633" s="6" t="str">
        <x:v>yeng (A)</x:v>
      </x:c>
      <x:c r="F2633" s="6" t="str">
        <x:v>1</x:v>
      </x:c>
      <x:c r="G2633" s="6" t="str"/>
      <x:c r="H2633" s="6" t="str">
        <x:f>IF(B2633="平","平",IF(B2633="","","仄"))</x:f>
        <x:v>平</x:v>
      </x:c>
      <x:c r="I2633" s="6" t="str">
        <x:f>IF(D2622="","",IF(AND(ISNUMBER(SEARCH("平",D2622)),OR(ISNUMBER(SEARCH("上",D2622)),ISNUMBER(SEARCH("去",D2622)),ISNUMBER(SEARCH("入",D2622)))),"Ambiguous",IF(ISNUMBER(SEARCH("平",D2622)),"平","仄")))</x:f>
        <x:v>平</x:v>
      </x:c>
      <x:c r="J2633" s="7" t="str"/>
    </x:row>
    <x:row r="2634">
      <x:c r="A2634" s="5" t="str">
        <x:v>益</x:v>
      </x:c>
      <x:c r="B2634" s="6" t="str">
        <x:v>入</x:v>
      </x:c>
      <x:c r="C2634" s="6" t="str">
        <x:f>IF(B2634="","Needs decision","Ready")</x:f>
        <x:v>Ready</x:v>
      </x:c>
      <x:c r="D2634" s="6" t="str">
        <x:v>入</x:v>
      </x:c>
      <x:c r="E2634" s="6" t="str">
        <x:v>'jiek (D)</x:v>
      </x:c>
      <x:c r="F2634" s="6" t="str">
        <x:v>1</x:v>
      </x:c>
      <x:c r="G2634" s="6" t="str"/>
      <x:c r="H2634" s="6" t="str">
        <x:f>IF(B2634="平","平",IF(B2634="","","仄"))</x:f>
        <x:v>仄</x:v>
      </x:c>
      <x:c r="I2634" s="6" t="str">
        <x:f>IF(D2623="","",IF(AND(ISNUMBER(SEARCH("平",D2623)),OR(ISNUMBER(SEARCH("上",D2623)),ISNUMBER(SEARCH("去",D2623)),ISNUMBER(SEARCH("入",D2623)))),"Ambiguous",IF(ISNUMBER(SEARCH("平",D2623)),"平","仄")))</x:f>
        <x:v>平</x:v>
      </x:c>
      <x:c r="J2634" s="7" t="str"/>
    </x:row>
    <x:row r="2635">
      <x:c r="A2635" s="5" t="str">
        <x:v>盍</x:v>
      </x:c>
      <x:c r="B2635" s="6" t="str">
        <x:v>入</x:v>
      </x:c>
      <x:c r="C2635" s="6" t="str">
        <x:f>IF(B2635="","Needs decision","Ready")</x:f>
        <x:v>Ready</x:v>
      </x:c>
      <x:c r="D2635" s="6" t="str">
        <x:v>入</x:v>
      </x:c>
      <x:c r="E2635" s="6" t="str">
        <x:v>hap (D)</x:v>
      </x:c>
      <x:c r="F2635" s="6" t="str">
        <x:v>1</x:v>
      </x:c>
      <x:c r="G2635" s="6" t="str"/>
      <x:c r="H2635" s="6" t="str">
        <x:f>IF(B2635="平","平",IF(B2635="","","仄"))</x:f>
        <x:v>仄</x:v>
      </x:c>
      <x:c r="I2635" s="6" t="str">
        <x:f>IF(D2624="","",IF(AND(ISNUMBER(SEARCH("平",D2624)),OR(ISNUMBER(SEARCH("上",D2624)),ISNUMBER(SEARCH("去",D2624)),ISNUMBER(SEARCH("入",D2624)))),"Ambiguous",IF(ISNUMBER(SEARCH("平",D2624)),"平","仄")))</x:f>
        <x:v>平</x:v>
      </x:c>
      <x:c r="J2635" s="7" t="str"/>
    </x:row>
    <x:row r="2636">
      <x:c r="A2636" s="5" t="str">
        <x:v>盛</x:v>
      </x:c>
      <x:c r="B2636" s="6" t="str">
        <x:v>去</x:v>
      </x:c>
      <x:c r="C2636" s="6" t="str">
        <x:f>IF(B2636="","Needs decision","Ready")</x:f>
        <x:v>Ready</x:v>
      </x:c>
      <x:c r="D2636" s="6" t="str">
        <x:v>平/去</x:v>
      </x:c>
      <x:c r="E2636" s="6" t="str">
        <x:v>dzyeng (A); dzyengH (C)</x:v>
      </x:c>
      <x:c r="F2636" s="6" t="str">
        <x:v>2</x:v>
      </x:c>
      <x:c r="G2636" s="6" t="str"/>
      <x:c r="H2636" s="6" t="str">
        <x:f>IF(B2636="平","平",IF(B2636="","","仄"))</x:f>
        <x:v>仄</x:v>
      </x:c>
      <x:c r="I2636" s="6" t="str">
        <x:f>IF(D2625="","",IF(AND(ISNUMBER(SEARCH("平",D2625)),OR(ISNUMBER(SEARCH("上",D2625)),ISNUMBER(SEARCH("去",D2625)),ISNUMBER(SEARCH("入",D2625)))),"Ambiguous",IF(ISNUMBER(SEARCH("平",D2625)),"平","仄")))</x:f>
      </x:c>
      <x:c r="J2636" s="7" t="str"/>
    </x:row>
    <x:row r="2637">
      <x:c r="A2637" s="5" t="str">
        <x:v>盜</x:v>
      </x:c>
      <x:c r="B2637" s="6" t="str">
        <x:v>去</x:v>
      </x:c>
      <x:c r="C2637" s="6" t="str">
        <x:f>IF(B2637="","Needs decision","Ready")</x:f>
        <x:v>Ready</x:v>
      </x:c>
      <x:c r="D2637" s="6" t="str">
        <x:v>去</x:v>
      </x:c>
      <x:c r="E2637" s="6" t="str">
        <x:v>dawH (C)</x:v>
      </x:c>
      <x:c r="F2637" s="6" t="str">
        <x:v>1</x:v>
      </x:c>
      <x:c r="G2637" s="6" t="str"/>
      <x:c r="H2637" s="6" t="str">
        <x:f>IF(B2637="平","平",IF(B2637="","","仄"))</x:f>
        <x:v>仄</x:v>
      </x:c>
      <x:c r="I2637" s="6" t="str">
        <x:f>IF(D2626="","",IF(AND(ISNUMBER(SEARCH("平",D2626)),OR(ISNUMBER(SEARCH("上",D2626)),ISNUMBER(SEARCH("去",D2626)),ISNUMBER(SEARCH("入",D2626)))),"Ambiguous",IF(ISNUMBER(SEARCH("平",D2626)),"平","仄")))</x:f>
        <x:v>平</x:v>
      </x:c>
      <x:c r="J2637" s="7" t="str"/>
    </x:row>
    <x:row r="2638">
      <x:c r="A2638" s="5" t="str">
        <x:v>盝</x:v>
      </x:c>
      <x:c r="B2638" s="6" t="str">
        <x:v>入</x:v>
      </x:c>
      <x:c r="C2638" s="6" t="str">
        <x:f>IF(B2638="","Needs decision","Ready")</x:f>
        <x:v>Ready</x:v>
      </x:c>
      <x:c r="D2638" s="6" t="str">
        <x:v>入</x:v>
      </x:c>
      <x:c r="E2638" s="6" t="str">
        <x:v>luwk (D)</x:v>
      </x:c>
      <x:c r="F2638" s="6" t="str">
        <x:v>1</x:v>
      </x:c>
      <x:c r="G2638" s="6" t="str"/>
      <x:c r="H2638" s="6" t="str">
        <x:f>IF(B2638="平","平",IF(B2638="","","仄"))</x:f>
        <x:v>仄</x:v>
      </x:c>
      <x:c r="I2638" s="6" t="str">
        <x:f>IF(D2627="","",IF(AND(ISNUMBER(SEARCH("平",D2627)),OR(ISNUMBER(SEARCH("上",D2627)),ISNUMBER(SEARCH("去",D2627)),ISNUMBER(SEARCH("入",D2627)))),"Ambiguous",IF(ISNUMBER(SEARCH("平",D2627)),"平","仄")))</x:f>
        <x:v>平</x:v>
      </x:c>
      <x:c r="J2638" s="7" t="str"/>
    </x:row>
    <x:row r="2639">
      <x:c r="A2639" s="5" t="str">
        <x:v>盞</x:v>
      </x:c>
      <x:c r="B2639" s="6" t="str">
        <x:v>上</x:v>
      </x:c>
      <x:c r="C2639" s="6" t="str">
        <x:f>IF(B2639="","Needs decision","Ready")</x:f>
        <x:v>Ready</x:v>
      </x:c>
      <x:c r="D2639" s="6" t="str">
        <x:v>上</x:v>
      </x:c>
      <x:c r="E2639" s="6" t="str">
        <x:v>tsreanX (B)</x:v>
      </x:c>
      <x:c r="F2639" s="6" t="str">
        <x:v>1</x:v>
      </x:c>
      <x:c r="G2639" s="6" t="str"/>
      <x:c r="H2639" s="6" t="str">
        <x:f>IF(B2639="平","平",IF(B2639="","","仄"))</x:f>
        <x:v>仄</x:v>
      </x:c>
      <x:c r="I2639" s="6" t="str">
        <x:f>IF(D2628="","",IF(AND(ISNUMBER(SEARCH("平",D2628)),OR(ISNUMBER(SEARCH("上",D2628)),ISNUMBER(SEARCH("去",D2628)),ISNUMBER(SEARCH("入",D2628)))),"Ambiguous",IF(ISNUMBER(SEARCH("平",D2628)),"平","仄")))</x:f>
        <x:v>仄</x:v>
      </x:c>
      <x:c r="J2639" s="7" t="str"/>
    </x:row>
    <x:row r="2640">
      <x:c r="A2640" s="5" t="str">
        <x:v>盟</x:v>
      </x:c>
      <x:c r="B2640" s="6" t="str">
        <x:v>平</x:v>
      </x:c>
      <x:c r="C2640" s="6" t="str">
        <x:f>IF(B2640="","Needs decision","Ready")</x:f>
        <x:v>Ready</x:v>
      </x:c>
      <x:c r="D2640" s="6" t="str">
        <x:v>平</x:v>
      </x:c>
      <x:c r="E2640" s="6" t="str">
        <x:v>mjaeng (A)</x:v>
      </x:c>
      <x:c r="F2640" s="6" t="str">
        <x:v>1</x:v>
      </x:c>
      <x:c r="G2640" s="6" t="str"/>
      <x:c r="H2640" s="6" t="str">
        <x:f>IF(B2640="平","平",IF(B2640="","","仄"))</x:f>
        <x:v>平</x:v>
      </x:c>
      <x:c r="I2640" s="6" t="str">
        <x:f>IF(D2629="","",IF(AND(ISNUMBER(SEARCH("平",D2629)),OR(ISNUMBER(SEARCH("上",D2629)),ISNUMBER(SEARCH("去",D2629)),ISNUMBER(SEARCH("入",D2629)))),"Ambiguous",IF(ISNUMBER(SEARCH("平",D2629)),"平","仄")))</x:f>
        <x:v>仄</x:v>
      </x:c>
      <x:c r="J2640" s="7" t="str"/>
    </x:row>
    <x:row r="2641">
      <x:c r="A2641" s="5" t="str">
        <x:v>盡</x:v>
      </x:c>
      <x:c r="B2641" s="6" t="str">
        <x:v>上</x:v>
      </x:c>
      <x:c r="C2641" s="6" t="str">
        <x:f>IF(B2641="","Needs decision","Ready")</x:f>
        <x:v>Ready</x:v>
      </x:c>
      <x:c r="D2641" s="6" t="str">
        <x:v>上</x:v>
      </x:c>
      <x:c r="E2641" s="6" t="str">
        <x:v>tsinX (B); dzinX (B)</x:v>
      </x:c>
      <x:c r="F2641" s="6" t="str">
        <x:v>2</x:v>
      </x:c>
      <x:c r="G2641" s="6" t="str"/>
      <x:c r="H2641" s="6" t="str">
        <x:f>IF(B2641="平","平",IF(B2641="","","仄"))</x:f>
        <x:v>仄</x:v>
      </x:c>
      <x:c r="I2641" s="6" t="str">
        <x:f>IF(D2630="","",IF(AND(ISNUMBER(SEARCH("平",D2630)),OR(ISNUMBER(SEARCH("上",D2630)),ISNUMBER(SEARCH("去",D2630)),ISNUMBER(SEARCH("入",D2630)))),"Ambiguous",IF(ISNUMBER(SEARCH("平",D2630)),"平","仄")))</x:f>
        <x:v>平</x:v>
      </x:c>
      <x:c r="J2641" s="7" t="str"/>
    </x:row>
    <x:row r="2642">
      <x:c r="A2642" s="5" t="str">
        <x:v>監</x:v>
      </x:c>
      <x:c r="B2642" s="6" t="str">
        <x:v>去</x:v>
      </x:c>
      <x:c r="C2642" s="6" t="str">
        <x:f>IF(B2642="","Needs decision","Ready")</x:f>
        <x:v>Ready</x:v>
      </x:c>
      <x:c r="D2642" s="6" t="str">
        <x:v>平/去</x:v>
      </x:c>
      <x:c r="E2642" s="6" t="str">
        <x:v>kaem (A); kaemH (C)</x:v>
      </x:c>
      <x:c r="F2642" s="6" t="str">
        <x:v>2</x:v>
      </x:c>
      <x:c r="G2642" s="6" t="str"/>
      <x:c r="H2642" s="6" t="str">
        <x:f>IF(B2642="平","平",IF(B2642="","","仄"))</x:f>
        <x:v>仄</x:v>
      </x:c>
      <x:c r="I2642" s="6" t="str">
        <x:f>IF(D2631="","",IF(AND(ISNUMBER(SEARCH("平",D2631)),OR(ISNUMBER(SEARCH("上",D2631)),ISNUMBER(SEARCH("去",D2631)),ISNUMBER(SEARCH("入",D2631)))),"Ambiguous",IF(ISNUMBER(SEARCH("平",D2631)),"平","仄")))</x:f>
        <x:v>平</x:v>
      </x:c>
      <x:c r="J2642" s="7" t="str"/>
    </x:row>
    <x:row r="2643">
      <x:c r="A2643" s="5" t="str">
        <x:v>盤</x:v>
      </x:c>
      <x:c r="B2643" s="6" t="str">
        <x:v>平</x:v>
      </x:c>
      <x:c r="C2643" s="6" t="str">
        <x:f>IF(B2643="","Needs decision","Ready")</x:f>
        <x:v>Ready</x:v>
      </x:c>
      <x:c r="D2643" s="6" t="str">
        <x:v>平</x:v>
      </x:c>
      <x:c r="E2643" s="6" t="str">
        <x:v>ban (A)</x:v>
      </x:c>
      <x:c r="F2643" s="6" t="str">
        <x:v>1</x:v>
      </x:c>
      <x:c r="G2643" s="6" t="str"/>
      <x:c r="H2643" s="6" t="str">
        <x:f>IF(B2643="平","平",IF(B2643="","","仄"))</x:f>
        <x:v>平</x:v>
      </x:c>
      <x:c r="I2643" s="6" t="str">
        <x:f>IF(D2632="","",IF(AND(ISNUMBER(SEARCH("平",D2632)),OR(ISNUMBER(SEARCH("上",D2632)),ISNUMBER(SEARCH("去",D2632)),ISNUMBER(SEARCH("入",D2632)))),"Ambiguous",IF(ISNUMBER(SEARCH("平",D2632)),"平","仄")))</x:f>
        <x:v>平</x:v>
      </x:c>
      <x:c r="J2643" s="7" t="str"/>
    </x:row>
    <x:row r="2644">
      <x:c r="A2644" s="5" t="str">
        <x:v>盧</x:v>
      </x:c>
      <x:c r="B2644" s="6" t="str">
        <x:v>平</x:v>
      </x:c>
      <x:c r="C2644" s="6" t="str">
        <x:f>IF(B2644="","Needs decision","Ready")</x:f>
        <x:v>Ready</x:v>
      </x:c>
      <x:c r="D2644" s="6" t="str">
        <x:v>平</x:v>
      </x:c>
      <x:c r="E2644" s="6" t="str">
        <x:v>lu [l̙o] (平)</x:v>
      </x:c>
      <x:c r="F2644" s="6" t="str">
        <x:v>1</x:v>
      </x:c>
      <x:c r="G2644" s="6" t="str">
        <x:v>Tang 300 gap; frequency 2; provisional from Xun Gong</x:v>
      </x:c>
      <x:c r="H2644" s="6" t="str">
        <x:f>IF(B2644="平","平",IF(B2644="","","仄"))</x:f>
        <x:v>平</x:v>
      </x:c>
      <x:c r="I2644" s="6" t="str">
        <x:f>IF(D2633="","",IF(AND(ISNUMBER(SEARCH("平",D2633)),OR(ISNUMBER(SEARCH("上",D2633)),ISNUMBER(SEARCH("去",D2633)),ISNUMBER(SEARCH("入",D2633)))),"Ambiguous",IF(ISNUMBER(SEARCH("平",D2633)),"平","仄")))</x:f>
        <x:v>平</x:v>
      </x:c>
      <x:c r="J2644" s="7" t="str">
        <x:v>Xun Gong, Tang 300 gap fill</x:v>
      </x:c>
    </x:row>
    <x:row r="2645">
      <x:c r="A2645" s="5" t="str">
        <x:v>盪</x:v>
      </x:c>
      <x:c r="B2645" s="6" t="str">
        <x:v>上</x:v>
      </x:c>
      <x:c r="C2645" s="6" t="str">
        <x:f>IF(B2645="","Needs decision","Ready")</x:f>
        <x:v>Ready</x:v>
      </x:c>
      <x:c r="D2645" s="6" t="str">
        <x:v>平/上/去</x:v>
      </x:c>
      <x:c r="E2645" s="6" t="str">
        <x:v>dangX [d̙ɑŋʔ] (上); thang [t̙ʰɑŋ] (平); thangH [t̙ʰɑŋh] (去)</x:v>
      </x:c>
      <x:c r="F2645" s="6" t="str">
        <x:v>3</x:v>
      </x:c>
      <x:c r="G2645" s="6" t="str">
        <x:v>Tang 300 gap; frequency 1; ambiguous in Xun Gong</x:v>
      </x:c>
      <x:c r="H2645" s="6" t="str">
        <x:f>IF(B2645="平","平",IF(B2645="","","仄"))</x:f>
        <x:v>仄</x:v>
      </x:c>
      <x:c r="I2645" s="6" t="str">
        <x:f>IF(D2634="","",IF(AND(ISNUMBER(SEARCH("平",D2634)),OR(ISNUMBER(SEARCH("上",D2634)),ISNUMBER(SEARCH("去",D2634)),ISNUMBER(SEARCH("入",D2634)))),"Ambiguous",IF(ISNUMBER(SEARCH("平",D2634)),"平","仄")))</x:f>
        <x:v>仄</x:v>
      </x:c>
      <x:c r="J2645" s="7" t="str">
        <x:v>Xun Gong, Tang 300 gap fill</x:v>
      </x:c>
    </x:row>
    <x:row r="2646">
      <x:c r="A2646" s="5" t="str">
        <x:v>目</x:v>
      </x:c>
      <x:c r="B2646" s="6" t="str">
        <x:v>入</x:v>
      </x:c>
      <x:c r="C2646" s="6" t="str">
        <x:f>IF(B2646="","Needs decision","Ready")</x:f>
        <x:v>Ready</x:v>
      </x:c>
      <x:c r="D2646" s="6" t="str">
        <x:v>入</x:v>
      </x:c>
      <x:c r="E2646" s="6" t="str">
        <x:v>mjuwk (D)</x:v>
      </x:c>
      <x:c r="F2646" s="6" t="str">
        <x:v>1</x:v>
      </x:c>
      <x:c r="G2646" s="6" t="str"/>
      <x:c r="H2646" s="6" t="str">
        <x:f>IF(B2646="平","平",IF(B2646="","","仄"))</x:f>
        <x:v>仄</x:v>
      </x:c>
      <x:c r="I2646" s="6" t="str">
        <x:f>IF(D2635="","",IF(AND(ISNUMBER(SEARCH("平",D2635)),OR(ISNUMBER(SEARCH("上",D2635)),ISNUMBER(SEARCH("去",D2635)),ISNUMBER(SEARCH("入",D2635)))),"Ambiguous",IF(ISNUMBER(SEARCH("平",D2635)),"平","仄")))</x:f>
        <x:v>仄</x:v>
      </x:c>
      <x:c r="J2646" s="7" t="str"/>
    </x:row>
    <x:row r="2647">
      <x:c r="A2647" s="5" t="str">
        <x:v>盱</x:v>
      </x:c>
      <x:c r="B2647" s="6" t="str">
        <x:v>平</x:v>
      </x:c>
      <x:c r="C2647" s="6" t="str">
        <x:f>IF(B2647="","Needs decision","Ready")</x:f>
        <x:v>Ready</x:v>
      </x:c>
      <x:c r="D2647" s="6" t="str">
        <x:v>平</x:v>
      </x:c>
      <x:c r="E2647" s="6" t="str">
        <x:v>xju [xɨ̯o] (平)</x:v>
      </x:c>
      <x:c r="F2647" s="6" t="str">
        <x:v>1</x:v>
      </x:c>
      <x:c r="G2647" s="6" t="str">
        <x:v>Tang 300 gap; frequency 1; provisional from Xun Gong</x:v>
      </x:c>
      <x:c r="H2647" s="6" t="str">
        <x:f>IF(B2647="平","平",IF(B2647="","","仄"))</x:f>
        <x:v>平</x:v>
      </x:c>
      <x:c r="I2647" s="6" t="str">
        <x:f>IF(D2636="","",IF(AND(ISNUMBER(SEARCH("平",D2636)),OR(ISNUMBER(SEARCH("上",D2636)),ISNUMBER(SEARCH("去",D2636)),ISNUMBER(SEARCH("入",D2636)))),"Ambiguous",IF(ISNUMBER(SEARCH("平",D2636)),"平","仄")))</x:f>
        <x:v>Ambiguous</x:v>
      </x:c>
      <x:c r="J2647" s="7" t="str">
        <x:v>Xun Gong, Tang 300 gap fill</x:v>
      </x:c>
    </x:row>
    <x:row r="2648">
      <x:c r="A2648" s="5" t="str">
        <x:v>盲</x:v>
      </x:c>
      <x:c r="B2648" s="6" t="str">
        <x:v>平</x:v>
      </x:c>
      <x:c r="C2648" s="6" t="str">
        <x:f>IF(B2648="","Needs decision","Ready")</x:f>
        <x:v>Ready</x:v>
      </x:c>
      <x:c r="D2648" s="6" t="str">
        <x:v>平</x:v>
      </x:c>
      <x:c r="E2648" s="6" t="str">
        <x:v>maeng (A)</x:v>
      </x:c>
      <x:c r="F2648" s="6" t="str">
        <x:v>1</x:v>
      </x:c>
      <x:c r="G2648" s="6" t="str"/>
      <x:c r="H2648" s="6" t="str">
        <x:f>IF(B2648="平","平",IF(B2648="","","仄"))</x:f>
        <x:v>平</x:v>
      </x:c>
      <x:c r="I2648" s="6" t="str">
        <x:f>IF(D2637="","",IF(AND(ISNUMBER(SEARCH("平",D2637)),OR(ISNUMBER(SEARCH("上",D2637)),ISNUMBER(SEARCH("去",D2637)),ISNUMBER(SEARCH("入",D2637)))),"Ambiguous",IF(ISNUMBER(SEARCH("平",D2637)),"平","仄")))</x:f>
        <x:v>仄</x:v>
      </x:c>
      <x:c r="J2648" s="7" t="str"/>
    </x:row>
    <x:row r="2649">
      <x:c r="A2649" s="5" t="str">
        <x:v>直</x:v>
      </x:c>
      <x:c r="B2649" s="6" t="str">
        <x:v>入</x:v>
      </x:c>
      <x:c r="C2649" s="6" t="str">
        <x:f>IF(B2649="","Needs decision","Ready")</x:f>
        <x:v>Ready</x:v>
      </x:c>
      <x:c r="D2649" s="6" t="str">
        <x:v>入</x:v>
      </x:c>
      <x:c r="E2649" s="6" t="str">
        <x:v>drik (D)</x:v>
      </x:c>
      <x:c r="F2649" s="6" t="str">
        <x:v>1</x:v>
      </x:c>
      <x:c r="G2649" s="6" t="str"/>
      <x:c r="H2649" s="6" t="str">
        <x:f>IF(B2649="平","平",IF(B2649="","","仄"))</x:f>
        <x:v>仄</x:v>
      </x:c>
      <x:c r="I2649" s="6" t="str">
        <x:f>IF(D2638="","",IF(AND(ISNUMBER(SEARCH("平",D2638)),OR(ISNUMBER(SEARCH("上",D2638)),ISNUMBER(SEARCH("去",D2638)),ISNUMBER(SEARCH("入",D2638)))),"Ambiguous",IF(ISNUMBER(SEARCH("平",D2638)),"平","仄")))</x:f>
        <x:v>仄</x:v>
      </x:c>
      <x:c r="J2649" s="7" t="str"/>
    </x:row>
    <x:row r="2650">
      <x:c r="A2650" s="5" t="str">
        <x:v>相</x:v>
      </x:c>
      <x:c r="B2650" s="6" t="str"/>
      <x:c r="C2650" s="6" t="str">
        <x:f>IF(B2650="","Needs decision","Ready")</x:f>
        <x:v>Needs decision</x:v>
      </x:c>
      <x:c r="D2650" s="6" t="str">
        <x:v>平/去</x:v>
      </x:c>
      <x:c r="E2650" s="6" t="str">
        <x:v>sjang (A); sjangH (C)</x:v>
      </x:c>
      <x:c r="F2650" s="6" t="str">
        <x:v>2</x:v>
      </x:c>
      <x:c r="G2650" s="6" t="str"/>
      <x:c r="H2650" s="6" t="str">
        <x:f>IF(B2650="平","平",IF(B2650="","","仄"))</x:f>
      </x:c>
      <x:c r="I2650" s="6" t="str">
        <x:f>IF(D2639="","",IF(AND(ISNUMBER(SEARCH("平",D2639)),OR(ISNUMBER(SEARCH("上",D2639)),ISNUMBER(SEARCH("去",D2639)),ISNUMBER(SEARCH("入",D2639)))),"Ambiguous",IF(ISNUMBER(SEARCH("平",D2639)),"平","仄")))</x:f>
        <x:v>仄</x:v>
      </x:c>
      <x:c r="J2650" s="7" t="str"/>
    </x:row>
    <x:row r="2651">
      <x:c r="A2651" s="5" t="str">
        <x:v>盾</x:v>
      </x:c>
      <x:c r="B2651" s="6" t="str">
        <x:v>上</x:v>
      </x:c>
      <x:c r="C2651" s="6" t="str">
        <x:f>IF(B2651="","Needs decision","Ready")</x:f>
        <x:v>Ready</x:v>
      </x:c>
      <x:c r="D2651" s="6" t="str">
        <x:v>上</x:v>
      </x:c>
      <x:c r="E2651" s="6" t="str">
        <x:v>dwonX (B)</x:v>
      </x:c>
      <x:c r="F2651" s="6" t="str">
        <x:v>1</x:v>
      </x:c>
      <x:c r="G2651" s="6" t="str"/>
      <x:c r="H2651" s="6" t="str">
        <x:f>IF(B2651="平","平",IF(B2651="","","仄"))</x:f>
        <x:v>仄</x:v>
      </x:c>
      <x:c r="I2651" s="6" t="str">
        <x:f>IF(D2640="","",IF(AND(ISNUMBER(SEARCH("平",D2640)),OR(ISNUMBER(SEARCH("上",D2640)),ISNUMBER(SEARCH("去",D2640)),ISNUMBER(SEARCH("入",D2640)))),"Ambiguous",IF(ISNUMBER(SEARCH("平",D2640)),"平","仄")))</x:f>
        <x:v>平</x:v>
      </x:c>
      <x:c r="J2651" s="7" t="str"/>
    </x:row>
    <x:row r="2652">
      <x:c r="A2652" s="5" t="str">
        <x:v>省</x:v>
      </x:c>
      <x:c r="B2652" s="6" t="str">
        <x:v>上</x:v>
      </x:c>
      <x:c r="C2652" s="6" t="str">
        <x:f>IF(B2652="","Needs decision","Ready")</x:f>
        <x:v>Ready</x:v>
      </x:c>
      <x:c r="D2652" s="6" t="str">
        <x:v>上</x:v>
      </x:c>
      <x:c r="E2652" s="6" t="str">
        <x:v>sjengX (B)</x:v>
      </x:c>
      <x:c r="F2652" s="6" t="str">
        <x:v>1</x:v>
      </x:c>
      <x:c r="G2652" s="6" t="str"/>
      <x:c r="H2652" s="6" t="str">
        <x:f>IF(B2652="平","平",IF(B2652="","","仄"))</x:f>
        <x:v>仄</x:v>
      </x:c>
      <x:c r="I2652" s="6" t="str">
        <x:f>IF(D2641="","",IF(AND(ISNUMBER(SEARCH("平",D2641)),OR(ISNUMBER(SEARCH("上",D2641)),ISNUMBER(SEARCH("去",D2641)),ISNUMBER(SEARCH("入",D2641)))),"Ambiguous",IF(ISNUMBER(SEARCH("平",D2641)),"平","仄")))</x:f>
        <x:v>仄</x:v>
      </x:c>
      <x:c r="J2652" s="7" t="str"/>
    </x:row>
    <x:row r="2653">
      <x:c r="A2653" s="5" t="str">
        <x:v>眄</x:v>
      </x:c>
      <x:c r="B2653" s="6" t="str">
        <x:v>上</x:v>
      </x:c>
      <x:c r="C2653" s="6" t="str">
        <x:f>IF(B2653="","Needs decision","Ready")</x:f>
        <x:v>Ready</x:v>
      </x:c>
      <x:c r="D2653" s="6" t="str">
        <x:v>上</x:v>
      </x:c>
      <x:c r="E2653" s="6" t="str">
        <x:v>menX (B)</x:v>
      </x:c>
      <x:c r="F2653" s="6" t="str">
        <x:v>1</x:v>
      </x:c>
      <x:c r="G2653" s="6" t="str"/>
      <x:c r="H2653" s="6" t="str">
        <x:f>IF(B2653="平","平",IF(B2653="","","仄"))</x:f>
        <x:v>仄</x:v>
      </x:c>
      <x:c r="I2653" s="6" t="str">
        <x:f>IF(D2642="","",IF(AND(ISNUMBER(SEARCH("平",D2642)),OR(ISNUMBER(SEARCH("上",D2642)),ISNUMBER(SEARCH("去",D2642)),ISNUMBER(SEARCH("入",D2642)))),"Ambiguous",IF(ISNUMBER(SEARCH("平",D2642)),"平","仄")))</x:f>
        <x:v>Ambiguous</x:v>
      </x:c>
      <x:c r="J2653" s="7" t="str"/>
    </x:row>
    <x:row r="2654">
      <x:c r="A2654" s="5" t="str">
        <x:v>眇</x:v>
      </x:c>
      <x:c r="B2654" s="6" t="str">
        <x:v>上</x:v>
      </x:c>
      <x:c r="C2654" s="6" t="str">
        <x:f>IF(B2654="","Needs decision","Ready")</x:f>
        <x:v>Ready</x:v>
      </x:c>
      <x:c r="D2654" s="6" t="str">
        <x:v>上</x:v>
      </x:c>
      <x:c r="E2654" s="6" t="str">
        <x:v>mjiewX (B)</x:v>
      </x:c>
      <x:c r="F2654" s="6" t="str">
        <x:v>1</x:v>
      </x:c>
      <x:c r="G2654" s="6" t="str"/>
      <x:c r="H2654" s="6" t="str">
        <x:f>IF(B2654="平","平",IF(B2654="","","仄"))</x:f>
        <x:v>仄</x:v>
      </x:c>
      <x:c r="I2654" s="6" t="str">
        <x:f>IF(D2643="","",IF(AND(ISNUMBER(SEARCH("平",D2643)),OR(ISNUMBER(SEARCH("上",D2643)),ISNUMBER(SEARCH("去",D2643)),ISNUMBER(SEARCH("入",D2643)))),"Ambiguous",IF(ISNUMBER(SEARCH("平",D2643)),"平","仄")))</x:f>
        <x:v>平</x:v>
      </x:c>
      <x:c r="J2654" s="7" t="str"/>
    </x:row>
    <x:row r="2655">
      <x:c r="A2655" s="5" t="str">
        <x:v>眉</x:v>
      </x:c>
      <x:c r="B2655" s="6" t="str">
        <x:v>平</x:v>
      </x:c>
      <x:c r="C2655" s="6" t="str">
        <x:f>IF(B2655="","Needs decision","Ready")</x:f>
        <x:v>Ready</x:v>
      </x:c>
      <x:c r="D2655" s="6" t="str">
        <x:v>平</x:v>
      </x:c>
      <x:c r="E2655" s="6" t="str">
        <x:v>mij (A)</x:v>
      </x:c>
      <x:c r="F2655" s="6" t="str">
        <x:v>1</x:v>
      </x:c>
      <x:c r="G2655" s="6" t="str"/>
      <x:c r="H2655" s="6" t="str">
        <x:f>IF(B2655="平","平",IF(B2655="","","仄"))</x:f>
        <x:v>平</x:v>
      </x:c>
      <x:c r="I2655" s="6" t="str">
        <x:f>IF(D2644="","",IF(AND(ISNUMBER(SEARCH("平",D2644)),OR(ISNUMBER(SEARCH("上",D2644)),ISNUMBER(SEARCH("去",D2644)),ISNUMBER(SEARCH("入",D2644)))),"Ambiguous",IF(ISNUMBER(SEARCH("平",D2644)),"平","仄")))</x:f>
        <x:v>平</x:v>
      </x:c>
      <x:c r="J2655" s="7" t="str"/>
    </x:row>
    <x:row r="2656">
      <x:c r="A2656" s="5" t="str">
        <x:v>看</x:v>
      </x:c>
      <x:c r="B2656" s="6" t="str"/>
      <x:c r="C2656" s="6" t="str">
        <x:f>IF(B2656="","Needs decision","Ready")</x:f>
        <x:v>Needs decision</x:v>
      </x:c>
      <x:c r="D2656" s="6" t="str">
        <x:v>平/去</x:v>
      </x:c>
      <x:c r="E2656" s="6" t="str">
        <x:v>khan (A); khanH (C)</x:v>
      </x:c>
      <x:c r="F2656" s="6" t="str">
        <x:v>2</x:v>
      </x:c>
      <x:c r="G2656" s="6" t="str"/>
      <x:c r="H2656" s="6" t="str">
        <x:f>IF(B2656="平","平",IF(B2656="","","仄"))</x:f>
      </x:c>
      <x:c r="I2656" s="6" t="str">
        <x:f>IF(D2645="","",IF(AND(ISNUMBER(SEARCH("平",D2645)),OR(ISNUMBER(SEARCH("上",D2645)),ISNUMBER(SEARCH("去",D2645)),ISNUMBER(SEARCH("入",D2645)))),"Ambiguous",IF(ISNUMBER(SEARCH("平",D2645)),"平","仄")))</x:f>
        <x:v>Ambiguous</x:v>
      </x:c>
      <x:c r="J2656" s="7" t="str"/>
    </x:row>
    <x:row r="2657">
      <x:c r="A2657" s="5" t="str">
        <x:v>眔</x:v>
      </x:c>
      <x:c r="B2657" s="6" t="str">
        <x:v>入</x:v>
      </x:c>
      <x:c r="C2657" s="6" t="str">
        <x:f>IF(B2657="","Needs decision","Ready")</x:f>
        <x:v>Ready</x:v>
      </x:c>
      <x:c r="D2657" s="6" t="str">
        <x:v>入</x:v>
      </x:c>
      <x:c r="E2657" s="6" t="str">
        <x:v>dop (D)</x:v>
      </x:c>
      <x:c r="F2657" s="6" t="str">
        <x:v>1</x:v>
      </x:c>
      <x:c r="G2657" s="6" t="str"/>
      <x:c r="H2657" s="6" t="str">
        <x:f>IF(B2657="平","平",IF(B2657="","","仄"))</x:f>
        <x:v>仄</x:v>
      </x:c>
      <x:c r="I2657" s="6" t="str">
        <x:f>IF(D2646="","",IF(AND(ISNUMBER(SEARCH("平",D2646)),OR(ISNUMBER(SEARCH("上",D2646)),ISNUMBER(SEARCH("去",D2646)),ISNUMBER(SEARCH("入",D2646)))),"Ambiguous",IF(ISNUMBER(SEARCH("平",D2646)),"平","仄")))</x:f>
        <x:v>仄</x:v>
      </x:c>
      <x:c r="J2657" s="7" t="str"/>
    </x:row>
    <x:row r="2658">
      <x:c r="A2658" s="5" t="str">
        <x:v>真</x:v>
      </x:c>
      <x:c r="B2658" s="6" t="str">
        <x:v>平</x:v>
      </x:c>
      <x:c r="C2658" s="6" t="str">
        <x:f>IF(B2658="","Needs decision","Ready")</x:f>
        <x:v>Ready</x:v>
      </x:c>
      <x:c r="D2658" s="6" t="str">
        <x:v>平</x:v>
      </x:c>
      <x:c r="E2658" s="6" t="str">
        <x:v>tsyin (A)</x:v>
      </x:c>
      <x:c r="F2658" s="6" t="str">
        <x:v>1</x:v>
      </x:c>
      <x:c r="G2658" s="6" t="str"/>
      <x:c r="H2658" s="6" t="str">
        <x:f>IF(B2658="平","平",IF(B2658="","","仄"))</x:f>
        <x:v>平</x:v>
      </x:c>
      <x:c r="I2658" s="6" t="str">
        <x:f>IF(D2647="","",IF(AND(ISNUMBER(SEARCH("平",D2647)),OR(ISNUMBER(SEARCH("上",D2647)),ISNUMBER(SEARCH("去",D2647)),ISNUMBER(SEARCH("入",D2647)))),"Ambiguous",IF(ISNUMBER(SEARCH("平",D2647)),"平","仄")))</x:f>
        <x:v>平</x:v>
      </x:c>
      <x:c r="J2658" s="7" t="str"/>
    </x:row>
    <x:row r="2659">
      <x:c r="A2659" s="5" t="str">
        <x:v>眠</x:v>
      </x:c>
      <x:c r="B2659" s="6" t="str">
        <x:v>平</x:v>
      </x:c>
      <x:c r="C2659" s="6" t="str">
        <x:f>IF(B2659="","Needs decision","Ready")</x:f>
        <x:v>Ready</x:v>
      </x:c>
      <x:c r="D2659" s="6" t="str">
        <x:v>平</x:v>
      </x:c>
      <x:c r="E2659" s="6" t="str">
        <x:v>men (A)</x:v>
      </x:c>
      <x:c r="F2659" s="6" t="str">
        <x:v>1</x:v>
      </x:c>
      <x:c r="G2659" s="6" t="str"/>
      <x:c r="H2659" s="6" t="str">
        <x:f>IF(B2659="平","平",IF(B2659="","","仄"))</x:f>
        <x:v>平</x:v>
      </x:c>
      <x:c r="I2659" s="6" t="str">
        <x:f>IF(D2648="","",IF(AND(ISNUMBER(SEARCH("平",D2648)),OR(ISNUMBER(SEARCH("上",D2648)),ISNUMBER(SEARCH("去",D2648)),ISNUMBER(SEARCH("入",D2648)))),"Ambiguous",IF(ISNUMBER(SEARCH("平",D2648)),"平","仄")))</x:f>
        <x:v>平</x:v>
      </x:c>
      <x:c r="J2659" s="7" t="str"/>
    </x:row>
    <x:row r="2660">
      <x:c r="A2660" s="5" t="str">
        <x:v>眥</x:v>
      </x:c>
      <x:c r="B2660" s="6" t="str">
        <x:v>去</x:v>
      </x:c>
      <x:c r="C2660" s="6" t="str">
        <x:f>IF(B2660="","Needs decision","Ready")</x:f>
        <x:v>Ready</x:v>
      </x:c>
      <x:c r="D2660" s="6" t="str">
        <x:v>去</x:v>
      </x:c>
      <x:c r="E2660" s="6" t="str">
        <x:v>dzejH [d̙z̙ejh] (去); dzjeH [dzieh] (去)</x:v>
      </x:c>
      <x:c r="F2660" s="6" t="str">
        <x:v>2</x:v>
      </x:c>
      <x:c r="G2660" s="6" t="str">
        <x:v>Tang 300 gap; frequency 1; provisional from Xun Gong</x:v>
      </x:c>
      <x:c r="H2660" s="6" t="str">
        <x:f>IF(B2660="平","平",IF(B2660="","","仄"))</x:f>
        <x:v>仄</x:v>
      </x:c>
      <x:c r="I2660" s="6" t="str">
        <x:f>IF(D2649="","",IF(AND(ISNUMBER(SEARCH("平",D2649)),OR(ISNUMBER(SEARCH("上",D2649)),ISNUMBER(SEARCH("去",D2649)),ISNUMBER(SEARCH("入",D2649)))),"Ambiguous",IF(ISNUMBER(SEARCH("平",D2649)),"平","仄")))</x:f>
        <x:v>仄</x:v>
      </x:c>
      <x:c r="J2660" s="7" t="str">
        <x:v>Xun Gong, Tang 300 gap fill</x:v>
      </x:c>
    </x:row>
    <x:row r="2661">
      <x:c r="A2661" s="5" t="str">
        <x:v>眨</x:v>
      </x:c>
      <x:c r="B2661" s="6" t="str">
        <x:v>入</x:v>
      </x:c>
      <x:c r="C2661" s="6" t="str">
        <x:f>IF(B2661="","Needs decision","Ready")</x:f>
        <x:v>Ready</x:v>
      </x:c>
      <x:c r="D2661" s="6" t="str">
        <x:v>入</x:v>
      </x:c>
      <x:c r="E2661" s="6" t="str">
        <x:v>tsreap (D)</x:v>
      </x:c>
      <x:c r="F2661" s="6" t="str">
        <x:v>1</x:v>
      </x:c>
      <x:c r="G2661" s="6" t="str"/>
      <x:c r="H2661" s="6" t="str">
        <x:f>IF(B2661="平","平",IF(B2661="","","仄"))</x:f>
        <x:v>仄</x:v>
      </x:c>
      <x:c r="I2661" s="6" t="str">
        <x:f>IF(D2650="","",IF(AND(ISNUMBER(SEARCH("平",D2650)),OR(ISNUMBER(SEARCH("上",D2650)),ISNUMBER(SEARCH("去",D2650)),ISNUMBER(SEARCH("入",D2650)))),"Ambiguous",IF(ISNUMBER(SEARCH("平",D2650)),"平","仄")))</x:f>
        <x:v>Ambiguous</x:v>
      </x:c>
      <x:c r="J2661" s="7" t="str"/>
    </x:row>
    <x:row r="2662">
      <x:c r="A2662" s="5" t="str">
        <x:v>眩</x:v>
      </x:c>
      <x:c r="B2662" s="6" t="str"/>
      <x:c r="C2662" s="6" t="str">
        <x:f>IF(B2662="","Needs decision","Ready")</x:f>
        <x:v>Needs decision</x:v>
      </x:c>
      <x:c r="D2662" s="6" t="str">
        <x:v>去/平</x:v>
      </x:c>
      <x:c r="E2662" s="6" t="str">
        <x:v>hwenH [匣合四先去] ʁwenh; hwen [匣合四先平] ʁwen</x:v>
      </x:c>
      <x:c r="F2662" s="6" t="str">
        <x:v>2</x:v>
      </x:c>
      <x:c r="G2662" s="6" t="str">
        <x:v>Targeted preliminary fill from Xun Gong; review if uncertain</x:v>
      </x:c>
      <x:c r="H2662" s="6" t="str">
        <x:f>IF(B2662="平","平",IF(B2662="","","仄"))</x:f>
      </x:c>
      <x:c r="I2662" s="6" t="str">
        <x:f>IF(D2651="","",IF(AND(ISNUMBER(SEARCH("平",D2651)),OR(ISNUMBER(SEARCH("上",D2651)),ISNUMBER(SEARCH("去",D2651)),ISNUMBER(SEARCH("入",D2651)))),"Ambiguous",IF(ISNUMBER(SEARCH("平",D2651)),"平","仄")))</x:f>
        <x:v>仄</x:v>
      </x:c>
      <x:c r="J2662" s="7" t="str">
        <x:v>Xun Gong character-readings.csv</x:v>
      </x:c>
    </x:row>
    <x:row r="2663">
      <x:c r="A2663" s="5" t="str">
        <x:v>眲</x:v>
      </x:c>
      <x:c r="B2663" s="6" t="str">
        <x:v>入</x:v>
      </x:c>
      <x:c r="C2663" s="6" t="str">
        <x:f>IF(B2663="","Needs decision","Ready")</x:f>
        <x:v>Ready</x:v>
      </x:c>
      <x:c r="D2663" s="6" t="str">
        <x:v>入</x:v>
      </x:c>
      <x:c r="E2663" s="6" t="str">
        <x:v>nreak (D)</x:v>
      </x:c>
      <x:c r="F2663" s="6" t="str">
        <x:v>1</x:v>
      </x:c>
      <x:c r="G2663" s="6" t="str"/>
      <x:c r="H2663" s="6" t="str">
        <x:f>IF(B2663="平","平",IF(B2663="","","仄"))</x:f>
        <x:v>仄</x:v>
      </x:c>
      <x:c r="I2663" s="6" t="str">
        <x:f>IF(D2652="","",IF(AND(ISNUMBER(SEARCH("平",D2652)),OR(ISNUMBER(SEARCH("上",D2652)),ISNUMBER(SEARCH("去",D2652)),ISNUMBER(SEARCH("入",D2652)))),"Ambiguous",IF(ISNUMBER(SEARCH("平",D2652)),"平","仄")))</x:f>
        <x:v>仄</x:v>
      </x:c>
      <x:c r="J2663" s="7" t="str"/>
    </x:row>
    <x:row r="2664">
      <x:c r="A2664" s="5" t="str">
        <x:v>眷</x:v>
      </x:c>
      <x:c r="B2664" s="6" t="str">
        <x:v>去</x:v>
      </x:c>
      <x:c r="C2664" s="6" t="str">
        <x:f>IF(B2664="","Needs decision","Ready")</x:f>
        <x:v>Ready</x:v>
      </x:c>
      <x:c r="D2664" s="6" t="str">
        <x:v>去</x:v>
      </x:c>
      <x:c r="E2664" s="6" t="str">
        <x:v>kjwenH (C)</x:v>
      </x:c>
      <x:c r="F2664" s="6" t="str">
        <x:v>1</x:v>
      </x:c>
      <x:c r="G2664" s="6" t="str"/>
      <x:c r="H2664" s="6" t="str">
        <x:f>IF(B2664="平","平",IF(B2664="","","仄"))</x:f>
        <x:v>仄</x:v>
      </x:c>
      <x:c r="I2664" s="6" t="str">
        <x:f>IF(D2653="","",IF(AND(ISNUMBER(SEARCH("平",D2653)),OR(ISNUMBER(SEARCH("上",D2653)),ISNUMBER(SEARCH("去",D2653)),ISNUMBER(SEARCH("入",D2653)))),"Ambiguous",IF(ISNUMBER(SEARCH("平",D2653)),"平","仄")))</x:f>
        <x:v>仄</x:v>
      </x:c>
      <x:c r="J2664" s="7" t="str"/>
    </x:row>
    <x:row r="2665">
      <x:c r="A2665" s="5" t="str">
        <x:v>眸</x:v>
      </x:c>
      <x:c r="B2665" s="6" t="str">
        <x:v>平</x:v>
      </x:c>
      <x:c r="C2665" s="6" t="str">
        <x:f>IF(B2665="","Needs decision","Ready")</x:f>
        <x:v>Ready</x:v>
      </x:c>
      <x:c r="D2665" s="6" t="str">
        <x:v>平</x:v>
      </x:c>
      <x:c r="E2665" s="6" t="str">
        <x:v>mjuw [mɨ̯u] (平)</x:v>
      </x:c>
      <x:c r="F2665" s="6" t="str">
        <x:v>1</x:v>
      </x:c>
      <x:c r="G2665" s="6" t="str">
        <x:v>Tang 300 gap; frequency 2; provisional from Xun Gong</x:v>
      </x:c>
      <x:c r="H2665" s="6" t="str">
        <x:f>IF(B2665="平","平",IF(B2665="","","仄"))</x:f>
        <x:v>平</x:v>
      </x:c>
      <x:c r="I2665" s="6" t="str">
        <x:f>IF(D2654="","",IF(AND(ISNUMBER(SEARCH("平",D2654)),OR(ISNUMBER(SEARCH("上",D2654)),ISNUMBER(SEARCH("去",D2654)),ISNUMBER(SEARCH("入",D2654)))),"Ambiguous",IF(ISNUMBER(SEARCH("平",D2654)),"平","仄")))</x:f>
        <x:v>仄</x:v>
      </x:c>
      <x:c r="J2665" s="7" t="str">
        <x:v>Xun Gong, Tang 300 gap fill</x:v>
      </x:c>
    </x:row>
    <x:row r="2666">
      <x:c r="A2666" s="5" t="str">
        <x:v>眺</x:v>
      </x:c>
      <x:c r="B2666" s="6" t="str">
        <x:v>去</x:v>
      </x:c>
      <x:c r="C2666" s="6" t="str">
        <x:f>IF(B2666="","Needs decision","Ready")</x:f>
        <x:v>Ready</x:v>
      </x:c>
      <x:c r="D2666" s="6" t="str">
        <x:v>去</x:v>
      </x:c>
      <x:c r="E2666" s="6" t="str">
        <x:v>thewH (C)</x:v>
      </x:c>
      <x:c r="F2666" s="6" t="str">
        <x:v>1</x:v>
      </x:c>
      <x:c r="G2666" s="6" t="str"/>
      <x:c r="H2666" s="6" t="str">
        <x:f>IF(B2666="平","平",IF(B2666="","","仄"))</x:f>
        <x:v>仄</x:v>
      </x:c>
      <x:c r="I2666" s="6" t="str">
        <x:f>IF(D2655="","",IF(AND(ISNUMBER(SEARCH("平",D2655)),OR(ISNUMBER(SEARCH("上",D2655)),ISNUMBER(SEARCH("去",D2655)),ISNUMBER(SEARCH("入",D2655)))),"Ambiguous",IF(ISNUMBER(SEARCH("平",D2655)),"平","仄")))</x:f>
        <x:v>平</x:v>
      </x:c>
      <x:c r="J2666" s="7" t="str"/>
    </x:row>
    <x:row r="2667">
      <x:c r="A2667" s="5" t="str">
        <x:v>眼</x:v>
      </x:c>
      <x:c r="B2667" s="6" t="str">
        <x:v>上</x:v>
      </x:c>
      <x:c r="C2667" s="6" t="str">
        <x:f>IF(B2667="","Needs decision","Ready")</x:f>
        <x:v>Ready</x:v>
      </x:c>
      <x:c r="D2667" s="6" t="str">
        <x:v>上</x:v>
      </x:c>
      <x:c r="E2667" s="6" t="str">
        <x:v>ngonX (B); ngeanX (B)</x:v>
      </x:c>
      <x:c r="F2667" s="6" t="str">
        <x:v>2</x:v>
      </x:c>
      <x:c r="G2667" s="6" t="str"/>
      <x:c r="H2667" s="6" t="str">
        <x:f>IF(B2667="平","平",IF(B2667="","","仄"))</x:f>
        <x:v>仄</x:v>
      </x:c>
      <x:c r="I2667" s="6" t="str">
        <x:f>IF(D2656="","",IF(AND(ISNUMBER(SEARCH("平",D2656)),OR(ISNUMBER(SEARCH("上",D2656)),ISNUMBER(SEARCH("去",D2656)),ISNUMBER(SEARCH("入",D2656)))),"Ambiguous",IF(ISNUMBER(SEARCH("平",D2656)),"平","仄")))</x:f>
        <x:v>Ambiguous</x:v>
      </x:c>
      <x:c r="J2667" s="7" t="str"/>
    </x:row>
    <x:row r="2668">
      <x:c r="A2668" s="5" t="str">
        <x:v>眾</x:v>
      </x:c>
      <x:c r="B2668" s="6" t="str">
        <x:v>去</x:v>
      </x:c>
      <x:c r="C2668" s="6" t="str">
        <x:f>IF(B2668="","Needs decision","Ready")</x:f>
        <x:v>Ready</x:v>
      </x:c>
      <x:c r="D2668" s="6" t="str">
        <x:v>去</x:v>
      </x:c>
      <x:c r="E2668" s="6" t="str">
        <x:v>tsyuwngH (C)</x:v>
      </x:c>
      <x:c r="F2668" s="6" t="str">
        <x:v>1</x:v>
      </x:c>
      <x:c r="G2668" s="6" t="str"/>
      <x:c r="H2668" s="6" t="str">
        <x:f>IF(B2668="平","平",IF(B2668="","","仄"))</x:f>
        <x:v>仄</x:v>
      </x:c>
      <x:c r="I2668" s="6" t="str">
        <x:f>IF(D2657="","",IF(AND(ISNUMBER(SEARCH("平",D2657)),OR(ISNUMBER(SEARCH("上",D2657)),ISNUMBER(SEARCH("去",D2657)),ISNUMBER(SEARCH("入",D2657)))),"Ambiguous",IF(ISNUMBER(SEARCH("平",D2657)),"平","仄")))</x:f>
        <x:v>仄</x:v>
      </x:c>
      <x:c r="J2668" s="7" t="str"/>
    </x:row>
    <x:row r="2669">
      <x:c r="A2669" s="5" t="str">
        <x:v>睅</x:v>
      </x:c>
      <x:c r="B2669" s="6" t="str">
        <x:v>上</x:v>
      </x:c>
      <x:c r="C2669" s="6" t="str">
        <x:f>IF(B2669="","Needs decision","Ready")</x:f>
        <x:v>Ready</x:v>
      </x:c>
      <x:c r="D2669" s="6" t="str">
        <x:v>上</x:v>
      </x:c>
      <x:c r="E2669" s="6" t="str">
        <x:v>hwaenX (B)</x:v>
      </x:c>
      <x:c r="F2669" s="6" t="str">
        <x:v>1</x:v>
      </x:c>
      <x:c r="G2669" s="6" t="str"/>
      <x:c r="H2669" s="6" t="str">
        <x:f>IF(B2669="平","平",IF(B2669="","","仄"))</x:f>
        <x:v>仄</x:v>
      </x:c>
      <x:c r="I2669" s="6" t="str">
        <x:f>IF(D2658="","",IF(AND(ISNUMBER(SEARCH("平",D2658)),OR(ISNUMBER(SEARCH("上",D2658)),ISNUMBER(SEARCH("去",D2658)),ISNUMBER(SEARCH("入",D2658)))),"Ambiguous",IF(ISNUMBER(SEARCH("平",D2658)),"平","仄")))</x:f>
        <x:v>平</x:v>
      </x:c>
      <x:c r="J2669" s="7" t="str"/>
    </x:row>
    <x:row r="2670">
      <x:c r="A2670" s="5" t="str">
        <x:v>睇</x:v>
      </x:c>
      <x:c r="B2670" s="6" t="str"/>
      <x:c r="C2670" s="6" t="str">
        <x:f>IF(B2670="","Needs decision","Ready")</x:f>
        <x:v>Needs decision</x:v>
      </x:c>
      <x:c r="D2670" s="6" t="str">
        <x:v>去/平</x:v>
      </x:c>
      <x:c r="E2670" s="6" t="str">
        <x:v>dejH (C); thej (A)</x:v>
      </x:c>
      <x:c r="F2670" s="6" t="str">
        <x:v>2</x:v>
      </x:c>
      <x:c r="G2670" s="6" t="str"/>
      <x:c r="H2670" s="6" t="str">
        <x:f>IF(B2670="平","平",IF(B2670="","","仄"))</x:f>
      </x:c>
      <x:c r="I2670" s="6" t="str">
        <x:f>IF(D2659="","",IF(AND(ISNUMBER(SEARCH("平",D2659)),OR(ISNUMBER(SEARCH("上",D2659)),ISNUMBER(SEARCH("去",D2659)),ISNUMBER(SEARCH("入",D2659)))),"Ambiguous",IF(ISNUMBER(SEARCH("平",D2659)),"平","仄")))</x:f>
        <x:v>平</x:v>
      </x:c>
      <x:c r="J2670" s="7" t="str"/>
    </x:row>
    <x:row r="2671">
      <x:c r="A2671" s="5" t="str">
        <x:v>睘</x:v>
      </x:c>
      <x:c r="B2671" s="6" t="str">
        <x:v>平</x:v>
      </x:c>
      <x:c r="C2671" s="6" t="str">
        <x:f>IF(B2671="","Needs decision","Ready")</x:f>
        <x:v>Ready</x:v>
      </x:c>
      <x:c r="D2671" s="6" t="str">
        <x:v>平</x:v>
      </x:c>
      <x:c r="E2671" s="6" t="str">
        <x:v>hwaen (A)</x:v>
      </x:c>
      <x:c r="F2671" s="6" t="str">
        <x:v>1</x:v>
      </x:c>
      <x:c r="G2671" s="6" t="str"/>
      <x:c r="H2671" s="6" t="str">
        <x:f>IF(B2671="平","平",IF(B2671="","","仄"))</x:f>
        <x:v>平</x:v>
      </x:c>
      <x:c r="I2671" s="6" t="str">
        <x:f>IF(D2660="","",IF(AND(ISNUMBER(SEARCH("平",D2660)),OR(ISNUMBER(SEARCH("上",D2660)),ISNUMBER(SEARCH("去",D2660)),ISNUMBER(SEARCH("入",D2660)))),"Ambiguous",IF(ISNUMBER(SEARCH("平",D2660)),"平","仄")))</x:f>
        <x:v>仄</x:v>
      </x:c>
      <x:c r="J2671" s="7" t="str"/>
    </x:row>
    <x:row r="2672">
      <x:c r="A2672" s="5" t="str">
        <x:v>睠</x:v>
      </x:c>
      <x:c r="B2672" s="6" t="str">
        <x:v>去</x:v>
      </x:c>
      <x:c r="C2672" s="6" t="str">
        <x:f>IF(B2672="","Needs decision","Ready")</x:f>
        <x:v>Ready</x:v>
      </x:c>
      <x:c r="D2672" s="6" t="str">
        <x:v>去</x:v>
      </x:c>
      <x:c r="E2672" s="6" t="str">
        <x:v>kjwenH (C)</x:v>
      </x:c>
      <x:c r="F2672" s="6" t="str">
        <x:v>1</x:v>
      </x:c>
      <x:c r="G2672" s="6" t="str"/>
      <x:c r="H2672" s="6" t="str">
        <x:f>IF(B2672="平","平",IF(B2672="","","仄"))</x:f>
        <x:v>仄</x:v>
      </x:c>
      <x:c r="I2672" s="6" t="str">
        <x:f>IF(D2661="","",IF(AND(ISNUMBER(SEARCH("平",D2661)),OR(ISNUMBER(SEARCH("上",D2661)),ISNUMBER(SEARCH("去",D2661)),ISNUMBER(SEARCH("入",D2661)))),"Ambiguous",IF(ISNUMBER(SEARCH("平",D2661)),"平","仄")))</x:f>
        <x:v>仄</x:v>
      </x:c>
      <x:c r="J2672" s="7" t="str"/>
    </x:row>
    <x:row r="2673">
      <x:c r="A2673" s="5" t="str">
        <x:v>睡</x:v>
      </x:c>
      <x:c r="B2673" s="6" t="str">
        <x:v>去</x:v>
      </x:c>
      <x:c r="C2673" s="6" t="str">
        <x:f>IF(B2673="","Needs decision","Ready")</x:f>
        <x:v>Ready</x:v>
      </x:c>
      <x:c r="D2673" s="6" t="str">
        <x:v>去</x:v>
      </x:c>
      <x:c r="E2673" s="6" t="str">
        <x:v>dzyweH (C)</x:v>
      </x:c>
      <x:c r="F2673" s="6" t="str">
        <x:v>1</x:v>
      </x:c>
      <x:c r="G2673" s="6" t="str"/>
      <x:c r="H2673" s="6" t="str">
        <x:f>IF(B2673="平","平",IF(B2673="","","仄"))</x:f>
        <x:v>仄</x:v>
      </x:c>
      <x:c r="I2673" s="6" t="str">
        <x:f>IF(D2662="","",IF(AND(ISNUMBER(SEARCH("平",D2662)),OR(ISNUMBER(SEARCH("上",D2662)),ISNUMBER(SEARCH("去",D2662)),ISNUMBER(SEARCH("入",D2662)))),"Ambiguous",IF(ISNUMBER(SEARCH("平",D2662)),"平","仄")))</x:f>
        <x:v>Ambiguous</x:v>
      </x:c>
      <x:c r="J2673" s="7" t="str"/>
    </x:row>
    <x:row r="2674">
      <x:c r="A2674" s="5" t="str">
        <x:v>睢</x:v>
      </x:c>
      <x:c r="B2674" s="6" t="str"/>
      <x:c r="C2674" s="6" t="str">
        <x:f>IF(B2674="","Needs decision","Ready")</x:f>
        <x:v>Needs decision</x:v>
      </x:c>
      <x:c r="D2674" s="6" t="str">
        <x:v>平/去</x:v>
      </x:c>
      <x:c r="E2674" s="6" t="str">
        <x:v>swij [sjwi] (平); xjwie [xjwie] (平); xjwij [xjwi] (平); xjwijH [xjwih] (去)</x:v>
      </x:c>
      <x:c r="F2674" s="6" t="str">
        <x:v>4</x:v>
      </x:c>
      <x:c r="G2674" s="6" t="str">
        <x:v>Tang 300 gap; frequency 1; ambiguous in Xun Gong</x:v>
      </x:c>
      <x:c r="H2674" s="6" t="str">
        <x:f>IF(B2674="平","平",IF(B2674="","","仄"))</x:f>
      </x:c>
      <x:c r="I2674" s="6" t="str">
        <x:f>IF(D2663="","",IF(AND(ISNUMBER(SEARCH("平",D2663)),OR(ISNUMBER(SEARCH("上",D2663)),ISNUMBER(SEARCH("去",D2663)),ISNUMBER(SEARCH("入",D2663)))),"Ambiguous",IF(ISNUMBER(SEARCH("平",D2663)),"平","仄")))</x:f>
        <x:v>仄</x:v>
      </x:c>
      <x:c r="J2674" s="7" t="str">
        <x:v>Xun Gong, Tang 300 gap fill</x:v>
      </x:c>
    </x:row>
    <x:row r="2675">
      <x:c r="A2675" s="5" t="str">
        <x:v>睦</x:v>
      </x:c>
      <x:c r="B2675" s="6" t="str">
        <x:v>入</x:v>
      </x:c>
      <x:c r="C2675" s="6" t="str">
        <x:f>IF(B2675="","Needs decision","Ready")</x:f>
        <x:v>Ready</x:v>
      </x:c>
      <x:c r="D2675" s="6" t="str">
        <x:v>入</x:v>
      </x:c>
      <x:c r="E2675" s="6" t="str">
        <x:v>mjuwk (D)</x:v>
      </x:c>
      <x:c r="F2675" s="6" t="str">
        <x:v>1</x:v>
      </x:c>
      <x:c r="G2675" s="6" t="str"/>
      <x:c r="H2675" s="6" t="str">
        <x:f>IF(B2675="平","平",IF(B2675="","","仄"))</x:f>
        <x:v>仄</x:v>
      </x:c>
      <x:c r="I2675" s="6" t="str">
        <x:f>IF(D2664="","",IF(AND(ISNUMBER(SEARCH("平",D2664)),OR(ISNUMBER(SEARCH("上",D2664)),ISNUMBER(SEARCH("去",D2664)),ISNUMBER(SEARCH("入",D2664)))),"Ambiguous",IF(ISNUMBER(SEARCH("平",D2664)),"平","仄")))</x:f>
        <x:v>仄</x:v>
      </x:c>
      <x:c r="J2675" s="7" t="str"/>
    </x:row>
    <x:row r="2676">
      <x:c r="A2676" s="5" t="str">
        <x:v>睩</x:v>
      </x:c>
      <x:c r="B2676" s="6" t="str">
        <x:v>入</x:v>
      </x:c>
      <x:c r="C2676" s="6" t="str">
        <x:f>IF(B2676="","Needs decision","Ready")</x:f>
        <x:v>Ready</x:v>
      </x:c>
      <x:c r="D2676" s="6" t="str">
        <x:v>入</x:v>
      </x:c>
      <x:c r="E2676" s="6" t="str">
        <x:v>luwk (D)</x:v>
      </x:c>
      <x:c r="F2676" s="6" t="str">
        <x:v>1</x:v>
      </x:c>
      <x:c r="G2676" s="6" t="str"/>
      <x:c r="H2676" s="6" t="str">
        <x:f>IF(B2676="平","平",IF(B2676="","","仄"))</x:f>
        <x:v>仄</x:v>
      </x:c>
      <x:c r="I2676" s="6" t="str">
        <x:f>IF(D2665="","",IF(AND(ISNUMBER(SEARCH("平",D2665)),OR(ISNUMBER(SEARCH("上",D2665)),ISNUMBER(SEARCH("去",D2665)),ISNUMBER(SEARCH("入",D2665)))),"Ambiguous",IF(ISNUMBER(SEARCH("平",D2665)),"平","仄")))</x:f>
        <x:v>平</x:v>
      </x:c>
      <x:c r="J2676" s="7" t="str"/>
    </x:row>
    <x:row r="2677">
      <x:c r="A2677" s="5" t="str">
        <x:v>睫</x:v>
      </x:c>
      <x:c r="B2677" s="6" t="str">
        <x:v>入</x:v>
      </x:c>
      <x:c r="C2677" s="6" t="str">
        <x:f>IF(B2677="","Needs decision","Ready")</x:f>
        <x:v>Ready</x:v>
      </x:c>
      <x:c r="D2677" s="6" t="str">
        <x:v>入</x:v>
      </x:c>
      <x:c r="E2677" s="6" t="str">
        <x:v>tsjep (D)</x:v>
      </x:c>
      <x:c r="F2677" s="6" t="str">
        <x:v>1</x:v>
      </x:c>
      <x:c r="G2677" s="6" t="str"/>
      <x:c r="H2677" s="6" t="str">
        <x:f>IF(B2677="平","平",IF(B2677="","","仄"))</x:f>
        <x:v>仄</x:v>
      </x:c>
      <x:c r="I2677" s="6" t="str">
        <x:f>IF(D2666="","",IF(AND(ISNUMBER(SEARCH("平",D2666)),OR(ISNUMBER(SEARCH("上",D2666)),ISNUMBER(SEARCH("去",D2666)),ISNUMBER(SEARCH("入",D2666)))),"Ambiguous",IF(ISNUMBER(SEARCH("平",D2666)),"平","仄")))</x:f>
        <x:v>仄</x:v>
      </x:c>
      <x:c r="J2677" s="7" t="str"/>
    </x:row>
    <x:row r="2678">
      <x:c r="A2678" s="5" t="str">
        <x:v>睹</x:v>
      </x:c>
      <x:c r="B2678" s="6" t="str">
        <x:v>上</x:v>
      </x:c>
      <x:c r="C2678" s="6" t="str">
        <x:f>IF(B2678="","Needs decision","Ready")</x:f>
        <x:v>Ready</x:v>
      </x:c>
      <x:c r="D2678" s="6" t="str">
        <x:v>上</x:v>
      </x:c>
      <x:c r="E2678" s="6" t="str">
        <x:v>tuX (B)</x:v>
      </x:c>
      <x:c r="F2678" s="6" t="str">
        <x:v>1</x:v>
      </x:c>
      <x:c r="G2678" s="6" t="str"/>
      <x:c r="H2678" s="6" t="str">
        <x:f>IF(B2678="平","平",IF(B2678="","","仄"))</x:f>
        <x:v>仄</x:v>
      </x:c>
      <x:c r="I2678" s="6" t="str">
        <x:f>IF(D2667="","",IF(AND(ISNUMBER(SEARCH("平",D2667)),OR(ISNUMBER(SEARCH("上",D2667)),ISNUMBER(SEARCH("去",D2667)),ISNUMBER(SEARCH("入",D2667)))),"Ambiguous",IF(ISNUMBER(SEARCH("平",D2667)),"平","仄")))</x:f>
        <x:v>仄</x:v>
      </x:c>
      <x:c r="J2678" s="7" t="str"/>
    </x:row>
    <x:row r="2679">
      <x:c r="A2679" s="5" t="str">
        <x:v>睽</x:v>
      </x:c>
      <x:c r="B2679" s="6" t="str">
        <x:v>平</x:v>
      </x:c>
      <x:c r="C2679" s="6" t="str">
        <x:f>IF(B2679="","Needs decision","Ready")</x:f>
        <x:v>Ready</x:v>
      </x:c>
      <x:c r="D2679" s="6" t="str">
        <x:v>平</x:v>
      </x:c>
      <x:c r="E2679" s="6" t="str">
        <x:v>khwej (A)</x:v>
      </x:c>
      <x:c r="F2679" s="6" t="str">
        <x:v>1</x:v>
      </x:c>
      <x:c r="G2679" s="6" t="str"/>
      <x:c r="H2679" s="6" t="str">
        <x:f>IF(B2679="平","平",IF(B2679="","","仄"))</x:f>
        <x:v>平</x:v>
      </x:c>
      <x:c r="I2679" s="6" t="str">
        <x:f>IF(D2668="","",IF(AND(ISNUMBER(SEARCH("平",D2668)),OR(ISNUMBER(SEARCH("上",D2668)),ISNUMBER(SEARCH("去",D2668)),ISNUMBER(SEARCH("入",D2668)))),"Ambiguous",IF(ISNUMBER(SEARCH("平",D2668)),"平","仄")))</x:f>
        <x:v>仄</x:v>
      </x:c>
      <x:c r="J2679" s="7" t="str"/>
    </x:row>
    <x:row r="2680">
      <x:c r="A2680" s="5" t="str">
        <x:v>睿</x:v>
      </x:c>
      <x:c r="B2680" s="6" t="str">
        <x:v>去</x:v>
      </x:c>
      <x:c r="C2680" s="6" t="str">
        <x:f>IF(B2680="","Needs decision","Ready")</x:f>
        <x:v>Ready</x:v>
      </x:c>
      <x:c r="D2680" s="6" t="str">
        <x:v>去</x:v>
      </x:c>
      <x:c r="E2680" s="6" t="str">
        <x:v>ywejH [以合三祭去] jwejh</x:v>
      </x:c>
      <x:c r="F2680" s="6" t="str">
        <x:v>1</x:v>
      </x:c>
      <x:c r="G2680" s="6" t="str">
        <x:v>Targeted preliminary fill from Xun Gong; review if uncertain</x:v>
      </x:c>
      <x:c r="H2680" s="6" t="str">
        <x:f>IF(B2680="平","平",IF(B2680="","","仄"))</x:f>
        <x:v>仄</x:v>
      </x:c>
      <x:c r="I2680" s="6" t="str">
        <x:f>IF(D2669="","",IF(AND(ISNUMBER(SEARCH("平",D2669)),OR(ISNUMBER(SEARCH("上",D2669)),ISNUMBER(SEARCH("去",D2669)),ISNUMBER(SEARCH("入",D2669)))),"Ambiguous",IF(ISNUMBER(SEARCH("平",D2669)),"平","仄")))</x:f>
        <x:v>仄</x:v>
      </x:c>
      <x:c r="J2680" s="7" t="str">
        <x:v>Xun Gong character-readings.csv</x:v>
      </x:c>
    </x:row>
    <x:row r="2681">
      <x:c r="A2681" s="5" t="str">
        <x:v>瞀</x:v>
      </x:c>
      <x:c r="B2681" s="6" t="str">
        <x:v>入</x:v>
      </x:c>
      <x:c r="C2681" s="6" t="str">
        <x:f>IF(B2681="","Needs decision","Ready")</x:f>
        <x:v>Ready</x:v>
      </x:c>
      <x:c r="D2681" s="6" t="str">
        <x:v>入</x:v>
      </x:c>
      <x:c r="E2681" s="6" t="str">
        <x:v>maewk (D)</x:v>
      </x:c>
      <x:c r="F2681" s="6" t="str">
        <x:v>1</x:v>
      </x:c>
      <x:c r="G2681" s="6" t="str"/>
      <x:c r="H2681" s="6" t="str">
        <x:f>IF(B2681="平","平",IF(B2681="","","仄"))</x:f>
        <x:v>仄</x:v>
      </x:c>
      <x:c r="I2681" s="6" t="str">
        <x:f>IF(D2670="","",IF(AND(ISNUMBER(SEARCH("平",D2670)),OR(ISNUMBER(SEARCH("上",D2670)),ISNUMBER(SEARCH("去",D2670)),ISNUMBER(SEARCH("入",D2670)))),"Ambiguous",IF(ISNUMBER(SEARCH("平",D2670)),"平","仄")))</x:f>
        <x:v>Ambiguous</x:v>
      </x:c>
      <x:c r="J2681" s="7" t="str"/>
    </x:row>
    <x:row r="2682">
      <x:c r="A2682" s="5" t="str">
        <x:v>瞋</x:v>
      </x:c>
      <x:c r="B2682" s="6" t="str">
        <x:v>平</x:v>
      </x:c>
      <x:c r="C2682" s="6" t="str">
        <x:f>IF(B2682="","Needs decision","Ready")</x:f>
        <x:v>Ready</x:v>
      </x:c>
      <x:c r="D2682" s="6" t="str">
        <x:v>平</x:v>
      </x:c>
      <x:c r="E2682" s="6" t="str">
        <x:v>tsyhin (A)</x:v>
      </x:c>
      <x:c r="F2682" s="6" t="str">
        <x:v>1</x:v>
      </x:c>
      <x:c r="G2682" s="6" t="str"/>
      <x:c r="H2682" s="6" t="str">
        <x:f>IF(B2682="平","平",IF(B2682="","","仄"))</x:f>
        <x:v>平</x:v>
      </x:c>
      <x:c r="I2682" s="6" t="str">
        <x:f>IF(D2671="","",IF(AND(ISNUMBER(SEARCH("平",D2671)),OR(ISNUMBER(SEARCH("上",D2671)),ISNUMBER(SEARCH("去",D2671)),ISNUMBER(SEARCH("入",D2671)))),"Ambiguous",IF(ISNUMBER(SEARCH("平",D2671)),"平","仄")))</x:f>
        <x:v>平</x:v>
      </x:c>
      <x:c r="J2682" s="7" t="str"/>
    </x:row>
    <x:row r="2683">
      <x:c r="A2683" s="5" t="str">
        <x:v>瞏</x:v>
      </x:c>
      <x:c r="B2683" s="6" t="str">
        <x:v>平</x:v>
      </x:c>
      <x:c r="C2683" s="6" t="str">
        <x:f>IF(B2683="","Needs decision","Ready")</x:f>
        <x:v>Ready</x:v>
      </x:c>
      <x:c r="D2683" s="6" t="str">
        <x:v>平</x:v>
      </x:c>
      <x:c r="E2683" s="6" t="str">
        <x:v>gjwieng (A)</x:v>
      </x:c>
      <x:c r="F2683" s="6" t="str">
        <x:v>1</x:v>
      </x:c>
      <x:c r="G2683" s="6" t="str"/>
      <x:c r="H2683" s="6" t="str">
        <x:f>IF(B2683="平","平",IF(B2683="","","仄"))</x:f>
        <x:v>平</x:v>
      </x:c>
      <x:c r="I2683" s="6" t="str">
        <x:f>IF(D2672="","",IF(AND(ISNUMBER(SEARCH("平",D2672)),OR(ISNUMBER(SEARCH("上",D2672)),ISNUMBER(SEARCH("去",D2672)),ISNUMBER(SEARCH("入",D2672)))),"Ambiguous",IF(ISNUMBER(SEARCH("平",D2672)),"平","仄")))</x:f>
        <x:v>仄</x:v>
      </x:c>
      <x:c r="J2683" s="7" t="str"/>
    </x:row>
    <x:row r="2684">
      <x:c r="A2684" s="5" t="str">
        <x:v>瞞</x:v>
      </x:c>
      <x:c r="B2684" s="6" t="str">
        <x:v>平</x:v>
      </x:c>
      <x:c r="C2684" s="6" t="str">
        <x:f>IF(B2684="","Needs decision","Ready")</x:f>
        <x:v>Ready</x:v>
      </x:c>
      <x:c r="D2684" s="6" t="str">
        <x:v>平</x:v>
      </x:c>
      <x:c r="E2684" s="6" t="str">
        <x:v>man (A)</x:v>
      </x:c>
      <x:c r="F2684" s="6" t="str">
        <x:v>1</x:v>
      </x:c>
      <x:c r="G2684" s="6" t="str"/>
      <x:c r="H2684" s="6" t="str">
        <x:f>IF(B2684="平","平",IF(B2684="","","仄"))</x:f>
        <x:v>平</x:v>
      </x:c>
      <x:c r="I2684" s="6" t="str">
        <x:f>IF(D2673="","",IF(AND(ISNUMBER(SEARCH("平",D2673)),OR(ISNUMBER(SEARCH("上",D2673)),ISNUMBER(SEARCH("去",D2673)),ISNUMBER(SEARCH("入",D2673)))),"Ambiguous",IF(ISNUMBER(SEARCH("平",D2673)),"平","仄")))</x:f>
        <x:v>仄</x:v>
      </x:c>
      <x:c r="J2684" s="7" t="str"/>
    </x:row>
    <x:row r="2685">
      <x:c r="A2685" s="5" t="str">
        <x:v>瞠</x:v>
      </x:c>
      <x:c r="B2685" s="6" t="str">
        <x:v>平</x:v>
      </x:c>
      <x:c r="C2685" s="6" t="str">
        <x:f>IF(B2685="","Needs decision","Ready")</x:f>
        <x:v>Ready</x:v>
      </x:c>
      <x:c r="D2685" s="6" t="str">
        <x:v>平</x:v>
      </x:c>
      <x:c r="E2685" s="6" t="str">
        <x:v>trhaeng (A)</x:v>
      </x:c>
      <x:c r="F2685" s="6" t="str">
        <x:v>1</x:v>
      </x:c>
      <x:c r="G2685" s="6" t="str"/>
      <x:c r="H2685" s="6" t="str">
        <x:f>IF(B2685="平","平",IF(B2685="","","仄"))</x:f>
        <x:v>平</x:v>
      </x:c>
      <x:c r="I2685" s="6" t="str">
        <x:f>IF(D2674="","",IF(AND(ISNUMBER(SEARCH("平",D2674)),OR(ISNUMBER(SEARCH("上",D2674)),ISNUMBER(SEARCH("去",D2674)),ISNUMBER(SEARCH("入",D2674)))),"Ambiguous",IF(ISNUMBER(SEARCH("平",D2674)),"平","仄")))</x:f>
        <x:v>Ambiguous</x:v>
      </x:c>
      <x:c r="J2685" s="7" t="str"/>
    </x:row>
    <x:row r="2686">
      <x:c r="A2686" s="5" t="str">
        <x:v>瞳</x:v>
      </x:c>
      <x:c r="B2686" s="6" t="str">
        <x:v>平</x:v>
      </x:c>
      <x:c r="C2686" s="6" t="str">
        <x:f>IF(B2686="","Needs decision","Ready")</x:f>
        <x:v>Ready</x:v>
      </x:c>
      <x:c r="D2686" s="6" t="str">
        <x:v>平</x:v>
      </x:c>
      <x:c r="E2686" s="6" t="str">
        <x:v>duwng [定一東平] d̙uŋ</x:v>
      </x:c>
      <x:c r="F2686" s="6" t="str">
        <x:v>1</x:v>
      </x:c>
      <x:c r="G2686" s="6" t="str">
        <x:v>Targeted preliminary fill from Xun Gong; review if uncertain</x:v>
      </x:c>
      <x:c r="H2686" s="6" t="str">
        <x:f>IF(B2686="平","平",IF(B2686="","","仄"))</x:f>
        <x:v>平</x:v>
      </x:c>
      <x:c r="I2686" s="6" t="str">
        <x:f>IF(D2675="","",IF(AND(ISNUMBER(SEARCH("平",D2675)),OR(ISNUMBER(SEARCH("上",D2675)),ISNUMBER(SEARCH("去",D2675)),ISNUMBER(SEARCH("入",D2675)))),"Ambiguous",IF(ISNUMBER(SEARCH("平",D2675)),"平","仄")))</x:f>
        <x:v>仄</x:v>
      </x:c>
      <x:c r="J2686" s="7" t="str">
        <x:v>Xun Gong character-readings.csv</x:v>
      </x:c>
    </x:row>
    <x:row r="2687">
      <x:c r="A2687" s="5" t="str">
        <x:v>瞷</x:v>
      </x:c>
      <x:c r="B2687" s="6" t="str">
        <x:v>平</x:v>
      </x:c>
      <x:c r="C2687" s="6" t="str">
        <x:f>IF(B2687="","Needs decision","Ready")</x:f>
        <x:v>Ready</x:v>
      </x:c>
      <x:c r="D2687" s="6" t="str">
        <x:v>平</x:v>
      </x:c>
      <x:c r="E2687" s="6" t="str">
        <x:v>hean (A)</x:v>
      </x:c>
      <x:c r="F2687" s="6" t="str">
        <x:v>1</x:v>
      </x:c>
      <x:c r="G2687" s="6" t="str"/>
      <x:c r="H2687" s="6" t="str">
        <x:f>IF(B2687="平","平",IF(B2687="","","仄"))</x:f>
        <x:v>平</x:v>
      </x:c>
      <x:c r="I2687" s="6" t="str">
        <x:f>IF(D2676="","",IF(AND(ISNUMBER(SEARCH("平",D2676)),OR(ISNUMBER(SEARCH("上",D2676)),ISNUMBER(SEARCH("去",D2676)),ISNUMBER(SEARCH("入",D2676)))),"Ambiguous",IF(ISNUMBER(SEARCH("平",D2676)),"平","仄")))</x:f>
        <x:v>仄</x:v>
      </x:c>
      <x:c r="J2687" s="7" t="str"/>
    </x:row>
    <x:row r="2688">
      <x:c r="A2688" s="5" t="str">
        <x:v>瞻</x:v>
      </x:c>
      <x:c r="B2688" s="6" t="str">
        <x:v>平</x:v>
      </x:c>
      <x:c r="C2688" s="6" t="str">
        <x:f>IF(B2688="","Needs decision","Ready")</x:f>
        <x:v>Ready</x:v>
      </x:c>
      <x:c r="D2688" s="6" t="str">
        <x:v>平</x:v>
      </x:c>
      <x:c r="E2688" s="6" t="str">
        <x:v>tsyem (A)</x:v>
      </x:c>
      <x:c r="F2688" s="6" t="str">
        <x:v>1</x:v>
      </x:c>
      <x:c r="G2688" s="6" t="str"/>
      <x:c r="H2688" s="6" t="str">
        <x:f>IF(B2688="平","平",IF(B2688="","","仄"))</x:f>
        <x:v>平</x:v>
      </x:c>
      <x:c r="I2688" s="6" t="str">
        <x:f>IF(D2677="","",IF(AND(ISNUMBER(SEARCH("平",D2677)),OR(ISNUMBER(SEARCH("上",D2677)),ISNUMBER(SEARCH("去",D2677)),ISNUMBER(SEARCH("入",D2677)))),"Ambiguous",IF(ISNUMBER(SEARCH("平",D2677)),"平","仄")))</x:f>
        <x:v>仄</x:v>
      </x:c>
      <x:c r="J2688" s="7" t="str"/>
    </x:row>
    <x:row r="2689">
      <x:c r="A2689" s="5" t="str">
        <x:v>瞽</x:v>
      </x:c>
      <x:c r="B2689" s="6" t="str">
        <x:v>上</x:v>
      </x:c>
      <x:c r="C2689" s="6" t="str">
        <x:f>IF(B2689="","Needs decision","Ready")</x:f>
        <x:v>Ready</x:v>
      </x:c>
      <x:c r="D2689" s="6" t="str">
        <x:v>上</x:v>
      </x:c>
      <x:c r="E2689" s="6" t="str">
        <x:v>kuX (B)</x:v>
      </x:c>
      <x:c r="F2689" s="6" t="str">
        <x:v>1</x:v>
      </x:c>
      <x:c r="G2689" s="6" t="str"/>
      <x:c r="H2689" s="6" t="str">
        <x:f>IF(B2689="平","平",IF(B2689="","","仄"))</x:f>
        <x:v>仄</x:v>
      </x:c>
      <x:c r="I2689" s="6" t="str">
        <x:f>IF(D2678="","",IF(AND(ISNUMBER(SEARCH("平",D2678)),OR(ISNUMBER(SEARCH("上",D2678)),ISNUMBER(SEARCH("去",D2678)),ISNUMBER(SEARCH("入",D2678)))),"Ambiguous",IF(ISNUMBER(SEARCH("平",D2678)),"平","仄")))</x:f>
        <x:v>仄</x:v>
      </x:c>
      <x:c r="J2689" s="7" t="str"/>
    </x:row>
    <x:row r="2690">
      <x:c r="A2690" s="5" t="str">
        <x:v>瞿</x:v>
      </x:c>
      <x:c r="B2690" s="6" t="str">
        <x:v>平</x:v>
      </x:c>
      <x:c r="C2690" s="6" t="str">
        <x:f>IF(B2690="","Needs decision","Ready")</x:f>
        <x:v>Ready</x:v>
      </x:c>
      <x:c r="D2690" s="6" t="str">
        <x:v>平</x:v>
      </x:c>
      <x:c r="E2690" s="6" t="str">
        <x:v>gju (A)</x:v>
      </x:c>
      <x:c r="F2690" s="6" t="str">
        <x:v>1</x:v>
      </x:c>
      <x:c r="G2690" s="6" t="str"/>
      <x:c r="H2690" s="6" t="str">
        <x:f>IF(B2690="平","平",IF(B2690="","","仄"))</x:f>
        <x:v>平</x:v>
      </x:c>
      <x:c r="I2690" s="6" t="str">
        <x:f>IF(D2679="","",IF(AND(ISNUMBER(SEARCH("平",D2679)),OR(ISNUMBER(SEARCH("上",D2679)),ISNUMBER(SEARCH("去",D2679)),ISNUMBER(SEARCH("入",D2679)))),"Ambiguous",IF(ISNUMBER(SEARCH("平",D2679)),"平","仄")))</x:f>
        <x:v>平</x:v>
      </x:c>
      <x:c r="J2690" s="7" t="str"/>
    </x:row>
    <x:row r="2691">
      <x:c r="A2691" s="5" t="str">
        <x:v>矍</x:v>
      </x:c>
      <x:c r="B2691" s="6" t="str">
        <x:v>入</x:v>
      </x:c>
      <x:c r="C2691" s="6" t="str">
        <x:f>IF(B2691="","Needs decision","Ready")</x:f>
        <x:v>Ready</x:v>
      </x:c>
      <x:c r="D2691" s="6" t="str">
        <x:v>入</x:v>
      </x:c>
      <x:c r="E2691" s="6" t="str">
        <x:v>kjwak (D)</x:v>
      </x:c>
      <x:c r="F2691" s="6" t="str">
        <x:v>1</x:v>
      </x:c>
      <x:c r="G2691" s="6" t="str"/>
      <x:c r="H2691" s="6" t="str">
        <x:f>IF(B2691="平","平",IF(B2691="","","仄"))</x:f>
        <x:v>仄</x:v>
      </x:c>
      <x:c r="I2691" s="6" t="str">
        <x:f>IF(D2680="","",IF(AND(ISNUMBER(SEARCH("平",D2680)),OR(ISNUMBER(SEARCH("上",D2680)),ISNUMBER(SEARCH("去",D2680)),ISNUMBER(SEARCH("入",D2680)))),"Ambiguous",IF(ISNUMBER(SEARCH("平",D2680)),"平","仄")))</x:f>
        <x:v>仄</x:v>
      </x:c>
      <x:c r="J2691" s="7" t="str"/>
    </x:row>
    <x:row r="2692">
      <x:c r="A2692" s="5" t="str">
        <x:v>矛</x:v>
      </x:c>
      <x:c r="B2692" s="6" t="str">
        <x:v>平</x:v>
      </x:c>
      <x:c r="C2692" s="6" t="str">
        <x:f>IF(B2692="","Needs decision","Ready")</x:f>
        <x:v>Ready</x:v>
      </x:c>
      <x:c r="D2692" s="6" t="str">
        <x:v>平</x:v>
      </x:c>
      <x:c r="E2692" s="6" t="str">
        <x:v>mjuw (A)</x:v>
      </x:c>
      <x:c r="F2692" s="6" t="str">
        <x:v>1</x:v>
      </x:c>
      <x:c r="G2692" s="6" t="str"/>
      <x:c r="H2692" s="6" t="str">
        <x:f>IF(B2692="平","平",IF(B2692="","","仄"))</x:f>
        <x:v>平</x:v>
      </x:c>
      <x:c r="I2692" s="6" t="str">
        <x:f>IF(D2681="","",IF(AND(ISNUMBER(SEARCH("平",D2681)),OR(ISNUMBER(SEARCH("上",D2681)),ISNUMBER(SEARCH("去",D2681)),ISNUMBER(SEARCH("入",D2681)))),"Ambiguous",IF(ISNUMBER(SEARCH("平",D2681)),"平","仄")))</x:f>
        <x:v>仄</x:v>
      </x:c>
      <x:c r="J2692" s="7" t="str"/>
    </x:row>
    <x:row r="2693">
      <x:c r="A2693" s="5" t="str">
        <x:v>矜</x:v>
      </x:c>
      <x:c r="B2693" s="6" t="str">
        <x:v>平</x:v>
      </x:c>
      <x:c r="C2693" s="6" t="str">
        <x:f>IF(B2693="","Needs decision","Ready")</x:f>
        <x:v>Ready</x:v>
      </x:c>
      <x:c r="D2693" s="6" t="str">
        <x:v>平</x:v>
      </x:c>
      <x:c r="E2693" s="6" t="str">
        <x:v>king (A); gin (A)</x:v>
      </x:c>
      <x:c r="F2693" s="6" t="str">
        <x:v>2</x:v>
      </x:c>
      <x:c r="G2693" s="6" t="str"/>
      <x:c r="H2693" s="6" t="str">
        <x:f>IF(B2693="平","平",IF(B2693="","","仄"))</x:f>
        <x:v>平</x:v>
      </x:c>
      <x:c r="I2693" s="6" t="str">
        <x:f>IF(D2682="","",IF(AND(ISNUMBER(SEARCH("平",D2682)),OR(ISNUMBER(SEARCH("上",D2682)),ISNUMBER(SEARCH("去",D2682)),ISNUMBER(SEARCH("入",D2682)))),"Ambiguous",IF(ISNUMBER(SEARCH("平",D2682)),"平","仄")))</x:f>
        <x:v>平</x:v>
      </x:c>
      <x:c r="J2693" s="7" t="str"/>
    </x:row>
    <x:row r="2694">
      <x:c r="A2694" s="5" t="str">
        <x:v>矢</x:v>
      </x:c>
      <x:c r="B2694" s="6" t="str">
        <x:v>上</x:v>
      </x:c>
      <x:c r="C2694" s="6" t="str">
        <x:f>IF(B2694="","Needs decision","Ready")</x:f>
        <x:v>Ready</x:v>
      </x:c>
      <x:c r="D2694" s="6" t="str">
        <x:v>上</x:v>
      </x:c>
      <x:c r="E2694" s="6" t="str">
        <x:v>syijX (B)</x:v>
      </x:c>
      <x:c r="F2694" s="6" t="str">
        <x:v>1</x:v>
      </x:c>
      <x:c r="G2694" s="6" t="str"/>
      <x:c r="H2694" s="6" t="str">
        <x:f>IF(B2694="平","平",IF(B2694="","","仄"))</x:f>
        <x:v>仄</x:v>
      </x:c>
      <x:c r="I2694" s="6" t="str">
        <x:f>IF(D2683="","",IF(AND(ISNUMBER(SEARCH("平",D2683)),OR(ISNUMBER(SEARCH("上",D2683)),ISNUMBER(SEARCH("去",D2683)),ISNUMBER(SEARCH("入",D2683)))),"Ambiguous",IF(ISNUMBER(SEARCH("平",D2683)),"平","仄")))</x:f>
        <x:v>平</x:v>
      </x:c>
      <x:c r="J2694" s="7" t="str"/>
    </x:row>
    <x:row r="2695">
      <x:c r="A2695" s="5" t="str">
        <x:v>矣</x:v>
      </x:c>
      <x:c r="B2695" s="6" t="str">
        <x:v>上</x:v>
      </x:c>
      <x:c r="C2695" s="6" t="str">
        <x:f>IF(B2695="","Needs decision","Ready")</x:f>
        <x:v>Ready</x:v>
      </x:c>
      <x:c r="D2695" s="6" t="str">
        <x:v>上</x:v>
      </x:c>
      <x:c r="E2695" s="6" t="str">
        <x:v>hiX (B)</x:v>
      </x:c>
      <x:c r="F2695" s="6" t="str">
        <x:v>1</x:v>
      </x:c>
      <x:c r="G2695" s="6" t="str"/>
      <x:c r="H2695" s="6" t="str">
        <x:f>IF(B2695="平","平",IF(B2695="","","仄"))</x:f>
        <x:v>仄</x:v>
      </x:c>
      <x:c r="I2695" s="6" t="str">
        <x:f>IF(D2684="","",IF(AND(ISNUMBER(SEARCH("平",D2684)),OR(ISNUMBER(SEARCH("上",D2684)),ISNUMBER(SEARCH("去",D2684)),ISNUMBER(SEARCH("入",D2684)))),"Ambiguous",IF(ISNUMBER(SEARCH("平",D2684)),"平","仄")))</x:f>
        <x:v>平</x:v>
      </x:c>
      <x:c r="J2695" s="7" t="str"/>
    </x:row>
    <x:row r="2696">
      <x:c r="A2696" s="5" t="str">
        <x:v>知</x:v>
      </x:c>
      <x:c r="B2696" s="6" t="str">
        <x:v>平</x:v>
      </x:c>
      <x:c r="C2696" s="6" t="str">
        <x:f>IF(B2696="","Needs decision","Ready")</x:f>
        <x:v>Ready</x:v>
      </x:c>
      <x:c r="D2696" s="6" t="str">
        <x:v>平</x:v>
      </x:c>
      <x:c r="E2696" s="6" t="str">
        <x:v>trje (A)</x:v>
      </x:c>
      <x:c r="F2696" s="6" t="str">
        <x:v>1</x:v>
      </x:c>
      <x:c r="G2696" s="6" t="str"/>
      <x:c r="H2696" s="6" t="str">
        <x:f>IF(B2696="平","平",IF(B2696="","","仄"))</x:f>
        <x:v>平</x:v>
      </x:c>
      <x:c r="I2696" s="6" t="str">
        <x:f>IF(D2685="","",IF(AND(ISNUMBER(SEARCH("平",D2685)),OR(ISNUMBER(SEARCH("上",D2685)),ISNUMBER(SEARCH("去",D2685)),ISNUMBER(SEARCH("入",D2685)))),"Ambiguous",IF(ISNUMBER(SEARCH("平",D2685)),"平","仄")))</x:f>
        <x:v>平</x:v>
      </x:c>
      <x:c r="J2696" s="7" t="str"/>
    </x:row>
    <x:row r="2697">
      <x:c r="A2697" s="5" t="str">
        <x:v>矩</x:v>
      </x:c>
      <x:c r="B2697" s="6" t="str">
        <x:v>上</x:v>
      </x:c>
      <x:c r="C2697" s="6" t="str">
        <x:f>IF(B2697="","Needs decision","Ready")</x:f>
        <x:v>Ready</x:v>
      </x:c>
      <x:c r="D2697" s="6" t="str">
        <x:v>上</x:v>
      </x:c>
      <x:c r="E2697" s="6" t="str">
        <x:v>kjuX (B)</x:v>
      </x:c>
      <x:c r="F2697" s="6" t="str">
        <x:v>1</x:v>
      </x:c>
      <x:c r="G2697" s="6" t="str"/>
      <x:c r="H2697" s="6" t="str">
        <x:f>IF(B2697="平","平",IF(B2697="","","仄"))</x:f>
        <x:v>仄</x:v>
      </x:c>
      <x:c r="I2697" s="6" t="str">
        <x:f>IF(D2686="","",IF(AND(ISNUMBER(SEARCH("平",D2686)),OR(ISNUMBER(SEARCH("上",D2686)),ISNUMBER(SEARCH("去",D2686)),ISNUMBER(SEARCH("入",D2686)))),"Ambiguous",IF(ISNUMBER(SEARCH("平",D2686)),"平","仄")))</x:f>
        <x:v>平</x:v>
      </x:c>
      <x:c r="J2697" s="7" t="str"/>
    </x:row>
    <x:row r="2698">
      <x:c r="A2698" s="5" t="str">
        <x:v>短</x:v>
      </x:c>
      <x:c r="B2698" s="6" t="str">
        <x:v>上</x:v>
      </x:c>
      <x:c r="C2698" s="6" t="str">
        <x:f>IF(B2698="","Needs decision","Ready")</x:f>
        <x:v>Ready</x:v>
      </x:c>
      <x:c r="D2698" s="6" t="str">
        <x:v>上</x:v>
      </x:c>
      <x:c r="E2698" s="6" t="str">
        <x:v>twanX (B)</x:v>
      </x:c>
      <x:c r="F2698" s="6" t="str">
        <x:v>1</x:v>
      </x:c>
      <x:c r="G2698" s="6" t="str"/>
      <x:c r="H2698" s="6" t="str">
        <x:f>IF(B2698="平","平",IF(B2698="","","仄"))</x:f>
        <x:v>仄</x:v>
      </x:c>
      <x:c r="I2698" s="6" t="str">
        <x:f>IF(D2687="","",IF(AND(ISNUMBER(SEARCH("平",D2687)),OR(ISNUMBER(SEARCH("上",D2687)),ISNUMBER(SEARCH("去",D2687)),ISNUMBER(SEARCH("入",D2687)))),"Ambiguous",IF(ISNUMBER(SEARCH("平",D2687)),"平","仄")))</x:f>
        <x:v>平</x:v>
      </x:c>
      <x:c r="J2698" s="7" t="str"/>
    </x:row>
    <x:row r="2699">
      <x:c r="A2699" s="5" t="str">
        <x:v>矯</x:v>
      </x:c>
      <x:c r="B2699" s="6" t="str">
        <x:v>上</x:v>
      </x:c>
      <x:c r="C2699" s="6" t="str">
        <x:f>IF(B2699="","Needs decision","Ready")</x:f>
        <x:v>Ready</x:v>
      </x:c>
      <x:c r="D2699" s="6" t="str">
        <x:v>上</x:v>
      </x:c>
      <x:c r="E2699" s="6" t="str">
        <x:v>kjewX (B)</x:v>
      </x:c>
      <x:c r="F2699" s="6" t="str">
        <x:v>1</x:v>
      </x:c>
      <x:c r="G2699" s="6" t="str"/>
      <x:c r="H2699" s="6" t="str">
        <x:f>IF(B2699="平","平",IF(B2699="","","仄"))</x:f>
        <x:v>仄</x:v>
      </x:c>
      <x:c r="I2699" s="6" t="str">
        <x:f>IF(D2688="","",IF(AND(ISNUMBER(SEARCH("平",D2688)),OR(ISNUMBER(SEARCH("上",D2688)),ISNUMBER(SEARCH("去",D2688)),ISNUMBER(SEARCH("入",D2688)))),"Ambiguous",IF(ISNUMBER(SEARCH("平",D2688)),"平","仄")))</x:f>
        <x:v>平</x:v>
      </x:c>
      <x:c r="J2699" s="7" t="str"/>
    </x:row>
    <x:row r="2700">
      <x:c r="A2700" s="5" t="str">
        <x:v>矰</x:v>
      </x:c>
      <x:c r="B2700" s="6" t="str">
        <x:v>平</x:v>
      </x:c>
      <x:c r="C2700" s="6" t="str">
        <x:f>IF(B2700="","Needs decision","Ready")</x:f>
        <x:v>Ready</x:v>
      </x:c>
      <x:c r="D2700" s="6" t="str">
        <x:v>平</x:v>
      </x:c>
      <x:c r="E2700" s="6" t="str">
        <x:v>tsong [t̙s̙əŋ] (平)</x:v>
      </x:c>
      <x:c r="F2700" s="6" t="str">
        <x:v>1</x:v>
      </x:c>
      <x:c r="G2700" s="6" t="str">
        <x:v>Tang 300 gap; frequency 1; provisional from Xun Gong</x:v>
      </x:c>
      <x:c r="H2700" s="6" t="str">
        <x:f>IF(B2700="平","平",IF(B2700="","","仄"))</x:f>
        <x:v>平</x:v>
      </x:c>
      <x:c r="I2700" s="6" t="str">
        <x:f>IF(D2689="","",IF(AND(ISNUMBER(SEARCH("平",D2689)),OR(ISNUMBER(SEARCH("上",D2689)),ISNUMBER(SEARCH("去",D2689)),ISNUMBER(SEARCH("入",D2689)))),"Ambiguous",IF(ISNUMBER(SEARCH("平",D2689)),"平","仄")))</x:f>
        <x:v>仄</x:v>
      </x:c>
      <x:c r="J2700" s="7" t="str">
        <x:v>Xun Gong, Tang 300 gap fill</x:v>
      </x:c>
    </x:row>
    <x:row r="2701">
      <x:c r="A2701" s="5" t="str">
        <x:v>石</x:v>
      </x:c>
      <x:c r="B2701" s="6" t="str">
        <x:v>入</x:v>
      </x:c>
      <x:c r="C2701" s="6" t="str">
        <x:f>IF(B2701="","Needs decision","Ready")</x:f>
        <x:v>Ready</x:v>
      </x:c>
      <x:c r="D2701" s="6" t="str">
        <x:v>入</x:v>
      </x:c>
      <x:c r="E2701" s="6" t="str">
        <x:v>dzyek (D)</x:v>
      </x:c>
      <x:c r="F2701" s="6" t="str">
        <x:v>1</x:v>
      </x:c>
      <x:c r="G2701" s="6" t="str"/>
      <x:c r="H2701" s="6" t="str">
        <x:f>IF(B2701="平","平",IF(B2701="","","仄"))</x:f>
        <x:v>仄</x:v>
      </x:c>
      <x:c r="I2701" s="6" t="str">
        <x:f>IF(D2690="","",IF(AND(ISNUMBER(SEARCH("平",D2690)),OR(ISNUMBER(SEARCH("上",D2690)),ISNUMBER(SEARCH("去",D2690)),ISNUMBER(SEARCH("入",D2690)))),"Ambiguous",IF(ISNUMBER(SEARCH("平",D2690)),"平","仄")))</x:f>
        <x:v>平</x:v>
      </x:c>
      <x:c r="J2701" s="7" t="str"/>
    </x:row>
    <x:row r="2702">
      <x:c r="A2702" s="5" t="str">
        <x:v>砂</x:v>
      </x:c>
      <x:c r="B2702" s="6" t="str">
        <x:v>平</x:v>
      </x:c>
      <x:c r="C2702" s="6" t="str">
        <x:f>IF(B2702="","Needs decision","Ready")</x:f>
        <x:v>Ready</x:v>
      </x:c>
      <x:c r="D2702" s="6" t="str">
        <x:v>平</x:v>
      </x:c>
      <x:c r="E2702" s="6" t="str"/>
      <x:c r="F2702" s="6" t="str"/>
      <x:c r="G2702" s="6" t="str">
        <x:v>Manual user correction/addition</x:v>
      </x:c>
      <x:c r="H2702" s="6" t="str">
        <x:f>IF(B2702="平","平",IF(B2702="","","仄"))</x:f>
        <x:v>平</x:v>
      </x:c>
      <x:c r="I2702" s="6" t="str">
        <x:f>IF(D2691="","",IF(AND(ISNUMBER(SEARCH("平",D2691)),OR(ISNUMBER(SEARCH("上",D2691)),ISNUMBER(SEARCH("去",D2691)),ISNUMBER(SEARCH("入",D2691)))),"Ambiguous",IF(ISNUMBER(SEARCH("平",D2691)),"平","仄")))</x:f>
        <x:v>仄</x:v>
      </x:c>
      <x:c r="J2702" s="7" t="str">
        <x:v>manual user correction</x:v>
      </x:c>
    </x:row>
    <x:row r="2703">
      <x:c r="A2703" s="5" t="str">
        <x:v>研</x:v>
      </x:c>
      <x:c r="B2703" s="6" t="str">
        <x:v>平</x:v>
      </x:c>
      <x:c r="C2703" s="6" t="str">
        <x:f>IF(B2703="","Needs decision","Ready")</x:f>
        <x:v>Ready</x:v>
      </x:c>
      <x:c r="D2703" s="6" t="str">
        <x:v>平</x:v>
      </x:c>
      <x:c r="E2703" s="6" t="str">
        <x:v>ngen (A)</x:v>
      </x:c>
      <x:c r="F2703" s="6" t="str">
        <x:v>1</x:v>
      </x:c>
      <x:c r="G2703" s="6" t="str"/>
      <x:c r="H2703" s="6" t="str">
        <x:f>IF(B2703="平","平",IF(B2703="","","仄"))</x:f>
        <x:v>平</x:v>
      </x:c>
      <x:c r="I2703" s="6" t="str">
        <x:f>IF(D2692="","",IF(AND(ISNUMBER(SEARCH("平",D2692)),OR(ISNUMBER(SEARCH("上",D2692)),ISNUMBER(SEARCH("去",D2692)),ISNUMBER(SEARCH("入",D2692)))),"Ambiguous",IF(ISNUMBER(SEARCH("平",D2692)),"平","仄")))</x:f>
        <x:v>平</x:v>
      </x:c>
      <x:c r="J2703" s="7" t="str"/>
    </x:row>
    <x:row r="2704">
      <x:c r="A2704" s="5" t="str">
        <x:v>砠</x:v>
      </x:c>
      <x:c r="B2704" s="6" t="str">
        <x:v>平</x:v>
      </x:c>
      <x:c r="C2704" s="6" t="str">
        <x:f>IF(B2704="","Needs decision","Ready")</x:f>
        <x:v>Ready</x:v>
      </x:c>
      <x:c r="D2704" s="6" t="str">
        <x:v>平</x:v>
      </x:c>
      <x:c r="E2704" s="6" t="str">
        <x:v>tshjo (A)</x:v>
      </x:c>
      <x:c r="F2704" s="6" t="str">
        <x:v>1</x:v>
      </x:c>
      <x:c r="G2704" s="6" t="str"/>
      <x:c r="H2704" s="6" t="str">
        <x:f>IF(B2704="平","平",IF(B2704="","","仄"))</x:f>
        <x:v>平</x:v>
      </x:c>
      <x:c r="I2704" s="6" t="str">
        <x:f>IF(D2693="","",IF(AND(ISNUMBER(SEARCH("平",D2693)),OR(ISNUMBER(SEARCH("上",D2693)),ISNUMBER(SEARCH("去",D2693)),ISNUMBER(SEARCH("入",D2693)))),"Ambiguous",IF(ISNUMBER(SEARCH("平",D2693)),"平","仄")))</x:f>
        <x:v>平</x:v>
      </x:c>
      <x:c r="J2704" s="7" t="str"/>
    </x:row>
    <x:row r="2705">
      <x:c r="A2705" s="5" t="str">
        <x:v>砥</x:v>
      </x:c>
      <x:c r="B2705" s="6" t="str">
        <x:v>上</x:v>
      </x:c>
      <x:c r="C2705" s="6" t="str">
        <x:f>IF(B2705="","Needs decision","Ready")</x:f>
        <x:v>Ready</x:v>
      </x:c>
      <x:c r="D2705" s="6" t="str">
        <x:v>上</x:v>
      </x:c>
      <x:c r="E2705" s="6" t="str">
        <x:v>tsyijX (B)</x:v>
      </x:c>
      <x:c r="F2705" s="6" t="str">
        <x:v>1</x:v>
      </x:c>
      <x:c r="G2705" s="6" t="str"/>
      <x:c r="H2705" s="6" t="str">
        <x:f>IF(B2705="平","平",IF(B2705="","","仄"))</x:f>
        <x:v>仄</x:v>
      </x:c>
      <x:c r="I2705" s="6" t="str">
        <x:f>IF(D2694="","",IF(AND(ISNUMBER(SEARCH("平",D2694)),OR(ISNUMBER(SEARCH("上",D2694)),ISNUMBER(SEARCH("去",D2694)),ISNUMBER(SEARCH("入",D2694)))),"Ambiguous",IF(ISNUMBER(SEARCH("平",D2694)),"平","仄")))</x:f>
        <x:v>仄</x:v>
      </x:c>
      <x:c r="J2705" s="7" t="str"/>
    </x:row>
    <x:row r="2706">
      <x:c r="A2706" s="5" t="str">
        <x:v>砧</x:v>
      </x:c>
      <x:c r="B2706" s="6" t="str">
        <x:v>平</x:v>
      </x:c>
      <x:c r="C2706" s="6" t="str">
        <x:f>IF(B2706="","Needs decision","Ready")</x:f>
        <x:v>Ready</x:v>
      </x:c>
      <x:c r="D2706" s="6" t="str">
        <x:v>平</x:v>
      </x:c>
      <x:c r="E2706" s="6" t="str">
        <x:v>trim [ʈim] (平)</x:v>
      </x:c>
      <x:c r="F2706" s="6" t="str">
        <x:v>1</x:v>
      </x:c>
      <x:c r="G2706" s="6" t="str">
        <x:v>Tang 300 gap; frequency 5; provisional from Xun Gong</x:v>
      </x:c>
      <x:c r="H2706" s="6" t="str">
        <x:f>IF(B2706="平","平",IF(B2706="","","仄"))</x:f>
        <x:v>平</x:v>
      </x:c>
      <x:c r="I2706" s="6" t="str">
        <x:f>IF(D2695="","",IF(AND(ISNUMBER(SEARCH("平",D2695)),OR(ISNUMBER(SEARCH("上",D2695)),ISNUMBER(SEARCH("去",D2695)),ISNUMBER(SEARCH("入",D2695)))),"Ambiguous",IF(ISNUMBER(SEARCH("平",D2695)),"平","仄")))</x:f>
        <x:v>仄</x:v>
      </x:c>
      <x:c r="J2706" s="7" t="str">
        <x:v>Xun Gong, Tang 300 gap fill</x:v>
      </x:c>
    </x:row>
    <x:row r="2707">
      <x:c r="A2707" s="5" t="str">
        <x:v>砯</x:v>
      </x:c>
      <x:c r="B2707" s="6" t="str">
        <x:v>平</x:v>
      </x:c>
      <x:c r="C2707" s="6" t="str">
        <x:f>IF(B2707="","Needs decision","Ready")</x:f>
        <x:v>Ready</x:v>
      </x:c>
      <x:c r="D2707" s="6" t="str">
        <x:v>平</x:v>
      </x:c>
      <x:c r="E2707" s="6" t="str">
        <x:v>phing [pʰɨŋ] (平)</x:v>
      </x:c>
      <x:c r="F2707" s="6" t="str">
        <x:v>1</x:v>
      </x:c>
      <x:c r="G2707" s="6" t="str">
        <x:v>Tang 300 gap; frequency 1; provisional from Xun Gong</x:v>
      </x:c>
      <x:c r="H2707" s="6" t="str">
        <x:f>IF(B2707="平","平",IF(B2707="","","仄"))</x:f>
        <x:v>平</x:v>
      </x:c>
      <x:c r="I2707" s="6" t="str">
        <x:f>IF(D2696="","",IF(AND(ISNUMBER(SEARCH("平",D2696)),OR(ISNUMBER(SEARCH("上",D2696)),ISNUMBER(SEARCH("去",D2696)),ISNUMBER(SEARCH("入",D2696)))),"Ambiguous",IF(ISNUMBER(SEARCH("平",D2696)),"平","仄")))</x:f>
        <x:v>平</x:v>
      </x:c>
      <x:c r="J2707" s="7" t="str">
        <x:v>Xun Gong, Tang 300 gap fill</x:v>
      </x:c>
    </x:row>
    <x:row r="2708">
      <x:c r="A2708" s="5" t="str">
        <x:v>破</x:v>
      </x:c>
      <x:c r="B2708" s="6" t="str">
        <x:v>去</x:v>
      </x:c>
      <x:c r="C2708" s="6" t="str">
        <x:f>IF(B2708="","Needs decision","Ready")</x:f>
        <x:v>Ready</x:v>
      </x:c>
      <x:c r="D2708" s="6" t="str">
        <x:v>去</x:v>
      </x:c>
      <x:c r="E2708" s="6" t="str">
        <x:v>phaH (C)</x:v>
      </x:c>
      <x:c r="F2708" s="6" t="str">
        <x:v>1</x:v>
      </x:c>
      <x:c r="G2708" s="6" t="str"/>
      <x:c r="H2708" s="6" t="str">
        <x:f>IF(B2708="平","平",IF(B2708="","","仄"))</x:f>
        <x:v>仄</x:v>
      </x:c>
      <x:c r="I2708" s="6" t="str">
        <x:f>IF(D2697="","",IF(AND(ISNUMBER(SEARCH("平",D2697)),OR(ISNUMBER(SEARCH("上",D2697)),ISNUMBER(SEARCH("去",D2697)),ISNUMBER(SEARCH("入",D2697)))),"Ambiguous",IF(ISNUMBER(SEARCH("平",D2697)),"平","仄")))</x:f>
        <x:v>仄</x:v>
      </x:c>
      <x:c r="J2708" s="7" t="str"/>
    </x:row>
    <x:row r="2709">
      <x:c r="A2709" s="5" t="str">
        <x:v>硎</x:v>
      </x:c>
      <x:c r="B2709" s="6" t="str">
        <x:v>平</x:v>
      </x:c>
      <x:c r="C2709" s="6" t="str">
        <x:f>IF(B2709="","Needs decision","Ready")</x:f>
        <x:v>Ready</x:v>
      </x:c>
      <x:c r="D2709" s="6" t="str">
        <x:v>平</x:v>
      </x:c>
      <x:c r="E2709" s="6" t="str">
        <x:v>heng (A)</x:v>
      </x:c>
      <x:c r="F2709" s="6" t="str">
        <x:v>1</x:v>
      </x:c>
      <x:c r="G2709" s="6" t="str"/>
      <x:c r="H2709" s="6" t="str">
        <x:f>IF(B2709="平","平",IF(B2709="","","仄"))</x:f>
        <x:v>平</x:v>
      </x:c>
      <x:c r="I2709" s="6" t="str">
        <x:f>IF(D2698="","",IF(AND(ISNUMBER(SEARCH("平",D2698)),OR(ISNUMBER(SEARCH("上",D2698)),ISNUMBER(SEARCH("去",D2698)),ISNUMBER(SEARCH("入",D2698)))),"Ambiguous",IF(ISNUMBER(SEARCH("平",D2698)),"平","仄")))</x:f>
        <x:v>仄</x:v>
      </x:c>
      <x:c r="J2709" s="7" t="str"/>
    </x:row>
    <x:row r="2710">
      <x:c r="A2710" s="5" t="str">
        <x:v>硏</x:v>
      </x:c>
      <x:c r="B2710" s="6" t="str">
        <x:v>去</x:v>
      </x:c>
      <x:c r="C2710" s="6" t="str">
        <x:f>IF(B2710="","Needs decision","Ready")</x:f>
        <x:v>Ready</x:v>
      </x:c>
      <x:c r="D2710" s="6" t="str">
        <x:v>去</x:v>
      </x:c>
      <x:c r="E2710" s="6" t="str">
        <x:v>ngenH (C)</x:v>
      </x:c>
      <x:c r="F2710" s="6" t="str">
        <x:v>1</x:v>
      </x:c>
      <x:c r="G2710" s="6" t="str"/>
      <x:c r="H2710" s="6" t="str">
        <x:f>IF(B2710="平","平",IF(B2710="","","仄"))</x:f>
        <x:v>仄</x:v>
      </x:c>
      <x:c r="I2710" s="6" t="str">
        <x:f>IF(D2699="","",IF(AND(ISNUMBER(SEARCH("平",D2699)),OR(ISNUMBER(SEARCH("上",D2699)),ISNUMBER(SEARCH("去",D2699)),ISNUMBER(SEARCH("入",D2699)))),"Ambiguous",IF(ISNUMBER(SEARCH("平",D2699)),"平","仄")))</x:f>
        <x:v>仄</x:v>
      </x:c>
      <x:c r="J2710" s="7" t="str"/>
    </x:row>
    <x:row r="2711">
      <x:c r="A2711" s="5" t="str">
        <x:v>确</x:v>
      </x:c>
      <x:c r="B2711" s="6" t="str">
        <x:v>入</x:v>
      </x:c>
      <x:c r="C2711" s="6" t="str">
        <x:f>IF(B2711="","Needs decision","Ready")</x:f>
        <x:v>Ready</x:v>
      </x:c>
      <x:c r="D2711" s="6" t="str">
        <x:v>入</x:v>
      </x:c>
      <x:c r="E2711" s="6" t="str">
        <x:v>haewk [ʁoˤk] (入)</x:v>
      </x:c>
      <x:c r="F2711" s="6" t="str">
        <x:v>1</x:v>
      </x:c>
      <x:c r="G2711" s="6" t="str">
        <x:v>Tang 300 gap; frequency 1; provisional from Xun Gong</x:v>
      </x:c>
      <x:c r="H2711" s="6" t="str">
        <x:f>IF(B2711="平","平",IF(B2711="","","仄"))</x:f>
        <x:v>仄</x:v>
      </x:c>
      <x:c r="I2711" s="6" t="str">
        <x:f>IF(D2700="","",IF(AND(ISNUMBER(SEARCH("平",D2700)),OR(ISNUMBER(SEARCH("上",D2700)),ISNUMBER(SEARCH("去",D2700)),ISNUMBER(SEARCH("入",D2700)))),"Ambiguous",IF(ISNUMBER(SEARCH("平",D2700)),"平","仄")))</x:f>
        <x:v>平</x:v>
      </x:c>
      <x:c r="J2711" s="7" t="str">
        <x:v>Xun Gong, Tang 300 gap fill</x:v>
      </x:c>
    </x:row>
    <x:row r="2712">
      <x:c r="A2712" s="5" t="str">
        <x:v>硯</x:v>
      </x:c>
      <x:c r="B2712" s="6" t="str">
        <x:v>去</x:v>
      </x:c>
      <x:c r="C2712" s="6" t="str">
        <x:f>IF(B2712="","Needs decision","Ready")</x:f>
        <x:v>Ready</x:v>
      </x:c>
      <x:c r="D2712" s="6" t="str">
        <x:v>去</x:v>
      </x:c>
      <x:c r="E2712" s="6" t="str">
        <x:v>ngenH (C)</x:v>
      </x:c>
      <x:c r="F2712" s="6" t="str">
        <x:v>1</x:v>
      </x:c>
      <x:c r="G2712" s="6" t="str"/>
      <x:c r="H2712" s="6" t="str">
        <x:f>IF(B2712="平","平",IF(B2712="","","仄"))</x:f>
        <x:v>仄</x:v>
      </x:c>
      <x:c r="I2712" s="6" t="str">
        <x:f>IF(D2701="","",IF(AND(ISNUMBER(SEARCH("平",D2701)),OR(ISNUMBER(SEARCH("上",D2701)),ISNUMBER(SEARCH("去",D2701)),ISNUMBER(SEARCH("入",D2701)))),"Ambiguous",IF(ISNUMBER(SEARCH("平",D2701)),"平","仄")))</x:f>
        <x:v>仄</x:v>
      </x:c>
      <x:c r="J2712" s="7" t="str"/>
    </x:row>
    <x:row r="2713">
      <x:c r="A2713" s="5" t="str">
        <x:v>碎</x:v>
      </x:c>
      <x:c r="B2713" s="6" t="str">
        <x:v>去</x:v>
      </x:c>
      <x:c r="C2713" s="6" t="str">
        <x:f>IF(B2713="","Needs decision","Ready")</x:f>
        <x:v>Ready</x:v>
      </x:c>
      <x:c r="D2713" s="6" t="str">
        <x:v>去</x:v>
      </x:c>
      <x:c r="E2713" s="6" t="str">
        <x:v>swojH (C)</x:v>
      </x:c>
      <x:c r="F2713" s="6" t="str">
        <x:v>1</x:v>
      </x:c>
      <x:c r="G2713" s="6" t="str"/>
      <x:c r="H2713" s="6" t="str">
        <x:f>IF(B2713="平","平",IF(B2713="","","仄"))</x:f>
        <x:v>仄</x:v>
      </x:c>
      <x:c r="I2713" s="6" t="str">
        <x:f>IF(D2702="","",IF(AND(ISNUMBER(SEARCH("平",D2702)),OR(ISNUMBER(SEARCH("上",D2702)),ISNUMBER(SEARCH("去",D2702)),ISNUMBER(SEARCH("入",D2702)))),"Ambiguous",IF(ISNUMBER(SEARCH("平",D2702)),"平","仄")))</x:f>
        <x:v>平</x:v>
      </x:c>
      <x:c r="J2713" s="7" t="str"/>
    </x:row>
    <x:row r="2714">
      <x:c r="A2714" s="5" t="str">
        <x:v>碑</x:v>
      </x:c>
      <x:c r="B2714" s="6" t="str">
        <x:v>平</x:v>
      </x:c>
      <x:c r="C2714" s="6" t="str">
        <x:f>IF(B2714="","Needs decision","Ready")</x:f>
        <x:v>Ready</x:v>
      </x:c>
      <x:c r="D2714" s="6" t="str">
        <x:v>平</x:v>
      </x:c>
      <x:c r="E2714" s="6" t="str">
        <x:v>pje (A)</x:v>
      </x:c>
      <x:c r="F2714" s="6" t="str">
        <x:v>1</x:v>
      </x:c>
      <x:c r="G2714" s="6" t="str"/>
      <x:c r="H2714" s="6" t="str">
        <x:f>IF(B2714="平","平",IF(B2714="","","仄"))</x:f>
        <x:v>平</x:v>
      </x:c>
      <x:c r="I2714" s="6" t="str">
        <x:f>IF(D2703="","",IF(AND(ISNUMBER(SEARCH("平",D2703)),OR(ISNUMBER(SEARCH("上",D2703)),ISNUMBER(SEARCH("去",D2703)),ISNUMBER(SEARCH("入",D2703)))),"Ambiguous",IF(ISNUMBER(SEARCH("平",D2703)),"平","仄")))</x:f>
        <x:v>平</x:v>
      </x:c>
      <x:c r="J2714" s="7" t="str"/>
    </x:row>
    <x:row r="2715">
      <x:c r="A2715" s="5" t="str">
        <x:v>碣</x:v>
      </x:c>
      <x:c r="B2715" s="6" t="str">
        <x:v>入</x:v>
      </x:c>
      <x:c r="C2715" s="6" t="str">
        <x:f>IF(B2715="","Needs decision","Ready")</x:f>
        <x:v>Ready</x:v>
      </x:c>
      <x:c r="D2715" s="6" t="str">
        <x:v>入</x:v>
      </x:c>
      <x:c r="E2715" s="6" t="str">
        <x:v>gjet [ɡɨ̯et] (入); gjot [ɡɨ̯ət] (入)</x:v>
      </x:c>
      <x:c r="F2715" s="6" t="str">
        <x:v>2</x:v>
      </x:c>
      <x:c r="G2715" s="6" t="str">
        <x:v>Tang 300 gap; frequency 1; provisional from Xun Gong</x:v>
      </x:c>
      <x:c r="H2715" s="6" t="str">
        <x:f>IF(B2715="平","平",IF(B2715="","","仄"))</x:f>
        <x:v>仄</x:v>
      </x:c>
      <x:c r="I2715" s="6" t="str">
        <x:f>IF(D2704="","",IF(AND(ISNUMBER(SEARCH("平",D2704)),OR(ISNUMBER(SEARCH("上",D2704)),ISNUMBER(SEARCH("去",D2704)),ISNUMBER(SEARCH("入",D2704)))),"Ambiguous",IF(ISNUMBER(SEARCH("平",D2704)),"平","仄")))</x:f>
        <x:v>平</x:v>
      </x:c>
      <x:c r="J2715" s="7" t="str">
        <x:v>Xun Gong, Tang 300 gap fill</x:v>
      </x:c>
    </x:row>
    <x:row r="2716">
      <x:c r="A2716" s="5" t="str">
        <x:v>碧</x:v>
      </x:c>
      <x:c r="B2716" s="6" t="str">
        <x:v>入</x:v>
      </x:c>
      <x:c r="C2716" s="6" t="str">
        <x:f>IF(B2716="","Needs decision","Ready")</x:f>
        <x:v>Ready</x:v>
      </x:c>
      <x:c r="D2716" s="6" t="str">
        <x:v>入</x:v>
      </x:c>
      <x:c r="E2716" s="6" t="str">
        <x:v>pjaek (D)</x:v>
      </x:c>
      <x:c r="F2716" s="6" t="str">
        <x:v>1</x:v>
      </x:c>
      <x:c r="G2716" s="6" t="str"/>
      <x:c r="H2716" s="6" t="str">
        <x:f>IF(B2716="平","平",IF(B2716="","","仄"))</x:f>
        <x:v>仄</x:v>
      </x:c>
      <x:c r="I2716" s="6" t="str">
        <x:f>IF(D2705="","",IF(AND(ISNUMBER(SEARCH("平",D2705)),OR(ISNUMBER(SEARCH("上",D2705)),ISNUMBER(SEARCH("去",D2705)),ISNUMBER(SEARCH("入",D2705)))),"Ambiguous",IF(ISNUMBER(SEARCH("平",D2705)),"平","仄")))</x:f>
        <x:v>仄</x:v>
      </x:c>
      <x:c r="J2716" s="7" t="str"/>
    </x:row>
    <x:row r="2717">
      <x:c r="A2717" s="5" t="str">
        <x:v>碩</x:v>
      </x:c>
      <x:c r="B2717" s="6" t="str">
        <x:v>入</x:v>
      </x:c>
      <x:c r="C2717" s="6" t="str">
        <x:f>IF(B2717="","Needs decision","Ready")</x:f>
        <x:v>Ready</x:v>
      </x:c>
      <x:c r="D2717" s="6" t="str">
        <x:v>入</x:v>
      </x:c>
      <x:c r="E2717" s="6" t="str">
        <x:v>dzyek (D)</x:v>
      </x:c>
      <x:c r="F2717" s="6" t="str">
        <x:v>1</x:v>
      </x:c>
      <x:c r="G2717" s="6" t="str"/>
      <x:c r="H2717" s="6" t="str">
        <x:f>IF(B2717="平","平",IF(B2717="","","仄"))</x:f>
        <x:v>仄</x:v>
      </x:c>
      <x:c r="I2717" s="6" t="str">
        <x:f>IF(D2706="","",IF(AND(ISNUMBER(SEARCH("平",D2706)),OR(ISNUMBER(SEARCH("上",D2706)),ISNUMBER(SEARCH("去",D2706)),ISNUMBER(SEARCH("入",D2706)))),"Ambiguous",IF(ISNUMBER(SEARCH("平",D2706)),"平","仄")))</x:f>
        <x:v>平</x:v>
      </x:c>
      <x:c r="J2717" s="7" t="str"/>
    </x:row>
    <x:row r="2718">
      <x:c r="A2718" s="5" t="str">
        <x:v>碭</x:v>
      </x:c>
      <x:c r="B2718" s="6" t="str">
        <x:v>去</x:v>
      </x:c>
      <x:c r="C2718" s="6" t="str">
        <x:f>IF(B2718="","Needs decision","Ready")</x:f>
        <x:v>Ready</x:v>
      </x:c>
      <x:c r="D2718" s="6" t="str">
        <x:v>去</x:v>
      </x:c>
      <x:c r="E2718" s="6" t="str">
        <x:v>dangH (C)</x:v>
      </x:c>
      <x:c r="F2718" s="6" t="str">
        <x:v>1</x:v>
      </x:c>
      <x:c r="G2718" s="6" t="str"/>
      <x:c r="H2718" s="6" t="str">
        <x:f>IF(B2718="平","平",IF(B2718="","","仄"))</x:f>
        <x:v>仄</x:v>
      </x:c>
      <x:c r="I2718" s="6" t="str">
        <x:f>IF(D2707="","",IF(AND(ISNUMBER(SEARCH("平",D2707)),OR(ISNUMBER(SEARCH("上",D2707)),ISNUMBER(SEARCH("去",D2707)),ISNUMBER(SEARCH("入",D2707)))),"Ambiguous",IF(ISNUMBER(SEARCH("平",D2707)),"平","仄")))</x:f>
        <x:v>平</x:v>
      </x:c>
      <x:c r="J2718" s="7" t="str"/>
    </x:row>
    <x:row r="2719">
      <x:c r="A2719" s="5" t="str">
        <x:v>確</x:v>
      </x:c>
      <x:c r="B2719" s="6" t="str">
        <x:v>入</x:v>
      </x:c>
      <x:c r="C2719" s="6" t="str">
        <x:f>IF(B2719="","Needs decision","Ready")</x:f>
        <x:v>Ready</x:v>
      </x:c>
      <x:c r="D2719" s="6" t="str">
        <x:v>入</x:v>
      </x:c>
      <x:c r="E2719" s="6" t="str">
        <x:v>khaewk (D)</x:v>
      </x:c>
      <x:c r="F2719" s="6" t="str">
        <x:v>1</x:v>
      </x:c>
      <x:c r="G2719" s="6" t="str"/>
      <x:c r="H2719" s="6" t="str">
        <x:f>IF(B2719="平","平",IF(B2719="","","仄"))</x:f>
        <x:v>仄</x:v>
      </x:c>
      <x:c r="I2719" s="6" t="str">
        <x:f>IF(D2708="","",IF(AND(ISNUMBER(SEARCH("平",D2708)),OR(ISNUMBER(SEARCH("上",D2708)),ISNUMBER(SEARCH("去",D2708)),ISNUMBER(SEARCH("入",D2708)))),"Ambiguous",IF(ISNUMBER(SEARCH("平",D2708)),"平","仄")))</x:f>
        <x:v>仄</x:v>
      </x:c>
      <x:c r="J2719" s="7" t="str"/>
    </x:row>
    <x:row r="2720">
      <x:c r="A2720" s="5" t="str">
        <x:v>磊</x:v>
      </x:c>
      <x:c r="B2720" s="6" t="str">
        <x:v>上</x:v>
      </x:c>
      <x:c r="C2720" s="6" t="str">
        <x:f>IF(B2720="","Needs decision","Ready")</x:f>
        <x:v>Ready</x:v>
      </x:c>
      <x:c r="D2720" s="6" t="str">
        <x:v>上</x:v>
      </x:c>
      <x:c r="E2720" s="6" t="str">
        <x:v>lwojX [l̙wəjʔ] (上)</x:v>
      </x:c>
      <x:c r="F2720" s="6" t="str">
        <x:v>1</x:v>
      </x:c>
      <x:c r="G2720" s="6" t="str">
        <x:v>Tang 300 gap; frequency 1; provisional from Xun Gong</x:v>
      </x:c>
      <x:c r="H2720" s="6" t="str">
        <x:f>IF(B2720="平","平",IF(B2720="","","仄"))</x:f>
        <x:v>仄</x:v>
      </x:c>
      <x:c r="I2720" s="6" t="str">
        <x:f>IF(D2709="","",IF(AND(ISNUMBER(SEARCH("平",D2709)),OR(ISNUMBER(SEARCH("上",D2709)),ISNUMBER(SEARCH("去",D2709)),ISNUMBER(SEARCH("入",D2709)))),"Ambiguous",IF(ISNUMBER(SEARCH("平",D2709)),"平","仄")))</x:f>
        <x:v>平</x:v>
      </x:c>
      <x:c r="J2720" s="7" t="str">
        <x:v>Xun Gong, Tang 300 gap fill</x:v>
      </x:c>
    </x:row>
    <x:row r="2721">
      <x:c r="A2721" s="5" t="str">
        <x:v>磋</x:v>
      </x:c>
      <x:c r="B2721" s="6" t="str">
        <x:v>平</x:v>
      </x:c>
      <x:c r="C2721" s="6" t="str">
        <x:f>IF(B2721="","Needs decision","Ready")</x:f>
        <x:v>Ready</x:v>
      </x:c>
      <x:c r="D2721" s="6" t="str">
        <x:v>平</x:v>
      </x:c>
      <x:c r="E2721" s="6" t="str">
        <x:v>tsha (A)</x:v>
      </x:c>
      <x:c r="F2721" s="6" t="str">
        <x:v>1</x:v>
      </x:c>
      <x:c r="G2721" s="6" t="str"/>
      <x:c r="H2721" s="6" t="str">
        <x:f>IF(B2721="平","平",IF(B2721="","","仄"))</x:f>
        <x:v>平</x:v>
      </x:c>
      <x:c r="I2721" s="6" t="str">
        <x:f>IF(D2710="","",IF(AND(ISNUMBER(SEARCH("平",D2710)),OR(ISNUMBER(SEARCH("上",D2710)),ISNUMBER(SEARCH("去",D2710)),ISNUMBER(SEARCH("入",D2710)))),"Ambiguous",IF(ISNUMBER(SEARCH("平",D2710)),"平","仄")))</x:f>
        <x:v>仄</x:v>
      </x:c>
      <x:c r="J2721" s="7" t="str"/>
    </x:row>
    <x:row r="2722">
      <x:c r="A2722" s="5" t="str">
        <x:v>磏</x:v>
      </x:c>
      <x:c r="B2722" s="6" t="str">
        <x:v>平</x:v>
      </x:c>
      <x:c r="C2722" s="6" t="str">
        <x:f>IF(B2722="","Needs decision","Ready")</x:f>
        <x:v>Ready</x:v>
      </x:c>
      <x:c r="D2722" s="6" t="str">
        <x:v>平</x:v>
      </x:c>
      <x:c r="E2722" s="6" t="str">
        <x:v>ljem (A)</x:v>
      </x:c>
      <x:c r="F2722" s="6" t="str">
        <x:v>1</x:v>
      </x:c>
      <x:c r="G2722" s="6" t="str"/>
      <x:c r="H2722" s="6" t="str">
        <x:f>IF(B2722="平","平",IF(B2722="","","仄"))</x:f>
        <x:v>平</x:v>
      </x:c>
      <x:c r="I2722" s="6" t="str">
        <x:f>IF(D2711="","",IF(AND(ISNUMBER(SEARCH("平",D2711)),OR(ISNUMBER(SEARCH("上",D2711)),ISNUMBER(SEARCH("去",D2711)),ISNUMBER(SEARCH("入",D2711)))),"Ambiguous",IF(ISNUMBER(SEARCH("平",D2711)),"平","仄")))</x:f>
        <x:v>仄</x:v>
      </x:c>
      <x:c r="J2722" s="7" t="str"/>
    </x:row>
    <x:row r="2723">
      <x:c r="A2723" s="5" t="str">
        <x:v>磔</x:v>
      </x:c>
      <x:c r="B2723" s="6" t="str">
        <x:v>入</x:v>
      </x:c>
      <x:c r="C2723" s="6" t="str">
        <x:f>IF(B2723="","Needs decision","Ready")</x:f>
        <x:v>Ready</x:v>
      </x:c>
      <x:c r="D2723" s="6" t="str">
        <x:v>入</x:v>
      </x:c>
      <x:c r="E2723" s="6" t="str">
        <x:v>traek [ʈaˤk] (入)</x:v>
      </x:c>
      <x:c r="F2723" s="6" t="str">
        <x:v>1</x:v>
      </x:c>
      <x:c r="G2723" s="6" t="str">
        <x:v>Tang 300 gap; frequency 1; provisional from Xun Gong</x:v>
      </x:c>
      <x:c r="H2723" s="6" t="str">
        <x:f>IF(B2723="平","平",IF(B2723="","","仄"))</x:f>
        <x:v>仄</x:v>
      </x:c>
      <x:c r="I2723" s="6" t="str">
        <x:f>IF(D2712="","",IF(AND(ISNUMBER(SEARCH("平",D2712)),OR(ISNUMBER(SEARCH("上",D2712)),ISNUMBER(SEARCH("去",D2712)),ISNUMBER(SEARCH("入",D2712)))),"Ambiguous",IF(ISNUMBER(SEARCH("平",D2712)),"平","仄")))</x:f>
        <x:v>仄</x:v>
      </x:c>
      <x:c r="J2723" s="7" t="str">
        <x:v>Xun Gong, Tang 300 gap fill</x:v>
      </x:c>
    </x:row>
    <x:row r="2724">
      <x:c r="A2724" s="5" t="str">
        <x:v>磨</x:v>
      </x:c>
      <x:c r="B2724" s="6" t="str">
        <x:v>平</x:v>
      </x:c>
      <x:c r="C2724" s="6" t="str">
        <x:f>IF(B2724="","Needs decision","Ready")</x:f>
        <x:v>Ready</x:v>
      </x:c>
      <x:c r="D2724" s="6" t="str">
        <x:v>平/去</x:v>
      </x:c>
      <x:c r="E2724" s="6" t="str">
        <x:v>ma (A); maH (C)</x:v>
      </x:c>
      <x:c r="F2724" s="6" t="str">
        <x:v>2</x:v>
      </x:c>
      <x:c r="G2724" s="6" t="str"/>
      <x:c r="H2724" s="6" t="str">
        <x:f>IF(B2724="平","平",IF(B2724="","","仄"))</x:f>
        <x:v>平</x:v>
      </x:c>
      <x:c r="I2724" s="6" t="str">
        <x:f>IF(D2713="","",IF(AND(ISNUMBER(SEARCH("平",D2713)),OR(ISNUMBER(SEARCH("上",D2713)),ISNUMBER(SEARCH("去",D2713)),ISNUMBER(SEARCH("入",D2713)))),"Ambiguous",IF(ISNUMBER(SEARCH("平",D2713)),"平","仄")))</x:f>
        <x:v>仄</x:v>
      </x:c>
      <x:c r="J2724" s="7" t="str"/>
    </x:row>
    <x:row r="2725">
      <x:c r="A2725" s="5" t="str">
        <x:v>磬</x:v>
      </x:c>
      <x:c r="B2725" s="6" t="str">
        <x:v>去</x:v>
      </x:c>
      <x:c r="C2725" s="6" t="str">
        <x:f>IF(B2725="","Needs decision","Ready")</x:f>
        <x:v>Ready</x:v>
      </x:c>
      <x:c r="D2725" s="6" t="str">
        <x:v>去</x:v>
      </x:c>
      <x:c r="E2725" s="6" t="str">
        <x:v>khengH (C)</x:v>
      </x:c>
      <x:c r="F2725" s="6" t="str">
        <x:v>1</x:v>
      </x:c>
      <x:c r="G2725" s="6" t="str"/>
      <x:c r="H2725" s="6" t="str">
        <x:f>IF(B2725="平","平",IF(B2725="","","仄"))</x:f>
        <x:v>仄</x:v>
      </x:c>
      <x:c r="I2725" s="6" t="str">
        <x:f>IF(D2714="","",IF(AND(ISNUMBER(SEARCH("平",D2714)),OR(ISNUMBER(SEARCH("上",D2714)),ISNUMBER(SEARCH("去",D2714)),ISNUMBER(SEARCH("入",D2714)))),"Ambiguous",IF(ISNUMBER(SEARCH("平",D2714)),"平","仄")))</x:f>
        <x:v>平</x:v>
      </x:c>
      <x:c r="J2725" s="7" t="str"/>
    </x:row>
    <x:row r="2726">
      <x:c r="A2726" s="5" t="str">
        <x:v>磯</x:v>
      </x:c>
      <x:c r="B2726" s="6" t="str">
        <x:v>平</x:v>
      </x:c>
      <x:c r="C2726" s="6" t="str">
        <x:f>IF(B2726="","Needs decision","Ready")</x:f>
        <x:v>Ready</x:v>
      </x:c>
      <x:c r="D2726" s="6" t="str">
        <x:v>平</x:v>
      </x:c>
      <x:c r="E2726" s="6" t="str">
        <x:v>kj+j [kɨj] (平)</x:v>
      </x:c>
      <x:c r="F2726" s="6" t="str">
        <x:v>1</x:v>
      </x:c>
      <x:c r="G2726" s="6" t="str">
        <x:v>Tang 300 gap; frequency 1; provisional from Xun Gong</x:v>
      </x:c>
      <x:c r="H2726" s="6" t="str">
        <x:f>IF(B2726="平","平",IF(B2726="","","仄"))</x:f>
        <x:v>平</x:v>
      </x:c>
      <x:c r="I2726" s="6" t="str">
        <x:f>IF(D2715="","",IF(AND(ISNUMBER(SEARCH("平",D2715)),OR(ISNUMBER(SEARCH("上",D2715)),ISNUMBER(SEARCH("去",D2715)),ISNUMBER(SEARCH("入",D2715)))),"Ambiguous",IF(ISNUMBER(SEARCH("平",D2715)),"平","仄")))</x:f>
        <x:v>仄</x:v>
      </x:c>
      <x:c r="J2726" s="7" t="str">
        <x:v>Xun Gong, Tang 300 gap fill</x:v>
      </x:c>
    </x:row>
    <x:row r="2727">
      <x:c r="A2727" s="5" t="str">
        <x:v>磴</x:v>
      </x:c>
      <x:c r="B2727" s="6" t="str">
        <x:v>去</x:v>
      </x:c>
      <x:c r="C2727" s="6" t="str">
        <x:f>IF(B2727="","Needs decision","Ready")</x:f>
        <x:v>Ready</x:v>
      </x:c>
      <x:c r="D2727" s="6" t="str">
        <x:v>去</x:v>
      </x:c>
      <x:c r="E2727" s="6" t="str">
        <x:v>tongH [t̙əŋh] (去)</x:v>
      </x:c>
      <x:c r="F2727" s="6" t="str">
        <x:v>1</x:v>
      </x:c>
      <x:c r="G2727" s="6" t="str">
        <x:v>Tang 300 gap; frequency 1; provisional from Xun Gong</x:v>
      </x:c>
      <x:c r="H2727" s="6" t="str">
        <x:f>IF(B2727="平","平",IF(B2727="","","仄"))</x:f>
        <x:v>仄</x:v>
      </x:c>
      <x:c r="I2727" s="6" t="str">
        <x:f>IF(D2716="","",IF(AND(ISNUMBER(SEARCH("平",D2716)),OR(ISNUMBER(SEARCH("上",D2716)),ISNUMBER(SEARCH("去",D2716)),ISNUMBER(SEARCH("入",D2716)))),"Ambiguous",IF(ISNUMBER(SEARCH("平",D2716)),"平","仄")))</x:f>
        <x:v>仄</x:v>
      </x:c>
      <x:c r="J2727" s="7" t="str">
        <x:v>Xun Gong, Tang 300 gap fill</x:v>
      </x:c>
    </x:row>
    <x:row r="2728">
      <x:c r="A2728" s="5" t="str">
        <x:v>磽</x:v>
      </x:c>
      <x:c r="B2728" s="6" t="str">
        <x:v>平</x:v>
      </x:c>
      <x:c r="C2728" s="6" t="str">
        <x:f>IF(B2728="","Needs decision","Ready")</x:f>
        <x:v>Ready</x:v>
      </x:c>
      <x:c r="D2728" s="6" t="str">
        <x:v>平</x:v>
      </x:c>
      <x:c r="E2728" s="6" t="str">
        <x:v>khaew (A)</x:v>
      </x:c>
      <x:c r="F2728" s="6" t="str">
        <x:v>1</x:v>
      </x:c>
      <x:c r="G2728" s="6" t="str"/>
      <x:c r="H2728" s="6" t="str">
        <x:f>IF(B2728="平","平",IF(B2728="","","仄"))</x:f>
        <x:v>平</x:v>
      </x:c>
      <x:c r="I2728" s="6" t="str">
        <x:f>IF(D2717="","",IF(AND(ISNUMBER(SEARCH("平",D2717)),OR(ISNUMBER(SEARCH("上",D2717)),ISNUMBER(SEARCH("去",D2717)),ISNUMBER(SEARCH("入",D2717)))),"Ambiguous",IF(ISNUMBER(SEARCH("平",D2717)),"平","仄")))</x:f>
        <x:v>仄</x:v>
      </x:c>
      <x:c r="J2728" s="7" t="str"/>
    </x:row>
    <x:row r="2729">
      <x:c r="A2729" s="5" t="str">
        <x:v>礙</x:v>
      </x:c>
      <x:c r="B2729" s="6" t="str">
        <x:v>去</x:v>
      </x:c>
      <x:c r="C2729" s="6" t="str">
        <x:f>IF(B2729="","Needs decision","Ready")</x:f>
        <x:v>Ready</x:v>
      </x:c>
      <x:c r="D2729" s="6" t="str">
        <x:v>去</x:v>
      </x:c>
      <x:c r="E2729" s="6" t="str">
        <x:v>ngojH [ɴəjh] (去)</x:v>
      </x:c>
      <x:c r="F2729" s="6" t="str">
        <x:v>1</x:v>
      </x:c>
      <x:c r="G2729" s="6" t="str">
        <x:v>Tang 300 gap; frequency 1; provisional from Xun Gong</x:v>
      </x:c>
      <x:c r="H2729" s="6" t="str">
        <x:f>IF(B2729="平","平",IF(B2729="","","仄"))</x:f>
        <x:v>仄</x:v>
      </x:c>
      <x:c r="I2729" s="6" t="str">
        <x:f>IF(D2718="","",IF(AND(ISNUMBER(SEARCH("平",D2718)),OR(ISNUMBER(SEARCH("上",D2718)),ISNUMBER(SEARCH("去",D2718)),ISNUMBER(SEARCH("入",D2718)))),"Ambiguous",IF(ISNUMBER(SEARCH("平",D2718)),"平","仄")))</x:f>
        <x:v>仄</x:v>
      </x:c>
      <x:c r="J2729" s="7" t="str">
        <x:v>Xun Gong, Tang 300 gap fill</x:v>
      </x:c>
    </x:row>
    <x:row r="2730">
      <x:c r="A2730" s="5" t="str">
        <x:v>礪</x:v>
      </x:c>
      <x:c r="B2730" s="6" t="str">
        <x:v>去</x:v>
      </x:c>
      <x:c r="C2730" s="6" t="str">
        <x:f>IF(B2730="","Needs decision","Ready")</x:f>
        <x:v>Ready</x:v>
      </x:c>
      <x:c r="D2730" s="6" t="str">
        <x:v>去</x:v>
      </x:c>
      <x:c r="E2730" s="6" t="str">
        <x:v>ljejH (C)</x:v>
      </x:c>
      <x:c r="F2730" s="6" t="str">
        <x:v>1</x:v>
      </x:c>
      <x:c r="G2730" s="6" t="str"/>
      <x:c r="H2730" s="6" t="str">
        <x:f>IF(B2730="平","平",IF(B2730="","","仄"))</x:f>
        <x:v>仄</x:v>
      </x:c>
      <x:c r="I2730" s="6" t="str">
        <x:f>IF(D2719="","",IF(AND(ISNUMBER(SEARCH("平",D2719)),OR(ISNUMBER(SEARCH("上",D2719)),ISNUMBER(SEARCH("去",D2719)),ISNUMBER(SEARCH("入",D2719)))),"Ambiguous",IF(ISNUMBER(SEARCH("平",D2719)),"平","仄")))</x:f>
        <x:v>仄</x:v>
      </x:c>
      <x:c r="J2730" s="7" t="str"/>
    </x:row>
    <x:row r="2731">
      <x:c r="A2731" s="5" t="str">
        <x:v>礫</x:v>
      </x:c>
      <x:c r="B2731" s="6" t="str">
        <x:v>入</x:v>
      </x:c>
      <x:c r="C2731" s="6" t="str">
        <x:f>IF(B2731="","Needs decision","Ready")</x:f>
        <x:v>Ready</x:v>
      </x:c>
      <x:c r="D2731" s="6" t="str">
        <x:v>入</x:v>
      </x:c>
      <x:c r="E2731" s="6" t="str">
        <x:v>lek (D)</x:v>
      </x:c>
      <x:c r="F2731" s="6" t="str">
        <x:v>1</x:v>
      </x:c>
      <x:c r="G2731" s="6" t="str"/>
      <x:c r="H2731" s="6" t="str">
        <x:f>IF(B2731="平","平",IF(B2731="","","仄"))</x:f>
        <x:v>仄</x:v>
      </x:c>
      <x:c r="I2731" s="6" t="str">
        <x:f>IF(D2720="","",IF(AND(ISNUMBER(SEARCH("平",D2720)),OR(ISNUMBER(SEARCH("上",D2720)),ISNUMBER(SEARCH("去",D2720)),ISNUMBER(SEARCH("入",D2720)))),"Ambiguous",IF(ISNUMBER(SEARCH("平",D2720)),"平","仄")))</x:f>
        <x:v>仄</x:v>
      </x:c>
      <x:c r="J2731" s="7" t="str"/>
    </x:row>
    <x:row r="2732">
      <x:c r="A2732" s="5" t="str">
        <x:v>示</x:v>
      </x:c>
      <x:c r="B2732" s="6" t="str">
        <x:v>去</x:v>
      </x:c>
      <x:c r="C2732" s="6" t="str">
        <x:f>IF(B2732="","Needs decision","Ready")</x:f>
        <x:v>Ready</x:v>
      </x:c>
      <x:c r="D2732" s="6" t="str">
        <x:v>去</x:v>
      </x:c>
      <x:c r="E2732" s="6" t="str">
        <x:v>zyijH (C); tsyeH (C)</x:v>
      </x:c>
      <x:c r="F2732" s="6" t="str">
        <x:v>2</x:v>
      </x:c>
      <x:c r="G2732" s="6" t="str"/>
      <x:c r="H2732" s="6" t="str">
        <x:f>IF(B2732="平","平",IF(B2732="","","仄"))</x:f>
        <x:v>仄</x:v>
      </x:c>
      <x:c r="I2732" s="6" t="str">
        <x:f>IF(D2721="","",IF(AND(ISNUMBER(SEARCH("平",D2721)),OR(ISNUMBER(SEARCH("上",D2721)),ISNUMBER(SEARCH("去",D2721)),ISNUMBER(SEARCH("入",D2721)))),"Ambiguous",IF(ISNUMBER(SEARCH("平",D2721)),"平","仄")))</x:f>
        <x:v>平</x:v>
      </x:c>
      <x:c r="J2732" s="7" t="str"/>
    </x:row>
    <x:row r="2733">
      <x:c r="A2733" s="5" t="str">
        <x:v>社</x:v>
      </x:c>
      <x:c r="B2733" s="6" t="str">
        <x:v>上</x:v>
      </x:c>
      <x:c r="C2733" s="6" t="str">
        <x:f>IF(B2733="","Needs decision","Ready")</x:f>
        <x:v>Ready</x:v>
      </x:c>
      <x:c r="D2733" s="6" t="str">
        <x:v>上</x:v>
      </x:c>
      <x:c r="E2733" s="6" t="str">
        <x:v>dzyaeX (B)</x:v>
      </x:c>
      <x:c r="F2733" s="6" t="str">
        <x:v>1</x:v>
      </x:c>
      <x:c r="G2733" s="6" t="str"/>
      <x:c r="H2733" s="6" t="str">
        <x:f>IF(B2733="平","平",IF(B2733="","","仄"))</x:f>
        <x:v>仄</x:v>
      </x:c>
      <x:c r="I2733" s="6" t="str">
        <x:f>IF(D2722="","",IF(AND(ISNUMBER(SEARCH("平",D2722)),OR(ISNUMBER(SEARCH("上",D2722)),ISNUMBER(SEARCH("去",D2722)),ISNUMBER(SEARCH("入",D2722)))),"Ambiguous",IF(ISNUMBER(SEARCH("平",D2722)),"平","仄")))</x:f>
        <x:v>平</x:v>
      </x:c>
      <x:c r="J2733" s="7" t="str"/>
    </x:row>
    <x:row r="2734">
      <x:c r="A2734" s="5" t="str">
        <x:v>祀</x:v>
      </x:c>
      <x:c r="B2734" s="6" t="str">
        <x:v>上</x:v>
      </x:c>
      <x:c r="C2734" s="6" t="str">
        <x:f>IF(B2734="","Needs decision","Ready")</x:f>
        <x:v>Ready</x:v>
      </x:c>
      <x:c r="D2734" s="6" t="str">
        <x:v>上</x:v>
      </x:c>
      <x:c r="E2734" s="6" t="str">
        <x:v>ziX (B)</x:v>
      </x:c>
      <x:c r="F2734" s="6" t="str">
        <x:v>1</x:v>
      </x:c>
      <x:c r="G2734" s="6" t="str"/>
      <x:c r="H2734" s="6" t="str">
        <x:f>IF(B2734="平","平",IF(B2734="","","仄"))</x:f>
        <x:v>仄</x:v>
      </x:c>
      <x:c r="I2734" s="6" t="str">
        <x:f>IF(D2723="","",IF(AND(ISNUMBER(SEARCH("平",D2723)),OR(ISNUMBER(SEARCH("上",D2723)),ISNUMBER(SEARCH("去",D2723)),ISNUMBER(SEARCH("入",D2723)))),"Ambiguous",IF(ISNUMBER(SEARCH("平",D2723)),"平","仄")))</x:f>
        <x:v>仄</x:v>
      </x:c>
      <x:c r="J2734" s="7" t="str"/>
    </x:row>
    <x:row r="2735">
      <x:c r="A2735" s="5" t="str">
        <x:v>祁</x:v>
      </x:c>
      <x:c r="B2735" s="6" t="str">
        <x:v>平</x:v>
      </x:c>
      <x:c r="C2735" s="6" t="str">
        <x:f>IF(B2735="","Needs decision","Ready")</x:f>
        <x:v>Ready</x:v>
      </x:c>
      <x:c r="D2735" s="6" t="str">
        <x:v>平</x:v>
      </x:c>
      <x:c r="E2735" s="6" t="str">
        <x:v>gij (A)</x:v>
      </x:c>
      <x:c r="F2735" s="6" t="str">
        <x:v>1</x:v>
      </x:c>
      <x:c r="G2735" s="6" t="str"/>
      <x:c r="H2735" s="6" t="str">
        <x:f>IF(B2735="平","平",IF(B2735="","","仄"))</x:f>
        <x:v>平</x:v>
      </x:c>
      <x:c r="I2735" s="6" t="str">
        <x:f>IF(D2724="","",IF(AND(ISNUMBER(SEARCH("平",D2724)),OR(ISNUMBER(SEARCH("上",D2724)),ISNUMBER(SEARCH("去",D2724)),ISNUMBER(SEARCH("入",D2724)))),"Ambiguous",IF(ISNUMBER(SEARCH("平",D2724)),"平","仄")))</x:f>
        <x:v>Ambiguous</x:v>
      </x:c>
      <x:c r="J2735" s="7" t="str"/>
    </x:row>
    <x:row r="2736">
      <x:c r="A2736" s="5" t="str">
        <x:v>祇</x:v>
      </x:c>
      <x:c r="B2736" s="6" t="str">
        <x:v>平</x:v>
      </x:c>
      <x:c r="C2736" s="6" t="str">
        <x:f>IF(B2736="","Needs decision","Ready")</x:f>
        <x:v>Ready</x:v>
      </x:c>
      <x:c r="D2736" s="6" t="str">
        <x:v>平</x:v>
      </x:c>
      <x:c r="E2736" s="6" t="str">
        <x:v>gjie (A)</x:v>
      </x:c>
      <x:c r="F2736" s="6" t="str">
        <x:v>1</x:v>
      </x:c>
      <x:c r="G2736" s="6" t="str"/>
      <x:c r="H2736" s="6" t="str">
        <x:f>IF(B2736="平","平",IF(B2736="","","仄"))</x:f>
        <x:v>平</x:v>
      </x:c>
      <x:c r="I2736" s="6" t="str">
        <x:f>IF(D2725="","",IF(AND(ISNUMBER(SEARCH("平",D2725)),OR(ISNUMBER(SEARCH("上",D2725)),ISNUMBER(SEARCH("去",D2725)),ISNUMBER(SEARCH("入",D2725)))),"Ambiguous",IF(ISNUMBER(SEARCH("平",D2725)),"平","仄")))</x:f>
        <x:v>仄</x:v>
      </x:c>
      <x:c r="J2736" s="7" t="str"/>
    </x:row>
    <x:row r="2737">
      <x:c r="A2737" s="5" t="str">
        <x:v>祈</x:v>
      </x:c>
      <x:c r="B2737" s="6" t="str">
        <x:v>平</x:v>
      </x:c>
      <x:c r="C2737" s="6" t="str">
        <x:f>IF(B2737="","Needs decision","Ready")</x:f>
        <x:v>Ready</x:v>
      </x:c>
      <x:c r="D2737" s="6" t="str">
        <x:v>平</x:v>
      </x:c>
      <x:c r="E2737" s="6" t="str">
        <x:v>gj+j (A)</x:v>
      </x:c>
      <x:c r="F2737" s="6" t="str">
        <x:v>1</x:v>
      </x:c>
      <x:c r="G2737" s="6" t="str"/>
      <x:c r="H2737" s="6" t="str">
        <x:f>IF(B2737="平","平",IF(B2737="","","仄"))</x:f>
        <x:v>平</x:v>
      </x:c>
      <x:c r="I2737" s="6" t="str">
        <x:f>IF(D2726="","",IF(AND(ISNUMBER(SEARCH("平",D2726)),OR(ISNUMBER(SEARCH("上",D2726)),ISNUMBER(SEARCH("去",D2726)),ISNUMBER(SEARCH("入",D2726)))),"Ambiguous",IF(ISNUMBER(SEARCH("平",D2726)),"平","仄")))</x:f>
        <x:v>平</x:v>
      </x:c>
      <x:c r="J2737" s="7" t="str"/>
    </x:row>
    <x:row r="2738">
      <x:c r="A2738" s="5" t="str">
        <x:v>祉</x:v>
      </x:c>
      <x:c r="B2738" s="6" t="str">
        <x:v>上</x:v>
      </x:c>
      <x:c r="C2738" s="6" t="str">
        <x:f>IF(B2738="","Needs decision","Ready")</x:f>
        <x:v>Ready</x:v>
      </x:c>
      <x:c r="D2738" s="6" t="str">
        <x:v>上</x:v>
      </x:c>
      <x:c r="E2738" s="6" t="str">
        <x:v>trhiX (B)</x:v>
      </x:c>
      <x:c r="F2738" s="6" t="str">
        <x:v>1</x:v>
      </x:c>
      <x:c r="G2738" s="6" t="str"/>
      <x:c r="H2738" s="6" t="str">
        <x:f>IF(B2738="平","平",IF(B2738="","","仄"))</x:f>
        <x:v>仄</x:v>
      </x:c>
      <x:c r="I2738" s="6" t="str">
        <x:f>IF(D2727="","",IF(AND(ISNUMBER(SEARCH("平",D2727)),OR(ISNUMBER(SEARCH("上",D2727)),ISNUMBER(SEARCH("去",D2727)),ISNUMBER(SEARCH("入",D2727)))),"Ambiguous",IF(ISNUMBER(SEARCH("平",D2727)),"平","仄")))</x:f>
        <x:v>仄</x:v>
      </x:c>
      <x:c r="J2738" s="7" t="str"/>
    </x:row>
    <x:row r="2739">
      <x:c r="A2739" s="5" t="str">
        <x:v>祊</x:v>
      </x:c>
      <x:c r="B2739" s="6" t="str">
        <x:v>平</x:v>
      </x:c>
      <x:c r="C2739" s="6" t="str">
        <x:f>IF(B2739="","Needs decision","Ready")</x:f>
        <x:v>Ready</x:v>
      </x:c>
      <x:c r="D2739" s="6" t="str">
        <x:v>平</x:v>
      </x:c>
      <x:c r="E2739" s="6" t="str">
        <x:v>paeng (A)</x:v>
      </x:c>
      <x:c r="F2739" s="6" t="str">
        <x:v>1</x:v>
      </x:c>
      <x:c r="G2739" s="6" t="str"/>
      <x:c r="H2739" s="6" t="str">
        <x:f>IF(B2739="平","平",IF(B2739="","","仄"))</x:f>
        <x:v>平</x:v>
      </x:c>
      <x:c r="I2739" s="6" t="str">
        <x:f>IF(D2728="","",IF(AND(ISNUMBER(SEARCH("平",D2728)),OR(ISNUMBER(SEARCH("上",D2728)),ISNUMBER(SEARCH("去",D2728)),ISNUMBER(SEARCH("入",D2728)))),"Ambiguous",IF(ISNUMBER(SEARCH("平",D2728)),"平","仄")))</x:f>
        <x:v>平</x:v>
      </x:c>
      <x:c r="J2739" s="7" t="str"/>
    </x:row>
    <x:row r="2740">
      <x:c r="A2740" s="5" t="str">
        <x:v>祐</x:v>
      </x:c>
      <x:c r="B2740" s="6" t="str"/>
      <x:c r="C2740" s="6" t="str">
        <x:f>IF(B2740="","Needs decision","Ready")</x:f>
        <x:v>Needs decision</x:v>
      </x:c>
      <x:c r="D2740" s="6" t="str">
        <x:v>上/去</x:v>
      </x:c>
      <x:c r="E2740" s="6" t="str">
        <x:v>hjuwX (B); hjuwH (C)</x:v>
      </x:c>
      <x:c r="F2740" s="6" t="str">
        <x:v>2</x:v>
      </x:c>
      <x:c r="G2740" s="6" t="str"/>
      <x:c r="H2740" s="6" t="str">
        <x:f>IF(B2740="平","平",IF(B2740="","","仄"))</x:f>
      </x:c>
      <x:c r="I2740" s="6" t="str">
        <x:f>IF(D2729="","",IF(AND(ISNUMBER(SEARCH("平",D2729)),OR(ISNUMBER(SEARCH("上",D2729)),ISNUMBER(SEARCH("去",D2729)),ISNUMBER(SEARCH("入",D2729)))),"Ambiguous",IF(ISNUMBER(SEARCH("平",D2729)),"平","仄")))</x:f>
        <x:v>仄</x:v>
      </x:c>
      <x:c r="J2740" s="7" t="str"/>
    </x:row>
    <x:row r="2741">
      <x:c r="A2741" s="5" t="str">
        <x:v>祓</x:v>
      </x:c>
      <x:c r="B2741" s="6" t="str">
        <x:v>入</x:v>
      </x:c>
      <x:c r="C2741" s="6" t="str">
        <x:f>IF(B2741="","Needs decision","Ready")</x:f>
        <x:v>Ready</x:v>
      </x:c>
      <x:c r="D2741" s="6" t="str">
        <x:v>入/去</x:v>
      </x:c>
      <x:c r="E2741" s="6" t="str">
        <x:v>phjut (D); pjojH (C)</x:v>
      </x:c>
      <x:c r="F2741" s="6" t="str">
        <x:v>2</x:v>
      </x:c>
      <x:c r="G2741" s="6" t="str"/>
      <x:c r="H2741" s="6" t="str">
        <x:f>IF(B2741="平","平",IF(B2741="","","仄"))</x:f>
        <x:v>仄</x:v>
      </x:c>
      <x:c r="I2741" s="6" t="str">
        <x:f>IF(D2730="","",IF(AND(ISNUMBER(SEARCH("平",D2730)),OR(ISNUMBER(SEARCH("上",D2730)),ISNUMBER(SEARCH("去",D2730)),ISNUMBER(SEARCH("入",D2730)))),"Ambiguous",IF(ISNUMBER(SEARCH("平",D2730)),"平","仄")))</x:f>
        <x:v>仄</x:v>
      </x:c>
      <x:c r="J2741" s="7" t="str"/>
    </x:row>
    <x:row r="2742">
      <x:c r="A2742" s="5" t="str">
        <x:v>祖</x:v>
      </x:c>
      <x:c r="B2742" s="6" t="str">
        <x:v>上</x:v>
      </x:c>
      <x:c r="C2742" s="6" t="str">
        <x:f>IF(B2742="","Needs decision","Ready")</x:f>
        <x:v>Ready</x:v>
      </x:c>
      <x:c r="D2742" s="6" t="str">
        <x:v>上</x:v>
      </x:c>
      <x:c r="E2742" s="6" t="str">
        <x:v>tsuX (B)</x:v>
      </x:c>
      <x:c r="F2742" s="6" t="str">
        <x:v>1</x:v>
      </x:c>
      <x:c r="G2742" s="6" t="str"/>
      <x:c r="H2742" s="6" t="str">
        <x:f>IF(B2742="平","平",IF(B2742="","","仄"))</x:f>
        <x:v>仄</x:v>
      </x:c>
      <x:c r="I2742" s="6" t="str">
        <x:f>IF(D2731="","",IF(AND(ISNUMBER(SEARCH("平",D2731)),OR(ISNUMBER(SEARCH("上",D2731)),ISNUMBER(SEARCH("去",D2731)),ISNUMBER(SEARCH("入",D2731)))),"Ambiguous",IF(ISNUMBER(SEARCH("平",D2731)),"平","仄")))</x:f>
        <x:v>仄</x:v>
      </x:c>
      <x:c r="J2742" s="7" t="str"/>
    </x:row>
    <x:row r="2743">
      <x:c r="A2743" s="5" t="str">
        <x:v>祗</x:v>
      </x:c>
      <x:c r="B2743" s="6" t="str">
        <x:v>平</x:v>
      </x:c>
      <x:c r="C2743" s="6" t="str">
        <x:f>IF(B2743="","Needs decision","Ready")</x:f>
        <x:v>Ready</x:v>
      </x:c>
      <x:c r="D2743" s="6" t="str">
        <x:v>平</x:v>
      </x:c>
      <x:c r="E2743" s="6" t="str">
        <x:v>tsyij [tɕi] (平)</x:v>
      </x:c>
      <x:c r="F2743" s="6" t="str">
        <x:v>1</x:v>
      </x:c>
      <x:c r="G2743" s="6" t="str">
        <x:v>Tang 300 gap; frequency 1; provisional from Xun Gong</x:v>
      </x:c>
      <x:c r="H2743" s="6" t="str">
        <x:f>IF(B2743="平","平",IF(B2743="","","仄"))</x:f>
        <x:v>平</x:v>
      </x:c>
      <x:c r="I2743" s="6" t="str">
        <x:f>IF(D2732="","",IF(AND(ISNUMBER(SEARCH("平",D2732)),OR(ISNUMBER(SEARCH("上",D2732)),ISNUMBER(SEARCH("去",D2732)),ISNUMBER(SEARCH("入",D2732)))),"Ambiguous",IF(ISNUMBER(SEARCH("平",D2732)),"平","仄")))</x:f>
        <x:v>仄</x:v>
      </x:c>
      <x:c r="J2743" s="7" t="str">
        <x:v>Xun Gong, Tang 300 gap fill</x:v>
      </x:c>
    </x:row>
    <x:row r="2744">
      <x:c r="A2744" s="5" t="str">
        <x:v>祘</x:v>
      </x:c>
      <x:c r="B2744" s="6" t="str">
        <x:v>去</x:v>
      </x:c>
      <x:c r="C2744" s="6" t="str">
        <x:f>IF(B2744="","Needs decision","Ready")</x:f>
        <x:v>Ready</x:v>
      </x:c>
      <x:c r="D2744" s="6" t="str">
        <x:v>去</x:v>
      </x:c>
      <x:c r="E2744" s="6" t="str">
        <x:v>swanH (C)</x:v>
      </x:c>
      <x:c r="F2744" s="6" t="str">
        <x:v>1</x:v>
      </x:c>
      <x:c r="G2744" s="6" t="str"/>
      <x:c r="H2744" s="6" t="str">
        <x:f>IF(B2744="平","平",IF(B2744="","","仄"))</x:f>
        <x:v>仄</x:v>
      </x:c>
      <x:c r="I2744" s="6" t="str">
        <x:f>IF(D2733="","",IF(AND(ISNUMBER(SEARCH("平",D2733)),OR(ISNUMBER(SEARCH("上",D2733)),ISNUMBER(SEARCH("去",D2733)),ISNUMBER(SEARCH("入",D2733)))),"Ambiguous",IF(ISNUMBER(SEARCH("平",D2733)),"平","仄")))</x:f>
        <x:v>仄</x:v>
      </x:c>
      <x:c r="J2744" s="7" t="str"/>
    </x:row>
    <x:row r="2745">
      <x:c r="A2745" s="5" t="str">
        <x:v>祚</x:v>
      </x:c>
      <x:c r="B2745" s="6" t="str">
        <x:v>去</x:v>
      </x:c>
      <x:c r="C2745" s="6" t="str">
        <x:f>IF(B2745="","Needs decision","Ready")</x:f>
        <x:v>Ready</x:v>
      </x:c>
      <x:c r="D2745" s="6" t="str">
        <x:v>去</x:v>
      </x:c>
      <x:c r="E2745" s="6" t="str">
        <x:v>dzuH [d̙z̙oh] (去)</x:v>
      </x:c>
      <x:c r="F2745" s="6" t="str">
        <x:v>1</x:v>
      </x:c>
      <x:c r="G2745" s="6" t="str">
        <x:v>Tang 300 gap; frequency 1; provisional from Xun Gong</x:v>
      </x:c>
      <x:c r="H2745" s="6" t="str">
        <x:f>IF(B2745="平","平",IF(B2745="","","仄"))</x:f>
        <x:v>仄</x:v>
      </x:c>
      <x:c r="I2745" s="6" t="str">
        <x:f>IF(D2734="","",IF(AND(ISNUMBER(SEARCH("平",D2734)),OR(ISNUMBER(SEARCH("上",D2734)),ISNUMBER(SEARCH("去",D2734)),ISNUMBER(SEARCH("入",D2734)))),"Ambiguous",IF(ISNUMBER(SEARCH("平",D2734)),"平","仄")))</x:f>
        <x:v>仄</x:v>
      </x:c>
      <x:c r="J2745" s="7" t="str">
        <x:v>Xun Gong, Tang 300 gap fill</x:v>
      </x:c>
    </x:row>
    <x:row r="2746">
      <x:c r="A2746" s="5" t="str">
        <x:v>祜</x:v>
      </x:c>
      <x:c r="B2746" s="6" t="str">
        <x:v>上</x:v>
      </x:c>
      <x:c r="C2746" s="6" t="str">
        <x:f>IF(B2746="","Needs decision","Ready")</x:f>
        <x:v>Ready</x:v>
      </x:c>
      <x:c r="D2746" s="6" t="str">
        <x:v>上</x:v>
      </x:c>
      <x:c r="E2746" s="6" t="str">
        <x:v>huX (B)</x:v>
      </x:c>
      <x:c r="F2746" s="6" t="str">
        <x:v>1</x:v>
      </x:c>
      <x:c r="G2746" s="6" t="str"/>
      <x:c r="H2746" s="6" t="str">
        <x:f>IF(B2746="平","平",IF(B2746="","","仄"))</x:f>
        <x:v>仄</x:v>
      </x:c>
      <x:c r="I2746" s="6" t="str">
        <x:f>IF(D2735="","",IF(AND(ISNUMBER(SEARCH("平",D2735)),OR(ISNUMBER(SEARCH("上",D2735)),ISNUMBER(SEARCH("去",D2735)),ISNUMBER(SEARCH("入",D2735)))),"Ambiguous",IF(ISNUMBER(SEARCH("平",D2735)),"平","仄")))</x:f>
        <x:v>平</x:v>
      </x:c>
      <x:c r="J2746" s="7" t="str"/>
    </x:row>
    <x:row r="2747">
      <x:c r="A2747" s="5" t="str">
        <x:v>祝</x:v>
      </x:c>
      <x:c r="B2747" s="6" t="str">
        <x:v>入</x:v>
      </x:c>
      <x:c r="C2747" s="6" t="str">
        <x:f>IF(B2747="","Needs decision","Ready")</x:f>
        <x:v>Ready</x:v>
      </x:c>
      <x:c r="D2747" s="6" t="str">
        <x:v>去/入</x:v>
      </x:c>
      <x:c r="E2747" s="6" t="str">
        <x:v>tsyuwH (C); tsyuwk (D)</x:v>
      </x:c>
      <x:c r="F2747" s="6" t="str">
        <x:v>2</x:v>
      </x:c>
      <x:c r="G2747" s="6" t="str">
        <x:v>User workbook edit 2026-09-03</x:v>
      </x:c>
      <x:c r="H2747" s="6" t="str">
        <x:f>IF(B2747="平","平",IF(B2747="","","仄"))</x:f>
        <x:v>仄</x:v>
      </x:c>
      <x:c r="I2747" s="6" t="str">
        <x:f>IF(D2736="","",IF(AND(ISNUMBER(SEARCH("平",D2736)),OR(ISNUMBER(SEARCH("上",D2736)),ISNUMBER(SEARCH("去",D2736)),ISNUMBER(SEARCH("入",D2736)))),"Ambiguous",IF(ISNUMBER(SEARCH("平",D2736)),"平","仄")))</x:f>
        <x:v>平</x:v>
      </x:c>
      <x:c r="J2747" s="7" t="str">
        <x:v>manual user correction</x:v>
      </x:c>
    </x:row>
    <x:row r="2748">
      <x:c r="A2748" s="5" t="str">
        <x:v>神</x:v>
      </x:c>
      <x:c r="B2748" s="6" t="str">
        <x:v>平</x:v>
      </x:c>
      <x:c r="C2748" s="6" t="str">
        <x:f>IF(B2748="","Needs decision","Ready")</x:f>
        <x:v>Ready</x:v>
      </x:c>
      <x:c r="D2748" s="6" t="str">
        <x:v>平</x:v>
      </x:c>
      <x:c r="E2748" s="6" t="str">
        <x:v>zyin (A)</x:v>
      </x:c>
      <x:c r="F2748" s="6" t="str">
        <x:v>1</x:v>
      </x:c>
      <x:c r="G2748" s="6" t="str"/>
      <x:c r="H2748" s="6" t="str">
        <x:f>IF(B2748="平","平",IF(B2748="","","仄"))</x:f>
        <x:v>平</x:v>
      </x:c>
      <x:c r="I2748" s="6" t="str">
        <x:f>IF(D2737="","",IF(AND(ISNUMBER(SEARCH("平",D2737)),OR(ISNUMBER(SEARCH("上",D2737)),ISNUMBER(SEARCH("去",D2737)),ISNUMBER(SEARCH("入",D2737)))),"Ambiguous",IF(ISNUMBER(SEARCH("平",D2737)),"平","仄")))</x:f>
        <x:v>平</x:v>
      </x:c>
      <x:c r="J2748" s="7" t="str"/>
    </x:row>
    <x:row r="2749">
      <x:c r="A2749" s="5" t="str">
        <x:v>祟</x:v>
      </x:c>
      <x:c r="B2749" s="6" t="str">
        <x:v>去</x:v>
      </x:c>
      <x:c r="C2749" s="6" t="str">
        <x:f>IF(B2749="","Needs decision","Ready")</x:f>
        <x:v>Ready</x:v>
      </x:c>
      <x:c r="D2749" s="6" t="str">
        <x:v>去</x:v>
      </x:c>
      <x:c r="E2749" s="6" t="str">
        <x:v>swijH (C)</x:v>
      </x:c>
      <x:c r="F2749" s="6" t="str">
        <x:v>1</x:v>
      </x:c>
      <x:c r="G2749" s="6" t="str"/>
      <x:c r="H2749" s="6" t="str">
        <x:f>IF(B2749="平","平",IF(B2749="","","仄"))</x:f>
        <x:v>仄</x:v>
      </x:c>
      <x:c r="I2749" s="6" t="str">
        <x:f>IF(D2738="","",IF(AND(ISNUMBER(SEARCH("平",D2738)),OR(ISNUMBER(SEARCH("上",D2738)),ISNUMBER(SEARCH("去",D2738)),ISNUMBER(SEARCH("入",D2738)))),"Ambiguous",IF(ISNUMBER(SEARCH("平",D2738)),"平","仄")))</x:f>
        <x:v>仄</x:v>
      </x:c>
      <x:c r="J2749" s="7" t="str"/>
    </x:row>
    <x:row r="2750">
      <x:c r="A2750" s="5" t="str">
        <x:v>祠</x:v>
      </x:c>
      <x:c r="B2750" s="6" t="str">
        <x:v>平</x:v>
      </x:c>
      <x:c r="C2750" s="6" t="str">
        <x:f>IF(B2750="","Needs decision","Ready")</x:f>
        <x:v>Ready</x:v>
      </x:c>
      <x:c r="D2750" s="6" t="str">
        <x:v>平</x:v>
      </x:c>
      <x:c r="E2750" s="6" t="str">
        <x:v>zi (A)</x:v>
      </x:c>
      <x:c r="F2750" s="6" t="str">
        <x:v>1</x:v>
      </x:c>
      <x:c r="G2750" s="6" t="str"/>
      <x:c r="H2750" s="6" t="str">
        <x:f>IF(B2750="平","平",IF(B2750="","","仄"))</x:f>
        <x:v>平</x:v>
      </x:c>
      <x:c r="I2750" s="6" t="str">
        <x:f>IF(D2739="","",IF(AND(ISNUMBER(SEARCH("平",D2739)),OR(ISNUMBER(SEARCH("上",D2739)),ISNUMBER(SEARCH("去",D2739)),ISNUMBER(SEARCH("入",D2739)))),"Ambiguous",IF(ISNUMBER(SEARCH("平",D2739)),"平","仄")))</x:f>
        <x:v>平</x:v>
      </x:c>
      <x:c r="J2750" s="7" t="str"/>
    </x:row>
    <x:row r="2751">
      <x:c r="A2751" s="5" t="str">
        <x:v>祡</x:v>
      </x:c>
      <x:c r="B2751" s="6" t="str">
        <x:v>平</x:v>
      </x:c>
      <x:c r="C2751" s="6" t="str">
        <x:f>IF(B2751="","Needs decision","Ready")</x:f>
        <x:v>Ready</x:v>
      </x:c>
      <x:c r="D2751" s="6" t="str">
        <x:v>平</x:v>
      </x:c>
      <x:c r="E2751" s="6" t="str">
        <x:v>dzrea (A)</x:v>
      </x:c>
      <x:c r="F2751" s="6" t="str">
        <x:v>1</x:v>
      </x:c>
      <x:c r="G2751" s="6" t="str"/>
      <x:c r="H2751" s="6" t="str">
        <x:f>IF(B2751="平","平",IF(B2751="","","仄"))</x:f>
        <x:v>平</x:v>
      </x:c>
      <x:c r="I2751" s="6" t="str">
        <x:f>IF(D2740="","",IF(AND(ISNUMBER(SEARCH("平",D2740)),OR(ISNUMBER(SEARCH("上",D2740)),ISNUMBER(SEARCH("去",D2740)),ISNUMBER(SEARCH("入",D2740)))),"Ambiguous",IF(ISNUMBER(SEARCH("平",D2740)),"平","仄")))</x:f>
        <x:v>仄</x:v>
      </x:c>
      <x:c r="J2751" s="7" t="str"/>
    </x:row>
    <x:row r="2752">
      <x:c r="A2752" s="5" t="str">
        <x:v>祥</x:v>
      </x:c>
      <x:c r="B2752" s="6" t="str">
        <x:v>平</x:v>
      </x:c>
      <x:c r="C2752" s="6" t="str">
        <x:f>IF(B2752="","Needs decision","Ready")</x:f>
        <x:v>Ready</x:v>
      </x:c>
      <x:c r="D2752" s="6" t="str">
        <x:v>平</x:v>
      </x:c>
      <x:c r="E2752" s="6" t="str">
        <x:v>zjang (A)</x:v>
      </x:c>
      <x:c r="F2752" s="6" t="str">
        <x:v>1</x:v>
      </x:c>
      <x:c r="G2752" s="6" t="str"/>
      <x:c r="H2752" s="6" t="str">
        <x:f>IF(B2752="平","平",IF(B2752="","","仄"))</x:f>
        <x:v>平</x:v>
      </x:c>
      <x:c r="I2752" s="6" t="str">
        <x:f>IF(D2741="","",IF(AND(ISNUMBER(SEARCH("平",D2741)),OR(ISNUMBER(SEARCH("上",D2741)),ISNUMBER(SEARCH("去",D2741)),ISNUMBER(SEARCH("入",D2741)))),"Ambiguous",IF(ISNUMBER(SEARCH("平",D2741)),"平","仄")))</x:f>
        <x:v>仄</x:v>
      </x:c>
      <x:c r="J2752" s="7" t="str"/>
    </x:row>
    <x:row r="2753">
      <x:c r="A2753" s="5" t="str">
        <x:v>票</x:v>
      </x:c>
      <x:c r="B2753" s="6" t="str">
        <x:v>平</x:v>
      </x:c>
      <x:c r="C2753" s="6" t="str">
        <x:f>IF(B2753="","Needs decision","Ready")</x:f>
        <x:v>Ready</x:v>
      </x:c>
      <x:c r="D2753" s="6" t="str">
        <x:v>平</x:v>
      </x:c>
      <x:c r="E2753" s="6" t="str">
        <x:v>phjiew (A)</x:v>
      </x:c>
      <x:c r="F2753" s="6" t="str">
        <x:v>1</x:v>
      </x:c>
      <x:c r="G2753" s="6" t="str"/>
      <x:c r="H2753" s="6" t="str">
        <x:f>IF(B2753="平","平",IF(B2753="","","仄"))</x:f>
        <x:v>平</x:v>
      </x:c>
      <x:c r="I2753" s="6" t="str">
        <x:f>IF(D2742="","",IF(AND(ISNUMBER(SEARCH("平",D2742)),OR(ISNUMBER(SEARCH("上",D2742)),ISNUMBER(SEARCH("去",D2742)),ISNUMBER(SEARCH("入",D2742)))),"Ambiguous",IF(ISNUMBER(SEARCH("平",D2742)),"平","仄")))</x:f>
        <x:v>仄</x:v>
      </x:c>
      <x:c r="J2753" s="7" t="str"/>
    </x:row>
    <x:row r="2754">
      <x:c r="A2754" s="5" t="str">
        <x:v>祭</x:v>
      </x:c>
      <x:c r="B2754" s="6" t="str">
        <x:v>去</x:v>
      </x:c>
      <x:c r="C2754" s="6" t="str">
        <x:f>IF(B2754="","Needs decision","Ready")</x:f>
        <x:v>Ready</x:v>
      </x:c>
      <x:c r="D2754" s="6" t="str">
        <x:v>去</x:v>
      </x:c>
      <x:c r="E2754" s="6" t="str">
        <x:v>tsjejH (C); tsreajH (C)</x:v>
      </x:c>
      <x:c r="F2754" s="6" t="str">
        <x:v>2</x:v>
      </x:c>
      <x:c r="G2754" s="6" t="str"/>
      <x:c r="H2754" s="6" t="str">
        <x:f>IF(B2754="平","平",IF(B2754="","","仄"))</x:f>
        <x:v>仄</x:v>
      </x:c>
      <x:c r="I2754" s="6" t="str">
        <x:f>IF(D2743="","",IF(AND(ISNUMBER(SEARCH("平",D2743)),OR(ISNUMBER(SEARCH("上",D2743)),ISNUMBER(SEARCH("去",D2743)),ISNUMBER(SEARCH("入",D2743)))),"Ambiguous",IF(ISNUMBER(SEARCH("平",D2743)),"平","仄")))</x:f>
        <x:v>平</x:v>
      </x:c>
      <x:c r="J2754" s="7" t="str"/>
    </x:row>
    <x:row r="2755">
      <x:c r="A2755" s="5" t="str">
        <x:v>祼</x:v>
      </x:c>
      <x:c r="B2755" s="6" t="str">
        <x:v>去</x:v>
      </x:c>
      <x:c r="C2755" s="6" t="str">
        <x:f>IF(B2755="","Needs decision","Ready")</x:f>
        <x:v>Ready</x:v>
      </x:c>
      <x:c r="D2755" s="6" t="str">
        <x:v>去</x:v>
      </x:c>
      <x:c r="E2755" s="6" t="str">
        <x:v>kwanH (C)</x:v>
      </x:c>
      <x:c r="F2755" s="6" t="str">
        <x:v>1</x:v>
      </x:c>
      <x:c r="G2755" s="6" t="str"/>
      <x:c r="H2755" s="6" t="str">
        <x:f>IF(B2755="平","平",IF(B2755="","","仄"))</x:f>
        <x:v>仄</x:v>
      </x:c>
      <x:c r="I2755" s="6" t="str">
        <x:f>IF(D2744="","",IF(AND(ISNUMBER(SEARCH("平",D2744)),OR(ISNUMBER(SEARCH("上",D2744)),ISNUMBER(SEARCH("去",D2744)),ISNUMBER(SEARCH("入",D2744)))),"Ambiguous",IF(ISNUMBER(SEARCH("平",D2744)),"平","仄")))</x:f>
        <x:v>仄</x:v>
      </x:c>
      <x:c r="J2755" s="7" t="str"/>
    </x:row>
    <x:row r="2756">
      <x:c r="A2756" s="5" t="str">
        <x:v>祿</x:v>
      </x:c>
      <x:c r="B2756" s="6" t="str">
        <x:v>入</x:v>
      </x:c>
      <x:c r="C2756" s="6" t="str">
        <x:f>IF(B2756="","Needs decision","Ready")</x:f>
        <x:v>Ready</x:v>
      </x:c>
      <x:c r="D2756" s="6" t="str">
        <x:v>入</x:v>
      </x:c>
      <x:c r="E2756" s="6" t="str">
        <x:v>luwk (D)</x:v>
      </x:c>
      <x:c r="F2756" s="6" t="str">
        <x:v>1</x:v>
      </x:c>
      <x:c r="G2756" s="6" t="str"/>
      <x:c r="H2756" s="6" t="str">
        <x:f>IF(B2756="平","平",IF(B2756="","","仄"))</x:f>
        <x:v>仄</x:v>
      </x:c>
      <x:c r="I2756" s="6" t="str">
        <x:f>IF(D2745="","",IF(AND(ISNUMBER(SEARCH("平",D2745)),OR(ISNUMBER(SEARCH("上",D2745)),ISNUMBER(SEARCH("去",D2745)),ISNUMBER(SEARCH("入",D2745)))),"Ambiguous",IF(ISNUMBER(SEARCH("平",D2745)),"平","仄")))</x:f>
        <x:v>仄</x:v>
      </x:c>
      <x:c r="J2756" s="7" t="str"/>
    </x:row>
    <x:row r="2757">
      <x:c r="A2757" s="5" t="str">
        <x:v>禀</x:v>
      </x:c>
      <x:c r="B2757" s="6" t="str">
        <x:v>上</x:v>
      </x:c>
      <x:c r="C2757" s="6" t="str">
        <x:f>IF(B2757="","Needs decision","Ready")</x:f>
        <x:v>Ready</x:v>
      </x:c>
      <x:c r="D2757" s="6" t="str">
        <x:v>上</x:v>
      </x:c>
      <x:c r="E2757" s="6" t="str">
        <x:v>limX (B); pimX (B)</x:v>
      </x:c>
      <x:c r="F2757" s="6" t="str">
        <x:v>2</x:v>
      </x:c>
      <x:c r="G2757" s="6" t="str"/>
      <x:c r="H2757" s="6" t="str">
        <x:f>IF(B2757="平","平",IF(B2757="","","仄"))</x:f>
        <x:v>仄</x:v>
      </x:c>
      <x:c r="I2757" s="6" t="str">
        <x:f>IF(D2746="","",IF(AND(ISNUMBER(SEARCH("平",D2746)),OR(ISNUMBER(SEARCH("上",D2746)),ISNUMBER(SEARCH("去",D2746)),ISNUMBER(SEARCH("入",D2746)))),"Ambiguous",IF(ISNUMBER(SEARCH("平",D2746)),"平","仄")))</x:f>
        <x:v>仄</x:v>
      </x:c>
      <x:c r="J2757" s="7" t="str"/>
    </x:row>
    <x:row r="2758">
      <x:c r="A2758" s="5" t="str">
        <x:v>禁</x:v>
      </x:c>
      <x:c r="B2758" s="6" t="str">
        <x:v>去</x:v>
      </x:c>
      <x:c r="C2758" s="6" t="str">
        <x:f>IF(B2758="","Needs decision","Ready")</x:f>
        <x:v>Ready</x:v>
      </x:c>
      <x:c r="D2758" s="6" t="str">
        <x:v>去</x:v>
      </x:c>
      <x:c r="E2758" s="6" t="str">
        <x:v>kimH (C)</x:v>
      </x:c>
      <x:c r="F2758" s="6" t="str">
        <x:v>1</x:v>
      </x:c>
      <x:c r="G2758" s="6" t="str"/>
      <x:c r="H2758" s="6" t="str">
        <x:f>IF(B2758="平","平",IF(B2758="","","仄"))</x:f>
        <x:v>仄</x:v>
      </x:c>
      <x:c r="I2758" s="6" t="str">
        <x:f>IF(D2747="","",IF(AND(ISNUMBER(SEARCH("平",D2747)),OR(ISNUMBER(SEARCH("上",D2747)),ISNUMBER(SEARCH("去",D2747)),ISNUMBER(SEARCH("入",D2747)))),"Ambiguous",IF(ISNUMBER(SEARCH("平",D2747)),"平","仄")))</x:f>
        <x:v>仄</x:v>
      </x:c>
      <x:c r="J2758" s="7" t="str"/>
    </x:row>
    <x:row r="2759">
      <x:c r="A2759" s="5" t="str">
        <x:v>禋</x:v>
      </x:c>
      <x:c r="B2759" s="6" t="str">
        <x:v>平</x:v>
      </x:c>
      <x:c r="C2759" s="6" t="str">
        <x:f>IF(B2759="","Needs decision","Ready")</x:f>
        <x:v>Ready</x:v>
      </x:c>
      <x:c r="D2759" s="6" t="str">
        <x:v>平</x:v>
      </x:c>
      <x:c r="E2759" s="6" t="str">
        <x:v>'jin (A)</x:v>
      </x:c>
      <x:c r="F2759" s="6" t="str">
        <x:v>1</x:v>
      </x:c>
      <x:c r="G2759" s="6" t="str"/>
      <x:c r="H2759" s="6" t="str">
        <x:f>IF(B2759="平","平",IF(B2759="","","仄"))</x:f>
        <x:v>平</x:v>
      </x:c>
      <x:c r="I2759" s="6" t="str">
        <x:f>IF(D2748="","",IF(AND(ISNUMBER(SEARCH("平",D2748)),OR(ISNUMBER(SEARCH("上",D2748)),ISNUMBER(SEARCH("去",D2748)),ISNUMBER(SEARCH("入",D2748)))),"Ambiguous",IF(ISNUMBER(SEARCH("平",D2748)),"平","仄")))</x:f>
        <x:v>平</x:v>
      </x:c>
      <x:c r="J2759" s="7" t="str"/>
    </x:row>
    <x:row r="2760">
      <x:c r="A2760" s="5" t="str">
        <x:v>禍</x:v>
      </x:c>
      <x:c r="B2760" s="6" t="str">
        <x:v>上</x:v>
      </x:c>
      <x:c r="C2760" s="6" t="str">
        <x:f>IF(B2760="","Needs decision","Ready")</x:f>
        <x:v>Ready</x:v>
      </x:c>
      <x:c r="D2760" s="6" t="str">
        <x:v>上</x:v>
      </x:c>
      <x:c r="E2760" s="6" t="str">
        <x:v>hwaX (B)</x:v>
      </x:c>
      <x:c r="F2760" s="6" t="str">
        <x:v>1</x:v>
      </x:c>
      <x:c r="G2760" s="6" t="str"/>
      <x:c r="H2760" s="6" t="str">
        <x:f>IF(B2760="平","平",IF(B2760="","","仄"))</x:f>
        <x:v>仄</x:v>
      </x:c>
      <x:c r="I2760" s="6" t="str">
        <x:f>IF(D2749="","",IF(AND(ISNUMBER(SEARCH("平",D2749)),OR(ISNUMBER(SEARCH("上",D2749)),ISNUMBER(SEARCH("去",D2749)),ISNUMBER(SEARCH("入",D2749)))),"Ambiguous",IF(ISNUMBER(SEARCH("平",D2749)),"平","仄")))</x:f>
        <x:v>仄</x:v>
      </x:c>
      <x:c r="J2760" s="7" t="str"/>
    </x:row>
    <x:row r="2761">
      <x:c r="A2761" s="5" t="str">
        <x:v>禎</x:v>
      </x:c>
      <x:c r="B2761" s="6" t="str">
        <x:v>平</x:v>
      </x:c>
      <x:c r="C2761" s="6" t="str">
        <x:f>IF(B2761="","Needs decision","Ready")</x:f>
        <x:v>Ready</x:v>
      </x:c>
      <x:c r="D2761" s="6" t="str">
        <x:v>平</x:v>
      </x:c>
      <x:c r="E2761" s="6" t="str"/>
      <x:c r="F2761" s="6" t="str"/>
      <x:c r="G2761" s="6" t="str">
        <x:v>Manual user correction/addition</x:v>
      </x:c>
      <x:c r="H2761" s="6" t="str">
        <x:f>IF(B2761="平","平",IF(B2761="","","仄"))</x:f>
        <x:v>平</x:v>
      </x:c>
      <x:c r="I2761" s="6" t="str">
        <x:v>平</x:v>
      </x:c>
      <x:c r="J2761" s="7" t="str">
        <x:v>manual user correction</x:v>
      </x:c>
    </x:row>
    <x:row r="2762">
      <x:c r="A2762" s="5" t="str">
        <x:v>福</x:v>
      </x:c>
      <x:c r="B2762" s="6" t="str">
        <x:v>入</x:v>
      </x:c>
      <x:c r="C2762" s="6" t="str">
        <x:f>IF(B2762="","Needs decision","Ready")</x:f>
        <x:v>Ready</x:v>
      </x:c>
      <x:c r="D2762" s="6" t="str">
        <x:v>入</x:v>
      </x:c>
      <x:c r="E2762" s="6" t="str">
        <x:v>pjuwk (D)</x:v>
      </x:c>
      <x:c r="F2762" s="6" t="str">
        <x:v>1</x:v>
      </x:c>
      <x:c r="G2762" s="6" t="str"/>
      <x:c r="H2762" s="6" t="str">
        <x:f>IF(B2762="平","平",IF(B2762="","","仄"))</x:f>
        <x:v>仄</x:v>
      </x:c>
      <x:c r="I2762" s="6" t="str">
        <x:f>IF(D2750="","",IF(AND(ISNUMBER(SEARCH("平",D2750)),OR(ISNUMBER(SEARCH("上",D2750)),ISNUMBER(SEARCH("去",D2750)),ISNUMBER(SEARCH("入",D2750)))),"Ambiguous",IF(ISNUMBER(SEARCH("平",D2750)),"平","仄")))</x:f>
        <x:v>平</x:v>
      </x:c>
      <x:c r="J2762" s="7" t="str"/>
    </x:row>
    <x:row r="2763">
      <x:c r="A2763" s="5" t="str">
        <x:v>禦</x:v>
      </x:c>
      <x:c r="B2763" s="6" t="str">
        <x:v>上</x:v>
      </x:c>
      <x:c r="C2763" s="6" t="str">
        <x:f>IF(B2763="","Needs decision","Ready")</x:f>
        <x:v>Ready</x:v>
      </x:c>
      <x:c r="D2763" s="6" t="str">
        <x:v>上</x:v>
      </x:c>
      <x:c r="E2763" s="6" t="str">
        <x:v>ngjoX (B)</x:v>
      </x:c>
      <x:c r="F2763" s="6" t="str">
        <x:v>1</x:v>
      </x:c>
      <x:c r="G2763" s="6" t="str"/>
      <x:c r="H2763" s="6" t="str">
        <x:f>IF(B2763="平","平",IF(B2763="","","仄"))</x:f>
        <x:v>仄</x:v>
      </x:c>
      <x:c r="I2763" s="6" t="str">
        <x:f>IF(D2751="","",IF(AND(ISNUMBER(SEARCH("平",D2751)),OR(ISNUMBER(SEARCH("上",D2751)),ISNUMBER(SEARCH("去",D2751)),ISNUMBER(SEARCH("入",D2751)))),"Ambiguous",IF(ISNUMBER(SEARCH("平",D2751)),"平","仄")))</x:f>
        <x:v>平</x:v>
      </x:c>
      <x:c r="J2763" s="7" t="str"/>
    </x:row>
    <x:row r="2764">
      <x:c r="A2764" s="5" t="str">
        <x:v>禩</x:v>
      </x:c>
      <x:c r="B2764" s="6" t="str">
        <x:v>上</x:v>
      </x:c>
      <x:c r="C2764" s="6" t="str">
        <x:f>IF(B2764="","Needs decision","Ready")</x:f>
        <x:v>Ready</x:v>
      </x:c>
      <x:c r="D2764" s="6" t="str">
        <x:v>上</x:v>
      </x:c>
      <x:c r="E2764" s="6" t="str">
        <x:v>ziX (B)</x:v>
      </x:c>
      <x:c r="F2764" s="6" t="str">
        <x:v>1</x:v>
      </x:c>
      <x:c r="G2764" s="6" t="str"/>
      <x:c r="H2764" s="6" t="str">
        <x:f>IF(B2764="平","平",IF(B2764="","","仄"))</x:f>
        <x:v>仄</x:v>
      </x:c>
      <x:c r="I2764" s="6" t="str">
        <x:f>IF(D2752="","",IF(AND(ISNUMBER(SEARCH("平",D2752)),OR(ISNUMBER(SEARCH("上",D2752)),ISNUMBER(SEARCH("去",D2752)),ISNUMBER(SEARCH("入",D2752)))),"Ambiguous",IF(ISNUMBER(SEARCH("平",D2752)),"平","仄")))</x:f>
        <x:v>平</x:v>
      </x:c>
      <x:c r="J2764" s="7" t="str"/>
    </x:row>
    <x:row r="2765">
      <x:c r="A2765" s="5" t="str">
        <x:v>禪</x:v>
      </x:c>
      <x:c r="B2765" s="6" t="str">
        <x:v>去</x:v>
      </x:c>
      <x:c r="C2765" s="6" t="str">
        <x:f>IF(B2765="","Needs decision","Ready")</x:f>
        <x:v>Ready</x:v>
      </x:c>
      <x:c r="D2765" s="6" t="str">
        <x:v>去</x:v>
      </x:c>
      <x:c r="E2765" s="6" t="str">
        <x:v>dzyenH (C)</x:v>
      </x:c>
      <x:c r="F2765" s="6" t="str">
        <x:v>1</x:v>
      </x:c>
      <x:c r="G2765" s="6" t="str"/>
      <x:c r="H2765" s="6" t="str">
        <x:f>IF(B2765="平","平",IF(B2765="","","仄"))</x:f>
        <x:v>仄</x:v>
      </x:c>
      <x:c r="I2765" s="6" t="str">
        <x:f>IF(D2753="","",IF(AND(ISNUMBER(SEARCH("平",D2753)),OR(ISNUMBER(SEARCH("上",D2753)),ISNUMBER(SEARCH("去",D2753)),ISNUMBER(SEARCH("入",D2753)))),"Ambiguous",IF(ISNUMBER(SEARCH("平",D2753)),"平","仄")))</x:f>
        <x:v>平</x:v>
      </x:c>
      <x:c r="J2765" s="7" t="str"/>
    </x:row>
    <x:row r="2766">
      <x:c r="A2766" s="5" t="str">
        <x:v>禫</x:v>
      </x:c>
      <x:c r="B2766" s="6" t="str">
        <x:v>上</x:v>
      </x:c>
      <x:c r="C2766" s="6" t="str">
        <x:f>IF(B2766="","Needs decision","Ready")</x:f>
        <x:v>Ready</x:v>
      </x:c>
      <x:c r="D2766" s="6" t="str">
        <x:v>上</x:v>
      </x:c>
      <x:c r="E2766" s="6" t="str">
        <x:v>domX (B)</x:v>
      </x:c>
      <x:c r="F2766" s="6" t="str">
        <x:v>1</x:v>
      </x:c>
      <x:c r="G2766" s="6" t="str"/>
      <x:c r="H2766" s="6" t="str">
        <x:f>IF(B2766="平","平",IF(B2766="","","仄"))</x:f>
        <x:v>仄</x:v>
      </x:c>
      <x:c r="I2766" s="6" t="str">
        <x:f>IF(D2754="","",IF(AND(ISNUMBER(SEARCH("平",D2754)),OR(ISNUMBER(SEARCH("上",D2754)),ISNUMBER(SEARCH("去",D2754)),ISNUMBER(SEARCH("入",D2754)))),"Ambiguous",IF(ISNUMBER(SEARCH("平",D2754)),"平","仄")))</x:f>
        <x:v>仄</x:v>
      </x:c>
      <x:c r="J2766" s="7" t="str"/>
    </x:row>
    <x:row r="2767">
      <x:c r="A2767" s="5" t="str">
        <x:v>禮</x:v>
      </x:c>
      <x:c r="B2767" s="6" t="str">
        <x:v>上</x:v>
      </x:c>
      <x:c r="C2767" s="6" t="str">
        <x:f>IF(B2767="","Needs decision","Ready")</x:f>
        <x:v>Ready</x:v>
      </x:c>
      <x:c r="D2767" s="6" t="str">
        <x:v>上</x:v>
      </x:c>
      <x:c r="E2767" s="6" t="str">
        <x:v>lejX (B)</x:v>
      </x:c>
      <x:c r="F2767" s="6" t="str">
        <x:v>1</x:v>
      </x:c>
      <x:c r="G2767" s="6" t="str"/>
      <x:c r="H2767" s="6" t="str">
        <x:f>IF(B2767="平","平",IF(B2767="","","仄"))</x:f>
        <x:v>仄</x:v>
      </x:c>
      <x:c r="I2767" s="6" t="str">
        <x:f>IF(D2755="","",IF(AND(ISNUMBER(SEARCH("平",D2755)),OR(ISNUMBER(SEARCH("上",D2755)),ISNUMBER(SEARCH("去",D2755)),ISNUMBER(SEARCH("入",D2755)))),"Ambiguous",IF(ISNUMBER(SEARCH("平",D2755)),"平","仄")))</x:f>
        <x:v>仄</x:v>
      </x:c>
      <x:c r="J2767" s="7" t="str"/>
    </x:row>
    <x:row r="2768">
      <x:c r="A2768" s="5" t="str">
        <x:v>禱</x:v>
      </x:c>
      <x:c r="B2768" s="6" t="str">
        <x:v>上</x:v>
      </x:c>
      <x:c r="C2768" s="6" t="str">
        <x:f>IF(B2768="","Needs decision","Ready")</x:f>
        <x:v>Ready</x:v>
      </x:c>
      <x:c r="D2768" s="6" t="str">
        <x:v>上</x:v>
      </x:c>
      <x:c r="E2768" s="6" t="str">
        <x:v>tawX (B)</x:v>
      </x:c>
      <x:c r="F2768" s="6" t="str">
        <x:v>1</x:v>
      </x:c>
      <x:c r="G2768" s="6" t="str"/>
      <x:c r="H2768" s="6" t="str">
        <x:f>IF(B2768="平","平",IF(B2768="","","仄"))</x:f>
        <x:v>仄</x:v>
      </x:c>
      <x:c r="I2768" s="6" t="str">
        <x:f>IF(D2756="","",IF(AND(ISNUMBER(SEARCH("平",D2756)),OR(ISNUMBER(SEARCH("上",D2756)),ISNUMBER(SEARCH("去",D2756)),ISNUMBER(SEARCH("入",D2756)))),"Ambiguous",IF(ISNUMBER(SEARCH("平",D2756)),"平","仄")))</x:f>
        <x:v>仄</x:v>
      </x:c>
      <x:c r="J2768" s="7" t="str"/>
    </x:row>
    <x:row r="2769">
      <x:c r="A2769" s="5" t="str">
        <x:v>禹</x:v>
      </x:c>
      <x:c r="B2769" s="6" t="str">
        <x:v>上</x:v>
      </x:c>
      <x:c r="C2769" s="6" t="str">
        <x:f>IF(B2769="","Needs decision","Ready")</x:f>
        <x:v>Ready</x:v>
      </x:c>
      <x:c r="D2769" s="6" t="str">
        <x:v>上</x:v>
      </x:c>
      <x:c r="E2769" s="6" t="str">
        <x:v>hjuX (B)</x:v>
      </x:c>
      <x:c r="F2769" s="6" t="str">
        <x:v>1</x:v>
      </x:c>
      <x:c r="G2769" s="6" t="str"/>
      <x:c r="H2769" s="6" t="str">
        <x:f>IF(B2769="平","平",IF(B2769="","","仄"))</x:f>
        <x:v>仄</x:v>
      </x:c>
      <x:c r="I2769" s="6" t="str">
        <x:f>IF(D2757="","",IF(AND(ISNUMBER(SEARCH("平",D2757)),OR(ISNUMBER(SEARCH("上",D2757)),ISNUMBER(SEARCH("去",D2757)),ISNUMBER(SEARCH("入",D2757)))),"Ambiguous",IF(ISNUMBER(SEARCH("平",D2757)),"平","仄")))</x:f>
        <x:v>仄</x:v>
      </x:c>
      <x:c r="J2769" s="7" t="str"/>
    </x:row>
    <x:row r="2770">
      <x:c r="A2770" s="5" t="str">
        <x:v>离</x:v>
      </x:c>
      <x:c r="B2770" s="6" t="str">
        <x:v>平</x:v>
      </x:c>
      <x:c r="C2770" s="6" t="str">
        <x:f>IF(B2770="","Needs decision","Ready")</x:f>
        <x:v>Ready</x:v>
      </x:c>
      <x:c r="D2770" s="6" t="str">
        <x:v>平</x:v>
      </x:c>
      <x:c r="E2770" s="6" t="str">
        <x:v>trhje (A)</x:v>
      </x:c>
      <x:c r="F2770" s="6" t="str">
        <x:v>1</x:v>
      </x:c>
      <x:c r="G2770" s="6" t="str"/>
      <x:c r="H2770" s="6" t="str">
        <x:f>IF(B2770="平","平",IF(B2770="","","仄"))</x:f>
        <x:v>平</x:v>
      </x:c>
      <x:c r="I2770" s="6" t="str">
        <x:f>IF(D2758="","",IF(AND(ISNUMBER(SEARCH("平",D2758)),OR(ISNUMBER(SEARCH("上",D2758)),ISNUMBER(SEARCH("去",D2758)),ISNUMBER(SEARCH("入",D2758)))),"Ambiguous",IF(ISNUMBER(SEARCH("平",D2758)),"平","仄")))</x:f>
        <x:v>仄</x:v>
      </x:c>
      <x:c r="J2770" s="7" t="str"/>
    </x:row>
    <x:row r="2771">
      <x:c r="A2771" s="5" t="str">
        <x:v>禽</x:v>
      </x:c>
      <x:c r="B2771" s="6" t="str">
        <x:v>平</x:v>
      </x:c>
      <x:c r="C2771" s="6" t="str">
        <x:f>IF(B2771="","Needs decision","Ready")</x:f>
        <x:v>Ready</x:v>
      </x:c>
      <x:c r="D2771" s="6" t="str">
        <x:v>平</x:v>
      </x:c>
      <x:c r="E2771" s="6" t="str">
        <x:v>gim (A)</x:v>
      </x:c>
      <x:c r="F2771" s="6" t="str">
        <x:v>1</x:v>
      </x:c>
      <x:c r="G2771" s="6" t="str"/>
      <x:c r="H2771" s="6" t="str">
        <x:f>IF(B2771="平","平",IF(B2771="","","仄"))</x:f>
        <x:v>平</x:v>
      </x:c>
      <x:c r="I2771" s="6" t="str">
        <x:f>IF(D2759="","",IF(AND(ISNUMBER(SEARCH("平",D2759)),OR(ISNUMBER(SEARCH("上",D2759)),ISNUMBER(SEARCH("去",D2759)),ISNUMBER(SEARCH("入",D2759)))),"Ambiguous",IF(ISNUMBER(SEARCH("平",D2759)),"平","仄")))</x:f>
        <x:v>平</x:v>
      </x:c>
      <x:c r="J2771" s="7" t="str"/>
    </x:row>
    <x:row r="2772">
      <x:c r="A2772" s="5" t="str">
        <x:v>禾</x:v>
      </x:c>
      <x:c r="B2772" s="6" t="str">
        <x:v>平</x:v>
      </x:c>
      <x:c r="C2772" s="6" t="str">
        <x:f>IF(B2772="","Needs decision","Ready")</x:f>
        <x:v>Ready</x:v>
      </x:c>
      <x:c r="D2772" s="6" t="str">
        <x:v>平</x:v>
      </x:c>
      <x:c r="E2772" s="6" t="str">
        <x:v>hwa (A)</x:v>
      </x:c>
      <x:c r="F2772" s="6" t="str">
        <x:v>1</x:v>
      </x:c>
      <x:c r="G2772" s="6" t="str"/>
      <x:c r="H2772" s="6" t="str">
        <x:f>IF(B2772="平","平",IF(B2772="","","仄"))</x:f>
        <x:v>平</x:v>
      </x:c>
      <x:c r="I2772" s="6" t="str">
        <x:f>IF(D2760="","",IF(AND(ISNUMBER(SEARCH("平",D2760)),OR(ISNUMBER(SEARCH("上",D2760)),ISNUMBER(SEARCH("去",D2760)),ISNUMBER(SEARCH("入",D2760)))),"Ambiguous",IF(ISNUMBER(SEARCH("平",D2760)),"平","仄")))</x:f>
        <x:v>仄</x:v>
      </x:c>
      <x:c r="J2772" s="7" t="str"/>
    </x:row>
    <x:row r="2773">
      <x:c r="A2773" s="5" t="str">
        <x:v>禿</x:v>
      </x:c>
      <x:c r="B2773" s="6" t="str">
        <x:v>入</x:v>
      </x:c>
      <x:c r="C2773" s="6" t="str">
        <x:f>IF(B2773="","Needs decision","Ready")</x:f>
        <x:v>Ready</x:v>
      </x:c>
      <x:c r="D2773" s="6" t="str">
        <x:v>入</x:v>
      </x:c>
      <x:c r="E2773" s="6" t="str">
        <x:v>thuwk (D)</x:v>
      </x:c>
      <x:c r="F2773" s="6" t="str">
        <x:v>1</x:v>
      </x:c>
      <x:c r="G2773" s="6" t="str"/>
      <x:c r="H2773" s="6" t="str">
        <x:f>IF(B2773="平","平",IF(B2773="","","仄"))</x:f>
        <x:v>仄</x:v>
      </x:c>
      <x:c r="I2773" s="6" t="str">
        <x:f>IF(D2761="","",IF(AND(ISNUMBER(SEARCH("平",D2761)),OR(ISNUMBER(SEARCH("上",D2761)),ISNUMBER(SEARCH("去",D2761)),ISNUMBER(SEARCH("入",D2761)))),"Ambiguous",IF(ISNUMBER(SEARCH("平",D2761)),"平","仄")))</x:f>
        <x:v>平</x:v>
      </x:c>
      <x:c r="J2773" s="7" t="str"/>
    </x:row>
    <x:row r="2774">
      <x:c r="A2774" s="5" t="str">
        <x:v>秀</x:v>
      </x:c>
      <x:c r="B2774" s="6" t="str">
        <x:v>去</x:v>
      </x:c>
      <x:c r="C2774" s="6" t="str">
        <x:f>IF(B2774="","Needs decision","Ready")</x:f>
        <x:v>Ready</x:v>
      </x:c>
      <x:c r="D2774" s="6" t="str">
        <x:v>去</x:v>
      </x:c>
      <x:c r="E2774" s="6" t="str">
        <x:v>sjuwH (C)</x:v>
      </x:c>
      <x:c r="F2774" s="6" t="str">
        <x:v>1</x:v>
      </x:c>
      <x:c r="G2774" s="6" t="str"/>
      <x:c r="H2774" s="6" t="str">
        <x:f>IF(B2774="平","平",IF(B2774="","","仄"))</x:f>
        <x:v>仄</x:v>
      </x:c>
      <x:c r="I2774" s="6" t="str">
        <x:f>IF(D2762="","",IF(AND(ISNUMBER(SEARCH("平",D2762)),OR(ISNUMBER(SEARCH("上",D2762)),ISNUMBER(SEARCH("去",D2762)),ISNUMBER(SEARCH("入",D2762)))),"Ambiguous",IF(ISNUMBER(SEARCH("平",D2762)),"平","仄")))</x:f>
        <x:v>仄</x:v>
      </x:c>
      <x:c r="J2774" s="7" t="str"/>
    </x:row>
    <x:row r="2775">
      <x:c r="A2775" s="5" t="str">
        <x:v>私</x:v>
      </x:c>
      <x:c r="B2775" s="6" t="str">
        <x:v>平</x:v>
      </x:c>
      <x:c r="C2775" s="6" t="str">
        <x:f>IF(B2775="","Needs decision","Ready")</x:f>
        <x:v>Ready</x:v>
      </x:c>
      <x:c r="D2775" s="6" t="str">
        <x:v>平</x:v>
      </x:c>
      <x:c r="E2775" s="6" t="str">
        <x:v>sij (A)</x:v>
      </x:c>
      <x:c r="F2775" s="6" t="str">
        <x:v>1</x:v>
      </x:c>
      <x:c r="G2775" s="6" t="str"/>
      <x:c r="H2775" s="6" t="str">
        <x:f>IF(B2775="平","平",IF(B2775="","","仄"))</x:f>
        <x:v>平</x:v>
      </x:c>
      <x:c r="I2775" s="6" t="str">
        <x:f>IF(D2763="","",IF(AND(ISNUMBER(SEARCH("平",D2763)),OR(ISNUMBER(SEARCH("上",D2763)),ISNUMBER(SEARCH("去",D2763)),ISNUMBER(SEARCH("入",D2763)))),"Ambiguous",IF(ISNUMBER(SEARCH("平",D2763)),"平","仄")))</x:f>
        <x:v>仄</x:v>
      </x:c>
      <x:c r="J2775" s="7" t="str"/>
    </x:row>
    <x:row r="2776">
      <x:c r="A2776" s="5" t="str">
        <x:v>秅</x:v>
      </x:c>
      <x:c r="B2776" s="6" t="str">
        <x:v>平</x:v>
      </x:c>
      <x:c r="C2776" s="6" t="str">
        <x:f>IF(B2776="","Needs decision","Ready")</x:f>
        <x:v>Ready</x:v>
      </x:c>
      <x:c r="D2776" s="6" t="str">
        <x:v>平</x:v>
      </x:c>
      <x:c r="E2776" s="6" t="str">
        <x:v>drae (A)</x:v>
      </x:c>
      <x:c r="F2776" s="6" t="str">
        <x:v>1</x:v>
      </x:c>
      <x:c r="G2776" s="6" t="str"/>
      <x:c r="H2776" s="6" t="str">
        <x:f>IF(B2776="平","平",IF(B2776="","","仄"))</x:f>
        <x:v>平</x:v>
      </x:c>
      <x:c r="I2776" s="6" t="str">
        <x:f>IF(D2764="","",IF(AND(ISNUMBER(SEARCH("平",D2764)),OR(ISNUMBER(SEARCH("上",D2764)),ISNUMBER(SEARCH("去",D2764)),ISNUMBER(SEARCH("入",D2764)))),"Ambiguous",IF(ISNUMBER(SEARCH("平",D2764)),"平","仄")))</x:f>
        <x:v>仄</x:v>
      </x:c>
      <x:c r="J2776" s="7" t="str"/>
    </x:row>
    <x:row r="2777">
      <x:c r="A2777" s="5" t="str">
        <x:v>秆</x:v>
      </x:c>
      <x:c r="B2777" s="6" t="str">
        <x:v>上</x:v>
      </x:c>
      <x:c r="C2777" s="6" t="str">
        <x:f>IF(B2777="","Needs decision","Ready")</x:f>
        <x:v>Ready</x:v>
      </x:c>
      <x:c r="D2777" s="6" t="str">
        <x:v>上</x:v>
      </x:c>
      <x:c r="E2777" s="6" t="str">
        <x:v>kanX (B)</x:v>
      </x:c>
      <x:c r="F2777" s="6" t="str">
        <x:v>1</x:v>
      </x:c>
      <x:c r="G2777" s="6" t="str"/>
      <x:c r="H2777" s="6" t="str">
        <x:f>IF(B2777="平","平",IF(B2777="","","仄"))</x:f>
        <x:v>仄</x:v>
      </x:c>
      <x:c r="I2777" s="6" t="str">
        <x:f>IF(D2765="","",IF(AND(ISNUMBER(SEARCH("平",D2765)),OR(ISNUMBER(SEARCH("上",D2765)),ISNUMBER(SEARCH("去",D2765)),ISNUMBER(SEARCH("入",D2765)))),"Ambiguous",IF(ISNUMBER(SEARCH("平",D2765)),"平","仄")))</x:f>
        <x:v>仄</x:v>
      </x:c>
      <x:c r="J2777" s="7" t="str"/>
    </x:row>
    <x:row r="2778">
      <x:c r="A2778" s="5" t="str">
        <x:v>秉</x:v>
      </x:c>
      <x:c r="B2778" s="6" t="str">
        <x:v>上</x:v>
      </x:c>
      <x:c r="C2778" s="6" t="str">
        <x:f>IF(B2778="","Needs decision","Ready")</x:f>
        <x:v>Ready</x:v>
      </x:c>
      <x:c r="D2778" s="6" t="str">
        <x:v>上</x:v>
      </x:c>
      <x:c r="E2778" s="6" t="str">
        <x:v>pjaengX (B)</x:v>
      </x:c>
      <x:c r="F2778" s="6" t="str">
        <x:v>1</x:v>
      </x:c>
      <x:c r="G2778" s="6" t="str"/>
      <x:c r="H2778" s="6" t="str">
        <x:f>IF(B2778="平","平",IF(B2778="","","仄"))</x:f>
        <x:v>仄</x:v>
      </x:c>
      <x:c r="I2778" s="6" t="str">
        <x:f>IF(D2766="","",IF(AND(ISNUMBER(SEARCH("平",D2766)),OR(ISNUMBER(SEARCH("上",D2766)),ISNUMBER(SEARCH("去",D2766)),ISNUMBER(SEARCH("入",D2766)))),"Ambiguous",IF(ISNUMBER(SEARCH("平",D2766)),"平","仄")))</x:f>
        <x:v>仄</x:v>
      </x:c>
      <x:c r="J2778" s="7" t="str"/>
    </x:row>
    <x:row r="2779">
      <x:c r="A2779" s="5" t="str">
        <x:v>秋</x:v>
      </x:c>
      <x:c r="B2779" s="6" t="str">
        <x:v>平</x:v>
      </x:c>
      <x:c r="C2779" s="6" t="str">
        <x:f>IF(B2779="","Needs decision","Ready")</x:f>
        <x:v>Ready</x:v>
      </x:c>
      <x:c r="D2779" s="6" t="str">
        <x:v>平</x:v>
      </x:c>
      <x:c r="E2779" s="6" t="str">
        <x:v>tshjuw (A)</x:v>
      </x:c>
      <x:c r="F2779" s="6" t="str">
        <x:v>1</x:v>
      </x:c>
      <x:c r="G2779" s="6" t="str"/>
      <x:c r="H2779" s="6" t="str">
        <x:f>IF(B2779="平","平",IF(B2779="","","仄"))</x:f>
        <x:v>平</x:v>
      </x:c>
      <x:c r="I2779" s="6" t="str">
        <x:f>IF(D2767="","",IF(AND(ISNUMBER(SEARCH("平",D2767)),OR(ISNUMBER(SEARCH("上",D2767)),ISNUMBER(SEARCH("去",D2767)),ISNUMBER(SEARCH("入",D2767)))),"Ambiguous",IF(ISNUMBER(SEARCH("平",D2767)),"平","仄")))</x:f>
        <x:v>仄</x:v>
      </x:c>
      <x:c r="J2779" s="7" t="str"/>
    </x:row>
    <x:row r="2780">
      <x:c r="A2780" s="5" t="str">
        <x:v>科</x:v>
      </x:c>
      <x:c r="B2780" s="6" t="str">
        <x:v>平</x:v>
      </x:c>
      <x:c r="C2780" s="6" t="str">
        <x:f>IF(B2780="","Needs decision","Ready")</x:f>
        <x:v>Ready</x:v>
      </x:c>
      <x:c r="D2780" s="6" t="str">
        <x:v>去/平</x:v>
      </x:c>
      <x:c r="E2780" s="6" t="str">
        <x:v>khwaH [溪合一歌去] qʰwɑh; khwa [溪合一歌平] qʰwɑ</x:v>
      </x:c>
      <x:c r="F2780" s="6" t="str">
        <x:v>2</x:v>
      </x:c>
      <x:c r="G2780" s="6" t="str">
        <x:v>Targeted preliminary fill from Xun Gong; review if uncertain; User workbook edit 2026-09-03</x:v>
      </x:c>
      <x:c r="H2780" s="6" t="str">
        <x:f>IF(B2780="平","平",IF(B2780="","","仄"))</x:f>
        <x:v>平</x:v>
      </x:c>
      <x:c r="I2780" s="6" t="str">
        <x:f>IF(D2768="","",IF(AND(ISNUMBER(SEARCH("平",D2768)),OR(ISNUMBER(SEARCH("上",D2768)),ISNUMBER(SEARCH("去",D2768)),ISNUMBER(SEARCH("入",D2768)))),"Ambiguous",IF(ISNUMBER(SEARCH("平",D2768)),"平","仄")))</x:f>
        <x:v>仄</x:v>
      </x:c>
      <x:c r="J2780" s="7" t="str">
        <x:v>manual user correction</x:v>
      </x:c>
    </x:row>
    <x:row r="2781">
      <x:c r="A2781" s="5" t="str">
        <x:v>秕</x:v>
      </x:c>
      <x:c r="B2781" s="6" t="str">
        <x:v>上</x:v>
      </x:c>
      <x:c r="C2781" s="6" t="str">
        <x:f>IF(B2781="","Needs decision","Ready")</x:f>
        <x:v>Ready</x:v>
      </x:c>
      <x:c r="D2781" s="6" t="str">
        <x:v>上</x:v>
      </x:c>
      <x:c r="E2781" s="6" t="str">
        <x:v>pjijX (B)</x:v>
      </x:c>
      <x:c r="F2781" s="6" t="str">
        <x:v>1</x:v>
      </x:c>
      <x:c r="G2781" s="6" t="str"/>
      <x:c r="H2781" s="6" t="str">
        <x:f>IF(B2781="平","平",IF(B2781="","","仄"))</x:f>
        <x:v>仄</x:v>
      </x:c>
      <x:c r="I2781" s="6" t="str">
        <x:f>IF(D2769="","",IF(AND(ISNUMBER(SEARCH("平",D2769)),OR(ISNUMBER(SEARCH("上",D2769)),ISNUMBER(SEARCH("去",D2769)),ISNUMBER(SEARCH("入",D2769)))),"Ambiguous",IF(ISNUMBER(SEARCH("平",D2769)),"平","仄")))</x:f>
        <x:v>仄</x:v>
      </x:c>
      <x:c r="J2781" s="7" t="str"/>
    </x:row>
    <x:row r="2782">
      <x:c r="A2782" s="5" t="str">
        <x:v>秘</x:v>
      </x:c>
      <x:c r="B2782" s="6" t="str">
        <x:v>去</x:v>
      </x:c>
      <x:c r="C2782" s="6" t="str">
        <x:f>IF(B2782="","Needs decision","Ready")</x:f>
        <x:v>Ready</x:v>
      </x:c>
      <x:c r="D2782" s="6" t="str">
        <x:v>去</x:v>
      </x:c>
      <x:c r="E2782" s="6" t="str"/>
      <x:c r="F2782" s="6" t="str"/>
      <x:c r="G2782" s="6" t="str">
        <x:v>Manual user correction/addition</x:v>
      </x:c>
      <x:c r="H2782" s="6" t="str">
        <x:f>IF(B2782="平","平",IF(B2782="","","仄"))</x:f>
        <x:v>仄</x:v>
      </x:c>
      <x:c r="I2782" s="6" t="str">
        <x:f>IF(D2770="","",IF(AND(ISNUMBER(SEARCH("平",D2770)),OR(ISNUMBER(SEARCH("上",D2770)),ISNUMBER(SEARCH("去",D2770)),ISNUMBER(SEARCH("入",D2770)))),"Ambiguous",IF(ISNUMBER(SEARCH("平",D2770)),"平","仄")))</x:f>
        <x:v>平</x:v>
      </x:c>
      <x:c r="J2782" s="7" t="str">
        <x:v>manual user correction</x:v>
      </x:c>
    </x:row>
    <x:row r="2783">
      <x:c r="A2783" s="5" t="str">
        <x:v>秜</x:v>
      </x:c>
      <x:c r="B2783" s="6" t="str">
        <x:v>平</x:v>
      </x:c>
      <x:c r="C2783" s="6" t="str">
        <x:f>IF(B2783="","Needs decision","Ready")</x:f>
        <x:v>Ready</x:v>
      </x:c>
      <x:c r="D2783" s="6" t="str">
        <x:v>平</x:v>
      </x:c>
      <x:c r="E2783" s="6" t="str">
        <x:v>nrij (A)</x:v>
      </x:c>
      <x:c r="F2783" s="6" t="str">
        <x:v>1</x:v>
      </x:c>
      <x:c r="G2783" s="6" t="str"/>
      <x:c r="H2783" s="6" t="str">
        <x:f>IF(B2783="平","平",IF(B2783="","","仄"))</x:f>
        <x:v>平</x:v>
      </x:c>
      <x:c r="I2783" s="6" t="str">
        <x:f>IF(D2771="","",IF(AND(ISNUMBER(SEARCH("平",D2771)),OR(ISNUMBER(SEARCH("上",D2771)),ISNUMBER(SEARCH("去",D2771)),ISNUMBER(SEARCH("入",D2771)))),"Ambiguous",IF(ISNUMBER(SEARCH("平",D2771)),"平","仄")))</x:f>
        <x:v>平</x:v>
      </x:c>
      <x:c r="J2783" s="7" t="str"/>
    </x:row>
    <x:row r="2784">
      <x:c r="A2784" s="5" t="str">
        <x:v>租</x:v>
      </x:c>
      <x:c r="B2784" s="6" t="str">
        <x:v>平</x:v>
      </x:c>
      <x:c r="C2784" s="6" t="str">
        <x:f>IF(B2784="","Needs decision","Ready")</x:f>
        <x:v>Ready</x:v>
      </x:c>
      <x:c r="D2784" s="6" t="str">
        <x:v>平</x:v>
      </x:c>
      <x:c r="E2784" s="6" t="str">
        <x:v>tsu [t̙s̙o] (平)</x:v>
      </x:c>
      <x:c r="F2784" s="6" t="str">
        <x:v>1</x:v>
      </x:c>
      <x:c r="G2784" s="6" t="str">
        <x:v>Tang 300 gap; frequency 2; provisional from Xun Gong</x:v>
      </x:c>
      <x:c r="H2784" s="6" t="str">
        <x:f>IF(B2784="平","平",IF(B2784="","","仄"))</x:f>
        <x:v>平</x:v>
      </x:c>
      <x:c r="I2784" s="6" t="str">
        <x:f>IF(D2772="","",IF(AND(ISNUMBER(SEARCH("平",D2772)),OR(ISNUMBER(SEARCH("上",D2772)),ISNUMBER(SEARCH("去",D2772)),ISNUMBER(SEARCH("入",D2772)))),"Ambiguous",IF(ISNUMBER(SEARCH("平",D2772)),"平","仄")))</x:f>
        <x:v>平</x:v>
      </x:c>
      <x:c r="J2784" s="7" t="str">
        <x:v>Xun Gong, Tang 300 gap fill</x:v>
      </x:c>
    </x:row>
    <x:row r="2785">
      <x:c r="A2785" s="5" t="str">
        <x:v>秦</x:v>
      </x:c>
      <x:c r="B2785" s="6" t="str">
        <x:v>平</x:v>
      </x:c>
      <x:c r="C2785" s="6" t="str">
        <x:f>IF(B2785="","Needs decision","Ready")</x:f>
        <x:v>Ready</x:v>
      </x:c>
      <x:c r="D2785" s="6" t="str">
        <x:v>平</x:v>
      </x:c>
      <x:c r="E2785" s="6" t="str">
        <x:v>dzin (A)</x:v>
      </x:c>
      <x:c r="F2785" s="6" t="str">
        <x:v>1</x:v>
      </x:c>
      <x:c r="G2785" s="6" t="str"/>
      <x:c r="H2785" s="6" t="str">
        <x:f>IF(B2785="平","平",IF(B2785="","","仄"))</x:f>
        <x:v>平</x:v>
      </x:c>
      <x:c r="I2785" s="6" t="str">
        <x:f>IF(D2773="","",IF(AND(ISNUMBER(SEARCH("平",D2773)),OR(ISNUMBER(SEARCH("上",D2773)),ISNUMBER(SEARCH("去",D2773)),ISNUMBER(SEARCH("入",D2773)))),"Ambiguous",IF(ISNUMBER(SEARCH("平",D2773)),"平","仄")))</x:f>
        <x:v>仄</x:v>
      </x:c>
      <x:c r="J2785" s="7" t="str"/>
    </x:row>
    <x:row r="2786">
      <x:c r="A2786" s="5" t="str">
        <x:v>秩</x:v>
      </x:c>
      <x:c r="B2786" s="6" t="str">
        <x:v>入</x:v>
      </x:c>
      <x:c r="C2786" s="6" t="str">
        <x:f>IF(B2786="","Needs decision","Ready")</x:f>
        <x:v>Ready</x:v>
      </x:c>
      <x:c r="D2786" s="6" t="str">
        <x:v>入</x:v>
      </x:c>
      <x:c r="E2786" s="6" t="str">
        <x:v>drit [ɖit] (入)</x:v>
      </x:c>
      <x:c r="F2786" s="6" t="str">
        <x:v>1</x:v>
      </x:c>
      <x:c r="G2786" s="6" t="str">
        <x:v>Tang 300 gap; frequency 1; provisional from Xun Gong</x:v>
      </x:c>
      <x:c r="H2786" s="6" t="str">
        <x:f>IF(B2786="平","平",IF(B2786="","","仄"))</x:f>
        <x:v>仄</x:v>
      </x:c>
      <x:c r="I2786" s="6" t="str">
        <x:f>IF(D2774="","",IF(AND(ISNUMBER(SEARCH("平",D2774)),OR(ISNUMBER(SEARCH("上",D2774)),ISNUMBER(SEARCH("去",D2774)),ISNUMBER(SEARCH("入",D2774)))),"Ambiguous",IF(ISNUMBER(SEARCH("平",D2774)),"平","仄")))</x:f>
        <x:v>仄</x:v>
      </x:c>
      <x:c r="J2786" s="7" t="str">
        <x:v>Xun Gong, Tang 300 gap fill</x:v>
      </x:c>
    </x:row>
    <x:row r="2787">
      <x:c r="A2787" s="5" t="str">
        <x:v>秫</x:v>
      </x:c>
      <x:c r="B2787" s="6" t="str">
        <x:v>入</x:v>
      </x:c>
      <x:c r="C2787" s="6" t="str">
        <x:f>IF(B2787="","Needs decision","Ready")</x:f>
        <x:v>Ready</x:v>
      </x:c>
      <x:c r="D2787" s="6" t="str">
        <x:v>入</x:v>
      </x:c>
      <x:c r="E2787" s="6" t="str">
        <x:v>zywit (D)</x:v>
      </x:c>
      <x:c r="F2787" s="6" t="str">
        <x:v>1</x:v>
      </x:c>
      <x:c r="G2787" s="6" t="str"/>
      <x:c r="H2787" s="6" t="str">
        <x:f>IF(B2787="平","平",IF(B2787="","","仄"))</x:f>
        <x:v>仄</x:v>
      </x:c>
      <x:c r="I2787" s="6" t="str">
        <x:f>IF(D2775="","",IF(AND(ISNUMBER(SEARCH("平",D2775)),OR(ISNUMBER(SEARCH("上",D2775)),ISNUMBER(SEARCH("去",D2775)),ISNUMBER(SEARCH("入",D2775)))),"Ambiguous",IF(ISNUMBER(SEARCH("平",D2775)),"平","仄")))</x:f>
        <x:v>平</x:v>
      </x:c>
      <x:c r="J2787" s="7" t="str"/>
    </x:row>
    <x:row r="2788">
      <x:c r="A2788" s="5" t="str">
        <x:v>秭</x:v>
      </x:c>
      <x:c r="B2788" s="6" t="str">
        <x:v>上</x:v>
      </x:c>
      <x:c r="C2788" s="6" t="str">
        <x:f>IF(B2788="","Needs decision","Ready")</x:f>
        <x:v>Ready</x:v>
      </x:c>
      <x:c r="D2788" s="6" t="str">
        <x:v>上</x:v>
      </x:c>
      <x:c r="E2788" s="6" t="str">
        <x:v>tsijX (B)</x:v>
      </x:c>
      <x:c r="F2788" s="6" t="str">
        <x:v>1</x:v>
      </x:c>
      <x:c r="G2788" s="6" t="str"/>
      <x:c r="H2788" s="6" t="str">
        <x:f>IF(B2788="平","平",IF(B2788="","","仄"))</x:f>
        <x:v>仄</x:v>
      </x:c>
      <x:c r="I2788" s="6" t="str">
        <x:f>IF(D2776="","",IF(AND(ISNUMBER(SEARCH("平",D2776)),OR(ISNUMBER(SEARCH("上",D2776)),ISNUMBER(SEARCH("去",D2776)),ISNUMBER(SEARCH("入",D2776)))),"Ambiguous",IF(ISNUMBER(SEARCH("平",D2776)),"平","仄")))</x:f>
        <x:v>平</x:v>
      </x:c>
      <x:c r="J2788" s="7" t="str"/>
    </x:row>
    <x:row r="2789">
      <x:c r="A2789" s="5" t="str">
        <x:v>秸</x:v>
      </x:c>
      <x:c r="B2789" s="6" t="str">
        <x:v>入</x:v>
      </x:c>
      <x:c r="C2789" s="6" t="str">
        <x:f>IF(B2789="","Needs decision","Ready")</x:f>
        <x:v>Ready</x:v>
      </x:c>
      <x:c r="D2789" s="6" t="str">
        <x:v>入</x:v>
      </x:c>
      <x:c r="E2789" s="6" t="str">
        <x:v>keat (D)</x:v>
      </x:c>
      <x:c r="F2789" s="6" t="str">
        <x:v>1</x:v>
      </x:c>
      <x:c r="G2789" s="6" t="str"/>
      <x:c r="H2789" s="6" t="str">
        <x:f>IF(B2789="平","平",IF(B2789="","","仄"))</x:f>
        <x:v>仄</x:v>
      </x:c>
      <x:c r="I2789" s="6" t="str">
        <x:f>IF(D2777="","",IF(AND(ISNUMBER(SEARCH("平",D2777)),OR(ISNUMBER(SEARCH("上",D2777)),ISNUMBER(SEARCH("去",D2777)),ISNUMBER(SEARCH("入",D2777)))),"Ambiguous",IF(ISNUMBER(SEARCH("平",D2777)),"平","仄")))</x:f>
        <x:v>仄</x:v>
      </x:c>
      <x:c r="J2789" s="7" t="str"/>
    </x:row>
    <x:row r="2790">
      <x:c r="A2790" s="5" t="str">
        <x:v>移</x:v>
      </x:c>
      <x:c r="B2790" s="6" t="str">
        <x:v>平</x:v>
      </x:c>
      <x:c r="C2790" s="6" t="str">
        <x:f>IF(B2790="","Needs decision","Ready")</x:f>
        <x:v>Ready</x:v>
      </x:c>
      <x:c r="D2790" s="6" t="str">
        <x:v>平</x:v>
      </x:c>
      <x:c r="E2790" s="6" t="str">
        <x:v>ye (A)</x:v>
      </x:c>
      <x:c r="F2790" s="6" t="str">
        <x:v>1</x:v>
      </x:c>
      <x:c r="G2790" s="6" t="str"/>
      <x:c r="H2790" s="6" t="str">
        <x:f>IF(B2790="平","平",IF(B2790="","","仄"))</x:f>
        <x:v>平</x:v>
      </x:c>
      <x:c r="I2790" s="6" t="str">
        <x:f>IF(D2778="","",IF(AND(ISNUMBER(SEARCH("平",D2778)),OR(ISNUMBER(SEARCH("上",D2778)),ISNUMBER(SEARCH("去",D2778)),ISNUMBER(SEARCH("入",D2778)))),"Ambiguous",IF(ISNUMBER(SEARCH("平",D2778)),"平","仄")))</x:f>
        <x:v>仄</x:v>
      </x:c>
      <x:c r="J2790" s="7" t="str"/>
    </x:row>
    <x:row r="2791">
      <x:c r="A2791" s="5" t="str">
        <x:v>稀</x:v>
      </x:c>
      <x:c r="B2791" s="6" t="str">
        <x:v>平</x:v>
      </x:c>
      <x:c r="C2791" s="6" t="str">
        <x:f>IF(B2791="","Needs decision","Ready")</x:f>
        <x:v>Ready</x:v>
      </x:c>
      <x:c r="D2791" s="6" t="str">
        <x:v>平</x:v>
      </x:c>
      <x:c r="E2791" s="6" t="str"/>
      <x:c r="F2791" s="6" t="str"/>
      <x:c r="G2791" s="6" t="str">
        <x:v>Manual user correction/addition</x:v>
      </x:c>
      <x:c r="H2791" s="6" t="str">
        <x:f>IF(B2791="平","平",IF(B2791="","","仄"))</x:f>
        <x:v>平</x:v>
      </x:c>
      <x:c r="I2791" s="6" t="str">
        <x:f>IF(D2779="","",IF(AND(ISNUMBER(SEARCH("平",D2779)),OR(ISNUMBER(SEARCH("上",D2779)),ISNUMBER(SEARCH("去",D2779)),ISNUMBER(SEARCH("入",D2779)))),"Ambiguous",IF(ISNUMBER(SEARCH("平",D2779)),"平","仄")))</x:f>
        <x:v>平</x:v>
      </x:c>
      <x:c r="J2791" s="7" t="str">
        <x:v>manual user correction</x:v>
      </x:c>
    </x:row>
    <x:row r="2792">
      <x:c r="A2792" s="5" t="str">
        <x:v>稂</x:v>
      </x:c>
      <x:c r="B2792" s="6" t="str">
        <x:v>平</x:v>
      </x:c>
      <x:c r="C2792" s="6" t="str">
        <x:f>IF(B2792="","Needs decision","Ready")</x:f>
        <x:v>Ready</x:v>
      </x:c>
      <x:c r="D2792" s="6" t="str">
        <x:v>平</x:v>
      </x:c>
      <x:c r="E2792" s="6" t="str">
        <x:v>lang (A)</x:v>
      </x:c>
      <x:c r="F2792" s="6" t="str">
        <x:v>1</x:v>
      </x:c>
      <x:c r="G2792" s="6" t="str"/>
      <x:c r="H2792" s="6" t="str">
        <x:f>IF(B2792="平","平",IF(B2792="","","仄"))</x:f>
        <x:v>平</x:v>
      </x:c>
      <x:c r="I2792" s="6" t="str">
        <x:f>IF(D2780="","",IF(AND(ISNUMBER(SEARCH("平",D2780)),OR(ISNUMBER(SEARCH("上",D2780)),ISNUMBER(SEARCH("去",D2780)),ISNUMBER(SEARCH("入",D2780)))),"Ambiguous",IF(ISNUMBER(SEARCH("平",D2780)),"平","仄")))</x:f>
        <x:v>Ambiguous</x:v>
      </x:c>
      <x:c r="J2792" s="7" t="str"/>
    </x:row>
    <x:row r="2793">
      <x:c r="A2793" s="5" t="str">
        <x:v>稅</x:v>
      </x:c>
      <x:c r="B2793" s="6" t="str">
        <x:v>去</x:v>
      </x:c>
      <x:c r="C2793" s="6" t="str">
        <x:f>IF(B2793="","Needs decision","Ready")</x:f>
        <x:v>Ready</x:v>
      </x:c>
      <x:c r="D2793" s="6" t="str">
        <x:v>去</x:v>
      </x:c>
      <x:c r="E2793" s="6" t="str">
        <x:v>sywejH [ɕwejh] (去)</x:v>
      </x:c>
      <x:c r="F2793" s="6" t="str">
        <x:v>1</x:v>
      </x:c>
      <x:c r="G2793" s="6" t="str">
        <x:v>Tang 300 gap; frequency 3; provisional from Xun Gong</x:v>
      </x:c>
      <x:c r="H2793" s="6" t="str">
        <x:f>IF(B2793="平","平",IF(B2793="","","仄"))</x:f>
        <x:v>仄</x:v>
      </x:c>
      <x:c r="I2793" s="6" t="str">
        <x:f>IF(D2781="","",IF(AND(ISNUMBER(SEARCH("平",D2781)),OR(ISNUMBER(SEARCH("上",D2781)),ISNUMBER(SEARCH("去",D2781)),ISNUMBER(SEARCH("入",D2781)))),"Ambiguous",IF(ISNUMBER(SEARCH("平",D2781)),"平","仄")))</x:f>
        <x:v>仄</x:v>
      </x:c>
      <x:c r="J2793" s="7" t="str">
        <x:v>Xun Gong, Tang 300 gap fill</x:v>
      </x:c>
    </x:row>
    <x:row r="2794">
      <x:c r="A2794" s="5" t="str">
        <x:v>稇</x:v>
      </x:c>
      <x:c r="B2794" s="6" t="str">
        <x:v>上</x:v>
      </x:c>
      <x:c r="C2794" s="6" t="str">
        <x:f>IF(B2794="","Needs decision","Ready")</x:f>
        <x:v>Ready</x:v>
      </x:c>
      <x:c r="D2794" s="6" t="str">
        <x:v>上</x:v>
      </x:c>
      <x:c r="E2794" s="6" t="str">
        <x:v>khwonX (B)</x:v>
      </x:c>
      <x:c r="F2794" s="6" t="str">
        <x:v>1</x:v>
      </x:c>
      <x:c r="G2794" s="6" t="str"/>
      <x:c r="H2794" s="6" t="str">
        <x:f>IF(B2794="平","平",IF(B2794="","","仄"))</x:f>
        <x:v>仄</x:v>
      </x:c>
      <x:c r="I2794" s="6" t="str">
        <x:f>IF(D2782="","",IF(AND(ISNUMBER(SEARCH("平",D2782)),OR(ISNUMBER(SEARCH("上",D2782)),ISNUMBER(SEARCH("去",D2782)),ISNUMBER(SEARCH("入",D2782)))),"Ambiguous",IF(ISNUMBER(SEARCH("平",D2782)),"平","仄")))</x:f>
        <x:v>仄</x:v>
      </x:c>
      <x:c r="J2794" s="7" t="str"/>
    </x:row>
    <x:row r="2795">
      <x:c r="A2795" s="5" t="str">
        <x:v>程</x:v>
      </x:c>
      <x:c r="B2795" s="6" t="str">
        <x:v>平</x:v>
      </x:c>
      <x:c r="C2795" s="6" t="str">
        <x:f>IF(B2795="","Needs decision","Ready")</x:f>
        <x:v>Ready</x:v>
      </x:c>
      <x:c r="D2795" s="6" t="str">
        <x:v>平</x:v>
      </x:c>
      <x:c r="E2795" s="6" t="str">
        <x:v>drjeng (A)</x:v>
      </x:c>
      <x:c r="F2795" s="6" t="str">
        <x:v>1</x:v>
      </x:c>
      <x:c r="G2795" s="6" t="str"/>
      <x:c r="H2795" s="6" t="str">
        <x:f>IF(B2795="平","平",IF(B2795="","","仄"))</x:f>
        <x:v>平</x:v>
      </x:c>
      <x:c r="I2795" s="6" t="str">
        <x:f>IF(D2783="","",IF(AND(ISNUMBER(SEARCH("平",D2783)),OR(ISNUMBER(SEARCH("上",D2783)),ISNUMBER(SEARCH("去",D2783)),ISNUMBER(SEARCH("入",D2783)))),"Ambiguous",IF(ISNUMBER(SEARCH("平",D2783)),"平","仄")))</x:f>
        <x:v>平</x:v>
      </x:c>
      <x:c r="J2795" s="7" t="str"/>
    </x:row>
    <x:row r="2796">
      <x:c r="A2796" s="5" t="str">
        <x:v>稌</x:v>
      </x:c>
      <x:c r="B2796" s="6" t="str">
        <x:v>平</x:v>
      </x:c>
      <x:c r="C2796" s="6" t="str">
        <x:f>IF(B2796="","Needs decision","Ready")</x:f>
        <x:v>Ready</x:v>
      </x:c>
      <x:c r="D2796" s="6" t="str">
        <x:v>平</x:v>
      </x:c>
      <x:c r="E2796" s="6" t="str">
        <x:v>thu (A)</x:v>
      </x:c>
      <x:c r="F2796" s="6" t="str">
        <x:v>1</x:v>
      </x:c>
      <x:c r="G2796" s="6" t="str"/>
      <x:c r="H2796" s="6" t="str">
        <x:f>IF(B2796="平","平",IF(B2796="","","仄"))</x:f>
        <x:v>平</x:v>
      </x:c>
      <x:c r="I2796" s="6" t="str">
        <x:f>IF(D2784="","",IF(AND(ISNUMBER(SEARCH("平",D2784)),OR(ISNUMBER(SEARCH("上",D2784)),ISNUMBER(SEARCH("去",D2784)),ISNUMBER(SEARCH("入",D2784)))),"Ambiguous",IF(ISNUMBER(SEARCH("平",D2784)),"平","仄")))</x:f>
        <x:v>平</x:v>
      </x:c>
      <x:c r="J2796" s="7" t="str"/>
    </x:row>
    <x:row r="2797">
      <x:c r="A2797" s="5" t="str">
        <x:v>稍</x:v>
      </x:c>
      <x:c r="B2797" s="6" t="str">
        <x:v>去</x:v>
      </x:c>
      <x:c r="C2797" s="6" t="str">
        <x:f>IF(B2797="","Needs decision","Ready")</x:f>
        <x:v>Ready</x:v>
      </x:c>
      <x:c r="D2797" s="6" t="str">
        <x:v>去</x:v>
      </x:c>
      <x:c r="E2797" s="6" t="str">
        <x:v>sraewH (C)</x:v>
      </x:c>
      <x:c r="F2797" s="6" t="str">
        <x:v>1</x:v>
      </x:c>
      <x:c r="G2797" s="6" t="str"/>
      <x:c r="H2797" s="6" t="str">
        <x:f>IF(B2797="平","平",IF(B2797="","","仄"))</x:f>
        <x:v>仄</x:v>
      </x:c>
      <x:c r="I2797" s="6" t="str">
        <x:f>IF(D2785="","",IF(AND(ISNUMBER(SEARCH("平",D2785)),OR(ISNUMBER(SEARCH("上",D2785)),ISNUMBER(SEARCH("去",D2785)),ISNUMBER(SEARCH("入",D2785)))),"Ambiguous",IF(ISNUMBER(SEARCH("平",D2785)),"平","仄")))</x:f>
        <x:v>平</x:v>
      </x:c>
      <x:c r="J2797" s="7" t="str"/>
    </x:row>
    <x:row r="2798">
      <x:c r="A2798" s="5" t="str">
        <x:v>税</x:v>
      </x:c>
      <x:c r="B2798" s="6" t="str">
        <x:v>去</x:v>
      </x:c>
      <x:c r="C2798" s="6" t="str">
        <x:f>IF(B2798="","Needs decision","Ready")</x:f>
        <x:v>Ready</x:v>
      </x:c>
      <x:c r="D2798" s="6" t="str">
        <x:v>去</x:v>
      </x:c>
      <x:c r="E2798" s="6" t="str">
        <x:v>sywejH (C)</x:v>
      </x:c>
      <x:c r="F2798" s="6" t="str">
        <x:v>1</x:v>
      </x:c>
      <x:c r="G2798" s="6" t="str"/>
      <x:c r="H2798" s="6" t="str">
        <x:f>IF(B2798="平","平",IF(B2798="","","仄"))</x:f>
        <x:v>仄</x:v>
      </x:c>
      <x:c r="I2798" s="6" t="str">
        <x:f>IF(D2786="","",IF(AND(ISNUMBER(SEARCH("平",D2786)),OR(ISNUMBER(SEARCH("上",D2786)),ISNUMBER(SEARCH("去",D2786)),ISNUMBER(SEARCH("入",D2786)))),"Ambiguous",IF(ISNUMBER(SEARCH("平",D2786)),"平","仄")))</x:f>
        <x:v>仄</x:v>
      </x:c>
      <x:c r="J2798" s="7" t="str"/>
    </x:row>
    <x:row r="2799">
      <x:c r="A2799" s="5" t="str">
        <x:v>稔</x:v>
      </x:c>
      <x:c r="B2799" s="6" t="str">
        <x:v>上</x:v>
      </x:c>
      <x:c r="C2799" s="6" t="str">
        <x:f>IF(B2799="","Needs decision","Ready")</x:f>
        <x:v>Ready</x:v>
      </x:c>
      <x:c r="D2799" s="6" t="str">
        <x:v>上</x:v>
      </x:c>
      <x:c r="E2799" s="6" t="str">
        <x:v>nyimX (B)</x:v>
      </x:c>
      <x:c r="F2799" s="6" t="str">
        <x:v>1</x:v>
      </x:c>
      <x:c r="G2799" s="6" t="str"/>
      <x:c r="H2799" s="6" t="str">
        <x:f>IF(B2799="平","平",IF(B2799="","","仄"))</x:f>
        <x:v>仄</x:v>
      </x:c>
      <x:c r="I2799" s="6" t="str">
        <x:f>IF(D2787="","",IF(AND(ISNUMBER(SEARCH("平",D2787)),OR(ISNUMBER(SEARCH("上",D2787)),ISNUMBER(SEARCH("去",D2787)),ISNUMBER(SEARCH("入",D2787)))),"Ambiguous",IF(ISNUMBER(SEARCH("平",D2787)),"平","仄")))</x:f>
        <x:v>仄</x:v>
      </x:c>
      <x:c r="J2799" s="7" t="str"/>
    </x:row>
    <x:row r="2800">
      <x:c r="A2800" s="5" t="str">
        <x:v>稗</x:v>
      </x:c>
      <x:c r="B2800" s="6" t="str">
        <x:v>去</x:v>
      </x:c>
      <x:c r="C2800" s="6" t="str">
        <x:f>IF(B2800="","Needs decision","Ready")</x:f>
        <x:v>Ready</x:v>
      </x:c>
      <x:c r="D2800" s="6" t="str">
        <x:v>去</x:v>
      </x:c>
      <x:c r="E2800" s="6" t="str">
        <x:v>beaH (C)</x:v>
      </x:c>
      <x:c r="F2800" s="6" t="str">
        <x:v>1</x:v>
      </x:c>
      <x:c r="G2800" s="6" t="str"/>
      <x:c r="H2800" s="6" t="str">
        <x:f>IF(B2800="平","平",IF(B2800="","","仄"))</x:f>
        <x:v>仄</x:v>
      </x:c>
      <x:c r="I2800" s="6" t="str">
        <x:f>IF(D2788="","",IF(AND(ISNUMBER(SEARCH("平",D2788)),OR(ISNUMBER(SEARCH("上",D2788)),ISNUMBER(SEARCH("去",D2788)),ISNUMBER(SEARCH("入",D2788)))),"Ambiguous",IF(ISNUMBER(SEARCH("平",D2788)),"平","仄")))</x:f>
        <x:v>仄</x:v>
      </x:c>
      <x:c r="J2800" s="7" t="str"/>
    </x:row>
    <x:row r="2801">
      <x:c r="A2801" s="5" t="str">
        <x:v>稙</x:v>
      </x:c>
      <x:c r="B2801" s="6" t="str">
        <x:v>入</x:v>
      </x:c>
      <x:c r="C2801" s="6" t="str">
        <x:f>IF(B2801="","Needs decision","Ready")</x:f>
        <x:v>Ready</x:v>
      </x:c>
      <x:c r="D2801" s="6" t="str">
        <x:v>入</x:v>
      </x:c>
      <x:c r="E2801" s="6" t="str">
        <x:v>trik (D)</x:v>
      </x:c>
      <x:c r="F2801" s="6" t="str">
        <x:v>1</x:v>
      </x:c>
      <x:c r="G2801" s="6" t="str"/>
      <x:c r="H2801" s="6" t="str">
        <x:f>IF(B2801="平","平",IF(B2801="","","仄"))</x:f>
        <x:v>仄</x:v>
      </x:c>
      <x:c r="I2801" s="6" t="str">
        <x:f>IF(D2789="","",IF(AND(ISNUMBER(SEARCH("平",D2789)),OR(ISNUMBER(SEARCH("上",D2789)),ISNUMBER(SEARCH("去",D2789)),ISNUMBER(SEARCH("入",D2789)))),"Ambiguous",IF(ISNUMBER(SEARCH("平",D2789)),"平","仄")))</x:f>
        <x:v>仄</x:v>
      </x:c>
      <x:c r="J2801" s="7" t="str"/>
    </x:row>
    <x:row r="2802">
      <x:c r="A2802" s="5" t="str">
        <x:v>稚</x:v>
      </x:c>
      <x:c r="B2802" s="6" t="str">
        <x:v>去</x:v>
      </x:c>
      <x:c r="C2802" s="6" t="str">
        <x:f>IF(B2802="","Needs decision","Ready")</x:f>
        <x:v>Ready</x:v>
      </x:c>
      <x:c r="D2802" s="6" t="str">
        <x:v>去</x:v>
      </x:c>
      <x:c r="E2802" s="6" t="str">
        <x:v>drijH (C)</x:v>
      </x:c>
      <x:c r="F2802" s="6" t="str">
        <x:v>1</x:v>
      </x:c>
      <x:c r="G2802" s="6" t="str"/>
      <x:c r="H2802" s="6" t="str">
        <x:f>IF(B2802="平","平",IF(B2802="","","仄"))</x:f>
        <x:v>仄</x:v>
      </x:c>
      <x:c r="I2802" s="6" t="str">
        <x:f>IF(D2790="","",IF(AND(ISNUMBER(SEARCH("平",D2790)),OR(ISNUMBER(SEARCH("上",D2790)),ISNUMBER(SEARCH("去",D2790)),ISNUMBER(SEARCH("入",D2790)))),"Ambiguous",IF(ISNUMBER(SEARCH("平",D2790)),"平","仄")))</x:f>
        <x:v>平</x:v>
      </x:c>
      <x:c r="J2802" s="7" t="str"/>
    </x:row>
    <x:row r="2803">
      <x:c r="A2803" s="5" t="str">
        <x:v>稜</x:v>
      </x:c>
      <x:c r="B2803" s="6" t="str">
        <x:v>平</x:v>
      </x:c>
      <x:c r="C2803" s="6" t="str">
        <x:f>IF(B2803="","Needs decision","Ready")</x:f>
        <x:v>Ready</x:v>
      </x:c>
      <x:c r="D2803" s="6" t="str">
        <x:v>平</x:v>
      </x:c>
      <x:c r="E2803" s="6" t="str">
        <x:v>long [l̙əŋ] (平)</x:v>
      </x:c>
      <x:c r="F2803" s="6" t="str">
        <x:v>1</x:v>
      </x:c>
      <x:c r="G2803" s="6" t="str">
        <x:v>Tang 300 gap; frequency 1; provisional from Xun Gong</x:v>
      </x:c>
      <x:c r="H2803" s="6" t="str">
        <x:f>IF(B2803="平","平",IF(B2803="","","仄"))</x:f>
        <x:v>平</x:v>
      </x:c>
      <x:c r="I2803" s="6" t="str">
        <x:f>IF(D2791="","",IF(AND(ISNUMBER(SEARCH("平",D2791)),OR(ISNUMBER(SEARCH("上",D2791)),ISNUMBER(SEARCH("去",D2791)),ISNUMBER(SEARCH("入",D2791)))),"Ambiguous",IF(ISNUMBER(SEARCH("平",D2791)),"平","仄")))</x:f>
        <x:v>平</x:v>
      </x:c>
      <x:c r="J2803" s="7" t="str">
        <x:v>Xun Gong, Tang 300 gap fill</x:v>
      </x:c>
    </x:row>
    <x:row r="2804">
      <x:c r="A2804" s="5" t="str">
        <x:v>稟</x:v>
      </x:c>
      <x:c r="B2804" s="6" t="str">
        <x:v>上</x:v>
      </x:c>
      <x:c r="C2804" s="6" t="str">
        <x:f>IF(B2804="","Needs decision","Ready")</x:f>
        <x:v>Ready</x:v>
      </x:c>
      <x:c r="D2804" s="6" t="str">
        <x:v>上</x:v>
      </x:c>
      <x:c r="E2804" s="6" t="str">
        <x:v>pimX (B); limX (B)</x:v>
      </x:c>
      <x:c r="F2804" s="6" t="str">
        <x:v>2</x:v>
      </x:c>
      <x:c r="G2804" s="6" t="str"/>
      <x:c r="H2804" s="6" t="str">
        <x:f>IF(B2804="平","平",IF(B2804="","","仄"))</x:f>
        <x:v>仄</x:v>
      </x:c>
      <x:c r="I2804" s="6" t="str">
        <x:f>IF(D2792="","",IF(AND(ISNUMBER(SEARCH("平",D2792)),OR(ISNUMBER(SEARCH("上",D2792)),ISNUMBER(SEARCH("去",D2792)),ISNUMBER(SEARCH("入",D2792)))),"Ambiguous",IF(ISNUMBER(SEARCH("平",D2792)),"平","仄")))</x:f>
        <x:v>平</x:v>
      </x:c>
      <x:c r="J2804" s="7" t="str"/>
    </x:row>
    <x:row r="2805">
      <x:c r="A2805" s="5" t="str">
        <x:v>稠</x:v>
      </x:c>
      <x:c r="B2805" s="6" t="str">
        <x:v>平</x:v>
      </x:c>
      <x:c r="C2805" s="6" t="str">
        <x:f>IF(B2805="","Needs decision","Ready")</x:f>
        <x:v>Ready</x:v>
      </x:c>
      <x:c r="D2805" s="6" t="str">
        <x:v>平</x:v>
      </x:c>
      <x:c r="E2805" s="6" t="str">
        <x:v>drjuw (A)</x:v>
      </x:c>
      <x:c r="F2805" s="6" t="str">
        <x:v>1</x:v>
      </x:c>
      <x:c r="G2805" s="6" t="str"/>
      <x:c r="H2805" s="6" t="str">
        <x:f>IF(B2805="平","平",IF(B2805="","","仄"))</x:f>
        <x:v>平</x:v>
      </x:c>
      <x:c r="I2805" s="6" t="str">
        <x:f>IF(D2793="","",IF(AND(ISNUMBER(SEARCH("平",D2793)),OR(ISNUMBER(SEARCH("上",D2793)),ISNUMBER(SEARCH("去",D2793)),ISNUMBER(SEARCH("入",D2793)))),"Ambiguous",IF(ISNUMBER(SEARCH("平",D2793)),"平","仄")))</x:f>
        <x:v>仄</x:v>
      </x:c>
      <x:c r="J2805" s="7" t="str"/>
    </x:row>
    <x:row r="2806">
      <x:c r="A2806" s="5" t="str">
        <x:v>種</x:v>
      </x:c>
      <x:c r="B2806" s="6" t="str"/>
      <x:c r="C2806" s="6" t="str">
        <x:f>IF(B2806="","Needs decision","Ready")</x:f>
        <x:v>Needs decision</x:v>
      </x:c>
      <x:c r="D2806" s="6" t="str">
        <x:v>上/去</x:v>
      </x:c>
      <x:c r="E2806" s="6" t="str">
        <x:v>tsyowngX (B); tsyowngH (C)</x:v>
      </x:c>
      <x:c r="F2806" s="6" t="str">
        <x:v>2</x:v>
      </x:c>
      <x:c r="G2806" s="6" t="str"/>
      <x:c r="H2806" s="6" t="str">
        <x:f>IF(B2806="平","平",IF(B2806="","","仄"))</x:f>
      </x:c>
      <x:c r="I2806" s="6" t="str">
        <x:f>IF(D2794="","",IF(AND(ISNUMBER(SEARCH("平",D2794)),OR(ISNUMBER(SEARCH("上",D2794)),ISNUMBER(SEARCH("去",D2794)),ISNUMBER(SEARCH("入",D2794)))),"Ambiguous",IF(ISNUMBER(SEARCH("平",D2794)),"平","仄")))</x:f>
        <x:v>仄</x:v>
      </x:c>
      <x:c r="J2806" s="7" t="str"/>
    </x:row>
    <x:row r="2807">
      <x:c r="A2807" s="5" t="str">
        <x:v>稯</x:v>
      </x:c>
      <x:c r="B2807" s="6" t="str">
        <x:v>平</x:v>
      </x:c>
      <x:c r="C2807" s="6" t="str">
        <x:f>IF(B2807="","Needs decision","Ready")</x:f>
        <x:v>Ready</x:v>
      </x:c>
      <x:c r="D2807" s="6" t="str">
        <x:v>平</x:v>
      </x:c>
      <x:c r="E2807" s="6" t="str">
        <x:v>tsuwng (A)</x:v>
      </x:c>
      <x:c r="F2807" s="6" t="str">
        <x:v>1</x:v>
      </x:c>
      <x:c r="G2807" s="6" t="str"/>
      <x:c r="H2807" s="6" t="str">
        <x:f>IF(B2807="平","平",IF(B2807="","","仄"))</x:f>
        <x:v>平</x:v>
      </x:c>
      <x:c r="I2807" s="6" t="str">
        <x:f>IF(D2795="","",IF(AND(ISNUMBER(SEARCH("平",D2795)),OR(ISNUMBER(SEARCH("上",D2795)),ISNUMBER(SEARCH("去",D2795)),ISNUMBER(SEARCH("入",D2795)))),"Ambiguous",IF(ISNUMBER(SEARCH("平",D2795)),"平","仄")))</x:f>
        <x:v>平</x:v>
      </x:c>
      <x:c r="J2807" s="7" t="str"/>
    </x:row>
    <x:row r="2808">
      <x:c r="A2808" s="5" t="str">
        <x:v>稱</x:v>
      </x:c>
      <x:c r="B2808" s="6" t="str"/>
      <x:c r="C2808" s="6" t="str">
        <x:f>IF(B2808="","Needs decision","Ready")</x:f>
        <x:v>Needs decision</x:v>
      </x:c>
      <x:c r="D2808" s="6" t="str">
        <x:v>平/去</x:v>
      </x:c>
      <x:c r="E2808" s="6" t="str">
        <x:v>tsyhing (A); tsyhingH (C)</x:v>
      </x:c>
      <x:c r="F2808" s="6" t="str">
        <x:v>2</x:v>
      </x:c>
      <x:c r="G2808" s="6" t="str"/>
      <x:c r="H2808" s="6" t="str">
        <x:f>IF(B2808="平","平",IF(B2808="","","仄"))</x:f>
      </x:c>
      <x:c r="I2808" s="6" t="str">
        <x:f>IF(D2796="","",IF(AND(ISNUMBER(SEARCH("平",D2796)),OR(ISNUMBER(SEARCH("上",D2796)),ISNUMBER(SEARCH("去",D2796)),ISNUMBER(SEARCH("入",D2796)))),"Ambiguous",IF(ISNUMBER(SEARCH("平",D2796)),"平","仄")))</x:f>
        <x:v>平</x:v>
      </x:c>
      <x:c r="J2808" s="7" t="str"/>
    </x:row>
    <x:row r="2809">
      <x:c r="A2809" s="5" t="str">
        <x:v>稷</x:v>
      </x:c>
      <x:c r="B2809" s="6" t="str">
        <x:v>入</x:v>
      </x:c>
      <x:c r="C2809" s="6" t="str">
        <x:f>IF(B2809="","Needs decision","Ready")</x:f>
        <x:v>Ready</x:v>
      </x:c>
      <x:c r="D2809" s="6" t="str">
        <x:v>入</x:v>
      </x:c>
      <x:c r="E2809" s="6" t="str">
        <x:v>tsik (D)</x:v>
      </x:c>
      <x:c r="F2809" s="6" t="str">
        <x:v>1</x:v>
      </x:c>
      <x:c r="G2809" s="6" t="str"/>
      <x:c r="H2809" s="6" t="str">
        <x:f>IF(B2809="平","平",IF(B2809="","","仄"))</x:f>
        <x:v>仄</x:v>
      </x:c>
      <x:c r="I2809" s="6" t="str">
        <x:f>IF(D2797="","",IF(AND(ISNUMBER(SEARCH("平",D2797)),OR(ISNUMBER(SEARCH("上",D2797)),ISNUMBER(SEARCH("去",D2797)),ISNUMBER(SEARCH("入",D2797)))),"Ambiguous",IF(ISNUMBER(SEARCH("平",D2797)),"平","仄")))</x:f>
        <x:v>仄</x:v>
      </x:c>
      <x:c r="J2809" s="7" t="str"/>
    </x:row>
    <x:row r="2810">
      <x:c r="A2810" s="5" t="str">
        <x:v>稸</x:v>
      </x:c>
      <x:c r="B2810" s="6" t="str">
        <x:v>入</x:v>
      </x:c>
      <x:c r="C2810" s="6" t="str">
        <x:f>IF(B2810="","Needs decision","Ready")</x:f>
        <x:v>Ready</x:v>
      </x:c>
      <x:c r="D2810" s="6" t="str">
        <x:v>入</x:v>
      </x:c>
      <x:c r="E2810" s="6" t="str">
        <x:v>trhjuwk (D); xjuwk (D)</x:v>
      </x:c>
      <x:c r="F2810" s="6" t="str">
        <x:v>2</x:v>
      </x:c>
      <x:c r="G2810" s="6" t="str"/>
      <x:c r="H2810" s="6" t="str">
        <x:f>IF(B2810="平","平",IF(B2810="","","仄"))</x:f>
        <x:v>仄</x:v>
      </x:c>
      <x:c r="I2810" s="6" t="str">
        <x:f>IF(D2798="","",IF(AND(ISNUMBER(SEARCH("平",D2798)),OR(ISNUMBER(SEARCH("上",D2798)),ISNUMBER(SEARCH("去",D2798)),ISNUMBER(SEARCH("入",D2798)))),"Ambiguous",IF(ISNUMBER(SEARCH("平",D2798)),"平","仄")))</x:f>
        <x:v>仄</x:v>
      </x:c>
      <x:c r="J2810" s="7" t="str"/>
    </x:row>
    <x:row r="2811">
      <x:c r="A2811" s="5" t="str">
        <x:v>稹</x:v>
      </x:c>
      <x:c r="B2811" s="6" t="str">
        <x:v>上</x:v>
      </x:c>
      <x:c r="C2811" s="6" t="str">
        <x:f>IF(B2811="","Needs decision","Ready")</x:f>
        <x:v>Ready</x:v>
      </x:c>
      <x:c r="D2811" s="6" t="str">
        <x:v>上</x:v>
      </x:c>
      <x:c r="E2811" s="6" t="str">
        <x:v>tsyinX (B)</x:v>
      </x:c>
      <x:c r="F2811" s="6" t="str">
        <x:v>1</x:v>
      </x:c>
      <x:c r="G2811" s="6" t="str"/>
      <x:c r="H2811" s="6" t="str">
        <x:f>IF(B2811="平","平",IF(B2811="","","仄"))</x:f>
        <x:v>仄</x:v>
      </x:c>
      <x:c r="I2811" s="6" t="str">
        <x:f>IF(D2799="","",IF(AND(ISNUMBER(SEARCH("平",D2799)),OR(ISNUMBER(SEARCH("上",D2799)),ISNUMBER(SEARCH("去",D2799)),ISNUMBER(SEARCH("入",D2799)))),"Ambiguous",IF(ISNUMBER(SEARCH("平",D2799)),"平","仄")))</x:f>
        <x:v>仄</x:v>
      </x:c>
      <x:c r="J2811" s="7" t="str"/>
    </x:row>
    <x:row r="2812">
      <x:c r="A2812" s="5" t="str">
        <x:v>稺</x:v>
      </x:c>
      <x:c r="B2812" s="6" t="str">
        <x:v>去</x:v>
      </x:c>
      <x:c r="C2812" s="6" t="str">
        <x:f>IF(B2812="","Needs decision","Ready")</x:f>
        <x:v>Ready</x:v>
      </x:c>
      <x:c r="D2812" s="6" t="str">
        <x:v>去</x:v>
      </x:c>
      <x:c r="E2812" s="6" t="str">
        <x:v>drijH (C)</x:v>
      </x:c>
      <x:c r="F2812" s="6" t="str">
        <x:v>1</x:v>
      </x:c>
      <x:c r="G2812" s="6" t="str"/>
      <x:c r="H2812" s="6" t="str">
        <x:f>IF(B2812="平","平",IF(B2812="","","仄"))</x:f>
        <x:v>仄</x:v>
      </x:c>
      <x:c r="I2812" s="6" t="str">
        <x:f>IF(D2800="","",IF(AND(ISNUMBER(SEARCH("平",D2800)),OR(ISNUMBER(SEARCH("上",D2800)),ISNUMBER(SEARCH("去",D2800)),ISNUMBER(SEARCH("入",D2800)))),"Ambiguous",IF(ISNUMBER(SEARCH("平",D2800)),"平","仄")))</x:f>
        <x:v>仄</x:v>
      </x:c>
      <x:c r="J2812" s="7" t="str"/>
    </x:row>
    <x:row r="2813">
      <x:c r="A2813" s="5" t="str">
        <x:v>稻</x:v>
      </x:c>
      <x:c r="B2813" s="6" t="str">
        <x:v>上</x:v>
      </x:c>
      <x:c r="C2813" s="6" t="str">
        <x:f>IF(B2813="","Needs decision","Ready")</x:f>
        <x:v>Ready</x:v>
      </x:c>
      <x:c r="D2813" s="6" t="str">
        <x:v>上</x:v>
      </x:c>
      <x:c r="E2813" s="6" t="str">
        <x:v>dawX (B)</x:v>
      </x:c>
      <x:c r="F2813" s="6" t="str">
        <x:v>1</x:v>
      </x:c>
      <x:c r="G2813" s="6" t="str"/>
      <x:c r="H2813" s="6" t="str">
        <x:f>IF(B2813="平","平",IF(B2813="","","仄"))</x:f>
        <x:v>仄</x:v>
      </x:c>
      <x:c r="I2813" s="6" t="str">
        <x:f>IF(D2801="","",IF(AND(ISNUMBER(SEARCH("平",D2801)),OR(ISNUMBER(SEARCH("上",D2801)),ISNUMBER(SEARCH("去",D2801)),ISNUMBER(SEARCH("入",D2801)))),"Ambiguous",IF(ISNUMBER(SEARCH("平",D2801)),"平","仄")))</x:f>
        <x:v>仄</x:v>
      </x:c>
      <x:c r="J2813" s="7" t="str"/>
    </x:row>
    <x:row r="2814">
      <x:c r="A2814" s="5" t="str">
        <x:v>稼</x:v>
      </x:c>
      <x:c r="B2814" s="6" t="str">
        <x:v>去</x:v>
      </x:c>
      <x:c r="C2814" s="6" t="str">
        <x:f>IF(B2814="","Needs decision","Ready")</x:f>
        <x:v>Ready</x:v>
      </x:c>
      <x:c r="D2814" s="6" t="str">
        <x:v>去</x:v>
      </x:c>
      <x:c r="E2814" s="6" t="str">
        <x:v>kaeH (C)</x:v>
      </x:c>
      <x:c r="F2814" s="6" t="str">
        <x:v>1</x:v>
      </x:c>
      <x:c r="G2814" s="6" t="str"/>
      <x:c r="H2814" s="6" t="str">
        <x:f>IF(B2814="平","平",IF(B2814="","","仄"))</x:f>
        <x:v>仄</x:v>
      </x:c>
      <x:c r="I2814" s="6" t="str">
        <x:f>IF(D2802="","",IF(AND(ISNUMBER(SEARCH("平",D2802)),OR(ISNUMBER(SEARCH("上",D2802)),ISNUMBER(SEARCH("去",D2802)),ISNUMBER(SEARCH("入",D2802)))),"Ambiguous",IF(ISNUMBER(SEARCH("平",D2802)),"平","仄")))</x:f>
        <x:v>仄</x:v>
      </x:c>
      <x:c r="J2814" s="7" t="str"/>
    </x:row>
    <x:row r="2815">
      <x:c r="A2815" s="5" t="str">
        <x:v>稽</x:v>
      </x:c>
      <x:c r="B2815" s="6" t="str">
        <x:v>平</x:v>
      </x:c>
      <x:c r="C2815" s="6" t="str">
        <x:f>IF(B2815="","Needs decision","Ready")</x:f>
        <x:v>Ready</x:v>
      </x:c>
      <x:c r="D2815" s="6" t="str">
        <x:v>平/上</x:v>
      </x:c>
      <x:c r="E2815" s="6" t="str">
        <x:v>kej (A); khejX (B)</x:v>
      </x:c>
      <x:c r="F2815" s="6" t="str">
        <x:v>2</x:v>
      </x:c>
      <x:c r="G2815" s="6" t="str"/>
      <x:c r="H2815" s="6" t="str">
        <x:f>IF(B2815="平","平",IF(B2815="","","仄"))</x:f>
        <x:v>平</x:v>
      </x:c>
      <x:c r="I2815" s="6" t="str">
        <x:f>IF(D2803="","",IF(AND(ISNUMBER(SEARCH("平",D2803)),OR(ISNUMBER(SEARCH("上",D2803)),ISNUMBER(SEARCH("去",D2803)),ISNUMBER(SEARCH("入",D2803)))),"Ambiguous",IF(ISNUMBER(SEARCH("平",D2803)),"平","仄")))</x:f>
        <x:v>平</x:v>
      </x:c>
      <x:c r="J2815" s="7" t="str"/>
    </x:row>
    <x:row r="2816">
      <x:c r="A2816" s="5" t="str">
        <x:v>稿</x:v>
      </x:c>
      <x:c r="B2816" s="6" t="str">
        <x:v>上</x:v>
      </x:c>
      <x:c r="C2816" s="6" t="str">
        <x:f>IF(B2816="","Needs decision","Ready")</x:f>
        <x:v>Ready</x:v>
      </x:c>
      <x:c r="D2816" s="6" t="str">
        <x:v>上</x:v>
      </x:c>
      <x:c r="E2816" s="6" t="str">
        <x:v>kawX (B)</x:v>
      </x:c>
      <x:c r="F2816" s="6" t="str">
        <x:v>1</x:v>
      </x:c>
      <x:c r="G2816" s="6" t="str"/>
      <x:c r="H2816" s="6" t="str">
        <x:f>IF(B2816="平","平",IF(B2816="","","仄"))</x:f>
        <x:v>仄</x:v>
      </x:c>
      <x:c r="I2816" s="6" t="str">
        <x:f>IF(D2804="","",IF(AND(ISNUMBER(SEARCH("平",D2804)),OR(ISNUMBER(SEARCH("上",D2804)),ISNUMBER(SEARCH("去",D2804)),ISNUMBER(SEARCH("入",D2804)))),"Ambiguous",IF(ISNUMBER(SEARCH("平",D2804)),"平","仄")))</x:f>
        <x:v>仄</x:v>
      </x:c>
      <x:c r="J2816" s="7" t="str"/>
    </x:row>
    <x:row r="2817">
      <x:c r="A2817" s="5" t="str">
        <x:v>穀</x:v>
      </x:c>
      <x:c r="B2817" s="6" t="str">
        <x:v>入</x:v>
      </x:c>
      <x:c r="C2817" s="6" t="str">
        <x:f>IF(B2817="","Needs decision","Ready")</x:f>
        <x:v>Ready</x:v>
      </x:c>
      <x:c r="D2817" s="6" t="str">
        <x:v>入</x:v>
      </x:c>
      <x:c r="E2817" s="6" t="str">
        <x:v>kuwk (D)</x:v>
      </x:c>
      <x:c r="F2817" s="6" t="str">
        <x:v>1</x:v>
      </x:c>
      <x:c r="G2817" s="6" t="str"/>
      <x:c r="H2817" s="6" t="str">
        <x:f>IF(B2817="平","平",IF(B2817="","","仄"))</x:f>
        <x:v>仄</x:v>
      </x:c>
      <x:c r="I2817" s="6" t="str">
        <x:f>IF(D2805="","",IF(AND(ISNUMBER(SEARCH("平",D2805)),OR(ISNUMBER(SEARCH("上",D2805)),ISNUMBER(SEARCH("去",D2805)),ISNUMBER(SEARCH("入",D2805)))),"Ambiguous",IF(ISNUMBER(SEARCH("平",D2805)),"平","仄")))</x:f>
        <x:v>平</x:v>
      </x:c>
      <x:c r="J2817" s="7" t="str"/>
    </x:row>
    <x:row r="2818">
      <x:c r="A2818" s="5" t="str">
        <x:v>穄</x:v>
      </x:c>
      <x:c r="B2818" s="6" t="str">
        <x:v>去</x:v>
      </x:c>
      <x:c r="C2818" s="6" t="str">
        <x:f>IF(B2818="","Needs decision","Ready")</x:f>
        <x:v>Ready</x:v>
      </x:c>
      <x:c r="D2818" s="6" t="str">
        <x:v>去</x:v>
      </x:c>
      <x:c r="E2818" s="6" t="str">
        <x:v>tsjejH (C)</x:v>
      </x:c>
      <x:c r="F2818" s="6" t="str">
        <x:v>1</x:v>
      </x:c>
      <x:c r="G2818" s="6" t="str"/>
      <x:c r="H2818" s="6" t="str">
        <x:f>IF(B2818="平","平",IF(B2818="","","仄"))</x:f>
        <x:v>仄</x:v>
      </x:c>
      <x:c r="I2818" s="6" t="str">
        <x:f>IF(D2806="","",IF(AND(ISNUMBER(SEARCH("平",D2806)),OR(ISNUMBER(SEARCH("上",D2806)),ISNUMBER(SEARCH("去",D2806)),ISNUMBER(SEARCH("入",D2806)))),"Ambiguous",IF(ISNUMBER(SEARCH("平",D2806)),"平","仄")))</x:f>
        <x:v>仄</x:v>
      </x:c>
      <x:c r="J2818" s="7" t="str"/>
    </x:row>
    <x:row r="2819">
      <x:c r="A2819" s="5" t="str">
        <x:v>穆</x:v>
      </x:c>
      <x:c r="B2819" s="6" t="str">
        <x:v>入</x:v>
      </x:c>
      <x:c r="C2819" s="6" t="str">
        <x:f>IF(B2819="","Needs decision","Ready")</x:f>
        <x:v>Ready</x:v>
      </x:c>
      <x:c r="D2819" s="6" t="str">
        <x:v>入</x:v>
      </x:c>
      <x:c r="E2819" s="6" t="str">
        <x:v>mjuwk (D)</x:v>
      </x:c>
      <x:c r="F2819" s="6" t="str">
        <x:v>1</x:v>
      </x:c>
      <x:c r="G2819" s="6" t="str"/>
      <x:c r="H2819" s="6" t="str">
        <x:f>IF(B2819="平","平",IF(B2819="","","仄"))</x:f>
        <x:v>仄</x:v>
      </x:c>
      <x:c r="I2819" s="6" t="str">
        <x:f>IF(D2807="","",IF(AND(ISNUMBER(SEARCH("平",D2807)),OR(ISNUMBER(SEARCH("上",D2807)),ISNUMBER(SEARCH("去",D2807)),ISNUMBER(SEARCH("入",D2807)))),"Ambiguous",IF(ISNUMBER(SEARCH("平",D2807)),"平","仄")))</x:f>
        <x:v>平</x:v>
      </x:c>
      <x:c r="J2819" s="7" t="str"/>
    </x:row>
    <x:row r="2820">
      <x:c r="A2820" s="5" t="str">
        <x:v>穈</x:v>
      </x:c>
      <x:c r="B2820" s="6" t="str">
        <x:v>平</x:v>
      </x:c>
      <x:c r="C2820" s="6" t="str">
        <x:f>IF(B2820="","Needs decision","Ready")</x:f>
        <x:v>Ready</x:v>
      </x:c>
      <x:c r="D2820" s="6" t="str">
        <x:v>平</x:v>
      </x:c>
      <x:c r="E2820" s="6" t="str">
        <x:v>mwon (A)</x:v>
      </x:c>
      <x:c r="F2820" s="6" t="str">
        <x:v>1</x:v>
      </x:c>
      <x:c r="G2820" s="6" t="str"/>
      <x:c r="H2820" s="6" t="str">
        <x:f>IF(B2820="平","平",IF(B2820="","","仄"))</x:f>
        <x:v>平</x:v>
      </x:c>
      <x:c r="I2820" s="6" t="str">
        <x:f>IF(D2808="","",IF(AND(ISNUMBER(SEARCH("平",D2808)),OR(ISNUMBER(SEARCH("上",D2808)),ISNUMBER(SEARCH("去",D2808)),ISNUMBER(SEARCH("入",D2808)))),"Ambiguous",IF(ISNUMBER(SEARCH("平",D2808)),"平","仄")))</x:f>
        <x:v>Ambiguous</x:v>
      </x:c>
      <x:c r="J2820" s="7" t="str"/>
    </x:row>
    <x:row r="2821">
      <x:c r="A2821" s="5" t="str">
        <x:v>穌</x:v>
      </x:c>
      <x:c r="B2821" s="6" t="str">
        <x:v>平</x:v>
      </x:c>
      <x:c r="C2821" s="6" t="str">
        <x:f>IF(B2821="","Needs decision","Ready")</x:f>
        <x:v>Ready</x:v>
      </x:c>
      <x:c r="D2821" s="6" t="str">
        <x:v>平</x:v>
      </x:c>
      <x:c r="E2821" s="6" t="str">
        <x:v>su (A)</x:v>
      </x:c>
      <x:c r="F2821" s="6" t="str">
        <x:v>1</x:v>
      </x:c>
      <x:c r="G2821" s="6" t="str"/>
      <x:c r="H2821" s="6" t="str">
        <x:f>IF(B2821="平","平",IF(B2821="","","仄"))</x:f>
        <x:v>平</x:v>
      </x:c>
      <x:c r="I2821" s="6" t="str">
        <x:f>IF(D2809="","",IF(AND(ISNUMBER(SEARCH("平",D2809)),OR(ISNUMBER(SEARCH("上",D2809)),ISNUMBER(SEARCH("去",D2809)),ISNUMBER(SEARCH("入",D2809)))),"Ambiguous",IF(ISNUMBER(SEARCH("平",D2809)),"平","仄")))</x:f>
        <x:v>仄</x:v>
      </x:c>
      <x:c r="J2821" s="7" t="str"/>
    </x:row>
    <x:row r="2822">
      <x:c r="A2822" s="5" t="str">
        <x:v>積</x:v>
      </x:c>
      <x:c r="B2822" s="6" t="str">
        <x:v>入</x:v>
      </x:c>
      <x:c r="C2822" s="6" t="str">
        <x:f>IF(B2822="","Needs decision","Ready")</x:f>
        <x:v>Ready</x:v>
      </x:c>
      <x:c r="D2822" s="6" t="str">
        <x:v>入</x:v>
      </x:c>
      <x:c r="E2822" s="6" t="str">
        <x:v>tsjek (D)</x:v>
      </x:c>
      <x:c r="F2822" s="6" t="str">
        <x:v>1</x:v>
      </x:c>
      <x:c r="G2822" s="6" t="str"/>
      <x:c r="H2822" s="6" t="str">
        <x:f>IF(B2822="平","平",IF(B2822="","","仄"))</x:f>
        <x:v>仄</x:v>
      </x:c>
      <x:c r="I2822" s="6" t="str">
        <x:f>IF(D2810="","",IF(AND(ISNUMBER(SEARCH("平",D2810)),OR(ISNUMBER(SEARCH("上",D2810)),ISNUMBER(SEARCH("去",D2810)),ISNUMBER(SEARCH("入",D2810)))),"Ambiguous",IF(ISNUMBER(SEARCH("平",D2810)),"平","仄")))</x:f>
        <x:v>仄</x:v>
      </x:c>
      <x:c r="J2822" s="7" t="str"/>
    </x:row>
    <x:row r="2823">
      <x:c r="A2823" s="5" t="str">
        <x:v>穎</x:v>
      </x:c>
      <x:c r="B2823" s="6" t="str">
        <x:v>上</x:v>
      </x:c>
      <x:c r="C2823" s="6" t="str">
        <x:f>IF(B2823="","Needs decision","Ready")</x:f>
        <x:v>Ready</x:v>
      </x:c>
      <x:c r="D2823" s="6" t="str">
        <x:v>上</x:v>
      </x:c>
      <x:c r="E2823" s="6" t="str">
        <x:v>ywengX (B)</x:v>
      </x:c>
      <x:c r="F2823" s="6" t="str">
        <x:v>1</x:v>
      </x:c>
      <x:c r="G2823" s="6" t="str"/>
      <x:c r="H2823" s="6" t="str">
        <x:f>IF(B2823="平","平",IF(B2823="","","仄"))</x:f>
        <x:v>仄</x:v>
      </x:c>
      <x:c r="I2823" s="6" t="str">
        <x:f>IF(D2811="","",IF(AND(ISNUMBER(SEARCH("平",D2811)),OR(ISNUMBER(SEARCH("上",D2811)),ISNUMBER(SEARCH("去",D2811)),ISNUMBER(SEARCH("入",D2811)))),"Ambiguous",IF(ISNUMBER(SEARCH("平",D2811)),"平","仄")))</x:f>
        <x:v>仄</x:v>
      </x:c>
      <x:c r="J2823" s="7" t="str"/>
    </x:row>
    <x:row r="2824">
      <x:c r="A2824" s="5" t="str">
        <x:v>穗</x:v>
      </x:c>
      <x:c r="B2824" s="6" t="str">
        <x:v>去</x:v>
      </x:c>
      <x:c r="C2824" s="6" t="str">
        <x:f>IF(B2824="","Needs decision","Ready")</x:f>
        <x:v>Ready</x:v>
      </x:c>
      <x:c r="D2824" s="6" t="str">
        <x:v>去</x:v>
      </x:c>
      <x:c r="E2824" s="6" t="str">
        <x:v>zwijH (C)</x:v>
      </x:c>
      <x:c r="F2824" s="6" t="str">
        <x:v>1</x:v>
      </x:c>
      <x:c r="G2824" s="6" t="str"/>
      <x:c r="H2824" s="6" t="str">
        <x:f>IF(B2824="平","平",IF(B2824="","","仄"))</x:f>
        <x:v>仄</x:v>
      </x:c>
      <x:c r="I2824" s="6" t="str">
        <x:f>IF(D2812="","",IF(AND(ISNUMBER(SEARCH("平",D2812)),OR(ISNUMBER(SEARCH("上",D2812)),ISNUMBER(SEARCH("去",D2812)),ISNUMBER(SEARCH("入",D2812)))),"Ambiguous",IF(ISNUMBER(SEARCH("平",D2812)),"平","仄")))</x:f>
        <x:v>仄</x:v>
      </x:c>
      <x:c r="J2824" s="7" t="str"/>
    </x:row>
    <x:row r="2825">
      <x:c r="A2825" s="5" t="str">
        <x:v>穟</x:v>
      </x:c>
      <x:c r="B2825" s="6" t="str">
        <x:v>去</x:v>
      </x:c>
      <x:c r="C2825" s="6" t="str">
        <x:f>IF(B2825="","Needs decision","Ready")</x:f>
        <x:v>Ready</x:v>
      </x:c>
      <x:c r="D2825" s="6" t="str">
        <x:v>去</x:v>
      </x:c>
      <x:c r="E2825" s="6" t="str">
        <x:v>zwijH (C)</x:v>
      </x:c>
      <x:c r="F2825" s="6" t="str">
        <x:v>1</x:v>
      </x:c>
      <x:c r="G2825" s="6" t="str"/>
      <x:c r="H2825" s="6" t="str">
        <x:f>IF(B2825="平","平",IF(B2825="","","仄"))</x:f>
        <x:v>仄</x:v>
      </x:c>
      <x:c r="I2825" s="6" t="str">
        <x:f>IF(D2813="","",IF(AND(ISNUMBER(SEARCH("平",D2813)),OR(ISNUMBER(SEARCH("上",D2813)),ISNUMBER(SEARCH("去",D2813)),ISNUMBER(SEARCH("入",D2813)))),"Ambiguous",IF(ISNUMBER(SEARCH("平",D2813)),"平","仄")))</x:f>
        <x:v>仄</x:v>
      </x:c>
      <x:c r="J2825" s="7" t="str"/>
    </x:row>
    <x:row r="2826">
      <x:c r="A2826" s="5" t="str">
        <x:v>穡</x:v>
      </x:c>
      <x:c r="B2826" s="6" t="str">
        <x:v>入</x:v>
      </x:c>
      <x:c r="C2826" s="6" t="str">
        <x:f>IF(B2826="","Needs decision","Ready")</x:f>
        <x:v>Ready</x:v>
      </x:c>
      <x:c r="D2826" s="6" t="str">
        <x:v>入</x:v>
      </x:c>
      <x:c r="E2826" s="6" t="str">
        <x:v>srik (D)</x:v>
      </x:c>
      <x:c r="F2826" s="6" t="str">
        <x:v>1</x:v>
      </x:c>
      <x:c r="G2826" s="6" t="str"/>
      <x:c r="H2826" s="6" t="str">
        <x:f>IF(B2826="平","平",IF(B2826="","","仄"))</x:f>
        <x:v>仄</x:v>
      </x:c>
      <x:c r="I2826" s="6" t="str">
        <x:f>IF(D2814="","",IF(AND(ISNUMBER(SEARCH("平",D2814)),OR(ISNUMBER(SEARCH("上",D2814)),ISNUMBER(SEARCH("去",D2814)),ISNUMBER(SEARCH("入",D2814)))),"Ambiguous",IF(ISNUMBER(SEARCH("平",D2814)),"平","仄")))</x:f>
        <x:v>仄</x:v>
      </x:c>
      <x:c r="J2826" s="7" t="str"/>
    </x:row>
    <x:row r="2827">
      <x:c r="A2827" s="5" t="str">
        <x:v>穢</x:v>
      </x:c>
      <x:c r="B2827" s="6" t="str">
        <x:v>去</x:v>
      </x:c>
      <x:c r="C2827" s="6" t="str">
        <x:f>IF(B2827="","Needs decision","Ready")</x:f>
        <x:v>Ready</x:v>
      </x:c>
      <x:c r="D2827" s="6" t="str">
        <x:v>去</x:v>
      </x:c>
      <x:c r="E2827" s="6" t="str">
        <x:v>'jwojH (C)</x:v>
      </x:c>
      <x:c r="F2827" s="6" t="str">
        <x:v>1</x:v>
      </x:c>
      <x:c r="G2827" s="6" t="str"/>
      <x:c r="H2827" s="6" t="str">
        <x:f>IF(B2827="平","平",IF(B2827="","","仄"))</x:f>
        <x:v>仄</x:v>
      </x:c>
      <x:c r="I2827" s="6" t="str">
        <x:f>IF(D2815="","",IF(AND(ISNUMBER(SEARCH("平",D2815)),OR(ISNUMBER(SEARCH("上",D2815)),ISNUMBER(SEARCH("去",D2815)),ISNUMBER(SEARCH("入",D2815)))),"Ambiguous",IF(ISNUMBER(SEARCH("平",D2815)),"平","仄")))</x:f>
        <x:v>Ambiguous</x:v>
      </x:c>
      <x:c r="J2827" s="7" t="str"/>
    </x:row>
    <x:row r="2828">
      <x:c r="A2828" s="5" t="str">
        <x:v>穩</x:v>
      </x:c>
      <x:c r="B2828" s="6" t="str">
        <x:v>上</x:v>
      </x:c>
      <x:c r="C2828" s="6" t="str">
        <x:f>IF(B2828="","Needs decision","Ready")</x:f>
        <x:v>Ready</x:v>
      </x:c>
      <x:c r="D2828" s="6" t="str">
        <x:v>上</x:v>
      </x:c>
      <x:c r="E2828" s="6" t="str">
        <x:v>'wonX [ʔ̙wənʔ] (上)</x:v>
      </x:c>
      <x:c r="F2828" s="6" t="str">
        <x:v>1</x:v>
      </x:c>
      <x:c r="G2828" s="6" t="str">
        <x:v>Tang 300 gap; frequency 2; provisional from Xun Gong</x:v>
      </x:c>
      <x:c r="H2828" s="6" t="str">
        <x:f>IF(B2828="平","平",IF(B2828="","","仄"))</x:f>
        <x:v>仄</x:v>
      </x:c>
      <x:c r="I2828" s="6" t="str">
        <x:f>IF(D2816="","",IF(AND(ISNUMBER(SEARCH("平",D2816)),OR(ISNUMBER(SEARCH("上",D2816)),ISNUMBER(SEARCH("去",D2816)),ISNUMBER(SEARCH("入",D2816)))),"Ambiguous",IF(ISNUMBER(SEARCH("平",D2816)),"平","仄")))</x:f>
        <x:v>仄</x:v>
      </x:c>
      <x:c r="J2828" s="7" t="str">
        <x:v>Xun Gong, Tang 300 gap fill</x:v>
      </x:c>
    </x:row>
    <x:row r="2829">
      <x:c r="A2829" s="5" t="str">
        <x:v>穫</x:v>
      </x:c>
      <x:c r="B2829" s="6" t="str">
        <x:v>入</x:v>
      </x:c>
      <x:c r="C2829" s="6" t="str">
        <x:f>IF(B2829="","Needs decision","Ready")</x:f>
        <x:v>Ready</x:v>
      </x:c>
      <x:c r="D2829" s="6" t="str">
        <x:v>入</x:v>
      </x:c>
      <x:c r="E2829" s="6" t="str">
        <x:v>hwak (D)</x:v>
      </x:c>
      <x:c r="F2829" s="6" t="str">
        <x:v>1</x:v>
      </x:c>
      <x:c r="G2829" s="6" t="str"/>
      <x:c r="H2829" s="6" t="str">
        <x:f>IF(B2829="平","平",IF(B2829="","","仄"))</x:f>
        <x:v>仄</x:v>
      </x:c>
      <x:c r="I2829" s="6" t="str">
        <x:f>IF(D2817="","",IF(AND(ISNUMBER(SEARCH("平",D2817)),OR(ISNUMBER(SEARCH("上",D2817)),ISNUMBER(SEARCH("去",D2817)),ISNUMBER(SEARCH("入",D2817)))),"Ambiguous",IF(ISNUMBER(SEARCH("平",D2817)),"平","仄")))</x:f>
        <x:v>仄</x:v>
      </x:c>
      <x:c r="J2829" s="7" t="str"/>
    </x:row>
    <x:row r="2830">
      <x:c r="A2830" s="5" t="str">
        <x:v>穴</x:v>
      </x:c>
      <x:c r="B2830" s="6" t="str">
        <x:v>入</x:v>
      </x:c>
      <x:c r="C2830" s="6" t="str">
        <x:f>IF(B2830="","Needs decision","Ready")</x:f>
        <x:v>Ready</x:v>
      </x:c>
      <x:c r="D2830" s="6" t="str">
        <x:v>入</x:v>
      </x:c>
      <x:c r="E2830" s="6" t="str">
        <x:v>hwet (D)</x:v>
      </x:c>
      <x:c r="F2830" s="6" t="str">
        <x:v>1</x:v>
      </x:c>
      <x:c r="G2830" s="6" t="str"/>
      <x:c r="H2830" s="6" t="str">
        <x:f>IF(B2830="平","平",IF(B2830="","","仄"))</x:f>
        <x:v>仄</x:v>
      </x:c>
      <x:c r="I2830" s="6" t="str">
        <x:f>IF(D2818="","",IF(AND(ISNUMBER(SEARCH("平",D2818)),OR(ISNUMBER(SEARCH("上",D2818)),ISNUMBER(SEARCH("去",D2818)),ISNUMBER(SEARCH("入",D2818)))),"Ambiguous",IF(ISNUMBER(SEARCH("平",D2818)),"平","仄")))</x:f>
        <x:v>仄</x:v>
      </x:c>
      <x:c r="J2830" s="7" t="str"/>
    </x:row>
    <x:row r="2831">
      <x:c r="A2831" s="5" t="str">
        <x:v>究</x:v>
      </x:c>
      <x:c r="B2831" s="6" t="str">
        <x:v>去</x:v>
      </x:c>
      <x:c r="C2831" s="6" t="str">
        <x:f>IF(B2831="","Needs decision","Ready")</x:f>
        <x:v>Ready</x:v>
      </x:c>
      <x:c r="D2831" s="6" t="str">
        <x:v>去</x:v>
      </x:c>
      <x:c r="E2831" s="6" t="str">
        <x:v>kjuwH (C)</x:v>
      </x:c>
      <x:c r="F2831" s="6" t="str">
        <x:v>1</x:v>
      </x:c>
      <x:c r="G2831" s="6" t="str"/>
      <x:c r="H2831" s="6" t="str">
        <x:f>IF(B2831="平","平",IF(B2831="","","仄"))</x:f>
        <x:v>仄</x:v>
      </x:c>
      <x:c r="I2831" s="6" t="str">
        <x:f>IF(D2819="","",IF(AND(ISNUMBER(SEARCH("平",D2819)),OR(ISNUMBER(SEARCH("上",D2819)),ISNUMBER(SEARCH("去",D2819)),ISNUMBER(SEARCH("入",D2819)))),"Ambiguous",IF(ISNUMBER(SEARCH("平",D2819)),"平","仄")))</x:f>
        <x:v>仄</x:v>
      </x:c>
      <x:c r="J2831" s="7" t="str"/>
    </x:row>
    <x:row r="2832">
      <x:c r="A2832" s="5" t="str">
        <x:v>穹</x:v>
      </x:c>
      <x:c r="B2832" s="6" t="str">
        <x:v>平</x:v>
      </x:c>
      <x:c r="C2832" s="6" t="str">
        <x:f>IF(B2832="","Needs decision","Ready")</x:f>
        <x:v>Ready</x:v>
      </x:c>
      <x:c r="D2832" s="6" t="str">
        <x:v>平</x:v>
      </x:c>
      <x:c r="E2832" s="6" t="str">
        <x:v>khjuwng [kʰɨ̯uŋ] (平)</x:v>
      </x:c>
      <x:c r="F2832" s="6" t="str">
        <x:v>1</x:v>
      </x:c>
      <x:c r="G2832" s="6" t="str">
        <x:v>Tang 300 gap; frequency 1; provisional from Xun Gong</x:v>
      </x:c>
      <x:c r="H2832" s="6" t="str">
        <x:f>IF(B2832="平","平",IF(B2832="","","仄"))</x:f>
        <x:v>平</x:v>
      </x:c>
      <x:c r="I2832" s="6" t="str">
        <x:f>IF(D2820="","",IF(AND(ISNUMBER(SEARCH("平",D2820)),OR(ISNUMBER(SEARCH("上",D2820)),ISNUMBER(SEARCH("去",D2820)),ISNUMBER(SEARCH("入",D2820)))),"Ambiguous",IF(ISNUMBER(SEARCH("平",D2820)),"平","仄")))</x:f>
        <x:v>平</x:v>
      </x:c>
      <x:c r="J2832" s="7" t="str">
        <x:v>Xun Gong, Tang 300 gap fill</x:v>
      </x:c>
    </x:row>
    <x:row r="2833">
      <x:c r="A2833" s="5" t="str">
        <x:v>空</x:v>
      </x:c>
      <x:c r="B2833" s="6" t="str">
        <x:v>平</x:v>
      </x:c>
      <x:c r="C2833" s="6" t="str">
        <x:f>IF(B2833="","Needs decision","Ready")</x:f>
        <x:v>Ready</x:v>
      </x:c>
      <x:c r="D2833" s="6" t="str">
        <x:v>平/上</x:v>
      </x:c>
      <x:c r="E2833" s="6" t="str">
        <x:v>khuwng (A); khuwngX (B)</x:v>
      </x:c>
      <x:c r="F2833" s="6" t="str">
        <x:v>2</x:v>
      </x:c>
      <x:c r="G2833" s="6" t="str">
        <x:v>User workbook edit 2026-09-03</x:v>
      </x:c>
      <x:c r="H2833" s="6" t="str">
        <x:f>IF(B2833="平","平",IF(B2833="","","仄"))</x:f>
        <x:v>平</x:v>
      </x:c>
      <x:c r="I2833" s="6" t="str">
        <x:f>IF(D2821="","",IF(AND(ISNUMBER(SEARCH("平",D2821)),OR(ISNUMBER(SEARCH("上",D2821)),ISNUMBER(SEARCH("去",D2821)),ISNUMBER(SEARCH("入",D2821)))),"Ambiguous",IF(ISNUMBER(SEARCH("平",D2821)),"平","仄")))</x:f>
        <x:v>平</x:v>
      </x:c>
      <x:c r="J2833" s="7" t="str">
        <x:v>manual user correction</x:v>
      </x:c>
    </x:row>
    <x:row r="2834">
      <x:c r="A2834" s="5" t="str">
        <x:v>穿</x:v>
      </x:c>
      <x:c r="B2834" s="6" t="str">
        <x:v>平</x:v>
      </x:c>
      <x:c r="C2834" s="6" t="str">
        <x:f>IF(B2834="","Needs decision","Ready")</x:f>
        <x:v>Ready</x:v>
      </x:c>
      <x:c r="D2834" s="6" t="str">
        <x:v>平</x:v>
      </x:c>
      <x:c r="E2834" s="6" t="str">
        <x:v>tsyhwen (A)</x:v>
      </x:c>
      <x:c r="F2834" s="6" t="str">
        <x:v>1</x:v>
      </x:c>
      <x:c r="G2834" s="6" t="str"/>
      <x:c r="H2834" s="6" t="str">
        <x:f>IF(B2834="平","平",IF(B2834="","","仄"))</x:f>
        <x:v>平</x:v>
      </x:c>
      <x:c r="I2834" s="6" t="str">
        <x:f>IF(D2822="","",IF(AND(ISNUMBER(SEARCH("平",D2822)),OR(ISNUMBER(SEARCH("上",D2822)),ISNUMBER(SEARCH("去",D2822)),ISNUMBER(SEARCH("入",D2822)))),"Ambiguous",IF(ISNUMBER(SEARCH("平",D2822)),"平","仄")))</x:f>
        <x:v>仄</x:v>
      </x:c>
      <x:c r="J2834" s="7" t="str"/>
    </x:row>
    <x:row r="2835">
      <x:c r="A2835" s="5" t="str">
        <x:v>突</x:v>
      </x:c>
      <x:c r="B2835" s="6" t="str">
        <x:v>入</x:v>
      </x:c>
      <x:c r="C2835" s="6" t="str">
        <x:f>IF(B2835="","Needs decision","Ready")</x:f>
        <x:v>Ready</x:v>
      </x:c>
      <x:c r="D2835" s="6" t="str">
        <x:v>入</x:v>
      </x:c>
      <x:c r="E2835" s="6" t="str">
        <x:v>dwot (D); thwot (D)</x:v>
      </x:c>
      <x:c r="F2835" s="6" t="str">
        <x:v>2</x:v>
      </x:c>
      <x:c r="G2835" s="6" t="str"/>
      <x:c r="H2835" s="6" t="str">
        <x:f>IF(B2835="平","平",IF(B2835="","","仄"))</x:f>
        <x:v>仄</x:v>
      </x:c>
      <x:c r="I2835" s="6" t="str">
        <x:f>IF(D2823="","",IF(AND(ISNUMBER(SEARCH("平",D2823)),OR(ISNUMBER(SEARCH("上",D2823)),ISNUMBER(SEARCH("去",D2823)),ISNUMBER(SEARCH("入",D2823)))),"Ambiguous",IF(ISNUMBER(SEARCH("平",D2823)),"平","仄")))</x:f>
        <x:v>仄</x:v>
      </x:c>
      <x:c r="J2835" s="7" t="str"/>
    </x:row>
    <x:row r="2836">
      <x:c r="A2836" s="5" t="str">
        <x:v>窅</x:v>
      </x:c>
      <x:c r="B2836" s="6" t="str"/>
      <x:c r="C2836" s="6" t="str">
        <x:f>IF(B2836="","Needs decision","Ready")</x:f>
        <x:v>Needs decision</x:v>
      </x:c>
      <x:c r="D2836" s="6" t="str">
        <x:v>平/上</x:v>
      </x:c>
      <x:c r="E2836" s="6" t="str">
        <x:v>'aew [ʔ̙aˤw] (平); 'ewX [ʔ̙ewʔ] (上)</x:v>
      </x:c>
      <x:c r="F2836" s="6" t="str">
        <x:v>2</x:v>
      </x:c>
      <x:c r="G2836" s="6" t="str">
        <x:v>Tang 300 gap; frequency 1; ambiguous in Xun Gong</x:v>
      </x:c>
      <x:c r="H2836" s="6" t="str">
        <x:f>IF(B2836="平","平",IF(B2836="","","仄"))</x:f>
      </x:c>
      <x:c r="I2836" s="6" t="str">
        <x:f>IF(D2824="","",IF(AND(ISNUMBER(SEARCH("平",D2824)),OR(ISNUMBER(SEARCH("上",D2824)),ISNUMBER(SEARCH("去",D2824)),ISNUMBER(SEARCH("入",D2824)))),"Ambiguous",IF(ISNUMBER(SEARCH("平",D2824)),"平","仄")))</x:f>
        <x:v>仄</x:v>
      </x:c>
      <x:c r="J2836" s="7" t="str">
        <x:v>Xun Gong, Tang 300 gap fill</x:v>
      </x:c>
    </x:row>
    <x:row r="2837">
      <x:c r="A2837" s="5" t="str">
        <x:v>窆</x:v>
      </x:c>
      <x:c r="B2837" s="6" t="str">
        <x:v>去</x:v>
      </x:c>
      <x:c r="C2837" s="6" t="str">
        <x:f>IF(B2837="","Needs decision","Ready")</x:f>
        <x:v>Ready</x:v>
      </x:c>
      <x:c r="D2837" s="6" t="str">
        <x:v>去</x:v>
      </x:c>
      <x:c r="E2837" s="6" t="str">
        <x:v>pjemH (C)</x:v>
      </x:c>
      <x:c r="F2837" s="6" t="str">
        <x:v>1</x:v>
      </x:c>
      <x:c r="G2837" s="6" t="str"/>
      <x:c r="H2837" s="6" t="str">
        <x:f>IF(B2837="平","平",IF(B2837="","","仄"))</x:f>
        <x:v>仄</x:v>
      </x:c>
      <x:c r="I2837" s="6" t="str">
        <x:f>IF(D2825="","",IF(AND(ISNUMBER(SEARCH("平",D2825)),OR(ISNUMBER(SEARCH("上",D2825)),ISNUMBER(SEARCH("去",D2825)),ISNUMBER(SEARCH("入",D2825)))),"Ambiguous",IF(ISNUMBER(SEARCH("平",D2825)),"平","仄")))</x:f>
        <x:v>仄</x:v>
      </x:c>
      <x:c r="J2837" s="7" t="str"/>
    </x:row>
    <x:row r="2838">
      <x:c r="A2838" s="5" t="str">
        <x:v>窈</x:v>
      </x:c>
      <x:c r="B2838" s="6" t="str">
        <x:v>上</x:v>
      </x:c>
      <x:c r="C2838" s="6" t="str">
        <x:f>IF(B2838="","Needs decision","Ready")</x:f>
        <x:v>Ready</x:v>
      </x:c>
      <x:c r="D2838" s="6" t="str">
        <x:v>上</x:v>
      </x:c>
      <x:c r="E2838" s="6" t="str">
        <x:v>'ewX (B)</x:v>
      </x:c>
      <x:c r="F2838" s="6" t="str">
        <x:v>1</x:v>
      </x:c>
      <x:c r="G2838" s="6" t="str"/>
      <x:c r="H2838" s="6" t="str">
        <x:f>IF(B2838="平","平",IF(B2838="","","仄"))</x:f>
        <x:v>仄</x:v>
      </x:c>
      <x:c r="I2838" s="6" t="str">
        <x:f>IF(D2826="","",IF(AND(ISNUMBER(SEARCH("平",D2826)),OR(ISNUMBER(SEARCH("上",D2826)),ISNUMBER(SEARCH("去",D2826)),ISNUMBER(SEARCH("入",D2826)))),"Ambiguous",IF(ISNUMBER(SEARCH("平",D2826)),"平","仄")))</x:f>
        <x:v>仄</x:v>
      </x:c>
      <x:c r="J2838" s="7" t="str"/>
    </x:row>
    <x:row r="2839">
      <x:c r="A2839" s="5" t="str">
        <x:v>窒</x:v>
      </x:c>
      <x:c r="B2839" s="6" t="str">
        <x:v>入</x:v>
      </x:c>
      <x:c r="C2839" s="6" t="str">
        <x:f>IF(B2839="","Needs decision","Ready")</x:f>
        <x:v>Ready</x:v>
      </x:c>
      <x:c r="D2839" s="6" t="str">
        <x:v>入</x:v>
      </x:c>
      <x:c r="E2839" s="6" t="str">
        <x:v>trit (D)</x:v>
      </x:c>
      <x:c r="F2839" s="6" t="str">
        <x:v>1</x:v>
      </x:c>
      <x:c r="G2839" s="6" t="str"/>
      <x:c r="H2839" s="6" t="str">
        <x:f>IF(B2839="平","平",IF(B2839="","","仄"))</x:f>
        <x:v>仄</x:v>
      </x:c>
      <x:c r="I2839" s="6" t="str">
        <x:f>IF(D2827="","",IF(AND(ISNUMBER(SEARCH("平",D2827)),OR(ISNUMBER(SEARCH("上",D2827)),ISNUMBER(SEARCH("去",D2827)),ISNUMBER(SEARCH("入",D2827)))),"Ambiguous",IF(ISNUMBER(SEARCH("平",D2827)),"平","仄")))</x:f>
        <x:v>仄</x:v>
      </x:c>
      <x:c r="J2839" s="7" t="str"/>
    </x:row>
    <x:row r="2840">
      <x:c r="A2840" s="5" t="str">
        <x:v>窕</x:v>
      </x:c>
      <x:c r="B2840" s="6" t="str">
        <x:v>上</x:v>
      </x:c>
      <x:c r="C2840" s="6" t="str">
        <x:f>IF(B2840="","Needs decision","Ready")</x:f>
        <x:v>Ready</x:v>
      </x:c>
      <x:c r="D2840" s="6" t="str">
        <x:v>上</x:v>
      </x:c>
      <x:c r="E2840" s="6" t="str">
        <x:v>dewX (B)</x:v>
      </x:c>
      <x:c r="F2840" s="6" t="str">
        <x:v>1</x:v>
      </x:c>
      <x:c r="G2840" s="6" t="str"/>
      <x:c r="H2840" s="6" t="str">
        <x:f>IF(B2840="平","平",IF(B2840="","","仄"))</x:f>
        <x:v>仄</x:v>
      </x:c>
      <x:c r="I2840" s="6" t="str">
        <x:f>IF(D2828="","",IF(AND(ISNUMBER(SEARCH("平",D2828)),OR(ISNUMBER(SEARCH("上",D2828)),ISNUMBER(SEARCH("去",D2828)),ISNUMBER(SEARCH("入",D2828)))),"Ambiguous",IF(ISNUMBER(SEARCH("平",D2828)),"平","仄")))</x:f>
        <x:v>仄</x:v>
      </x:c>
      <x:c r="J2840" s="7" t="str"/>
    </x:row>
    <x:row r="2841">
      <x:c r="A2841" s="5" t="str">
        <x:v>窖</x:v>
      </x:c>
      <x:c r="B2841" s="6" t="str">
        <x:v>去</x:v>
      </x:c>
      <x:c r="C2841" s="6" t="str">
        <x:f>IF(B2841="","Needs decision","Ready")</x:f>
        <x:v>Ready</x:v>
      </x:c>
      <x:c r="D2841" s="6" t="str">
        <x:v>去</x:v>
      </x:c>
      <x:c r="E2841" s="6" t="str">
        <x:v>kaewH (C)</x:v>
      </x:c>
      <x:c r="F2841" s="6" t="str">
        <x:v>1</x:v>
      </x:c>
      <x:c r="G2841" s="6" t="str"/>
      <x:c r="H2841" s="6" t="str">
        <x:f>IF(B2841="平","平",IF(B2841="","","仄"))</x:f>
        <x:v>仄</x:v>
      </x:c>
      <x:c r="I2841" s="6" t="str">
        <x:f>IF(D2829="","",IF(AND(ISNUMBER(SEARCH("平",D2829)),OR(ISNUMBER(SEARCH("上",D2829)),ISNUMBER(SEARCH("去",D2829)),ISNUMBER(SEARCH("入",D2829)))),"Ambiguous",IF(ISNUMBER(SEARCH("平",D2829)),"平","仄")))</x:f>
        <x:v>仄</x:v>
      </x:c>
      <x:c r="J2841" s="7" t="str"/>
    </x:row>
    <x:row r="2842">
      <x:c r="A2842" s="5" t="str">
        <x:v>窗</x:v>
      </x:c>
      <x:c r="B2842" s="6" t="str">
        <x:v>平</x:v>
      </x:c>
      <x:c r="C2842" s="6" t="str">
        <x:f>IF(B2842="","Needs decision","Ready")</x:f>
        <x:v>Ready</x:v>
      </x:c>
      <x:c r="D2842" s="6" t="str">
        <x:v>平</x:v>
      </x:c>
      <x:c r="E2842" s="6" t="str">
        <x:v>tsrhaewng (A)</x:v>
      </x:c>
      <x:c r="F2842" s="6" t="str">
        <x:v>1</x:v>
      </x:c>
      <x:c r="G2842" s="6" t="str"/>
      <x:c r="H2842" s="6" t="str">
        <x:f>IF(B2842="平","平",IF(B2842="","","仄"))</x:f>
        <x:v>平</x:v>
      </x:c>
      <x:c r="I2842" s="6" t="str">
        <x:f>IF(D2830="","",IF(AND(ISNUMBER(SEARCH("平",D2830)),OR(ISNUMBER(SEARCH("上",D2830)),ISNUMBER(SEARCH("去",D2830)),ISNUMBER(SEARCH("入",D2830)))),"Ambiguous",IF(ISNUMBER(SEARCH("平",D2830)),"平","仄")))</x:f>
        <x:v>仄</x:v>
      </x:c>
      <x:c r="J2842" s="7" t="str"/>
    </x:row>
    <x:row r="2843">
      <x:c r="A2843" s="5" t="str">
        <x:v>窞</x:v>
      </x:c>
      <x:c r="B2843" s="6" t="str">
        <x:v>上</x:v>
      </x:c>
      <x:c r="C2843" s="6" t="str">
        <x:f>IF(B2843="","Needs decision","Ready")</x:f>
        <x:v>Ready</x:v>
      </x:c>
      <x:c r="D2843" s="6" t="str">
        <x:v>上</x:v>
      </x:c>
      <x:c r="E2843" s="6" t="str">
        <x:v>domX (B)</x:v>
      </x:c>
      <x:c r="F2843" s="6" t="str">
        <x:v>1</x:v>
      </x:c>
      <x:c r="G2843" s="6" t="str"/>
      <x:c r="H2843" s="6" t="str">
        <x:f>IF(B2843="平","平",IF(B2843="","","仄"))</x:f>
        <x:v>仄</x:v>
      </x:c>
      <x:c r="I2843" s="6" t="str">
        <x:f>IF(D2831="","",IF(AND(ISNUMBER(SEARCH("平",D2831)),OR(ISNUMBER(SEARCH("上",D2831)),ISNUMBER(SEARCH("去",D2831)),ISNUMBER(SEARCH("入",D2831)))),"Ambiguous",IF(ISNUMBER(SEARCH("平",D2831)),"平","仄")))</x:f>
        <x:v>仄</x:v>
      </x:c>
      <x:c r="J2843" s="7" t="str"/>
    </x:row>
    <x:row r="2844">
      <x:c r="A2844" s="5" t="str">
        <x:v>窟</x:v>
      </x:c>
      <x:c r="B2844" s="6" t="str">
        <x:v>入</x:v>
      </x:c>
      <x:c r="C2844" s="6" t="str">
        <x:f>IF(B2844="","Needs decision","Ready")</x:f>
        <x:v>Ready</x:v>
      </x:c>
      <x:c r="D2844" s="6" t="str">
        <x:v>入</x:v>
      </x:c>
      <x:c r="E2844" s="6" t="str">
        <x:v>khwot (D)</x:v>
      </x:c>
      <x:c r="F2844" s="6" t="str">
        <x:v>1</x:v>
      </x:c>
      <x:c r="G2844" s="6" t="str"/>
      <x:c r="H2844" s="6" t="str">
        <x:f>IF(B2844="平","平",IF(B2844="","","仄"))</x:f>
        <x:v>仄</x:v>
      </x:c>
      <x:c r="I2844" s="6" t="str">
        <x:f>IF(D2832="","",IF(AND(ISNUMBER(SEARCH("平",D2832)),OR(ISNUMBER(SEARCH("上",D2832)),ISNUMBER(SEARCH("去",D2832)),ISNUMBER(SEARCH("入",D2832)))),"Ambiguous",IF(ISNUMBER(SEARCH("平",D2832)),"平","仄")))</x:f>
        <x:v>平</x:v>
      </x:c>
      <x:c r="J2844" s="7" t="str"/>
    </x:row>
    <x:row r="2845">
      <x:c r="A2845" s="5" t="str">
        <x:v>窠</x:v>
      </x:c>
      <x:c r="B2845" s="6" t="str">
        <x:v>平</x:v>
      </x:c>
      <x:c r="C2845" s="6" t="str">
        <x:f>IF(B2845="","Needs decision","Ready")</x:f>
        <x:v>Ready</x:v>
      </x:c>
      <x:c r="D2845" s="6" t="str">
        <x:v>平</x:v>
      </x:c>
      <x:c r="E2845" s="6" t="str">
        <x:v>khwa [qʰwɑ] (平)</x:v>
      </x:c>
      <x:c r="F2845" s="6" t="str">
        <x:v>1</x:v>
      </x:c>
      <x:c r="G2845" s="6" t="str">
        <x:v>Tang 300 gap; frequency 1; provisional from Xun Gong</x:v>
      </x:c>
      <x:c r="H2845" s="6" t="str">
        <x:f>IF(B2845="平","平",IF(B2845="","","仄"))</x:f>
        <x:v>平</x:v>
      </x:c>
      <x:c r="I2845" s="6" t="str">
        <x:f>IF(D2833="","",IF(AND(ISNUMBER(SEARCH("平",D2833)),OR(ISNUMBER(SEARCH("上",D2833)),ISNUMBER(SEARCH("去",D2833)),ISNUMBER(SEARCH("入",D2833)))),"Ambiguous",IF(ISNUMBER(SEARCH("平",D2833)),"平","仄")))</x:f>
        <x:v>Ambiguous</x:v>
      </x:c>
      <x:c r="J2845" s="7" t="str">
        <x:v>Xun Gong, Tang 300 gap fill</x:v>
      </x:c>
    </x:row>
    <x:row r="2846">
      <x:c r="A2846" s="5" t="str">
        <x:v>窮</x:v>
      </x:c>
      <x:c r="B2846" s="6" t="str">
        <x:v>平</x:v>
      </x:c>
      <x:c r="C2846" s="6" t="str">
        <x:f>IF(B2846="","Needs decision","Ready")</x:f>
        <x:v>Ready</x:v>
      </x:c>
      <x:c r="D2846" s="6" t="str">
        <x:v>平</x:v>
      </x:c>
      <x:c r="E2846" s="6" t="str">
        <x:v>gjuwng (A)</x:v>
      </x:c>
      <x:c r="F2846" s="6" t="str">
        <x:v>1</x:v>
      </x:c>
      <x:c r="G2846" s="6" t="str"/>
      <x:c r="H2846" s="6" t="str">
        <x:f>IF(B2846="平","平",IF(B2846="","","仄"))</x:f>
        <x:v>平</x:v>
      </x:c>
      <x:c r="I2846" s="6" t="str">
        <x:f>IF(D2834="","",IF(AND(ISNUMBER(SEARCH("平",D2834)),OR(ISNUMBER(SEARCH("上",D2834)),ISNUMBER(SEARCH("去",D2834)),ISNUMBER(SEARCH("入",D2834)))),"Ambiguous",IF(ISNUMBER(SEARCH("平",D2834)),"平","仄")))</x:f>
        <x:v>平</x:v>
      </x:c>
      <x:c r="J2846" s="7" t="str"/>
    </x:row>
    <x:row r="2847">
      <x:c r="A2847" s="5" t="str">
        <x:v>窰</x:v>
      </x:c>
      <x:c r="B2847" s="6" t="str">
        <x:v>平</x:v>
      </x:c>
      <x:c r="C2847" s="6" t="str">
        <x:f>IF(B2847="","Needs decision","Ready")</x:f>
        <x:v>Ready</x:v>
      </x:c>
      <x:c r="D2847" s="6" t="str">
        <x:v>平</x:v>
      </x:c>
      <x:c r="E2847" s="6" t="str">
        <x:v>yew (A)</x:v>
      </x:c>
      <x:c r="F2847" s="6" t="str">
        <x:v>1</x:v>
      </x:c>
      <x:c r="G2847" s="6" t="str"/>
      <x:c r="H2847" s="6" t="str">
        <x:f>IF(B2847="平","平",IF(B2847="","","仄"))</x:f>
        <x:v>平</x:v>
      </x:c>
      <x:c r="I2847" s="6" t="str">
        <x:f>IF(D2835="","",IF(AND(ISNUMBER(SEARCH("平",D2835)),OR(ISNUMBER(SEARCH("上",D2835)),ISNUMBER(SEARCH("去",D2835)),ISNUMBER(SEARCH("入",D2835)))),"Ambiguous",IF(ISNUMBER(SEARCH("平",D2835)),"平","仄")))</x:f>
        <x:v>仄</x:v>
      </x:c>
      <x:c r="J2847" s="7" t="str"/>
    </x:row>
    <x:row r="2848">
      <x:c r="A2848" s="5" t="str">
        <x:v>窺</x:v>
      </x:c>
      <x:c r="B2848" s="6" t="str">
        <x:v>平</x:v>
      </x:c>
      <x:c r="C2848" s="6" t="str">
        <x:f>IF(B2848="","Needs decision","Ready")</x:f>
        <x:v>Ready</x:v>
      </x:c>
      <x:c r="D2848" s="6" t="str">
        <x:v>平</x:v>
      </x:c>
      <x:c r="E2848" s="6" t="str">
        <x:v>khjwie (A)</x:v>
      </x:c>
      <x:c r="F2848" s="6" t="str">
        <x:v>1</x:v>
      </x:c>
      <x:c r="G2848" s="6" t="str"/>
      <x:c r="H2848" s="6" t="str">
        <x:f>IF(B2848="平","平",IF(B2848="","","仄"))</x:f>
        <x:v>平</x:v>
      </x:c>
      <x:c r="I2848" s="6" t="str">
        <x:f>IF(D2836="","",IF(AND(ISNUMBER(SEARCH("平",D2836)),OR(ISNUMBER(SEARCH("上",D2836)),ISNUMBER(SEARCH("去",D2836)),ISNUMBER(SEARCH("入",D2836)))),"Ambiguous",IF(ISNUMBER(SEARCH("平",D2836)),"平","仄")))</x:f>
        <x:v>Ambiguous</x:v>
      </x:c>
      <x:c r="J2848" s="7" t="str"/>
    </x:row>
    <x:row r="2849">
      <x:c r="A2849" s="5" t="str">
        <x:v>窻</x:v>
      </x:c>
      <x:c r="B2849" s="6" t="str">
        <x:v>平</x:v>
      </x:c>
      <x:c r="C2849" s="6" t="str">
        <x:f>IF(B2849="","Needs decision","Ready")</x:f>
        <x:v>Ready</x:v>
      </x:c>
      <x:c r="D2849" s="6" t="str">
        <x:v>平</x:v>
      </x:c>
      <x:c r="E2849" s="6" t="str">
        <x:v>tsrhaewng (A)</x:v>
      </x:c>
      <x:c r="F2849" s="6" t="str">
        <x:v>1</x:v>
      </x:c>
      <x:c r="G2849" s="6" t="str"/>
      <x:c r="H2849" s="6" t="str">
        <x:f>IF(B2849="平","平",IF(B2849="","","仄"))</x:f>
        <x:v>平</x:v>
      </x:c>
      <x:c r="I2849" s="6" t="str">
        <x:f>IF(D2837="","",IF(AND(ISNUMBER(SEARCH("平",D2837)),OR(ISNUMBER(SEARCH("上",D2837)),ISNUMBER(SEARCH("去",D2837)),ISNUMBER(SEARCH("入",D2837)))),"Ambiguous",IF(ISNUMBER(SEARCH("平",D2837)),"平","仄")))</x:f>
        <x:v>仄</x:v>
      </x:c>
      <x:c r="J2849" s="7" t="str"/>
    </x:row>
    <x:row r="2850">
      <x:c r="A2850" s="5" t="str">
        <x:v>竄</x:v>
      </x:c>
      <x:c r="B2850" s="6" t="str">
        <x:v>去</x:v>
      </x:c>
      <x:c r="C2850" s="6" t="str">
        <x:f>IF(B2850="","Needs decision","Ready")</x:f>
        <x:v>Ready</x:v>
      </x:c>
      <x:c r="D2850" s="6" t="str">
        <x:v>去</x:v>
      </x:c>
      <x:c r="E2850" s="6" t="str">
        <x:v>tshwanH (C)</x:v>
      </x:c>
      <x:c r="F2850" s="6" t="str">
        <x:v>1</x:v>
      </x:c>
      <x:c r="G2850" s="6" t="str"/>
      <x:c r="H2850" s="6" t="str">
        <x:f>IF(B2850="平","平",IF(B2850="","","仄"))</x:f>
        <x:v>仄</x:v>
      </x:c>
      <x:c r="I2850" s="6" t="str">
        <x:f>IF(D2838="","",IF(AND(ISNUMBER(SEARCH("平",D2838)),OR(ISNUMBER(SEARCH("上",D2838)),ISNUMBER(SEARCH("去",D2838)),ISNUMBER(SEARCH("入",D2838)))),"Ambiguous",IF(ISNUMBER(SEARCH("平",D2838)),"平","仄")))</x:f>
        <x:v>仄</x:v>
      </x:c>
      <x:c r="J2850" s="7" t="str"/>
    </x:row>
    <x:row r="2851">
      <x:c r="A2851" s="5" t="str">
        <x:v>竅</x:v>
      </x:c>
      <x:c r="B2851" s="6" t="str">
        <x:v>去</x:v>
      </x:c>
      <x:c r="C2851" s="6" t="str">
        <x:f>IF(B2851="","Needs decision","Ready")</x:f>
        <x:v>Ready</x:v>
      </x:c>
      <x:c r="D2851" s="6" t="str">
        <x:v>去</x:v>
      </x:c>
      <x:c r="E2851" s="6" t="str">
        <x:v>khewH (C)</x:v>
      </x:c>
      <x:c r="F2851" s="6" t="str">
        <x:v>1</x:v>
      </x:c>
      <x:c r="G2851" s="6" t="str"/>
      <x:c r="H2851" s="6" t="str">
        <x:f>IF(B2851="平","平",IF(B2851="","","仄"))</x:f>
        <x:v>仄</x:v>
      </x:c>
      <x:c r="I2851" s="6" t="str">
        <x:f>IF(D2839="","",IF(AND(ISNUMBER(SEARCH("平",D2839)),OR(ISNUMBER(SEARCH("上",D2839)),ISNUMBER(SEARCH("去",D2839)),ISNUMBER(SEARCH("入",D2839)))),"Ambiguous",IF(ISNUMBER(SEARCH("平",D2839)),"平","仄")))</x:f>
        <x:v>仄</x:v>
      </x:c>
      <x:c r="J2851" s="7" t="str"/>
    </x:row>
    <x:row r="2852">
      <x:c r="A2852" s="5" t="str">
        <x:v>竇</x:v>
      </x:c>
      <x:c r="B2852" s="6" t="str">
        <x:v>去</x:v>
      </x:c>
      <x:c r="C2852" s="6" t="str">
        <x:f>IF(B2852="","Needs decision","Ready")</x:f>
        <x:v>Ready</x:v>
      </x:c>
      <x:c r="D2852" s="6" t="str">
        <x:v>去</x:v>
      </x:c>
      <x:c r="E2852" s="6" t="str">
        <x:v>duwH (C)</x:v>
      </x:c>
      <x:c r="F2852" s="6" t="str">
        <x:v>1</x:v>
      </x:c>
      <x:c r="G2852" s="6" t="str"/>
      <x:c r="H2852" s="6" t="str">
        <x:f>IF(B2852="平","平",IF(B2852="","","仄"))</x:f>
        <x:v>仄</x:v>
      </x:c>
      <x:c r="I2852" s="6" t="str">
        <x:f>IF(D2840="","",IF(AND(ISNUMBER(SEARCH("平",D2840)),OR(ISNUMBER(SEARCH("上",D2840)),ISNUMBER(SEARCH("去",D2840)),ISNUMBER(SEARCH("入",D2840)))),"Ambiguous",IF(ISNUMBER(SEARCH("平",D2840)),"平","仄")))</x:f>
        <x:v>仄</x:v>
      </x:c>
      <x:c r="J2852" s="7" t="str"/>
    </x:row>
    <x:row r="2853">
      <x:c r="A2853" s="5" t="str">
        <x:v>竈</x:v>
      </x:c>
      <x:c r="B2853" s="6" t="str">
        <x:v>去</x:v>
      </x:c>
      <x:c r="C2853" s="6" t="str">
        <x:f>IF(B2853="","Needs decision","Ready")</x:f>
        <x:v>Ready</x:v>
      </x:c>
      <x:c r="D2853" s="6" t="str">
        <x:v>去</x:v>
      </x:c>
      <x:c r="E2853" s="6" t="str">
        <x:v>tsawH (C)</x:v>
      </x:c>
      <x:c r="F2853" s="6" t="str">
        <x:v>1</x:v>
      </x:c>
      <x:c r="G2853" s="6" t="str"/>
      <x:c r="H2853" s="6" t="str">
        <x:f>IF(B2853="平","平",IF(B2853="","","仄"))</x:f>
        <x:v>仄</x:v>
      </x:c>
      <x:c r="I2853" s="6" t="str">
        <x:f>IF(D2841="","",IF(AND(ISNUMBER(SEARCH("平",D2841)),OR(ISNUMBER(SEARCH("上",D2841)),ISNUMBER(SEARCH("去",D2841)),ISNUMBER(SEARCH("入",D2841)))),"Ambiguous",IF(ISNUMBER(SEARCH("平",D2841)),"平","仄")))</x:f>
        <x:v>仄</x:v>
      </x:c>
      <x:c r="J2853" s="7" t="str"/>
    </x:row>
    <x:row r="2854">
      <x:c r="A2854" s="5" t="str">
        <x:v>竊</x:v>
      </x:c>
      <x:c r="B2854" s="6" t="str">
        <x:v>入</x:v>
      </x:c>
      <x:c r="C2854" s="6" t="str">
        <x:f>IF(B2854="","Needs decision","Ready")</x:f>
        <x:v>Ready</x:v>
      </x:c>
      <x:c r="D2854" s="6" t="str">
        <x:v>入</x:v>
      </x:c>
      <x:c r="E2854" s="6" t="str">
        <x:v>tshet (D)</x:v>
      </x:c>
      <x:c r="F2854" s="6" t="str">
        <x:v>1</x:v>
      </x:c>
      <x:c r="G2854" s="6" t="str"/>
      <x:c r="H2854" s="6" t="str">
        <x:f>IF(B2854="平","平",IF(B2854="","","仄"))</x:f>
        <x:v>仄</x:v>
      </x:c>
      <x:c r="I2854" s="6" t="str">
        <x:f>IF(D2842="","",IF(AND(ISNUMBER(SEARCH("平",D2842)),OR(ISNUMBER(SEARCH("上",D2842)),ISNUMBER(SEARCH("去",D2842)),ISNUMBER(SEARCH("入",D2842)))),"Ambiguous",IF(ISNUMBER(SEARCH("平",D2842)),"平","仄")))</x:f>
        <x:v>平</x:v>
      </x:c>
      <x:c r="J2854" s="7" t="str"/>
    </x:row>
    <x:row r="2855">
      <x:c r="A2855" s="5" t="str">
        <x:v>立</x:v>
      </x:c>
      <x:c r="B2855" s="6" t="str">
        <x:v>入</x:v>
      </x:c>
      <x:c r="C2855" s="6" t="str">
        <x:f>IF(B2855="","Needs decision","Ready")</x:f>
        <x:v>Ready</x:v>
      </x:c>
      <x:c r="D2855" s="6" t="str">
        <x:v>入</x:v>
      </x:c>
      <x:c r="E2855" s="6" t="str">
        <x:v>lip (D)</x:v>
      </x:c>
      <x:c r="F2855" s="6" t="str">
        <x:v>1</x:v>
      </x:c>
      <x:c r="G2855" s="6" t="str"/>
      <x:c r="H2855" s="6" t="str">
        <x:f>IF(B2855="平","平",IF(B2855="","","仄"))</x:f>
        <x:v>仄</x:v>
      </x:c>
      <x:c r="I2855" s="6" t="str">
        <x:f>IF(D2843="","",IF(AND(ISNUMBER(SEARCH("平",D2843)),OR(ISNUMBER(SEARCH("上",D2843)),ISNUMBER(SEARCH("去",D2843)),ISNUMBER(SEARCH("入",D2843)))),"Ambiguous",IF(ISNUMBER(SEARCH("平",D2843)),"平","仄")))</x:f>
        <x:v>仄</x:v>
      </x:c>
      <x:c r="J2855" s="7" t="str"/>
    </x:row>
    <x:row r="2856">
      <x:c r="A2856" s="5" t="str">
        <x:v>竚</x:v>
      </x:c>
      <x:c r="B2856" s="6" t="str">
        <x:v>上</x:v>
      </x:c>
      <x:c r="C2856" s="6" t="str">
        <x:f>IF(B2856="","Needs decision","Ready")</x:f>
        <x:v>Ready</x:v>
      </x:c>
      <x:c r="D2856" s="6" t="str">
        <x:v>上</x:v>
      </x:c>
      <x:c r="E2856" s="6" t="str">
        <x:v>drjoX (B)</x:v>
      </x:c>
      <x:c r="F2856" s="6" t="str">
        <x:v>1</x:v>
      </x:c>
      <x:c r="G2856" s="6" t="str"/>
      <x:c r="H2856" s="6" t="str">
        <x:f>IF(B2856="平","平",IF(B2856="","","仄"))</x:f>
        <x:v>仄</x:v>
      </x:c>
      <x:c r="I2856" s="6" t="str">
        <x:f>IF(D2844="","",IF(AND(ISNUMBER(SEARCH("平",D2844)),OR(ISNUMBER(SEARCH("上",D2844)),ISNUMBER(SEARCH("去",D2844)),ISNUMBER(SEARCH("入",D2844)))),"Ambiguous",IF(ISNUMBER(SEARCH("平",D2844)),"平","仄")))</x:f>
        <x:v>仄</x:v>
      </x:c>
      <x:c r="J2856" s="7" t="str"/>
    </x:row>
    <x:row r="2857">
      <x:c r="A2857" s="5" t="str">
        <x:v>竟</x:v>
      </x:c>
      <x:c r="B2857" s="6" t="str">
        <x:v>去</x:v>
      </x:c>
      <x:c r="C2857" s="6" t="str">
        <x:f>IF(B2857="","Needs decision","Ready")</x:f>
        <x:v>Ready</x:v>
      </x:c>
      <x:c r="D2857" s="6" t="str">
        <x:v>去</x:v>
      </x:c>
      <x:c r="E2857" s="6" t="str">
        <x:v>kjaengH (C)</x:v>
      </x:c>
      <x:c r="F2857" s="6" t="str">
        <x:v>1</x:v>
      </x:c>
      <x:c r="G2857" s="6" t="str"/>
      <x:c r="H2857" s="6" t="str">
        <x:f>IF(B2857="平","平",IF(B2857="","","仄"))</x:f>
        <x:v>仄</x:v>
      </x:c>
      <x:c r="I2857" s="6" t="str">
        <x:f>IF(D2845="","",IF(AND(ISNUMBER(SEARCH("平",D2845)),OR(ISNUMBER(SEARCH("上",D2845)),ISNUMBER(SEARCH("去",D2845)),ISNUMBER(SEARCH("入",D2845)))),"Ambiguous",IF(ISNUMBER(SEARCH("平",D2845)),"平","仄")))</x:f>
        <x:v>平</x:v>
      </x:c>
      <x:c r="J2857" s="7" t="str"/>
    </x:row>
    <x:row r="2858">
      <x:c r="A2858" s="5" t="str">
        <x:v>章</x:v>
      </x:c>
      <x:c r="B2858" s="6" t="str">
        <x:v>平</x:v>
      </x:c>
      <x:c r="C2858" s="6" t="str">
        <x:f>IF(B2858="","Needs decision","Ready")</x:f>
        <x:v>Ready</x:v>
      </x:c>
      <x:c r="D2858" s="6" t="str">
        <x:v>平</x:v>
      </x:c>
      <x:c r="E2858" s="6" t="str">
        <x:v>tsyang (A)</x:v>
      </x:c>
      <x:c r="F2858" s="6" t="str">
        <x:v>1</x:v>
      </x:c>
      <x:c r="G2858" s="6" t="str"/>
      <x:c r="H2858" s="6" t="str">
        <x:f>IF(B2858="平","平",IF(B2858="","","仄"))</x:f>
        <x:v>平</x:v>
      </x:c>
      <x:c r="I2858" s="6" t="str">
        <x:f>IF(D2846="","",IF(AND(ISNUMBER(SEARCH("平",D2846)),OR(ISNUMBER(SEARCH("上",D2846)),ISNUMBER(SEARCH("去",D2846)),ISNUMBER(SEARCH("入",D2846)))),"Ambiguous",IF(ISNUMBER(SEARCH("平",D2846)),"平","仄")))</x:f>
        <x:v>平</x:v>
      </x:c>
      <x:c r="J2858" s="7" t="str"/>
    </x:row>
    <x:row r="2859">
      <x:c r="A2859" s="5" t="str">
        <x:v>童</x:v>
      </x:c>
      <x:c r="B2859" s="6" t="str">
        <x:v>平</x:v>
      </x:c>
      <x:c r="C2859" s="6" t="str">
        <x:f>IF(B2859="","Needs decision","Ready")</x:f>
        <x:v>Ready</x:v>
      </x:c>
      <x:c r="D2859" s="6" t="str">
        <x:v>平</x:v>
      </x:c>
      <x:c r="E2859" s="6" t="str">
        <x:v>duwng (A)</x:v>
      </x:c>
      <x:c r="F2859" s="6" t="str">
        <x:v>1</x:v>
      </x:c>
      <x:c r="G2859" s="6" t="str"/>
      <x:c r="H2859" s="6" t="str">
        <x:f>IF(B2859="平","平",IF(B2859="","","仄"))</x:f>
        <x:v>平</x:v>
      </x:c>
      <x:c r="I2859" s="6" t="str">
        <x:f>IF(D2847="","",IF(AND(ISNUMBER(SEARCH("平",D2847)),OR(ISNUMBER(SEARCH("上",D2847)),ISNUMBER(SEARCH("去",D2847)),ISNUMBER(SEARCH("入",D2847)))),"Ambiguous",IF(ISNUMBER(SEARCH("平",D2847)),"平","仄")))</x:f>
        <x:v>平</x:v>
      </x:c>
      <x:c r="J2859" s="7" t="str"/>
    </x:row>
    <x:row r="2860">
      <x:c r="A2860" s="5" t="str">
        <x:v>竭</x:v>
      </x:c>
      <x:c r="B2860" s="6" t="str">
        <x:v>入</x:v>
      </x:c>
      <x:c r="C2860" s="6" t="str">
        <x:f>IF(B2860="","Needs decision","Ready")</x:f>
        <x:v>Ready</x:v>
      </x:c>
      <x:c r="D2860" s="6" t="str">
        <x:v>入</x:v>
      </x:c>
      <x:c r="E2860" s="6" t="str">
        <x:v>gjet (D)</x:v>
      </x:c>
      <x:c r="F2860" s="6" t="str">
        <x:v>1</x:v>
      </x:c>
      <x:c r="G2860" s="6" t="str"/>
      <x:c r="H2860" s="6" t="str">
        <x:f>IF(B2860="平","平",IF(B2860="","","仄"))</x:f>
        <x:v>仄</x:v>
      </x:c>
      <x:c r="I2860" s="6" t="str">
        <x:f>IF(D2848="","",IF(AND(ISNUMBER(SEARCH("平",D2848)),OR(ISNUMBER(SEARCH("上",D2848)),ISNUMBER(SEARCH("去",D2848)),ISNUMBER(SEARCH("入",D2848)))),"Ambiguous",IF(ISNUMBER(SEARCH("平",D2848)),"平","仄")))</x:f>
        <x:v>平</x:v>
      </x:c>
      <x:c r="J2860" s="7" t="str"/>
    </x:row>
    <x:row r="2861">
      <x:c r="A2861" s="5" t="str">
        <x:v>端</x:v>
      </x:c>
      <x:c r="B2861" s="6" t="str">
        <x:v>平</x:v>
      </x:c>
      <x:c r="C2861" s="6" t="str">
        <x:f>IF(B2861="","Needs decision","Ready")</x:f>
        <x:v>Ready</x:v>
      </x:c>
      <x:c r="D2861" s="6" t="str">
        <x:v>平</x:v>
      </x:c>
      <x:c r="E2861" s="6" t="str">
        <x:v>twan (A)</x:v>
      </x:c>
      <x:c r="F2861" s="6" t="str">
        <x:v>1</x:v>
      </x:c>
      <x:c r="G2861" s="6" t="str"/>
      <x:c r="H2861" s="6" t="str">
        <x:f>IF(B2861="平","平",IF(B2861="","","仄"))</x:f>
        <x:v>平</x:v>
      </x:c>
      <x:c r="I2861" s="6" t="str">
        <x:f>IF(D2849="","",IF(AND(ISNUMBER(SEARCH("平",D2849)),OR(ISNUMBER(SEARCH("上",D2849)),ISNUMBER(SEARCH("去",D2849)),ISNUMBER(SEARCH("入",D2849)))),"Ambiguous",IF(ISNUMBER(SEARCH("平",D2849)),"平","仄")))</x:f>
        <x:v>平</x:v>
      </x:c>
      <x:c r="J2861" s="7" t="str"/>
    </x:row>
    <x:row r="2862">
      <x:c r="A2862" s="5" t="str">
        <x:v>競</x:v>
      </x:c>
      <x:c r="B2862" s="6" t="str">
        <x:v>去</x:v>
      </x:c>
      <x:c r="C2862" s="6" t="str">
        <x:f>IF(B2862="","Needs decision","Ready")</x:f>
        <x:v>Ready</x:v>
      </x:c>
      <x:c r="D2862" s="6" t="str">
        <x:v>去</x:v>
      </x:c>
      <x:c r="E2862" s="6" t="str">
        <x:v>gjaengH (C)</x:v>
      </x:c>
      <x:c r="F2862" s="6" t="str">
        <x:v>1</x:v>
      </x:c>
      <x:c r="G2862" s="6" t="str"/>
      <x:c r="H2862" s="6" t="str">
        <x:f>IF(B2862="平","平",IF(B2862="","","仄"))</x:f>
        <x:v>仄</x:v>
      </x:c>
      <x:c r="I2862" s="6" t="str">
        <x:f>IF(D2850="","",IF(AND(ISNUMBER(SEARCH("平",D2850)),OR(ISNUMBER(SEARCH("上",D2850)),ISNUMBER(SEARCH("去",D2850)),ISNUMBER(SEARCH("入",D2850)))),"Ambiguous",IF(ISNUMBER(SEARCH("平",D2850)),"平","仄")))</x:f>
        <x:v>仄</x:v>
      </x:c>
      <x:c r="J2862" s="7" t="str"/>
    </x:row>
    <x:row r="2863">
      <x:c r="A2863" s="5" t="str">
        <x:v>竷</x:v>
      </x:c>
      <x:c r="B2863" s="6" t="str">
        <x:v>上</x:v>
      </x:c>
      <x:c r="C2863" s="6" t="str">
        <x:f>IF(B2863="","Needs decision","Ready")</x:f>
        <x:v>Ready</x:v>
      </x:c>
      <x:c r="D2863" s="6" t="str">
        <x:v>上</x:v>
      </x:c>
      <x:c r="E2863" s="6" t="str">
        <x:v>khomX (B)</x:v>
      </x:c>
      <x:c r="F2863" s="6" t="str">
        <x:v>1</x:v>
      </x:c>
      <x:c r="G2863" s="6" t="str"/>
      <x:c r="H2863" s="6" t="str">
        <x:f>IF(B2863="平","平",IF(B2863="","","仄"))</x:f>
        <x:v>仄</x:v>
      </x:c>
      <x:c r="I2863" s="6" t="str">
        <x:f>IF(D2851="","",IF(AND(ISNUMBER(SEARCH("平",D2851)),OR(ISNUMBER(SEARCH("上",D2851)),ISNUMBER(SEARCH("去",D2851)),ISNUMBER(SEARCH("入",D2851)))),"Ambiguous",IF(ISNUMBER(SEARCH("平",D2851)),"平","仄")))</x:f>
        <x:v>仄</x:v>
      </x:c>
      <x:c r="J2863" s="7" t="str"/>
    </x:row>
    <x:row r="2864">
      <x:c r="A2864" s="5" t="str">
        <x:v>竹</x:v>
      </x:c>
      <x:c r="B2864" s="6" t="str">
        <x:v>入</x:v>
      </x:c>
      <x:c r="C2864" s="6" t="str">
        <x:f>IF(B2864="","Needs decision","Ready")</x:f>
        <x:v>Ready</x:v>
      </x:c>
      <x:c r="D2864" s="6" t="str">
        <x:v>入</x:v>
      </x:c>
      <x:c r="E2864" s="6" t="str">
        <x:v>trjuwk (D)</x:v>
      </x:c>
      <x:c r="F2864" s="6" t="str">
        <x:v>1</x:v>
      </x:c>
      <x:c r="G2864" s="6" t="str"/>
      <x:c r="H2864" s="6" t="str">
        <x:f>IF(B2864="平","平",IF(B2864="","","仄"))</x:f>
        <x:v>仄</x:v>
      </x:c>
      <x:c r="I2864" s="6" t="str">
        <x:f>IF(D2852="","",IF(AND(ISNUMBER(SEARCH("平",D2852)),OR(ISNUMBER(SEARCH("上",D2852)),ISNUMBER(SEARCH("去",D2852)),ISNUMBER(SEARCH("入",D2852)))),"Ambiguous",IF(ISNUMBER(SEARCH("平",D2852)),"平","仄")))</x:f>
        <x:v>仄</x:v>
      </x:c>
      <x:c r="J2864" s="7" t="str"/>
    </x:row>
    <x:row r="2865">
      <x:c r="A2865" s="5" t="str">
        <x:v>竽</x:v>
      </x:c>
      <x:c r="B2865" s="6" t="str">
        <x:v>平</x:v>
      </x:c>
      <x:c r="C2865" s="6" t="str">
        <x:f>IF(B2865="","Needs decision","Ready")</x:f>
        <x:v>Ready</x:v>
      </x:c>
      <x:c r="D2865" s="6" t="str">
        <x:v>平</x:v>
      </x:c>
      <x:c r="E2865" s="6" t="str">
        <x:v>hju (A)</x:v>
      </x:c>
      <x:c r="F2865" s="6" t="str">
        <x:v>1</x:v>
      </x:c>
      <x:c r="G2865" s="6" t="str"/>
      <x:c r="H2865" s="6" t="str">
        <x:f>IF(B2865="平","平",IF(B2865="","","仄"))</x:f>
        <x:v>平</x:v>
      </x:c>
      <x:c r="I2865" s="6" t="str">
        <x:f>IF(D2853="","",IF(AND(ISNUMBER(SEARCH("平",D2853)),OR(ISNUMBER(SEARCH("上",D2853)),ISNUMBER(SEARCH("去",D2853)),ISNUMBER(SEARCH("入",D2853)))),"Ambiguous",IF(ISNUMBER(SEARCH("平",D2853)),"平","仄")))</x:f>
        <x:v>仄</x:v>
      </x:c>
      <x:c r="J2865" s="7" t="str"/>
    </x:row>
    <x:row r="2866">
      <x:c r="A2866" s="5" t="str">
        <x:v>竿</x:v>
      </x:c>
      <x:c r="B2866" s="6" t="str">
        <x:v>平</x:v>
      </x:c>
      <x:c r="C2866" s="6" t="str">
        <x:f>IF(B2866="","Needs decision","Ready")</x:f>
        <x:v>Ready</x:v>
      </x:c>
      <x:c r="D2866" s="6" t="str">
        <x:v>平</x:v>
      </x:c>
      <x:c r="E2866" s="6" t="str">
        <x:v>kan (A)</x:v>
      </x:c>
      <x:c r="F2866" s="6" t="str">
        <x:v>1</x:v>
      </x:c>
      <x:c r="G2866" s="6" t="str"/>
      <x:c r="H2866" s="6" t="str">
        <x:f>IF(B2866="平","平",IF(B2866="","","仄"))</x:f>
        <x:v>平</x:v>
      </x:c>
      <x:c r="I2866" s="6" t="str">
        <x:f>IF(D2854="","",IF(AND(ISNUMBER(SEARCH("平",D2854)),OR(ISNUMBER(SEARCH("上",D2854)),ISNUMBER(SEARCH("去",D2854)),ISNUMBER(SEARCH("入",D2854)))),"Ambiguous",IF(ISNUMBER(SEARCH("平",D2854)),"平","仄")))</x:f>
        <x:v>仄</x:v>
      </x:c>
      <x:c r="J2866" s="7" t="str"/>
    </x:row>
    <x:row r="2867">
      <x:c r="A2867" s="5" t="str">
        <x:v>笄</x:v>
      </x:c>
      <x:c r="B2867" s="6" t="str">
        <x:v>平</x:v>
      </x:c>
      <x:c r="C2867" s="6" t="str">
        <x:f>IF(B2867="","Needs decision","Ready")</x:f>
        <x:v>Ready</x:v>
      </x:c>
      <x:c r="D2867" s="6" t="str">
        <x:v>平</x:v>
      </x:c>
      <x:c r="E2867" s="6" t="str">
        <x:v>kej (A)</x:v>
      </x:c>
      <x:c r="F2867" s="6" t="str">
        <x:v>1</x:v>
      </x:c>
      <x:c r="G2867" s="6" t="str"/>
      <x:c r="H2867" s="6" t="str">
        <x:f>IF(B2867="平","平",IF(B2867="","","仄"))</x:f>
        <x:v>平</x:v>
      </x:c>
      <x:c r="I2867" s="6" t="str">
        <x:f>IF(D2855="","",IF(AND(ISNUMBER(SEARCH("平",D2855)),OR(ISNUMBER(SEARCH("上",D2855)),ISNUMBER(SEARCH("去",D2855)),ISNUMBER(SEARCH("入",D2855)))),"Ambiguous",IF(ISNUMBER(SEARCH("平",D2855)),"平","仄")))</x:f>
        <x:v>仄</x:v>
      </x:c>
      <x:c r="J2867" s="7" t="str"/>
    </x:row>
    <x:row r="2868">
      <x:c r="A2868" s="5" t="str">
        <x:v>笑</x:v>
      </x:c>
      <x:c r="B2868" s="6" t="str">
        <x:v>去</x:v>
      </x:c>
      <x:c r="C2868" s="6" t="str">
        <x:f>IF(B2868="","Needs decision","Ready")</x:f>
        <x:v>Ready</x:v>
      </x:c>
      <x:c r="D2868" s="6" t="str">
        <x:v>去</x:v>
      </x:c>
      <x:c r="E2868" s="6" t="str">
        <x:v>sjewH (C)</x:v>
      </x:c>
      <x:c r="F2868" s="6" t="str">
        <x:v>1</x:v>
      </x:c>
      <x:c r="G2868" s="6" t="str"/>
      <x:c r="H2868" s="6" t="str">
        <x:f>IF(B2868="平","平",IF(B2868="","","仄"))</x:f>
        <x:v>仄</x:v>
      </x:c>
      <x:c r="I2868" s="6" t="str">
        <x:f>IF(D2856="","",IF(AND(ISNUMBER(SEARCH("平",D2856)),OR(ISNUMBER(SEARCH("上",D2856)),ISNUMBER(SEARCH("去",D2856)),ISNUMBER(SEARCH("入",D2856)))),"Ambiguous",IF(ISNUMBER(SEARCH("平",D2856)),"平","仄")))</x:f>
        <x:v>仄</x:v>
      </x:c>
      <x:c r="J2868" s="7" t="str"/>
    </x:row>
    <x:row r="2869">
      <x:c r="A2869" s="5" t="str">
        <x:v>笙</x:v>
      </x:c>
      <x:c r="B2869" s="6" t="str">
        <x:v>平</x:v>
      </x:c>
      <x:c r="C2869" s="6" t="str">
        <x:f>IF(B2869="","Needs decision","Ready")</x:f>
        <x:v>Ready</x:v>
      </x:c>
      <x:c r="D2869" s="6" t="str">
        <x:v>平</x:v>
      </x:c>
      <x:c r="E2869" s="6" t="str">
        <x:v>srjaeng [ʂɨ̯aŋ] (平)</x:v>
      </x:c>
      <x:c r="F2869" s="6" t="str">
        <x:v>1</x:v>
      </x:c>
      <x:c r="G2869" s="6" t="str">
        <x:v>Tang 300 gap; frequency 1; provisional from Xun Gong</x:v>
      </x:c>
      <x:c r="H2869" s="6" t="str">
        <x:f>IF(B2869="平","平",IF(B2869="","","仄"))</x:f>
        <x:v>平</x:v>
      </x:c>
      <x:c r="I2869" s="6" t="str">
        <x:f>IF(D2857="","",IF(AND(ISNUMBER(SEARCH("平",D2857)),OR(ISNUMBER(SEARCH("上",D2857)),ISNUMBER(SEARCH("去",D2857)),ISNUMBER(SEARCH("入",D2857)))),"Ambiguous",IF(ISNUMBER(SEARCH("平",D2857)),"平","仄")))</x:f>
        <x:v>仄</x:v>
      </x:c>
      <x:c r="J2869" s="7" t="str">
        <x:v>Xun Gong, Tang 300 gap fill</x:v>
      </x:c>
    </x:row>
    <x:row r="2870">
      <x:c r="A2870" s="5" t="str">
        <x:v>笛</x:v>
      </x:c>
      <x:c r="B2870" s="6" t="str">
        <x:v>入</x:v>
      </x:c>
      <x:c r="C2870" s="6" t="str">
        <x:f>IF(B2870="","Needs decision","Ready")</x:f>
        <x:v>Ready</x:v>
      </x:c>
      <x:c r="D2870" s="6" t="str">
        <x:v>入</x:v>
      </x:c>
      <x:c r="E2870" s="6" t="str">
        <x:v>dek [d̙ek] (入)</x:v>
      </x:c>
      <x:c r="F2870" s="6" t="str">
        <x:v>1</x:v>
      </x:c>
      <x:c r="G2870" s="6" t="str">
        <x:v>Tang 300 gap; frequency 5; provisional from Xun Gong</x:v>
      </x:c>
      <x:c r="H2870" s="6" t="str">
        <x:f>IF(B2870="平","平",IF(B2870="","","仄"))</x:f>
        <x:v>仄</x:v>
      </x:c>
      <x:c r="I2870" s="6" t="str">
        <x:f>IF(D2858="","",IF(AND(ISNUMBER(SEARCH("平",D2858)),OR(ISNUMBER(SEARCH("上",D2858)),ISNUMBER(SEARCH("去",D2858)),ISNUMBER(SEARCH("入",D2858)))),"Ambiguous",IF(ISNUMBER(SEARCH("平",D2858)),"平","仄")))</x:f>
        <x:v>平</x:v>
      </x:c>
      <x:c r="J2870" s="7" t="str">
        <x:v>Xun Gong, Tang 300 gap fill</x:v>
      </x:c>
    </x:row>
    <x:row r="2871">
      <x:c r="A2871" s="5" t="str">
        <x:v>笠</x:v>
      </x:c>
      <x:c r="B2871" s="6" t="str">
        <x:v>入</x:v>
      </x:c>
      <x:c r="C2871" s="6" t="str">
        <x:f>IF(B2871="","Needs decision","Ready")</x:f>
        <x:v>Ready</x:v>
      </x:c>
      <x:c r="D2871" s="6" t="str">
        <x:v>入</x:v>
      </x:c>
      <x:c r="E2871" s="6" t="str">
        <x:v>lip (D)</x:v>
      </x:c>
      <x:c r="F2871" s="6" t="str">
        <x:v>1</x:v>
      </x:c>
      <x:c r="G2871" s="6" t="str"/>
      <x:c r="H2871" s="6" t="str">
        <x:f>IF(B2871="平","平",IF(B2871="","","仄"))</x:f>
        <x:v>仄</x:v>
      </x:c>
      <x:c r="I2871" s="6" t="str">
        <x:f>IF(D2859="","",IF(AND(ISNUMBER(SEARCH("平",D2859)),OR(ISNUMBER(SEARCH("上",D2859)),ISNUMBER(SEARCH("去",D2859)),ISNUMBER(SEARCH("入",D2859)))),"Ambiguous",IF(ISNUMBER(SEARCH("平",D2859)),"平","仄")))</x:f>
        <x:v>平</x:v>
      </x:c>
      <x:c r="J2871" s="7" t="str"/>
    </x:row>
    <x:row r="2872">
      <x:c r="A2872" s="5" t="str">
        <x:v>符</x:v>
      </x:c>
      <x:c r="B2872" s="6" t="str">
        <x:v>平</x:v>
      </x:c>
      <x:c r="C2872" s="6" t="str">
        <x:f>IF(B2872="","Needs decision","Ready")</x:f>
        <x:v>Ready</x:v>
      </x:c>
      <x:c r="D2872" s="6" t="str">
        <x:v>平</x:v>
      </x:c>
      <x:c r="E2872" s="6" t="str">
        <x:v>bju (A)</x:v>
      </x:c>
      <x:c r="F2872" s="6" t="str">
        <x:v>1</x:v>
      </x:c>
      <x:c r="G2872" s="6" t="str"/>
      <x:c r="H2872" s="6" t="str">
        <x:f>IF(B2872="平","平",IF(B2872="","","仄"))</x:f>
        <x:v>平</x:v>
      </x:c>
      <x:c r="I2872" s="6" t="str">
        <x:f>IF(D2860="","",IF(AND(ISNUMBER(SEARCH("平",D2860)),OR(ISNUMBER(SEARCH("上",D2860)),ISNUMBER(SEARCH("去",D2860)),ISNUMBER(SEARCH("入",D2860)))),"Ambiguous",IF(ISNUMBER(SEARCH("平",D2860)),"平","仄")))</x:f>
        <x:v>仄</x:v>
      </x:c>
      <x:c r="J2872" s="7" t="str"/>
    </x:row>
    <x:row r="2873">
      <x:c r="A2873" s="5" t="str">
        <x:v>第</x:v>
      </x:c>
      <x:c r="B2873" s="6" t="str">
        <x:v>去</x:v>
      </x:c>
      <x:c r="C2873" s="6" t="str">
        <x:f>IF(B2873="","Needs decision","Ready")</x:f>
        <x:v>Ready</x:v>
      </x:c>
      <x:c r="D2873" s="6" t="str">
        <x:v>去</x:v>
      </x:c>
      <x:c r="E2873" s="6" t="str">
        <x:v>dejH (C)</x:v>
      </x:c>
      <x:c r="F2873" s="6" t="str">
        <x:v>1</x:v>
      </x:c>
      <x:c r="G2873" s="6" t="str"/>
      <x:c r="H2873" s="6" t="str">
        <x:f>IF(B2873="平","平",IF(B2873="","","仄"))</x:f>
        <x:v>仄</x:v>
      </x:c>
      <x:c r="I2873" s="6" t="str">
        <x:f>IF(D2861="","",IF(AND(ISNUMBER(SEARCH("平",D2861)),OR(ISNUMBER(SEARCH("上",D2861)),ISNUMBER(SEARCH("去",D2861)),ISNUMBER(SEARCH("入",D2861)))),"Ambiguous",IF(ISNUMBER(SEARCH("平",D2861)),"平","仄")))</x:f>
        <x:v>平</x:v>
      </x:c>
      <x:c r="J2873" s="7" t="str"/>
    </x:row>
    <x:row r="2874">
      <x:c r="A2874" s="5" t="str">
        <x:v>笲</x:v>
      </x:c>
      <x:c r="B2874" s="6" t="str">
        <x:v>去</x:v>
      </x:c>
      <x:c r="C2874" s="6" t="str">
        <x:f>IF(B2874="","Needs decision","Ready")</x:f>
        <x:v>Ready</x:v>
      </x:c>
      <x:c r="D2874" s="6" t="str">
        <x:v>去</x:v>
      </x:c>
      <x:c r="E2874" s="6" t="str">
        <x:v>bjenH (C)</x:v>
      </x:c>
      <x:c r="F2874" s="6" t="str">
        <x:v>1</x:v>
      </x:c>
      <x:c r="G2874" s="6" t="str"/>
      <x:c r="H2874" s="6" t="str">
        <x:f>IF(B2874="平","平",IF(B2874="","","仄"))</x:f>
        <x:v>仄</x:v>
      </x:c>
      <x:c r="I2874" s="6" t="str">
        <x:f>IF(D2862="","",IF(AND(ISNUMBER(SEARCH("平",D2862)),OR(ISNUMBER(SEARCH("上",D2862)),ISNUMBER(SEARCH("去",D2862)),ISNUMBER(SEARCH("入",D2862)))),"Ambiguous",IF(ISNUMBER(SEARCH("平",D2862)),"平","仄")))</x:f>
        <x:v>仄</x:v>
      </x:c>
      <x:c r="J2874" s="7" t="str"/>
    </x:row>
    <x:row r="2875">
      <x:c r="A2875" s="5" t="str">
        <x:v>笳</x:v>
      </x:c>
      <x:c r="B2875" s="6" t="str">
        <x:v>平</x:v>
      </x:c>
      <x:c r="C2875" s="6" t="str">
        <x:f>IF(B2875="","Needs decision","Ready")</x:f>
        <x:v>Ready</x:v>
      </x:c>
      <x:c r="D2875" s="6" t="str">
        <x:v>平</x:v>
      </x:c>
      <x:c r="E2875" s="6" t="str">
        <x:v>kae [qaˤ] (平)</x:v>
      </x:c>
      <x:c r="F2875" s="6" t="str">
        <x:v>1</x:v>
      </x:c>
      <x:c r="G2875" s="6" t="str">
        <x:v>Tang 300 gap; frequency 2; provisional from Xun Gong</x:v>
      </x:c>
      <x:c r="H2875" s="6" t="str">
        <x:f>IF(B2875="平","平",IF(B2875="","","仄"))</x:f>
        <x:v>平</x:v>
      </x:c>
      <x:c r="I2875" s="6" t="str">
        <x:f>IF(D2863="","",IF(AND(ISNUMBER(SEARCH("平",D2863)),OR(ISNUMBER(SEARCH("上",D2863)),ISNUMBER(SEARCH("去",D2863)),ISNUMBER(SEARCH("入",D2863)))),"Ambiguous",IF(ISNUMBER(SEARCH("平",D2863)),"平","仄")))</x:f>
        <x:v>仄</x:v>
      </x:c>
      <x:c r="J2875" s="7" t="str">
        <x:v>Xun Gong, Tang 300 gap fill</x:v>
      </x:c>
    </x:row>
    <x:row r="2876">
      <x:c r="A2876" s="5" t="str">
        <x:v>笴</x:v>
      </x:c>
      <x:c r="B2876" s="6" t="str">
        <x:v>上</x:v>
      </x:c>
      <x:c r="C2876" s="6" t="str">
        <x:f>IF(B2876="","Needs decision","Ready")</x:f>
        <x:v>Ready</x:v>
      </x:c>
      <x:c r="D2876" s="6" t="str">
        <x:v>上</x:v>
      </x:c>
      <x:c r="E2876" s="6" t="str">
        <x:v>kanX (B)</x:v>
      </x:c>
      <x:c r="F2876" s="6" t="str">
        <x:v>1</x:v>
      </x:c>
      <x:c r="G2876" s="6" t="str"/>
      <x:c r="H2876" s="6" t="str">
        <x:f>IF(B2876="平","平",IF(B2876="","","仄"))</x:f>
        <x:v>仄</x:v>
      </x:c>
      <x:c r="I2876" s="6" t="str">
        <x:f>IF(D2864="","",IF(AND(ISNUMBER(SEARCH("平",D2864)),OR(ISNUMBER(SEARCH("上",D2864)),ISNUMBER(SEARCH("去",D2864)),ISNUMBER(SEARCH("入",D2864)))),"Ambiguous",IF(ISNUMBER(SEARCH("平",D2864)),"平","仄")))</x:f>
        <x:v>仄</x:v>
      </x:c>
      <x:c r="J2876" s="7" t="str"/>
    </x:row>
    <x:row r="2877">
      <x:c r="A2877" s="5" t="str">
        <x:v>筆</x:v>
      </x:c>
      <x:c r="B2877" s="6" t="str">
        <x:v>入</x:v>
      </x:c>
      <x:c r="C2877" s="6" t="str">
        <x:f>IF(B2877="","Needs decision","Ready")</x:f>
        <x:v>Ready</x:v>
      </x:c>
      <x:c r="D2877" s="6" t="str">
        <x:v>入</x:v>
      </x:c>
      <x:c r="E2877" s="6" t="str">
        <x:v>pit (D)</x:v>
      </x:c>
      <x:c r="F2877" s="6" t="str">
        <x:v>1</x:v>
      </x:c>
      <x:c r="G2877" s="6" t="str"/>
      <x:c r="H2877" s="6" t="str">
        <x:f>IF(B2877="平","平",IF(B2877="","","仄"))</x:f>
        <x:v>仄</x:v>
      </x:c>
      <x:c r="I2877" s="6" t="str">
        <x:f>IF(D2865="","",IF(AND(ISNUMBER(SEARCH("平",D2865)),OR(ISNUMBER(SEARCH("上",D2865)),ISNUMBER(SEARCH("去",D2865)),ISNUMBER(SEARCH("入",D2865)))),"Ambiguous",IF(ISNUMBER(SEARCH("平",D2865)),"平","仄")))</x:f>
        <x:v>平</x:v>
      </x:c>
      <x:c r="J2877" s="7" t="str"/>
    </x:row>
    <x:row r="2878">
      <x:c r="A2878" s="5" t="str">
        <x:v>等</x:v>
      </x:c>
      <x:c r="B2878" s="6" t="str">
        <x:v>上</x:v>
      </x:c>
      <x:c r="C2878" s="6" t="str">
        <x:f>IF(B2878="","Needs decision","Ready")</x:f>
        <x:v>Ready</x:v>
      </x:c>
      <x:c r="D2878" s="6" t="str">
        <x:v>上</x:v>
      </x:c>
      <x:c r="E2878" s="6" t="str">
        <x:v>tongX (B)</x:v>
      </x:c>
      <x:c r="F2878" s="6" t="str">
        <x:v>1</x:v>
      </x:c>
      <x:c r="G2878" s="6" t="str"/>
      <x:c r="H2878" s="6" t="str">
        <x:f>IF(B2878="平","平",IF(B2878="","","仄"))</x:f>
        <x:v>仄</x:v>
      </x:c>
      <x:c r="I2878" s="6" t="str">
        <x:f>IF(D2866="","",IF(AND(ISNUMBER(SEARCH("平",D2866)),OR(ISNUMBER(SEARCH("上",D2866)),ISNUMBER(SEARCH("去",D2866)),ISNUMBER(SEARCH("入",D2866)))),"Ambiguous",IF(ISNUMBER(SEARCH("平",D2866)),"平","仄")))</x:f>
        <x:v>平</x:v>
      </x:c>
      <x:c r="J2878" s="7" t="str"/>
    </x:row>
    <x:row r="2879">
      <x:c r="A2879" s="5" t="str">
        <x:v>筋</x:v>
      </x:c>
      <x:c r="B2879" s="6" t="str">
        <x:v>平</x:v>
      </x:c>
      <x:c r="C2879" s="6" t="str">
        <x:f>IF(B2879="","Needs decision","Ready")</x:f>
        <x:v>Ready</x:v>
      </x:c>
      <x:c r="D2879" s="6" t="str">
        <x:v>平</x:v>
      </x:c>
      <x:c r="E2879" s="6" t="str">
        <x:v>kj+n (A)</x:v>
      </x:c>
      <x:c r="F2879" s="6" t="str">
        <x:v>1</x:v>
      </x:c>
      <x:c r="G2879" s="6" t="str"/>
      <x:c r="H2879" s="6" t="str">
        <x:f>IF(B2879="平","平",IF(B2879="","","仄"))</x:f>
        <x:v>平</x:v>
      </x:c>
      <x:c r="I2879" s="6" t="str">
        <x:f>IF(D2867="","",IF(AND(ISNUMBER(SEARCH("平",D2867)),OR(ISNUMBER(SEARCH("上",D2867)),ISNUMBER(SEARCH("去",D2867)),ISNUMBER(SEARCH("入",D2867)))),"Ambiguous",IF(ISNUMBER(SEARCH("平",D2867)),"平","仄")))</x:f>
        <x:v>平</x:v>
      </x:c>
      <x:c r="J2879" s="7" t="str"/>
    </x:row>
    <x:row r="2880">
      <x:c r="A2880" s="5" t="str">
        <x:v>筍</x:v>
      </x:c>
      <x:c r="B2880" s="6" t="str">
        <x:v>上</x:v>
      </x:c>
      <x:c r="C2880" s="6" t="str">
        <x:f>IF(B2880="","Needs decision","Ready")</x:f>
        <x:v>Ready</x:v>
      </x:c>
      <x:c r="D2880" s="6" t="str">
        <x:v>上</x:v>
      </x:c>
      <x:c r="E2880" s="6" t="str">
        <x:v>swinX (B)</x:v>
      </x:c>
      <x:c r="F2880" s="6" t="str">
        <x:v>1</x:v>
      </x:c>
      <x:c r="G2880" s="6" t="str"/>
      <x:c r="H2880" s="6" t="str">
        <x:f>IF(B2880="平","平",IF(B2880="","","仄"))</x:f>
        <x:v>仄</x:v>
      </x:c>
      <x:c r="I2880" s="6" t="str">
        <x:f>IF(D2868="","",IF(AND(ISNUMBER(SEARCH("平",D2868)),OR(ISNUMBER(SEARCH("上",D2868)),ISNUMBER(SEARCH("去",D2868)),ISNUMBER(SEARCH("入",D2868)))),"Ambiguous",IF(ISNUMBER(SEARCH("平",D2868)),"平","仄")))</x:f>
        <x:v>仄</x:v>
      </x:c>
      <x:c r="J2880" s="7" t="str"/>
    </x:row>
    <x:row r="2881">
      <x:c r="A2881" s="5" t="str">
        <x:v>筐</x:v>
      </x:c>
      <x:c r="B2881" s="6" t="str">
        <x:v>平</x:v>
      </x:c>
      <x:c r="C2881" s="6" t="str">
        <x:f>IF(B2881="","Needs decision","Ready")</x:f>
        <x:v>Ready</x:v>
      </x:c>
      <x:c r="D2881" s="6" t="str">
        <x:v>平</x:v>
      </x:c>
      <x:c r="E2881" s="6" t="str">
        <x:v>khjwang (A)</x:v>
      </x:c>
      <x:c r="F2881" s="6" t="str">
        <x:v>1</x:v>
      </x:c>
      <x:c r="G2881" s="6" t="str"/>
      <x:c r="H2881" s="6" t="str">
        <x:f>IF(B2881="平","平",IF(B2881="","","仄"))</x:f>
        <x:v>平</x:v>
      </x:c>
      <x:c r="I2881" s="6" t="str">
        <x:f>IF(D2869="","",IF(AND(ISNUMBER(SEARCH("平",D2869)),OR(ISNUMBER(SEARCH("上",D2869)),ISNUMBER(SEARCH("去",D2869)),ISNUMBER(SEARCH("入",D2869)))),"Ambiguous",IF(ISNUMBER(SEARCH("平",D2869)),"平","仄")))</x:f>
        <x:v>平</x:v>
      </x:c>
      <x:c r="J2881" s="7" t="str"/>
    </x:row>
    <x:row r="2882">
      <x:c r="A2882" s="5" t="str">
        <x:v>筒</x:v>
      </x:c>
      <x:c r="B2882" s="6" t="str">
        <x:v>平</x:v>
      </x:c>
      <x:c r="C2882" s="6" t="str">
        <x:f>IF(B2882="","Needs decision","Ready")</x:f>
        <x:v>Ready</x:v>
      </x:c>
      <x:c r="D2882" s="6" t="str">
        <x:v>平</x:v>
      </x:c>
      <x:c r="E2882" s="6" t="str">
        <x:v>duwng (A)</x:v>
      </x:c>
      <x:c r="F2882" s="6" t="str">
        <x:v>1</x:v>
      </x:c>
      <x:c r="G2882" s="6" t="str"/>
      <x:c r="H2882" s="6" t="str">
        <x:f>IF(B2882="平","平",IF(B2882="","","仄"))</x:f>
        <x:v>平</x:v>
      </x:c>
      <x:c r="I2882" s="6" t="str">
        <x:f>IF(D2870="","",IF(AND(ISNUMBER(SEARCH("平",D2870)),OR(ISNUMBER(SEARCH("上",D2870)),ISNUMBER(SEARCH("去",D2870)),ISNUMBER(SEARCH("入",D2870)))),"Ambiguous",IF(ISNUMBER(SEARCH("平",D2870)),"平","仄")))</x:f>
        <x:v>仄</x:v>
      </x:c>
      <x:c r="J2882" s="7" t="str"/>
    </x:row>
    <x:row r="2883">
      <x:c r="A2883" s="5" t="str">
        <x:v>答</x:v>
      </x:c>
      <x:c r="B2883" s="6" t="str">
        <x:v>入</x:v>
      </x:c>
      <x:c r="C2883" s="6" t="str">
        <x:f>IF(B2883="","Needs decision","Ready")</x:f>
        <x:v>Ready</x:v>
      </x:c>
      <x:c r="D2883" s="6" t="str">
        <x:v>入</x:v>
      </x:c>
      <x:c r="E2883" s="6" t="str">
        <x:v>top (D)</x:v>
      </x:c>
      <x:c r="F2883" s="6" t="str">
        <x:v>1</x:v>
      </x:c>
      <x:c r="G2883" s="6" t="str"/>
      <x:c r="H2883" s="6" t="str">
        <x:f>IF(B2883="平","平",IF(B2883="","","仄"))</x:f>
        <x:v>仄</x:v>
      </x:c>
      <x:c r="I2883" s="6" t="str">
        <x:f>IF(D2871="","",IF(AND(ISNUMBER(SEARCH("平",D2871)),OR(ISNUMBER(SEARCH("上",D2871)),ISNUMBER(SEARCH("去",D2871)),ISNUMBER(SEARCH("入",D2871)))),"Ambiguous",IF(ISNUMBER(SEARCH("平",D2871)),"平","仄")))</x:f>
        <x:v>仄</x:v>
      </x:c>
      <x:c r="J2883" s="7" t="str"/>
    </x:row>
    <x:row r="2884">
      <x:c r="A2884" s="5" t="str">
        <x:v>策</x:v>
      </x:c>
      <x:c r="B2884" s="6" t="str">
        <x:v>入</x:v>
      </x:c>
      <x:c r="C2884" s="6" t="str">
        <x:f>IF(B2884="","Needs decision","Ready")</x:f>
        <x:v>Ready</x:v>
      </x:c>
      <x:c r="D2884" s="6" t="str">
        <x:v>入</x:v>
      </x:c>
      <x:c r="E2884" s="6" t="str">
        <x:v>tsrheak (D)</x:v>
      </x:c>
      <x:c r="F2884" s="6" t="str">
        <x:v>1</x:v>
      </x:c>
      <x:c r="G2884" s="6" t="str"/>
      <x:c r="H2884" s="6" t="str">
        <x:f>IF(B2884="平","平",IF(B2884="","","仄"))</x:f>
        <x:v>仄</x:v>
      </x:c>
      <x:c r="I2884" s="6" t="str">
        <x:f>IF(D2872="","",IF(AND(ISNUMBER(SEARCH("平",D2872)),OR(ISNUMBER(SEARCH("上",D2872)),ISNUMBER(SEARCH("去",D2872)),ISNUMBER(SEARCH("入",D2872)))),"Ambiguous",IF(ISNUMBER(SEARCH("平",D2872)),"平","仄")))</x:f>
        <x:v>平</x:v>
      </x:c>
      <x:c r="J2884" s="7" t="str"/>
    </x:row>
    <x:row r="2885">
      <x:c r="A2885" s="5" t="str">
        <x:v>筠</x:v>
      </x:c>
      <x:c r="B2885" s="6" t="str">
        <x:v>平</x:v>
      </x:c>
      <x:c r="C2885" s="6" t="str">
        <x:f>IF(B2885="","Needs decision","Ready")</x:f>
        <x:v>Ready</x:v>
      </x:c>
      <x:c r="D2885" s="6" t="str">
        <x:v>平</x:v>
      </x:c>
      <x:c r="E2885" s="6" t="str">
        <x:v>hwin (A)</x:v>
      </x:c>
      <x:c r="F2885" s="6" t="str">
        <x:v>1</x:v>
      </x:c>
      <x:c r="G2885" s="6" t="str"/>
      <x:c r="H2885" s="6" t="str">
        <x:f>IF(B2885="平","平",IF(B2885="","","仄"))</x:f>
        <x:v>平</x:v>
      </x:c>
      <x:c r="I2885" s="6" t="str">
        <x:f>IF(D2873="","",IF(AND(ISNUMBER(SEARCH("平",D2873)),OR(ISNUMBER(SEARCH("上",D2873)),ISNUMBER(SEARCH("去",D2873)),ISNUMBER(SEARCH("入",D2873)))),"Ambiguous",IF(ISNUMBER(SEARCH("平",D2873)),"平","仄")))</x:f>
        <x:v>仄</x:v>
      </x:c>
      <x:c r="J2885" s="7" t="str"/>
    </x:row>
    <x:row r="2886">
      <x:c r="A2886" s="5" t="str">
        <x:v>筥</x:v>
      </x:c>
      <x:c r="B2886" s="6" t="str">
        <x:v>上</x:v>
      </x:c>
      <x:c r="C2886" s="6" t="str">
        <x:f>IF(B2886="","Needs decision","Ready")</x:f>
        <x:v>Ready</x:v>
      </x:c>
      <x:c r="D2886" s="6" t="str">
        <x:v>上</x:v>
      </x:c>
      <x:c r="E2886" s="6" t="str">
        <x:v>kjoX (B)</x:v>
      </x:c>
      <x:c r="F2886" s="6" t="str">
        <x:v>1</x:v>
      </x:c>
      <x:c r="G2886" s="6" t="str"/>
      <x:c r="H2886" s="6" t="str">
        <x:f>IF(B2886="平","平",IF(B2886="","","仄"))</x:f>
        <x:v>仄</x:v>
      </x:c>
      <x:c r="I2886" s="6" t="str">
        <x:f>IF(D2874="","",IF(AND(ISNUMBER(SEARCH("平",D2874)),OR(ISNUMBER(SEARCH("上",D2874)),ISNUMBER(SEARCH("去",D2874)),ISNUMBER(SEARCH("入",D2874)))),"Ambiguous",IF(ISNUMBER(SEARCH("平",D2874)),"平","仄")))</x:f>
        <x:v>仄</x:v>
      </x:c>
      <x:c r="J2886" s="7" t="str"/>
    </x:row>
    <x:row r="2887">
      <x:c r="A2887" s="5" t="str">
        <x:v>筦</x:v>
      </x:c>
      <x:c r="B2887" s="6" t="str">
        <x:v>上</x:v>
      </x:c>
      <x:c r="C2887" s="6" t="str">
        <x:f>IF(B2887="","Needs decision","Ready")</x:f>
        <x:v>Ready</x:v>
      </x:c>
      <x:c r="D2887" s="6" t="str">
        <x:v>上</x:v>
      </x:c>
      <x:c r="E2887" s="6" t="str">
        <x:v>kwanX (B)</x:v>
      </x:c>
      <x:c r="F2887" s="6" t="str">
        <x:v>1</x:v>
      </x:c>
      <x:c r="G2887" s="6" t="str"/>
      <x:c r="H2887" s="6" t="str">
        <x:f>IF(B2887="平","平",IF(B2887="","","仄"))</x:f>
        <x:v>仄</x:v>
      </x:c>
      <x:c r="I2887" s="6" t="str">
        <x:f>IF(D2875="","",IF(AND(ISNUMBER(SEARCH("平",D2875)),OR(ISNUMBER(SEARCH("上",D2875)),ISNUMBER(SEARCH("去",D2875)),ISNUMBER(SEARCH("入",D2875)))),"Ambiguous",IF(ISNUMBER(SEARCH("平",D2875)),"平","仄")))</x:f>
        <x:v>平</x:v>
      </x:c>
      <x:c r="J2887" s="7" t="str"/>
    </x:row>
    <x:row r="2888">
      <x:c r="A2888" s="5" t="str">
        <x:v>筮</x:v>
      </x:c>
      <x:c r="B2888" s="6" t="str">
        <x:v>去</x:v>
      </x:c>
      <x:c r="C2888" s="6" t="str">
        <x:f>IF(B2888="","Needs decision","Ready")</x:f>
        <x:v>Ready</x:v>
      </x:c>
      <x:c r="D2888" s="6" t="str">
        <x:v>去</x:v>
      </x:c>
      <x:c r="E2888" s="6" t="str">
        <x:v>dzyejH (C)</x:v>
      </x:c>
      <x:c r="F2888" s="6" t="str">
        <x:v>1</x:v>
      </x:c>
      <x:c r="G2888" s="6" t="str"/>
      <x:c r="H2888" s="6" t="str">
        <x:f>IF(B2888="平","平",IF(B2888="","","仄"))</x:f>
        <x:v>仄</x:v>
      </x:c>
      <x:c r="I2888" s="6" t="str">
        <x:f>IF(D2876="","",IF(AND(ISNUMBER(SEARCH("平",D2876)),OR(ISNUMBER(SEARCH("上",D2876)),ISNUMBER(SEARCH("去",D2876)),ISNUMBER(SEARCH("入",D2876)))),"Ambiguous",IF(ISNUMBER(SEARCH("平",D2876)),"平","仄")))</x:f>
        <x:v>仄</x:v>
      </x:c>
      <x:c r="J2888" s="7" t="str"/>
    </x:row>
    <x:row r="2889">
      <x:c r="A2889" s="5" t="str">
        <x:v>筲</x:v>
      </x:c>
      <x:c r="B2889" s="6" t="str">
        <x:v>平</x:v>
      </x:c>
      <x:c r="C2889" s="6" t="str">
        <x:f>IF(B2889="","Needs decision","Ready")</x:f>
        <x:v>Ready</x:v>
      </x:c>
      <x:c r="D2889" s="6" t="str">
        <x:v>平</x:v>
      </x:c>
      <x:c r="E2889" s="6" t="str">
        <x:v>sraew (A)</x:v>
      </x:c>
      <x:c r="F2889" s="6" t="str">
        <x:v>1</x:v>
      </x:c>
      <x:c r="G2889" s="6" t="str"/>
      <x:c r="H2889" s="6" t="str">
        <x:f>IF(B2889="平","平",IF(B2889="","","仄"))</x:f>
        <x:v>平</x:v>
      </x:c>
      <x:c r="I2889" s="6" t="str">
        <x:f>IF(D2877="","",IF(AND(ISNUMBER(SEARCH("平",D2877)),OR(ISNUMBER(SEARCH("上",D2877)),ISNUMBER(SEARCH("去",D2877)),ISNUMBER(SEARCH("入",D2877)))),"Ambiguous",IF(ISNUMBER(SEARCH("平",D2877)),"平","仄")))</x:f>
        <x:v>仄</x:v>
      </x:c>
      <x:c r="J2889" s="7" t="str"/>
    </x:row>
    <x:row r="2890">
      <x:c r="A2890" s="5" t="str">
        <x:v>筵</x:v>
      </x:c>
      <x:c r="B2890" s="6" t="str">
        <x:v>平</x:v>
      </x:c>
      <x:c r="C2890" s="6" t="str">
        <x:f>IF(B2890="","Needs decision","Ready")</x:f>
        <x:v>Ready</x:v>
      </x:c>
      <x:c r="D2890" s="6" t="str">
        <x:v>平</x:v>
      </x:c>
      <x:c r="E2890" s="6" t="str">
        <x:v>yen (A)</x:v>
      </x:c>
      <x:c r="F2890" s="6" t="str">
        <x:v>1</x:v>
      </x:c>
      <x:c r="G2890" s="6" t="str"/>
      <x:c r="H2890" s="6" t="str">
        <x:f>IF(B2890="平","平",IF(B2890="","","仄"))</x:f>
        <x:v>平</x:v>
      </x:c>
      <x:c r="I2890" s="6" t="str">
        <x:f>IF(D2878="","",IF(AND(ISNUMBER(SEARCH("平",D2878)),OR(ISNUMBER(SEARCH("上",D2878)),ISNUMBER(SEARCH("去",D2878)),ISNUMBER(SEARCH("入",D2878)))),"Ambiguous",IF(ISNUMBER(SEARCH("平",D2878)),"平","仄")))</x:f>
        <x:v>仄</x:v>
      </x:c>
      <x:c r="J2890" s="7" t="str"/>
    </x:row>
    <x:row r="2891">
      <x:c r="A2891" s="5" t="str">
        <x:v>箇</x:v>
      </x:c>
      <x:c r="B2891" s="6" t="str">
        <x:v>去</x:v>
      </x:c>
      <x:c r="C2891" s="6" t="str">
        <x:f>IF(B2891="","Needs decision","Ready")</x:f>
        <x:v>Ready</x:v>
      </x:c>
      <x:c r="D2891" s="6" t="str">
        <x:v>去</x:v>
      </x:c>
      <x:c r="E2891" s="6" t="str">
        <x:v>kaH (C)</x:v>
      </x:c>
      <x:c r="F2891" s="6" t="str">
        <x:v>1</x:v>
      </x:c>
      <x:c r="G2891" s="6" t="str"/>
      <x:c r="H2891" s="6" t="str">
        <x:f>IF(B2891="平","平",IF(B2891="","","仄"))</x:f>
        <x:v>仄</x:v>
      </x:c>
      <x:c r="I2891" s="6" t="str">
        <x:f>IF(D2879="","",IF(AND(ISNUMBER(SEARCH("平",D2879)),OR(ISNUMBER(SEARCH("上",D2879)),ISNUMBER(SEARCH("去",D2879)),ISNUMBER(SEARCH("入",D2879)))),"Ambiguous",IF(ISNUMBER(SEARCH("平",D2879)),"平","仄")))</x:f>
        <x:v>平</x:v>
      </x:c>
      <x:c r="J2891" s="7" t="str"/>
    </x:row>
    <x:row r="2892">
      <x:c r="A2892" s="5" t="str">
        <x:v>箏</x:v>
      </x:c>
      <x:c r="B2892" s="6" t="str">
        <x:v>平</x:v>
      </x:c>
      <x:c r="C2892" s="6" t="str">
        <x:f>IF(B2892="","Needs decision","Ready")</x:f>
        <x:v>Ready</x:v>
      </x:c>
      <x:c r="D2892" s="6" t="str">
        <x:v>平</x:v>
      </x:c>
      <x:c r="E2892" s="6" t="str">
        <x:v>tsreang [tʂeˤŋ] (平)</x:v>
      </x:c>
      <x:c r="F2892" s="6" t="str">
        <x:v>1</x:v>
      </x:c>
      <x:c r="G2892" s="6" t="str">
        <x:v>Tang 300 gap; frequency 2; provisional from Xun Gong</x:v>
      </x:c>
      <x:c r="H2892" s="6" t="str">
        <x:f>IF(B2892="平","平",IF(B2892="","","仄"))</x:f>
        <x:v>平</x:v>
      </x:c>
      <x:c r="I2892" s="6" t="str">
        <x:f>IF(D2880="","",IF(AND(ISNUMBER(SEARCH("平",D2880)),OR(ISNUMBER(SEARCH("上",D2880)),ISNUMBER(SEARCH("去",D2880)),ISNUMBER(SEARCH("入",D2880)))),"Ambiguous",IF(ISNUMBER(SEARCH("平",D2880)),"平","仄")))</x:f>
        <x:v>仄</x:v>
      </x:c>
      <x:c r="J2892" s="7" t="str">
        <x:v>Xun Gong, Tang 300 gap fill</x:v>
      </x:c>
    </x:row>
    <x:row r="2893">
      <x:c r="A2893" s="5" t="str">
        <x:v>箒</x:v>
      </x:c>
      <x:c r="B2893" s="6" t="str">
        <x:v>上</x:v>
      </x:c>
      <x:c r="C2893" s="6" t="str">
        <x:f>IF(B2893="","Needs decision","Ready")</x:f>
        <x:v>Ready</x:v>
      </x:c>
      <x:c r="D2893" s="6" t="str">
        <x:v>上</x:v>
      </x:c>
      <x:c r="E2893" s="6" t="str">
        <x:v>tsyuwX (B)</x:v>
      </x:c>
      <x:c r="F2893" s="6" t="str">
        <x:v>1</x:v>
      </x:c>
      <x:c r="G2893" s="6" t="str"/>
      <x:c r="H2893" s="6" t="str">
        <x:f>IF(B2893="平","平",IF(B2893="","","仄"))</x:f>
        <x:v>仄</x:v>
      </x:c>
      <x:c r="I2893" s="6" t="str">
        <x:f>IF(D2881="","",IF(AND(ISNUMBER(SEARCH("平",D2881)),OR(ISNUMBER(SEARCH("上",D2881)),ISNUMBER(SEARCH("去",D2881)),ISNUMBER(SEARCH("入",D2881)))),"Ambiguous",IF(ISNUMBER(SEARCH("平",D2881)),"平","仄")))</x:f>
        <x:v>平</x:v>
      </x:c>
      <x:c r="J2893" s="7" t="str"/>
    </x:row>
    <x:row r="2894">
      <x:c r="A2894" s="5" t="str">
        <x:v>箔</x:v>
      </x:c>
      <x:c r="B2894" s="6" t="str">
        <x:v>入</x:v>
      </x:c>
      <x:c r="C2894" s="6" t="str">
        <x:f>IF(B2894="","Needs decision","Ready")</x:f>
        <x:v>Ready</x:v>
      </x:c>
      <x:c r="D2894" s="6" t="str">
        <x:v>入</x:v>
      </x:c>
      <x:c r="E2894" s="6" t="str">
        <x:v>bak [b̙ɑk] (入)</x:v>
      </x:c>
      <x:c r="F2894" s="6" t="str">
        <x:v>1</x:v>
      </x:c>
      <x:c r="G2894" s="6" t="str">
        <x:v>Tang 300 gap; frequency 2; provisional from Xun Gong</x:v>
      </x:c>
      <x:c r="H2894" s="6" t="str">
        <x:f>IF(B2894="平","平",IF(B2894="","","仄"))</x:f>
        <x:v>仄</x:v>
      </x:c>
      <x:c r="I2894" s="6" t="str">
        <x:f>IF(D2882="","",IF(AND(ISNUMBER(SEARCH("平",D2882)),OR(ISNUMBER(SEARCH("上",D2882)),ISNUMBER(SEARCH("去",D2882)),ISNUMBER(SEARCH("入",D2882)))),"Ambiguous",IF(ISNUMBER(SEARCH("平",D2882)),"平","仄")))</x:f>
        <x:v>平</x:v>
      </x:c>
      <x:c r="J2894" s="7" t="str">
        <x:v>Xun Gong, Tang 300 gap fill</x:v>
      </x:c>
    </x:row>
    <x:row r="2895">
      <x:c r="A2895" s="5" t="str">
        <x:v>箕</x:v>
      </x:c>
      <x:c r="B2895" s="6" t="str">
        <x:v>平</x:v>
      </x:c>
      <x:c r="C2895" s="6" t="str">
        <x:f>IF(B2895="","Needs decision","Ready")</x:f>
        <x:v>Ready</x:v>
      </x:c>
      <x:c r="D2895" s="6" t="str">
        <x:v>平</x:v>
      </x:c>
      <x:c r="E2895" s="6" t="str">
        <x:v>ki (A)</x:v>
      </x:c>
      <x:c r="F2895" s="6" t="str">
        <x:v>1</x:v>
      </x:c>
      <x:c r="G2895" s="6" t="str"/>
      <x:c r="H2895" s="6" t="str">
        <x:f>IF(B2895="平","平",IF(B2895="","","仄"))</x:f>
        <x:v>平</x:v>
      </x:c>
      <x:c r="I2895" s="6" t="str">
        <x:f>IF(D2883="","",IF(AND(ISNUMBER(SEARCH("平",D2883)),OR(ISNUMBER(SEARCH("上",D2883)),ISNUMBER(SEARCH("去",D2883)),ISNUMBER(SEARCH("入",D2883)))),"Ambiguous",IF(ISNUMBER(SEARCH("平",D2883)),"平","仄")))</x:f>
        <x:v>仄</x:v>
      </x:c>
      <x:c r="J2895" s="7" t="str"/>
    </x:row>
    <x:row r="2896">
      <x:c r="A2896" s="5" t="str">
        <x:v>算</x:v>
      </x:c>
      <x:c r="B2896" s="6" t="str">
        <x:v>去</x:v>
      </x:c>
      <x:c r="C2896" s="6" t="str">
        <x:f>IF(B2896="","Needs decision","Ready")</x:f>
        <x:v>Ready</x:v>
      </x:c>
      <x:c r="D2896" s="6" t="str">
        <x:v>去</x:v>
      </x:c>
      <x:c r="E2896" s="6" t="str">
        <x:v>swanH (C)</x:v>
      </x:c>
      <x:c r="F2896" s="6" t="str">
        <x:v>1</x:v>
      </x:c>
      <x:c r="G2896" s="6" t="str"/>
      <x:c r="H2896" s="6" t="str">
        <x:f>IF(B2896="平","平",IF(B2896="","","仄"))</x:f>
        <x:v>仄</x:v>
      </x:c>
      <x:c r="I2896" s="6" t="str">
        <x:f>IF(D2884="","",IF(AND(ISNUMBER(SEARCH("平",D2884)),OR(ISNUMBER(SEARCH("上",D2884)),ISNUMBER(SEARCH("去",D2884)),ISNUMBER(SEARCH("入",D2884)))),"Ambiguous",IF(ISNUMBER(SEARCH("平",D2884)),"平","仄")))</x:f>
        <x:v>仄</x:v>
      </x:c>
      <x:c r="J2896" s="7" t="str"/>
    </x:row>
    <x:row r="2897">
      <x:c r="A2897" s="5" t="str">
        <x:v>箙</x:v>
      </x:c>
      <x:c r="B2897" s="6" t="str">
        <x:v>入</x:v>
      </x:c>
      <x:c r="C2897" s="6" t="str">
        <x:f>IF(B2897="","Needs decision","Ready")</x:f>
        <x:v>Ready</x:v>
      </x:c>
      <x:c r="D2897" s="6" t="str">
        <x:v>入</x:v>
      </x:c>
      <x:c r="E2897" s="6" t="str">
        <x:v>bjuwk (D)</x:v>
      </x:c>
      <x:c r="F2897" s="6" t="str">
        <x:v>1</x:v>
      </x:c>
      <x:c r="G2897" s="6" t="str"/>
      <x:c r="H2897" s="6" t="str">
        <x:f>IF(B2897="平","平",IF(B2897="","","仄"))</x:f>
        <x:v>仄</x:v>
      </x:c>
      <x:c r="I2897" s="6" t="str">
        <x:f>IF(D2885="","",IF(AND(ISNUMBER(SEARCH("平",D2885)),OR(ISNUMBER(SEARCH("上",D2885)),ISNUMBER(SEARCH("去",D2885)),ISNUMBER(SEARCH("入",D2885)))),"Ambiguous",IF(ISNUMBER(SEARCH("平",D2885)),"平","仄")))</x:f>
        <x:v>平</x:v>
      </x:c>
      <x:c r="J2897" s="7" t="str"/>
    </x:row>
    <x:row r="2898">
      <x:c r="A2898" s="5" t="str">
        <x:v>管</x:v>
      </x:c>
      <x:c r="B2898" s="6" t="str">
        <x:v>上</x:v>
      </x:c>
      <x:c r="C2898" s="6" t="str">
        <x:f>IF(B2898="","Needs decision","Ready")</x:f>
        <x:v>Ready</x:v>
      </x:c>
      <x:c r="D2898" s="6" t="str">
        <x:v>上</x:v>
      </x:c>
      <x:c r="E2898" s="6" t="str">
        <x:v>kwanX (B)</x:v>
      </x:c>
      <x:c r="F2898" s="6" t="str">
        <x:v>1</x:v>
      </x:c>
      <x:c r="G2898" s="6" t="str"/>
      <x:c r="H2898" s="6" t="str">
        <x:f>IF(B2898="平","平",IF(B2898="","","仄"))</x:f>
        <x:v>仄</x:v>
      </x:c>
      <x:c r="I2898" s="6" t="str">
        <x:f>IF(D2886="","",IF(AND(ISNUMBER(SEARCH("平",D2886)),OR(ISNUMBER(SEARCH("上",D2886)),ISNUMBER(SEARCH("去",D2886)),ISNUMBER(SEARCH("入",D2886)))),"Ambiguous",IF(ISNUMBER(SEARCH("平",D2886)),"平","仄")))</x:f>
        <x:v>仄</x:v>
      </x:c>
      <x:c r="J2898" s="7" t="str"/>
    </x:row>
    <x:row r="2899">
      <x:c r="A2899" s="5" t="str">
        <x:v>箭</x:v>
      </x:c>
      <x:c r="B2899" s="6" t="str">
        <x:v>去</x:v>
      </x:c>
      <x:c r="C2899" s="6" t="str">
        <x:f>IF(B2899="","Needs decision","Ready")</x:f>
        <x:v>Ready</x:v>
      </x:c>
      <x:c r="D2899" s="6" t="str">
        <x:v>去</x:v>
      </x:c>
      <x:c r="E2899" s="6" t="str">
        <x:v>tsjenH (C)</x:v>
      </x:c>
      <x:c r="F2899" s="6" t="str">
        <x:v>1</x:v>
      </x:c>
      <x:c r="G2899" s="6" t="str"/>
      <x:c r="H2899" s="6" t="str">
        <x:f>IF(B2899="平","平",IF(B2899="","","仄"))</x:f>
        <x:v>仄</x:v>
      </x:c>
      <x:c r="I2899" s="6" t="str">
        <x:f>IF(D2887="","",IF(AND(ISNUMBER(SEARCH("平",D2887)),OR(ISNUMBER(SEARCH("上",D2887)),ISNUMBER(SEARCH("去",D2887)),ISNUMBER(SEARCH("入",D2887)))),"Ambiguous",IF(ISNUMBER(SEARCH("平",D2887)),"平","仄")))</x:f>
        <x:v>仄</x:v>
      </x:c>
      <x:c r="J2899" s="7" t="str"/>
    </x:row>
    <x:row r="2900">
      <x:c r="A2900" s="5" t="str">
        <x:v>箱</x:v>
      </x:c>
      <x:c r="B2900" s="6" t="str">
        <x:v>平</x:v>
      </x:c>
      <x:c r="C2900" s="6" t="str">
        <x:f>IF(B2900="","Needs decision","Ready")</x:f>
        <x:v>Ready</x:v>
      </x:c>
      <x:c r="D2900" s="6" t="str">
        <x:v>平</x:v>
      </x:c>
      <x:c r="E2900" s="6" t="str">
        <x:v>sjang (A)</x:v>
      </x:c>
      <x:c r="F2900" s="6" t="str">
        <x:v>1</x:v>
      </x:c>
      <x:c r="G2900" s="6" t="str"/>
      <x:c r="H2900" s="6" t="str">
        <x:f>IF(B2900="平","平",IF(B2900="","","仄"))</x:f>
        <x:v>平</x:v>
      </x:c>
      <x:c r="I2900" s="6" t="str">
        <x:f>IF(D2888="","",IF(AND(ISNUMBER(SEARCH("平",D2888)),OR(ISNUMBER(SEARCH("上",D2888)),ISNUMBER(SEARCH("去",D2888)),ISNUMBER(SEARCH("入",D2888)))),"Ambiguous",IF(ISNUMBER(SEARCH("平",D2888)),"平","仄")))</x:f>
        <x:v>仄</x:v>
      </x:c>
      <x:c r="J2900" s="7" t="str"/>
    </x:row>
    <x:row r="2901">
      <x:c r="A2901" s="5" t="str">
        <x:v>箴</x:v>
      </x:c>
      <x:c r="B2901" s="6" t="str">
        <x:v>平</x:v>
      </x:c>
      <x:c r="C2901" s="6" t="str">
        <x:f>IF(B2901="","Needs decision","Ready")</x:f>
        <x:v>Ready</x:v>
      </x:c>
      <x:c r="D2901" s="6" t="str">
        <x:v>平</x:v>
      </x:c>
      <x:c r="E2901" s="6" t="str">
        <x:v>tsyim (A)</x:v>
      </x:c>
      <x:c r="F2901" s="6" t="str">
        <x:v>1</x:v>
      </x:c>
      <x:c r="G2901" s="6" t="str"/>
      <x:c r="H2901" s="6" t="str">
        <x:f>IF(B2901="平","平",IF(B2901="","","仄"))</x:f>
        <x:v>平</x:v>
      </x:c>
      <x:c r="I2901" s="6" t="str">
        <x:f>IF(D2889="","",IF(AND(ISNUMBER(SEARCH("平",D2889)),OR(ISNUMBER(SEARCH("上",D2889)),ISNUMBER(SEARCH("去",D2889)),ISNUMBER(SEARCH("入",D2889)))),"Ambiguous",IF(ISNUMBER(SEARCH("平",D2889)),"平","仄")))</x:f>
        <x:v>平</x:v>
      </x:c>
      <x:c r="J2901" s="7" t="str"/>
    </x:row>
    <x:row r="2902">
      <x:c r="A2902" s="5" t="str">
        <x:v>箸</x:v>
      </x:c>
      <x:c r="B2902" s="6" t="str">
        <x:v>去</x:v>
      </x:c>
      <x:c r="C2902" s="6" t="str">
        <x:f>IF(B2902="","Needs decision","Ready")</x:f>
        <x:v>Ready</x:v>
      </x:c>
      <x:c r="D2902" s="6" t="str">
        <x:v>去</x:v>
      </x:c>
      <x:c r="E2902" s="6" t="str">
        <x:v>drjoH (C)</x:v>
      </x:c>
      <x:c r="F2902" s="6" t="str">
        <x:v>1</x:v>
      </x:c>
      <x:c r="G2902" s="6" t="str"/>
      <x:c r="H2902" s="6" t="str">
        <x:f>IF(B2902="平","平",IF(B2902="","","仄"))</x:f>
        <x:v>仄</x:v>
      </x:c>
      <x:c r="I2902" s="6" t="str">
        <x:f>IF(D2890="","",IF(AND(ISNUMBER(SEARCH("平",D2890)),OR(ISNUMBER(SEARCH("上",D2890)),ISNUMBER(SEARCH("去",D2890)),ISNUMBER(SEARCH("入",D2890)))),"Ambiguous",IF(ISNUMBER(SEARCH("平",D2890)),"平","仄")))</x:f>
        <x:v>平</x:v>
      </x:c>
      <x:c r="J2902" s="7" t="str"/>
    </x:row>
    <x:row r="2903">
      <x:c r="A2903" s="5" t="str">
        <x:v>節</x:v>
      </x:c>
      <x:c r="B2903" s="6" t="str">
        <x:v>入</x:v>
      </x:c>
      <x:c r="C2903" s="6" t="str">
        <x:f>IF(B2903="","Needs decision","Ready")</x:f>
        <x:v>Ready</x:v>
      </x:c>
      <x:c r="D2903" s="6" t="str">
        <x:v>入</x:v>
      </x:c>
      <x:c r="E2903" s="6" t="str">
        <x:v>tset (D)</x:v>
      </x:c>
      <x:c r="F2903" s="6" t="str">
        <x:v>1</x:v>
      </x:c>
      <x:c r="G2903" s="6" t="str"/>
      <x:c r="H2903" s="6" t="str">
        <x:f>IF(B2903="平","平",IF(B2903="","","仄"))</x:f>
        <x:v>仄</x:v>
      </x:c>
      <x:c r="I2903" s="6" t="str">
        <x:f>IF(D2891="","",IF(AND(ISNUMBER(SEARCH("平",D2891)),OR(ISNUMBER(SEARCH("上",D2891)),ISNUMBER(SEARCH("去",D2891)),ISNUMBER(SEARCH("入",D2891)))),"Ambiguous",IF(ISNUMBER(SEARCH("平",D2891)),"平","仄")))</x:f>
        <x:v>仄</x:v>
      </x:c>
      <x:c r="J2903" s="7" t="str"/>
    </x:row>
    <x:row r="2904">
      <x:c r="A2904" s="5" t="str">
        <x:v>篁</x:v>
      </x:c>
      <x:c r="B2904" s="6" t="str">
        <x:v>平</x:v>
      </x:c>
      <x:c r="C2904" s="6" t="str">
        <x:f>IF(B2904="","Needs decision","Ready")</x:f>
        <x:v>Ready</x:v>
      </x:c>
      <x:c r="D2904" s="6" t="str">
        <x:v>平</x:v>
      </x:c>
      <x:c r="E2904" s="6" t="str">
        <x:v>hwang [ʁwɑŋ] (平)</x:v>
      </x:c>
      <x:c r="F2904" s="6" t="str">
        <x:v>1</x:v>
      </x:c>
      <x:c r="G2904" s="6" t="str">
        <x:v>Tang 300 gap; frequency 1; provisional from Xun Gong</x:v>
      </x:c>
      <x:c r="H2904" s="6" t="str">
        <x:f>IF(B2904="平","平",IF(B2904="","","仄"))</x:f>
        <x:v>平</x:v>
      </x:c>
      <x:c r="I2904" s="6" t="str">
        <x:f>IF(D2892="","",IF(AND(ISNUMBER(SEARCH("平",D2892)),OR(ISNUMBER(SEARCH("上",D2892)),ISNUMBER(SEARCH("去",D2892)),ISNUMBER(SEARCH("入",D2892)))),"Ambiguous",IF(ISNUMBER(SEARCH("平",D2892)),"平","仄")))</x:f>
        <x:v>平</x:v>
      </x:c>
      <x:c r="J2904" s="7" t="str">
        <x:v>Xun Gong, Tang 300 gap fill</x:v>
      </x:c>
    </x:row>
    <x:row r="2905">
      <x:c r="A2905" s="5" t="str">
        <x:v>範</x:v>
      </x:c>
      <x:c r="B2905" s="6" t="str">
        <x:v>上</x:v>
      </x:c>
      <x:c r="C2905" s="6" t="str">
        <x:f>IF(B2905="","Needs decision","Ready")</x:f>
        <x:v>Ready</x:v>
      </x:c>
      <x:c r="D2905" s="6" t="str">
        <x:v>上</x:v>
      </x:c>
      <x:c r="E2905" s="6" t="str">
        <x:v>bjomX (B)</x:v>
      </x:c>
      <x:c r="F2905" s="6" t="str">
        <x:v>1</x:v>
      </x:c>
      <x:c r="G2905" s="6" t="str"/>
      <x:c r="H2905" s="6" t="str">
        <x:f>IF(B2905="平","平",IF(B2905="","","仄"))</x:f>
        <x:v>仄</x:v>
      </x:c>
      <x:c r="I2905" s="6" t="str">
        <x:f>IF(D2893="","",IF(AND(ISNUMBER(SEARCH("平",D2893)),OR(ISNUMBER(SEARCH("上",D2893)),ISNUMBER(SEARCH("去",D2893)),ISNUMBER(SEARCH("入",D2893)))),"Ambiguous",IF(ISNUMBER(SEARCH("平",D2893)),"平","仄")))</x:f>
        <x:v>仄</x:v>
      </x:c>
      <x:c r="J2905" s="7" t="str"/>
    </x:row>
    <x:row r="2906">
      <x:c r="A2906" s="5" t="str">
        <x:v>篇</x:v>
      </x:c>
      <x:c r="B2906" s="6" t="str">
        <x:v>平</x:v>
      </x:c>
      <x:c r="C2906" s="6" t="str">
        <x:f>IF(B2906="","Needs decision","Ready")</x:f>
        <x:v>Ready</x:v>
      </x:c>
      <x:c r="D2906" s="6" t="str">
        <x:v>平</x:v>
      </x:c>
      <x:c r="E2906" s="6" t="str">
        <x:v>phjien (A)</x:v>
      </x:c>
      <x:c r="F2906" s="6" t="str">
        <x:v>1</x:v>
      </x:c>
      <x:c r="G2906" s="6" t="str"/>
      <x:c r="H2906" s="6" t="str">
        <x:f>IF(B2906="平","平",IF(B2906="","","仄"))</x:f>
        <x:v>平</x:v>
      </x:c>
      <x:c r="I2906" s="6" t="str">
        <x:f>IF(D2894="","",IF(AND(ISNUMBER(SEARCH("平",D2894)),OR(ISNUMBER(SEARCH("上",D2894)),ISNUMBER(SEARCH("去",D2894)),ISNUMBER(SEARCH("入",D2894)))),"Ambiguous",IF(ISNUMBER(SEARCH("平",D2894)),"平","仄")))</x:f>
        <x:v>仄</x:v>
      </x:c>
      <x:c r="J2906" s="7" t="str"/>
    </x:row>
    <x:row r="2907">
      <x:c r="A2907" s="5" t="str">
        <x:v>築</x:v>
      </x:c>
      <x:c r="B2907" s="6" t="str">
        <x:v>入</x:v>
      </x:c>
      <x:c r="C2907" s="6" t="str">
        <x:f>IF(B2907="","Needs decision","Ready")</x:f>
        <x:v>Ready</x:v>
      </x:c>
      <x:c r="D2907" s="6" t="str">
        <x:v>入</x:v>
      </x:c>
      <x:c r="E2907" s="6" t="str">
        <x:v>trjuwk (D)</x:v>
      </x:c>
      <x:c r="F2907" s="6" t="str">
        <x:v>1</x:v>
      </x:c>
      <x:c r="G2907" s="6" t="str"/>
      <x:c r="H2907" s="6" t="str">
        <x:f>IF(B2907="平","平",IF(B2907="","","仄"))</x:f>
        <x:v>仄</x:v>
      </x:c>
      <x:c r="I2907" s="6" t="str">
        <x:f>IF(D2895="","",IF(AND(ISNUMBER(SEARCH("平",D2895)),OR(ISNUMBER(SEARCH("上",D2895)),ISNUMBER(SEARCH("去",D2895)),ISNUMBER(SEARCH("入",D2895)))),"Ambiguous",IF(ISNUMBER(SEARCH("平",D2895)),"平","仄")))</x:f>
        <x:v>平</x:v>
      </x:c>
      <x:c r="J2907" s="7" t="str"/>
    </x:row>
    <x:row r="2908">
      <x:c r="A2908" s="5" t="str">
        <x:v>篋</x:v>
      </x:c>
      <x:c r="B2908" s="6" t="str">
        <x:v>入</x:v>
      </x:c>
      <x:c r="C2908" s="6" t="str">
        <x:f>IF(B2908="","Needs decision","Ready")</x:f>
        <x:v>Ready</x:v>
      </x:c>
      <x:c r="D2908" s="6" t="str">
        <x:v>入</x:v>
      </x:c>
      <x:c r="E2908" s="6" t="str">
        <x:v>khep [qʰep] (入)</x:v>
      </x:c>
      <x:c r="F2908" s="6" t="str">
        <x:v>1</x:v>
      </x:c>
      <x:c r="G2908" s="6" t="str">
        <x:v>Tang 300 gap; frequency 1; provisional from Xun Gong</x:v>
      </x:c>
      <x:c r="H2908" s="6" t="str">
        <x:f>IF(B2908="平","平",IF(B2908="","","仄"))</x:f>
        <x:v>仄</x:v>
      </x:c>
      <x:c r="I2908" s="6" t="str">
        <x:f>IF(D2896="","",IF(AND(ISNUMBER(SEARCH("平",D2896)),OR(ISNUMBER(SEARCH("上",D2896)),ISNUMBER(SEARCH("去",D2896)),ISNUMBER(SEARCH("入",D2896)))),"Ambiguous",IF(ISNUMBER(SEARCH("平",D2896)),"平","仄")))</x:f>
        <x:v>仄</x:v>
      </x:c>
      <x:c r="J2908" s="7" t="str">
        <x:v>Xun Gong, Tang 300 gap fill</x:v>
      </x:c>
    </x:row>
    <x:row r="2909">
      <x:c r="A2909" s="5" t="str">
        <x:v>篝</x:v>
      </x:c>
      <x:c r="B2909" s="6" t="str">
        <x:v>平</x:v>
      </x:c>
      <x:c r="C2909" s="6" t="str">
        <x:f>IF(B2909="","Needs decision","Ready")</x:f>
        <x:v>Ready</x:v>
      </x:c>
      <x:c r="D2909" s="6" t="str">
        <x:v>平</x:v>
      </x:c>
      <x:c r="E2909" s="6" t="str">
        <x:v>kuw (A)</x:v>
      </x:c>
      <x:c r="F2909" s="6" t="str">
        <x:v>1</x:v>
      </x:c>
      <x:c r="G2909" s="6" t="str"/>
      <x:c r="H2909" s="6" t="str">
        <x:f>IF(B2909="平","平",IF(B2909="","","仄"))</x:f>
        <x:v>平</x:v>
      </x:c>
      <x:c r="I2909" s="6" t="str">
        <x:f>IF(D2897="","",IF(AND(ISNUMBER(SEARCH("平",D2897)),OR(ISNUMBER(SEARCH("上",D2897)),ISNUMBER(SEARCH("去",D2897)),ISNUMBER(SEARCH("入",D2897)))),"Ambiguous",IF(ISNUMBER(SEARCH("平",D2897)),"平","仄")))</x:f>
        <x:v>仄</x:v>
      </x:c>
      <x:c r="J2909" s="7" t="str"/>
    </x:row>
    <x:row r="2910">
      <x:c r="A2910" s="5" t="str">
        <x:v>篤</x:v>
      </x:c>
      <x:c r="B2910" s="6" t="str">
        <x:v>入</x:v>
      </x:c>
      <x:c r="C2910" s="6" t="str">
        <x:f>IF(B2910="","Needs decision","Ready")</x:f>
        <x:v>Ready</x:v>
      </x:c>
      <x:c r="D2910" s="6" t="str">
        <x:v>入</x:v>
      </x:c>
      <x:c r="E2910" s="6" t="str">
        <x:v>towk (D)</x:v>
      </x:c>
      <x:c r="F2910" s="6" t="str">
        <x:v>1</x:v>
      </x:c>
      <x:c r="G2910" s="6" t="str"/>
      <x:c r="H2910" s="6" t="str">
        <x:f>IF(B2910="平","平",IF(B2910="","","仄"))</x:f>
        <x:v>仄</x:v>
      </x:c>
      <x:c r="I2910" s="6" t="str">
        <x:f>IF(D2898="","",IF(AND(ISNUMBER(SEARCH("平",D2898)),OR(ISNUMBER(SEARCH("上",D2898)),ISNUMBER(SEARCH("去",D2898)),ISNUMBER(SEARCH("入",D2898)))),"Ambiguous",IF(ISNUMBER(SEARCH("平",D2898)),"平","仄")))</x:f>
        <x:v>仄</x:v>
      </x:c>
      <x:c r="J2910" s="7" t="str"/>
    </x:row>
    <x:row r="2911">
      <x:c r="A2911" s="5" t="str">
        <x:v>篦</x:v>
      </x:c>
      <x:c r="B2911" s="6" t="str">
        <x:v>平</x:v>
      </x:c>
      <x:c r="C2911" s="6" t="str">
        <x:f>IF(B2911="","Needs decision","Ready")</x:f>
        <x:v>Ready</x:v>
      </x:c>
      <x:c r="D2911" s="6" t="str">
        <x:v>平</x:v>
      </x:c>
      <x:c r="E2911" s="6" t="str">
        <x:v>pej [p̙ej] (平)</x:v>
      </x:c>
      <x:c r="F2911" s="6" t="str">
        <x:v>1</x:v>
      </x:c>
      <x:c r="G2911" s="6" t="str">
        <x:v>Tang 300 gap; frequency 1; provisional from Xun Gong</x:v>
      </x:c>
      <x:c r="H2911" s="6" t="str">
        <x:f>IF(B2911="平","平",IF(B2911="","","仄"))</x:f>
        <x:v>平</x:v>
      </x:c>
      <x:c r="I2911" s="6" t="str">
        <x:f>IF(D2899="","",IF(AND(ISNUMBER(SEARCH("平",D2899)),OR(ISNUMBER(SEARCH("上",D2899)),ISNUMBER(SEARCH("去",D2899)),ISNUMBER(SEARCH("入",D2899)))),"Ambiguous",IF(ISNUMBER(SEARCH("平",D2899)),"平","仄")))</x:f>
        <x:v>仄</x:v>
      </x:c>
      <x:c r="J2911" s="7" t="str">
        <x:v>Xun Gong, Tang 300 gap fill</x:v>
      </x:c>
    </x:row>
    <x:row r="2912">
      <x:c r="A2912" s="5" t="str">
        <x:v>篪</x:v>
      </x:c>
      <x:c r="B2912" s="6" t="str">
        <x:v>平</x:v>
      </x:c>
      <x:c r="C2912" s="6" t="str">
        <x:f>IF(B2912="","Needs decision","Ready")</x:f>
        <x:v>Ready</x:v>
      </x:c>
      <x:c r="D2912" s="6" t="str">
        <x:v>平</x:v>
      </x:c>
      <x:c r="E2912" s="6" t="str">
        <x:v>drje (A)</x:v>
      </x:c>
      <x:c r="F2912" s="6" t="str">
        <x:v>1</x:v>
      </x:c>
      <x:c r="G2912" s="6" t="str"/>
      <x:c r="H2912" s="6" t="str">
        <x:f>IF(B2912="平","平",IF(B2912="","","仄"))</x:f>
        <x:v>平</x:v>
      </x:c>
      <x:c r="I2912" s="6" t="str">
        <x:f>IF(D2900="","",IF(AND(ISNUMBER(SEARCH("平",D2900)),OR(ISNUMBER(SEARCH("上",D2900)),ISNUMBER(SEARCH("去",D2900)),ISNUMBER(SEARCH("入",D2900)))),"Ambiguous",IF(ISNUMBER(SEARCH("平",D2900)),"平","仄")))</x:f>
        <x:v>平</x:v>
      </x:c>
      <x:c r="J2912" s="7" t="str"/>
    </x:row>
    <x:row r="2913">
      <x:c r="A2913" s="5" t="str">
        <x:v>篲</x:v>
      </x:c>
      <x:c r="B2913" s="6" t="str">
        <x:v>去</x:v>
      </x:c>
      <x:c r="C2913" s="6" t="str">
        <x:f>IF(B2913="","Needs decision","Ready")</x:f>
        <x:v>Ready</x:v>
      </x:c>
      <x:c r="D2913" s="6" t="str">
        <x:v>去</x:v>
      </x:c>
      <x:c r="E2913" s="6" t="str">
        <x:v>zjwejH [zjwejh] (去)</x:v>
      </x:c>
      <x:c r="F2913" s="6" t="str">
        <x:v>1</x:v>
      </x:c>
      <x:c r="G2913" s="6" t="str">
        <x:v>Tang 300 gap; frequency 1; provisional from Xun Gong</x:v>
      </x:c>
      <x:c r="H2913" s="6" t="str">
        <x:f>IF(B2913="平","平",IF(B2913="","","仄"))</x:f>
        <x:v>仄</x:v>
      </x:c>
      <x:c r="I2913" s="6" t="str">
        <x:f>IF(D2901="","",IF(AND(ISNUMBER(SEARCH("平",D2901)),OR(ISNUMBER(SEARCH("上",D2901)),ISNUMBER(SEARCH("去",D2901)),ISNUMBER(SEARCH("入",D2901)))),"Ambiguous",IF(ISNUMBER(SEARCH("平",D2901)),"平","仄")))</x:f>
        <x:v>平</x:v>
      </x:c>
      <x:c r="J2913" s="7" t="str">
        <x:v>Xun Gong, Tang 300 gap fill</x:v>
      </x:c>
    </x:row>
    <x:row r="2914">
      <x:c r="A2914" s="5" t="str">
        <x:v>篳</x:v>
      </x:c>
      <x:c r="B2914" s="6" t="str">
        <x:v>入</x:v>
      </x:c>
      <x:c r="C2914" s="6" t="str">
        <x:f>IF(B2914="","Needs decision","Ready")</x:f>
        <x:v>Ready</x:v>
      </x:c>
      <x:c r="D2914" s="6" t="str">
        <x:v>入</x:v>
      </x:c>
      <x:c r="E2914" s="6" t="str">
        <x:v>pjit (D)</x:v>
      </x:c>
      <x:c r="F2914" s="6" t="str">
        <x:v>1</x:v>
      </x:c>
      <x:c r="G2914" s="6" t="str"/>
      <x:c r="H2914" s="6" t="str">
        <x:f>IF(B2914="平","平",IF(B2914="","","仄"))</x:f>
        <x:v>仄</x:v>
      </x:c>
      <x:c r="I2914" s="6" t="str">
        <x:f>IF(D2902="","",IF(AND(ISNUMBER(SEARCH("平",D2902)),OR(ISNUMBER(SEARCH("上",D2902)),ISNUMBER(SEARCH("去",D2902)),ISNUMBER(SEARCH("入",D2902)))),"Ambiguous",IF(ISNUMBER(SEARCH("平",D2902)),"平","仄")))</x:f>
        <x:v>仄</x:v>
      </x:c>
      <x:c r="J2914" s="7" t="str"/>
    </x:row>
    <x:row r="2915">
      <x:c r="A2915" s="5" t="str">
        <x:v>篴</x:v>
      </x:c>
      <x:c r="B2915" s="6" t="str">
        <x:v>入</x:v>
      </x:c>
      <x:c r="C2915" s="6" t="str">
        <x:f>IF(B2915="","Needs decision","Ready")</x:f>
        <x:v>Ready</x:v>
      </x:c>
      <x:c r="D2915" s="6" t="str">
        <x:v>入</x:v>
      </x:c>
      <x:c r="E2915" s="6" t="str">
        <x:v>dek (D)</x:v>
      </x:c>
      <x:c r="F2915" s="6" t="str">
        <x:v>1</x:v>
      </x:c>
      <x:c r="G2915" s="6" t="str"/>
      <x:c r="H2915" s="6" t="str">
        <x:f>IF(B2915="平","平",IF(B2915="","","仄"))</x:f>
        <x:v>仄</x:v>
      </x:c>
      <x:c r="I2915" s="6" t="str">
        <x:f>IF(D2903="","",IF(AND(ISNUMBER(SEARCH("平",D2903)),OR(ISNUMBER(SEARCH("上",D2903)),ISNUMBER(SEARCH("去",D2903)),ISNUMBER(SEARCH("入",D2903)))),"Ambiguous",IF(ISNUMBER(SEARCH("平",D2903)),"平","仄")))</x:f>
        <x:v>仄</x:v>
      </x:c>
      <x:c r="J2915" s="7" t="str"/>
    </x:row>
    <x:row r="2916">
      <x:c r="A2916" s="5" t="str">
        <x:v>篷</x:v>
      </x:c>
      <x:c r="B2916" s="6" t="str">
        <x:v>平</x:v>
      </x:c>
      <x:c r="C2916" s="6" t="str">
        <x:f>IF(B2916="","Needs decision","Ready")</x:f>
        <x:v>Ready</x:v>
      </x:c>
      <x:c r="D2916" s="6" t="str">
        <x:v>平</x:v>
      </x:c>
      <x:c r="E2916" s="6" t="str">
        <x:v>buwng (A)</x:v>
      </x:c>
      <x:c r="F2916" s="6" t="str">
        <x:v>1</x:v>
      </x:c>
      <x:c r="G2916" s="6" t="str"/>
      <x:c r="H2916" s="6" t="str">
        <x:f>IF(B2916="平","平",IF(B2916="","","仄"))</x:f>
        <x:v>平</x:v>
      </x:c>
      <x:c r="I2916" s="6" t="str">
        <x:f>IF(D2904="","",IF(AND(ISNUMBER(SEARCH("平",D2904)),OR(ISNUMBER(SEARCH("上",D2904)),ISNUMBER(SEARCH("去",D2904)),ISNUMBER(SEARCH("入",D2904)))),"Ambiguous",IF(ISNUMBER(SEARCH("平",D2904)),"平","仄")))</x:f>
        <x:v>平</x:v>
      </x:c>
      <x:c r="J2916" s="7" t="str"/>
    </x:row>
    <x:row r="2917">
      <x:c r="A2917" s="5" t="str">
        <x:v>簋</x:v>
      </x:c>
      <x:c r="B2917" s="6" t="str">
        <x:v>上</x:v>
      </x:c>
      <x:c r="C2917" s="6" t="str">
        <x:f>IF(B2917="","Needs decision","Ready")</x:f>
        <x:v>Ready</x:v>
      </x:c>
      <x:c r="D2917" s="6" t="str">
        <x:v>上</x:v>
      </x:c>
      <x:c r="E2917" s="6" t="str">
        <x:v>kwijX (B)</x:v>
      </x:c>
      <x:c r="F2917" s="6" t="str">
        <x:v>1</x:v>
      </x:c>
      <x:c r="G2917" s="6" t="str"/>
      <x:c r="H2917" s="6" t="str">
        <x:f>IF(B2917="平","平",IF(B2917="","","仄"))</x:f>
        <x:v>仄</x:v>
      </x:c>
      <x:c r="I2917" s="6" t="str">
        <x:f>IF(D2905="","",IF(AND(ISNUMBER(SEARCH("平",D2905)),OR(ISNUMBER(SEARCH("上",D2905)),ISNUMBER(SEARCH("去",D2905)),ISNUMBER(SEARCH("入",D2905)))),"Ambiguous",IF(ISNUMBER(SEARCH("平",D2905)),"平","仄")))</x:f>
        <x:v>仄</x:v>
      </x:c>
      <x:c r="J2917" s="7" t="str"/>
    </x:row>
    <x:row r="2918">
      <x:c r="A2918" s="5" t="str">
        <x:v>簚</x:v>
      </x:c>
      <x:c r="B2918" s="6" t="str">
        <x:v>入</x:v>
      </x:c>
      <x:c r="C2918" s="6" t="str">
        <x:f>IF(B2918="","Needs decision","Ready")</x:f>
        <x:v>Ready</x:v>
      </x:c>
      <x:c r="D2918" s="6" t="str">
        <x:v>入</x:v>
      </x:c>
      <x:c r="E2918" s="6" t="str">
        <x:v>mek (D)</x:v>
      </x:c>
      <x:c r="F2918" s="6" t="str">
        <x:v>1</x:v>
      </x:c>
      <x:c r="G2918" s="6" t="str"/>
      <x:c r="H2918" s="6" t="str">
        <x:f>IF(B2918="平","平",IF(B2918="","","仄"))</x:f>
        <x:v>仄</x:v>
      </x:c>
      <x:c r="I2918" s="6" t="str">
        <x:f>IF(D2906="","",IF(AND(ISNUMBER(SEARCH("平",D2906)),OR(ISNUMBER(SEARCH("上",D2906)),ISNUMBER(SEARCH("去",D2906)),ISNUMBER(SEARCH("入",D2906)))),"Ambiguous",IF(ISNUMBER(SEARCH("平",D2906)),"平","仄")))</x:f>
        <x:v>平</x:v>
      </x:c>
      <x:c r="J2918" s="7" t="str"/>
    </x:row>
    <x:row r="2919">
      <x:c r="A2919" s="5" t="str">
        <x:v>簟</x:v>
      </x:c>
      <x:c r="B2919" s="6" t="str">
        <x:v>上</x:v>
      </x:c>
      <x:c r="C2919" s="6" t="str">
        <x:f>IF(B2919="","Needs decision","Ready")</x:f>
        <x:v>Ready</x:v>
      </x:c>
      <x:c r="D2919" s="6" t="str">
        <x:v>上</x:v>
      </x:c>
      <x:c r="E2919" s="6" t="str">
        <x:v>demX (B)</x:v>
      </x:c>
      <x:c r="F2919" s="6" t="str">
        <x:v>1</x:v>
      </x:c>
      <x:c r="G2919" s="6" t="str"/>
      <x:c r="H2919" s="6" t="str">
        <x:f>IF(B2919="平","平",IF(B2919="","","仄"))</x:f>
        <x:v>仄</x:v>
      </x:c>
      <x:c r="I2919" s="6" t="str">
        <x:f>IF(D2907="","",IF(AND(ISNUMBER(SEARCH("平",D2907)),OR(ISNUMBER(SEARCH("上",D2907)),ISNUMBER(SEARCH("去",D2907)),ISNUMBER(SEARCH("入",D2907)))),"Ambiguous",IF(ISNUMBER(SEARCH("平",D2907)),"平","仄")))</x:f>
        <x:v>仄</x:v>
      </x:c>
      <x:c r="J2919" s="7" t="str"/>
    </x:row>
    <x:row r="2920">
      <x:c r="A2920" s="5" t="str">
        <x:v>簠</x:v>
      </x:c>
      <x:c r="B2920" s="6" t="str">
        <x:v>上</x:v>
      </x:c>
      <x:c r="C2920" s="6" t="str">
        <x:f>IF(B2920="","Needs decision","Ready")</x:f>
        <x:v>Ready</x:v>
      </x:c>
      <x:c r="D2920" s="6" t="str">
        <x:v>上</x:v>
      </x:c>
      <x:c r="E2920" s="6" t="str">
        <x:v>pjuX (B)</x:v>
      </x:c>
      <x:c r="F2920" s="6" t="str">
        <x:v>1</x:v>
      </x:c>
      <x:c r="G2920" s="6" t="str"/>
      <x:c r="H2920" s="6" t="str">
        <x:f>IF(B2920="平","平",IF(B2920="","","仄"))</x:f>
        <x:v>仄</x:v>
      </x:c>
      <x:c r="I2920" s="6" t="str">
        <x:f>IF(D2908="","",IF(AND(ISNUMBER(SEARCH("平",D2908)),OR(ISNUMBER(SEARCH("上",D2908)),ISNUMBER(SEARCH("去",D2908)),ISNUMBER(SEARCH("入",D2908)))),"Ambiguous",IF(ISNUMBER(SEARCH("平",D2908)),"平","仄")))</x:f>
        <x:v>仄</x:v>
      </x:c>
      <x:c r="J2920" s="7" t="str"/>
    </x:row>
    <x:row r="2921">
      <x:c r="A2921" s="5" t="str">
        <x:v>簡</x:v>
      </x:c>
      <x:c r="B2921" s="6" t="str">
        <x:v>上</x:v>
      </x:c>
      <x:c r="C2921" s="6" t="str">
        <x:f>IF(B2921="","Needs decision","Ready")</x:f>
        <x:v>Ready</x:v>
      </x:c>
      <x:c r="D2921" s="6" t="str">
        <x:v>上</x:v>
      </x:c>
      <x:c r="E2921" s="6" t="str">
        <x:v>keanX (B)</x:v>
      </x:c>
      <x:c r="F2921" s="6" t="str">
        <x:v>1</x:v>
      </x:c>
      <x:c r="G2921" s="6" t="str"/>
      <x:c r="H2921" s="6" t="str">
        <x:f>IF(B2921="平","平",IF(B2921="","","仄"))</x:f>
        <x:v>仄</x:v>
      </x:c>
      <x:c r="I2921" s="6" t="str">
        <x:f>IF(D2909="","",IF(AND(ISNUMBER(SEARCH("平",D2909)),OR(ISNUMBER(SEARCH("上",D2909)),ISNUMBER(SEARCH("去",D2909)),ISNUMBER(SEARCH("入",D2909)))),"Ambiguous",IF(ISNUMBER(SEARCH("平",D2909)),"平","仄")))</x:f>
        <x:v>平</x:v>
      </x:c>
      <x:c r="J2921" s="7" t="str"/>
    </x:row>
    <x:row r="2922">
      <x:c r="A2922" s="5" t="str">
        <x:v>簣</x:v>
      </x:c>
      <x:c r="B2922" s="6" t="str">
        <x:v>去</x:v>
      </x:c>
      <x:c r="C2922" s="6" t="str">
        <x:f>IF(B2922="","Needs decision","Ready")</x:f>
        <x:v>Ready</x:v>
      </x:c>
      <x:c r="D2922" s="6" t="str">
        <x:v>去</x:v>
      </x:c>
      <x:c r="E2922" s="6" t="str">
        <x:v>khweajH (C)</x:v>
      </x:c>
      <x:c r="F2922" s="6" t="str">
        <x:v>1</x:v>
      </x:c>
      <x:c r="G2922" s="6" t="str"/>
      <x:c r="H2922" s="6" t="str">
        <x:f>IF(B2922="平","平",IF(B2922="","","仄"))</x:f>
        <x:v>仄</x:v>
      </x:c>
      <x:c r="I2922" s="6" t="str">
        <x:f>IF(D2910="","",IF(AND(ISNUMBER(SEARCH("平",D2910)),OR(ISNUMBER(SEARCH("上",D2910)),ISNUMBER(SEARCH("去",D2910)),ISNUMBER(SEARCH("入",D2910)))),"Ambiguous",IF(ISNUMBER(SEARCH("平",D2910)),"平","仄")))</x:f>
        <x:v>仄</x:v>
      </x:c>
      <x:c r="J2922" s="7" t="str"/>
    </x:row>
    <x:row r="2923">
      <x:c r="A2923" s="5" t="str">
        <x:v>簪</x:v>
      </x:c>
      <x:c r="B2923" s="6" t="str">
        <x:v>平</x:v>
      </x:c>
      <x:c r="C2923" s="6" t="str">
        <x:f>IF(B2923="","Needs decision","Ready")</x:f>
        <x:v>Ready</x:v>
      </x:c>
      <x:c r="D2923" s="6" t="str">
        <x:v>平</x:v>
      </x:c>
      <x:c r="E2923" s="6" t="str">
        <x:v>tsom (A); tsrim (A)</x:v>
      </x:c>
      <x:c r="F2923" s="6" t="str">
        <x:v>2</x:v>
      </x:c>
      <x:c r="G2923" s="6" t="str"/>
      <x:c r="H2923" s="6" t="str">
        <x:f>IF(B2923="平","平",IF(B2923="","","仄"))</x:f>
        <x:v>平</x:v>
      </x:c>
      <x:c r="I2923" s="6" t="str">
        <x:f>IF(D2911="","",IF(AND(ISNUMBER(SEARCH("平",D2911)),OR(ISNUMBER(SEARCH("上",D2911)),ISNUMBER(SEARCH("去",D2911)),ISNUMBER(SEARCH("入",D2911)))),"Ambiguous",IF(ISNUMBER(SEARCH("平",D2911)),"平","仄")))</x:f>
        <x:v>平</x:v>
      </x:c>
      <x:c r="J2923" s="7" t="str"/>
    </x:row>
    <x:row r="2924">
      <x:c r="A2924" s="5" t="str">
        <x:v>簫</x:v>
      </x:c>
      <x:c r="B2924" s="6" t="str">
        <x:v>平</x:v>
      </x:c>
      <x:c r="C2924" s="6" t="str">
        <x:f>IF(B2924="","Needs decision","Ready")</x:f>
        <x:v>Ready</x:v>
      </x:c>
      <x:c r="D2924" s="6" t="str">
        <x:v>平</x:v>
      </x:c>
      <x:c r="E2924" s="6" t="str">
        <x:v>sew (A)</x:v>
      </x:c>
      <x:c r="F2924" s="6" t="str">
        <x:v>1</x:v>
      </x:c>
      <x:c r="G2924" s="6" t="str"/>
      <x:c r="H2924" s="6" t="str">
        <x:f>IF(B2924="平","平",IF(B2924="","","仄"))</x:f>
        <x:v>平</x:v>
      </x:c>
      <x:c r="I2924" s="6" t="str">
        <x:f>IF(D2912="","",IF(AND(ISNUMBER(SEARCH("平",D2912)),OR(ISNUMBER(SEARCH("上",D2912)),ISNUMBER(SEARCH("去",D2912)),ISNUMBER(SEARCH("入",D2912)))),"Ambiguous",IF(ISNUMBER(SEARCH("平",D2912)),"平","仄")))</x:f>
        <x:v>平</x:v>
      </x:c>
      <x:c r="J2924" s="7" t="str"/>
    </x:row>
    <x:row r="2925">
      <x:c r="A2925" s="5" t="str">
        <x:v>簰</x:v>
      </x:c>
      <x:c r="B2925" s="6" t="str">
        <x:v>平</x:v>
      </x:c>
      <x:c r="C2925" s="6" t="str">
        <x:f>IF(B2925="","Needs decision","Ready")</x:f>
        <x:v>Ready</x:v>
      </x:c>
      <x:c r="D2925" s="6" t="str">
        <x:v>平</x:v>
      </x:c>
      <x:c r="E2925" s="6" t="str">
        <x:v>bea (A)</x:v>
      </x:c>
      <x:c r="F2925" s="6" t="str">
        <x:v>1</x:v>
      </x:c>
      <x:c r="G2925" s="6" t="str"/>
      <x:c r="H2925" s="6" t="str">
        <x:f>IF(B2925="平","平",IF(B2925="","","仄"))</x:f>
        <x:v>平</x:v>
      </x:c>
      <x:c r="I2925" s="6" t="str">
        <x:f>IF(D2913="","",IF(AND(ISNUMBER(SEARCH("平",D2913)),OR(ISNUMBER(SEARCH("上",D2913)),ISNUMBER(SEARCH("去",D2913)),ISNUMBER(SEARCH("入",D2913)))),"Ambiguous",IF(ISNUMBER(SEARCH("平",D2913)),"平","仄")))</x:f>
        <x:v>仄</x:v>
      </x:c>
      <x:c r="J2925" s="7" t="str"/>
    </x:row>
    <x:row r="2926">
      <x:c r="A2926" s="5" t="str">
        <x:v>簳</x:v>
      </x:c>
      <x:c r="B2926" s="6" t="str">
        <x:v>上</x:v>
      </x:c>
      <x:c r="C2926" s="6" t="str">
        <x:f>IF(B2926="","Needs decision","Ready")</x:f>
        <x:v>Ready</x:v>
      </x:c>
      <x:c r="D2926" s="6" t="str">
        <x:v>上</x:v>
      </x:c>
      <x:c r="E2926" s="6" t="str">
        <x:v>kanX (B)</x:v>
      </x:c>
      <x:c r="F2926" s="6" t="str">
        <x:v>1</x:v>
      </x:c>
      <x:c r="G2926" s="6" t="str"/>
      <x:c r="H2926" s="6" t="str">
        <x:f>IF(B2926="平","平",IF(B2926="","","仄"))</x:f>
        <x:v>仄</x:v>
      </x:c>
      <x:c r="I2926" s="6" t="str">
        <x:f>IF(D2914="","",IF(AND(ISNUMBER(SEARCH("平",D2914)),OR(ISNUMBER(SEARCH("上",D2914)),ISNUMBER(SEARCH("去",D2914)),ISNUMBER(SEARCH("入",D2914)))),"Ambiguous",IF(ISNUMBER(SEARCH("平",D2914)),"平","仄")))</x:f>
        <x:v>仄</x:v>
      </x:c>
      <x:c r="J2926" s="7" t="str"/>
    </x:row>
    <x:row r="2927">
      <x:c r="A2927" s="5" t="str">
        <x:v>簷</x:v>
      </x:c>
      <x:c r="B2927" s="6" t="str">
        <x:v>平</x:v>
      </x:c>
      <x:c r="C2927" s="6" t="str">
        <x:f>IF(B2927="","Needs decision","Ready")</x:f>
        <x:v>Ready</x:v>
      </x:c>
      <x:c r="D2927" s="6" t="str">
        <x:v>平</x:v>
      </x:c>
      <x:c r="E2927" s="6" t="str">
        <x:v>yem [jem] (平)</x:v>
      </x:c>
      <x:c r="F2927" s="6" t="str">
        <x:v>1</x:v>
      </x:c>
      <x:c r="G2927" s="6" t="str">
        <x:v>Tang 300 gap; frequency 2; provisional from Xun Gong</x:v>
      </x:c>
      <x:c r="H2927" s="6" t="str">
        <x:f>IF(B2927="平","平",IF(B2927="","","仄"))</x:f>
        <x:v>平</x:v>
      </x:c>
      <x:c r="I2927" s="6" t="str">
        <x:f>IF(D2915="","",IF(AND(ISNUMBER(SEARCH("平",D2915)),OR(ISNUMBER(SEARCH("上",D2915)),ISNUMBER(SEARCH("去",D2915)),ISNUMBER(SEARCH("入",D2915)))),"Ambiguous",IF(ISNUMBER(SEARCH("平",D2915)),"平","仄")))</x:f>
        <x:v>仄</x:v>
      </x:c>
      <x:c r="J2927" s="7" t="str">
        <x:v>Xun Gong, Tang 300 gap fill</x:v>
      </x:c>
    </x:row>
    <x:row r="2928">
      <x:c r="A2928" s="5" t="str">
        <x:v>簸</x:v>
      </x:c>
      <x:c r="B2928" s="6" t="str"/>
      <x:c r="C2928" s="6" t="str">
        <x:f>IF(B2928="","Needs decision","Ready")</x:f>
        <x:v>Needs decision</x:v>
      </x:c>
      <x:c r="D2928" s="6" t="str">
        <x:v>上/去</x:v>
      </x:c>
      <x:c r="E2928" s="6" t="str">
        <x:v>paX (B); paH (C)</x:v>
      </x:c>
      <x:c r="F2928" s="6" t="str">
        <x:v>2</x:v>
      </x:c>
      <x:c r="G2928" s="6" t="str"/>
      <x:c r="H2928" s="6" t="str">
        <x:f>IF(B2928="平","平",IF(B2928="","","仄"))</x:f>
      </x:c>
      <x:c r="I2928" s="6" t="str">
        <x:f>IF(D2916="","",IF(AND(ISNUMBER(SEARCH("平",D2916)),OR(ISNUMBER(SEARCH("上",D2916)),ISNUMBER(SEARCH("去",D2916)),ISNUMBER(SEARCH("入",D2916)))),"Ambiguous",IF(ISNUMBER(SEARCH("平",D2916)),"平","仄")))</x:f>
        <x:v>平</x:v>
      </x:c>
      <x:c r="J2928" s="7" t="str"/>
    </x:row>
    <x:row r="2929">
      <x:c r="A2929" s="5" t="str">
        <x:v>簾</x:v>
      </x:c>
      <x:c r="B2929" s="6" t="str">
        <x:v>平</x:v>
      </x:c>
      <x:c r="C2929" s="6" t="str">
        <x:f>IF(B2929="","Needs decision","Ready")</x:f>
        <x:v>Ready</x:v>
      </x:c>
      <x:c r="D2929" s="6" t="str">
        <x:v>平</x:v>
      </x:c>
      <x:c r="E2929" s="6" t="str">
        <x:v>ljem (A)</x:v>
      </x:c>
      <x:c r="F2929" s="6" t="str">
        <x:v>1</x:v>
      </x:c>
      <x:c r="G2929" s="6" t="str"/>
      <x:c r="H2929" s="6" t="str">
        <x:f>IF(B2929="平","平",IF(B2929="","","仄"))</x:f>
        <x:v>平</x:v>
      </x:c>
      <x:c r="I2929" s="6" t="str">
        <x:f>IF(D2917="","",IF(AND(ISNUMBER(SEARCH("平",D2917)),OR(ISNUMBER(SEARCH("上",D2917)),ISNUMBER(SEARCH("去",D2917)),ISNUMBER(SEARCH("入",D2917)))),"Ambiguous",IF(ISNUMBER(SEARCH("平",D2917)),"平","仄")))</x:f>
        <x:v>仄</x:v>
      </x:c>
      <x:c r="J2929" s="7" t="str"/>
    </x:row>
    <x:row r="2930">
      <x:c r="A2930" s="5" t="str">
        <x:v>簿</x:v>
      </x:c>
      <x:c r="B2930" s="6" t="str">
        <x:v>上</x:v>
      </x:c>
      <x:c r="C2930" s="6" t="str">
        <x:f>IF(B2930="","Needs decision","Ready")</x:f>
        <x:v>Ready</x:v>
      </x:c>
      <x:c r="D2930" s="6" t="str">
        <x:v>上</x:v>
      </x:c>
      <x:c r="E2930" s="6" t="str">
        <x:v>buX (B)</x:v>
      </x:c>
      <x:c r="F2930" s="6" t="str">
        <x:v>1</x:v>
      </x:c>
      <x:c r="G2930" s="6" t="str"/>
      <x:c r="H2930" s="6" t="str">
        <x:f>IF(B2930="平","平",IF(B2930="","","仄"))</x:f>
        <x:v>仄</x:v>
      </x:c>
      <x:c r="I2930" s="6" t="str">
        <x:f>IF(D2918="","",IF(AND(ISNUMBER(SEARCH("平",D2918)),OR(ISNUMBER(SEARCH("上",D2918)),ISNUMBER(SEARCH("去",D2918)),ISNUMBER(SEARCH("入",D2918)))),"Ambiguous",IF(ISNUMBER(SEARCH("平",D2918)),"平","仄")))</x:f>
        <x:v>仄</x:v>
      </x:c>
      <x:c r="J2930" s="7" t="str"/>
    </x:row>
    <x:row r="2931">
      <x:c r="A2931" s="5" t="str">
        <x:v>籃</x:v>
      </x:c>
      <x:c r="B2931" s="6" t="str">
        <x:v>平</x:v>
      </x:c>
      <x:c r="C2931" s="6" t="str">
        <x:f>IF(B2931="","Needs decision","Ready")</x:f>
        <x:v>Ready</x:v>
      </x:c>
      <x:c r="D2931" s="6" t="str">
        <x:v>平</x:v>
      </x:c>
      <x:c r="E2931" s="6" t="str">
        <x:v>lam (A)</x:v>
      </x:c>
      <x:c r="F2931" s="6" t="str">
        <x:v>1</x:v>
      </x:c>
      <x:c r="G2931" s="6" t="str"/>
      <x:c r="H2931" s="6" t="str">
        <x:f>IF(B2931="平","平",IF(B2931="","","仄"))</x:f>
        <x:v>平</x:v>
      </x:c>
      <x:c r="I2931" s="6" t="str">
        <x:f>IF(D2919="","",IF(AND(ISNUMBER(SEARCH("平",D2919)),OR(ISNUMBER(SEARCH("上",D2919)),ISNUMBER(SEARCH("去",D2919)),ISNUMBER(SEARCH("入",D2919)))),"Ambiguous",IF(ISNUMBER(SEARCH("平",D2919)),"平","仄")))</x:f>
        <x:v>仄</x:v>
      </x:c>
      <x:c r="J2931" s="7" t="str"/>
    </x:row>
    <x:row r="2932">
      <x:c r="A2932" s="5" t="str">
        <x:v>籌</x:v>
      </x:c>
      <x:c r="B2932" s="6" t="str">
        <x:v>平</x:v>
      </x:c>
      <x:c r="C2932" s="6" t="str">
        <x:f>IF(B2932="","Needs decision","Ready")</x:f>
        <x:v>Ready</x:v>
      </x:c>
      <x:c r="D2932" s="6" t="str">
        <x:v>平</x:v>
      </x:c>
      <x:c r="E2932" s="6" t="str">
        <x:v>drjuw [澄三尤平] ɖju</x:v>
      </x:c>
      <x:c r="F2932" s="6" t="str">
        <x:v>1</x:v>
      </x:c>
      <x:c r="G2932" s="6" t="str">
        <x:v>Targeted preliminary fill from Xun Gong; review if uncertain</x:v>
      </x:c>
      <x:c r="H2932" s="6" t="str">
        <x:f>IF(B2932="平","平",IF(B2932="","","仄"))</x:f>
        <x:v>平</x:v>
      </x:c>
      <x:c r="I2932" s="6" t="str">
        <x:f>IF(D2920="","",IF(AND(ISNUMBER(SEARCH("平",D2920)),OR(ISNUMBER(SEARCH("上",D2920)),ISNUMBER(SEARCH("去",D2920)),ISNUMBER(SEARCH("入",D2920)))),"Ambiguous",IF(ISNUMBER(SEARCH("平",D2920)),"平","仄")))</x:f>
        <x:v>仄</x:v>
      </x:c>
      <x:c r="J2932" s="7" t="str">
        <x:v>Xun Gong character-readings.csv</x:v>
      </x:c>
    </x:row>
    <x:row r="2933">
      <x:c r="A2933" s="5" t="str">
        <x:v>籍</x:v>
      </x:c>
      <x:c r="B2933" s="6" t="str">
        <x:v>入</x:v>
      </x:c>
      <x:c r="C2933" s="6" t="str">
        <x:f>IF(B2933="","Needs decision","Ready")</x:f>
        <x:v>Ready</x:v>
      </x:c>
      <x:c r="D2933" s="6" t="str">
        <x:v>入</x:v>
      </x:c>
      <x:c r="E2933" s="6" t="str">
        <x:v>dzjek (D)</x:v>
      </x:c>
      <x:c r="F2933" s="6" t="str">
        <x:v>1</x:v>
      </x:c>
      <x:c r="G2933" s="6" t="str"/>
      <x:c r="H2933" s="6" t="str">
        <x:f>IF(B2933="平","平",IF(B2933="","","仄"))</x:f>
        <x:v>仄</x:v>
      </x:c>
      <x:c r="I2933" s="6" t="str">
        <x:f>IF(D2921="","",IF(AND(ISNUMBER(SEARCH("平",D2921)),OR(ISNUMBER(SEARCH("上",D2921)),ISNUMBER(SEARCH("去",D2921)),ISNUMBER(SEARCH("入",D2921)))),"Ambiguous",IF(ISNUMBER(SEARCH("平",D2921)),"平","仄")))</x:f>
        <x:v>仄</x:v>
      </x:c>
      <x:c r="J2933" s="7" t="str"/>
    </x:row>
    <x:row r="2934">
      <x:c r="A2934" s="5" t="str">
        <x:v>籙</x:v>
      </x:c>
      <x:c r="B2934" s="6" t="str">
        <x:v>入</x:v>
      </x:c>
      <x:c r="C2934" s="6" t="str">
        <x:f>IF(B2934="","Needs decision","Ready")</x:f>
        <x:v>Ready</x:v>
      </x:c>
      <x:c r="D2934" s="6" t="str">
        <x:v>入</x:v>
      </x:c>
      <x:c r="E2934" s="6" t="str">
        <x:v>ljowk [ljok] (入)</x:v>
      </x:c>
      <x:c r="F2934" s="6" t="str">
        <x:v>1</x:v>
      </x:c>
      <x:c r="G2934" s="6" t="str">
        <x:v>Tang 300 gap; frequency 1; provisional from Xun Gong</x:v>
      </x:c>
      <x:c r="H2934" s="6" t="str">
        <x:f>IF(B2934="平","平",IF(B2934="","","仄"))</x:f>
        <x:v>仄</x:v>
      </x:c>
      <x:c r="I2934" s="6" t="str">
        <x:f>IF(D2922="","",IF(AND(ISNUMBER(SEARCH("平",D2922)),OR(ISNUMBER(SEARCH("上",D2922)),ISNUMBER(SEARCH("去",D2922)),ISNUMBER(SEARCH("入",D2922)))),"Ambiguous",IF(ISNUMBER(SEARCH("平",D2922)),"平","仄")))</x:f>
        <x:v>仄</x:v>
      </x:c>
      <x:c r="J2934" s="7" t="str">
        <x:v>Xun Gong, Tang 300 gap fill</x:v>
      </x:c>
    </x:row>
    <x:row r="2935">
      <x:c r="A2935" s="5" t="str">
        <x:v>籟</x:v>
      </x:c>
      <x:c r="B2935" s="6" t="str">
        <x:v>去</x:v>
      </x:c>
      <x:c r="C2935" s="6" t="str">
        <x:f>IF(B2935="","Needs decision","Ready")</x:f>
        <x:v>Ready</x:v>
      </x:c>
      <x:c r="D2935" s="6" t="str">
        <x:v>去</x:v>
      </x:c>
      <x:c r="E2935" s="6" t="str">
        <x:v>lajH (C)</x:v>
      </x:c>
      <x:c r="F2935" s="6" t="str">
        <x:v>1</x:v>
      </x:c>
      <x:c r="G2935" s="6" t="str"/>
      <x:c r="H2935" s="6" t="str">
        <x:f>IF(B2935="平","平",IF(B2935="","","仄"))</x:f>
        <x:v>仄</x:v>
      </x:c>
      <x:c r="I2935" s="6" t="str">
        <x:f>IF(D2923="","",IF(AND(ISNUMBER(SEARCH("平",D2923)),OR(ISNUMBER(SEARCH("上",D2923)),ISNUMBER(SEARCH("去",D2923)),ISNUMBER(SEARCH("入",D2923)))),"Ambiguous",IF(ISNUMBER(SEARCH("平",D2923)),"平","仄")))</x:f>
        <x:v>平</x:v>
      </x:c>
      <x:c r="J2935" s="7" t="str"/>
    </x:row>
    <x:row r="2936">
      <x:c r="A2936" s="5" t="str">
        <x:v>籠</x:v>
      </x:c>
      <x:c r="B2936" s="6" t="str"/>
      <x:c r="C2936" s="6" t="str">
        <x:f>IF(B2936="","Needs decision","Ready")</x:f>
        <x:v>Needs decision</x:v>
      </x:c>
      <x:c r="D2936" s="6" t="str">
        <x:v>平/上</x:v>
      </x:c>
      <x:c r="E2936" s="6" t="str">
        <x:v>luwng (A); luwngX (B)</x:v>
      </x:c>
      <x:c r="F2936" s="6" t="str">
        <x:v>2</x:v>
      </x:c>
      <x:c r="G2936" s="6" t="str"/>
      <x:c r="H2936" s="6" t="str">
        <x:f>IF(B2936="平","平",IF(B2936="","","仄"))</x:f>
      </x:c>
      <x:c r="I2936" s="6" t="str">
        <x:f>IF(D2924="","",IF(AND(ISNUMBER(SEARCH("平",D2924)),OR(ISNUMBER(SEARCH("上",D2924)),ISNUMBER(SEARCH("去",D2924)),ISNUMBER(SEARCH("入",D2924)))),"Ambiguous",IF(ISNUMBER(SEARCH("平",D2924)),"平","仄")))</x:f>
        <x:v>平</x:v>
      </x:c>
      <x:c r="J2936" s="7" t="str"/>
    </x:row>
    <x:row r="2937">
      <x:c r="A2937" s="5" t="str">
        <x:v>籤</x:v>
      </x:c>
      <x:c r="B2937" s="6" t="str">
        <x:v>平</x:v>
      </x:c>
      <x:c r="C2937" s="6" t="str">
        <x:f>IF(B2937="","Needs decision","Ready")</x:f>
        <x:v>Ready</x:v>
      </x:c>
      <x:c r="D2937" s="6" t="str">
        <x:v>平</x:v>
      </x:c>
      <x:c r="E2937" s="6" t="str"/>
      <x:c r="F2937" s="6" t="str"/>
      <x:c r="G2937" s="6" t="str">
        <x:v>Manual user correction/addition</x:v>
      </x:c>
      <x:c r="H2937" s="6" t="str">
        <x:f>IF(B2937="平","平",IF(B2937="","","仄"))</x:f>
        <x:v>平</x:v>
      </x:c>
      <x:c r="I2937" s="6" t="str">
        <x:f>IF(D2925="","",IF(AND(ISNUMBER(SEARCH("平",D2925)),OR(ISNUMBER(SEARCH("上",D2925)),ISNUMBER(SEARCH("去",D2925)),ISNUMBER(SEARCH("入",D2925)))),"Ambiguous",IF(ISNUMBER(SEARCH("平",D2925)),"平","仄")))</x:f>
        <x:v>平</x:v>
      </x:c>
      <x:c r="J2937" s="7" t="str">
        <x:v>manual user correction</x:v>
      </x:c>
    </x:row>
    <x:row r="2938">
      <x:c r="A2938" s="5" t="str">
        <x:v>籥</x:v>
      </x:c>
      <x:c r="B2938" s="6" t="str">
        <x:v>入</x:v>
      </x:c>
      <x:c r="C2938" s="6" t="str">
        <x:f>IF(B2938="","Needs decision","Ready")</x:f>
        <x:v>Ready</x:v>
      </x:c>
      <x:c r="D2938" s="6" t="str">
        <x:v>入</x:v>
      </x:c>
      <x:c r="E2938" s="6" t="str">
        <x:v>yak (D)</x:v>
      </x:c>
      <x:c r="F2938" s="6" t="str">
        <x:v>1</x:v>
      </x:c>
      <x:c r="G2938" s="6" t="str"/>
      <x:c r="H2938" s="6" t="str">
        <x:f>IF(B2938="平","平",IF(B2938="","","仄"))</x:f>
        <x:v>仄</x:v>
      </x:c>
      <x:c r="I2938" s="6" t="str">
        <x:f>IF(D2926="","",IF(AND(ISNUMBER(SEARCH("平",D2926)),OR(ISNUMBER(SEARCH("上",D2926)),ISNUMBER(SEARCH("去",D2926)),ISNUMBER(SEARCH("入",D2926)))),"Ambiguous",IF(ISNUMBER(SEARCH("平",D2926)),"平","仄")))</x:f>
        <x:v>仄</x:v>
      </x:c>
      <x:c r="J2938" s="7" t="str"/>
    </x:row>
    <x:row r="2939">
      <x:c r="A2939" s="5" t="str">
        <x:v>籩</x:v>
      </x:c>
      <x:c r="B2939" s="6" t="str">
        <x:v>平</x:v>
      </x:c>
      <x:c r="C2939" s="6" t="str">
        <x:f>IF(B2939="","Needs decision","Ready")</x:f>
        <x:v>Ready</x:v>
      </x:c>
      <x:c r="D2939" s="6" t="str">
        <x:v>平</x:v>
      </x:c>
      <x:c r="E2939" s="6" t="str">
        <x:v>pjien (A)</x:v>
      </x:c>
      <x:c r="F2939" s="6" t="str">
        <x:v>1</x:v>
      </x:c>
      <x:c r="G2939" s="6" t="str"/>
      <x:c r="H2939" s="6" t="str">
        <x:f>IF(B2939="平","平",IF(B2939="","","仄"))</x:f>
        <x:v>平</x:v>
      </x:c>
      <x:c r="I2939" s="6" t="str">
        <x:f>IF(D2927="","",IF(AND(ISNUMBER(SEARCH("平",D2927)),OR(ISNUMBER(SEARCH("上",D2927)),ISNUMBER(SEARCH("去",D2927)),ISNUMBER(SEARCH("入",D2927)))),"Ambiguous",IF(ISNUMBER(SEARCH("平",D2927)),"平","仄")))</x:f>
        <x:v>平</x:v>
      </x:c>
      <x:c r="J2939" s="7" t="str"/>
    </x:row>
    <x:row r="2940">
      <x:c r="A2940" s="5" t="str">
        <x:v>籬</x:v>
      </x:c>
      <x:c r="B2940" s="6" t="str">
        <x:v>平</x:v>
      </x:c>
      <x:c r="C2940" s="6" t="str">
        <x:f>IF(B2940="","Needs decision","Ready")</x:f>
        <x:v>Ready</x:v>
      </x:c>
      <x:c r="D2940" s="6" t="str">
        <x:v>平</x:v>
      </x:c>
      <x:c r="E2940" s="6" t="str">
        <x:v>lje [lie] (平)</x:v>
      </x:c>
      <x:c r="F2940" s="6" t="str">
        <x:v>1</x:v>
      </x:c>
      <x:c r="G2940" s="6" t="str">
        <x:v>Tang 300 gap; frequency 2; provisional from Xun Gong</x:v>
      </x:c>
      <x:c r="H2940" s="6" t="str">
        <x:f>IF(B2940="平","平",IF(B2940="","","仄"))</x:f>
        <x:v>平</x:v>
      </x:c>
      <x:c r="I2940" s="6" t="str">
        <x:f>IF(D2928="","",IF(AND(ISNUMBER(SEARCH("平",D2928)),OR(ISNUMBER(SEARCH("上",D2928)),ISNUMBER(SEARCH("去",D2928)),ISNUMBER(SEARCH("入",D2928)))),"Ambiguous",IF(ISNUMBER(SEARCH("平",D2928)),"平","仄")))</x:f>
        <x:v>仄</x:v>
      </x:c>
      <x:c r="J2940" s="7" t="str">
        <x:v>Xun Gong, Tang 300 gap fill</x:v>
      </x:c>
    </x:row>
    <x:row r="2941">
      <x:c r="A2941" s="5" t="str">
        <x:v>籮</x:v>
      </x:c>
      <x:c r="B2941" s="6" t="str">
        <x:v>平</x:v>
      </x:c>
      <x:c r="C2941" s="6" t="str">
        <x:f>IF(B2941="","Needs decision","Ready")</x:f>
        <x:v>Ready</x:v>
      </x:c>
      <x:c r="D2941" s="6" t="str">
        <x:v>平</x:v>
      </x:c>
      <x:c r="E2941" s="6" t="str">
        <x:v>la (A)</x:v>
      </x:c>
      <x:c r="F2941" s="6" t="str">
        <x:v>1</x:v>
      </x:c>
      <x:c r="G2941" s="6" t="str"/>
      <x:c r="H2941" s="6" t="str">
        <x:f>IF(B2941="平","平",IF(B2941="","","仄"))</x:f>
        <x:v>平</x:v>
      </x:c>
      <x:c r="I2941" s="6" t="str">
        <x:f>IF(D2929="","",IF(AND(ISNUMBER(SEARCH("平",D2929)),OR(ISNUMBER(SEARCH("上",D2929)),ISNUMBER(SEARCH("去",D2929)),ISNUMBER(SEARCH("入",D2929)))),"Ambiguous",IF(ISNUMBER(SEARCH("平",D2929)),"平","仄")))</x:f>
        <x:v>平</x:v>
      </x:c>
      <x:c r="J2941" s="7" t="str"/>
    </x:row>
    <x:row r="2942">
      <x:c r="A2942" s="5" t="str">
        <x:v>米</x:v>
      </x:c>
      <x:c r="B2942" s="6" t="str">
        <x:v>上</x:v>
      </x:c>
      <x:c r="C2942" s="6" t="str">
        <x:f>IF(B2942="","Needs decision","Ready")</x:f>
        <x:v>Ready</x:v>
      </x:c>
      <x:c r="D2942" s="6" t="str">
        <x:v>上</x:v>
      </x:c>
      <x:c r="E2942" s="6" t="str">
        <x:v>mejX (B)</x:v>
      </x:c>
      <x:c r="F2942" s="6" t="str">
        <x:v>1</x:v>
      </x:c>
      <x:c r="G2942" s="6" t="str"/>
      <x:c r="H2942" s="6" t="str">
        <x:f>IF(B2942="平","平",IF(B2942="","","仄"))</x:f>
        <x:v>仄</x:v>
      </x:c>
      <x:c r="I2942" s="6" t="str">
        <x:f>IF(D2930="","",IF(AND(ISNUMBER(SEARCH("平",D2930)),OR(ISNUMBER(SEARCH("上",D2930)),ISNUMBER(SEARCH("去",D2930)),ISNUMBER(SEARCH("入",D2930)))),"Ambiguous",IF(ISNUMBER(SEARCH("平",D2930)),"平","仄")))</x:f>
        <x:v>仄</x:v>
      </x:c>
      <x:c r="J2942" s="7" t="str"/>
    </x:row>
    <x:row r="2943">
      <x:c r="A2943" s="5" t="str">
        <x:v>籹</x:v>
      </x:c>
      <x:c r="B2943" s="6" t="str">
        <x:v>上</x:v>
      </x:c>
      <x:c r="C2943" s="6" t="str">
        <x:f>IF(B2943="","Needs decision","Ready")</x:f>
        <x:v>Ready</x:v>
      </x:c>
      <x:c r="D2943" s="6" t="str">
        <x:v>上</x:v>
      </x:c>
      <x:c r="E2943" s="6" t="str">
        <x:v>nrjoX (B)</x:v>
      </x:c>
      <x:c r="F2943" s="6" t="str">
        <x:v>1</x:v>
      </x:c>
      <x:c r="G2943" s="6" t="str"/>
      <x:c r="H2943" s="6" t="str">
        <x:f>IF(B2943="平","平",IF(B2943="","","仄"))</x:f>
        <x:v>仄</x:v>
      </x:c>
      <x:c r="I2943" s="6" t="str">
        <x:f>IF(D2931="","",IF(AND(ISNUMBER(SEARCH("平",D2931)),OR(ISNUMBER(SEARCH("上",D2931)),ISNUMBER(SEARCH("去",D2931)),ISNUMBER(SEARCH("入",D2931)))),"Ambiguous",IF(ISNUMBER(SEARCH("平",D2931)),"平","仄")))</x:f>
        <x:v>平</x:v>
      </x:c>
      <x:c r="J2943" s="7" t="str"/>
    </x:row>
    <x:row r="2944">
      <x:c r="A2944" s="5" t="str">
        <x:v>粉</x:v>
      </x:c>
      <x:c r="B2944" s="6" t="str">
        <x:v>上</x:v>
      </x:c>
      <x:c r="C2944" s="6" t="str">
        <x:f>IF(B2944="","Needs decision","Ready")</x:f>
        <x:v>Ready</x:v>
      </x:c>
      <x:c r="D2944" s="6" t="str">
        <x:v>上</x:v>
      </x:c>
      <x:c r="E2944" s="6" t="str">
        <x:v>pjunX (B)</x:v>
      </x:c>
      <x:c r="F2944" s="6" t="str">
        <x:v>1</x:v>
      </x:c>
      <x:c r="G2944" s="6" t="str"/>
      <x:c r="H2944" s="6" t="str">
        <x:f>IF(B2944="平","平",IF(B2944="","","仄"))</x:f>
        <x:v>仄</x:v>
      </x:c>
      <x:c r="I2944" s="6" t="str">
        <x:f>IF(D2932="","",IF(AND(ISNUMBER(SEARCH("平",D2932)),OR(ISNUMBER(SEARCH("上",D2932)),ISNUMBER(SEARCH("去",D2932)),ISNUMBER(SEARCH("入",D2932)))),"Ambiguous",IF(ISNUMBER(SEARCH("平",D2932)),"平","仄")))</x:f>
        <x:v>平</x:v>
      </x:c>
      <x:c r="J2944" s="7" t="str"/>
    </x:row>
    <x:row r="2945">
      <x:c r="A2945" s="5" t="str">
        <x:v>粒</x:v>
      </x:c>
      <x:c r="B2945" s="6" t="str">
        <x:v>入</x:v>
      </x:c>
      <x:c r="C2945" s="6" t="str">
        <x:f>IF(B2945="","Needs decision","Ready")</x:f>
        <x:v>Ready</x:v>
      </x:c>
      <x:c r="D2945" s="6" t="str">
        <x:v>入</x:v>
      </x:c>
      <x:c r="E2945" s="6" t="str">
        <x:v>lip (D)</x:v>
      </x:c>
      <x:c r="F2945" s="6" t="str">
        <x:v>1</x:v>
      </x:c>
      <x:c r="G2945" s="6" t="str"/>
      <x:c r="H2945" s="6" t="str">
        <x:f>IF(B2945="平","平",IF(B2945="","","仄"))</x:f>
        <x:v>仄</x:v>
      </x:c>
      <x:c r="I2945" s="6" t="str">
        <x:f>IF(D2933="","",IF(AND(ISNUMBER(SEARCH("平",D2933)),OR(ISNUMBER(SEARCH("上",D2933)),ISNUMBER(SEARCH("去",D2933)),ISNUMBER(SEARCH("入",D2933)))),"Ambiguous",IF(ISNUMBER(SEARCH("平",D2933)),"平","仄")))</x:f>
        <x:v>仄</x:v>
      </x:c>
      <x:c r="J2945" s="7" t="str"/>
    </x:row>
    <x:row r="2946">
      <x:c r="A2946" s="5" t="str">
        <x:v>粔</x:v>
      </x:c>
      <x:c r="B2946" s="6" t="str">
        <x:v>上</x:v>
      </x:c>
      <x:c r="C2946" s="6" t="str">
        <x:f>IF(B2946="","Needs decision","Ready")</x:f>
        <x:v>Ready</x:v>
      </x:c>
      <x:c r="D2946" s="6" t="str">
        <x:v>上</x:v>
      </x:c>
      <x:c r="E2946" s="6" t="str">
        <x:v>gjoX (B)</x:v>
      </x:c>
      <x:c r="F2946" s="6" t="str">
        <x:v>1</x:v>
      </x:c>
      <x:c r="G2946" s="6" t="str"/>
      <x:c r="H2946" s="6" t="str">
        <x:f>IF(B2946="平","平",IF(B2946="","","仄"))</x:f>
        <x:v>仄</x:v>
      </x:c>
      <x:c r="I2946" s="6" t="str">
        <x:f>IF(D2934="","",IF(AND(ISNUMBER(SEARCH("平",D2934)),OR(ISNUMBER(SEARCH("上",D2934)),ISNUMBER(SEARCH("去",D2934)),ISNUMBER(SEARCH("入",D2934)))),"Ambiguous",IF(ISNUMBER(SEARCH("平",D2934)),"平","仄")))</x:f>
        <x:v>仄</x:v>
      </x:c>
      <x:c r="J2946" s="7" t="str"/>
    </x:row>
    <x:row r="2947">
      <x:c r="A2947" s="5" t="str">
        <x:v>粗</x:v>
      </x:c>
      <x:c r="B2947" s="6" t="str">
        <x:v>平</x:v>
      </x:c>
      <x:c r="C2947" s="6" t="str">
        <x:f>IF(B2947="","Needs decision","Ready")</x:f>
        <x:v>Ready</x:v>
      </x:c>
      <x:c r="D2947" s="6" t="str">
        <x:v>平</x:v>
      </x:c>
      <x:c r="E2947" s="6" t="str">
        <x:v>tshu (A)</x:v>
      </x:c>
      <x:c r="F2947" s="6" t="str">
        <x:v>1</x:v>
      </x:c>
      <x:c r="G2947" s="6" t="str"/>
      <x:c r="H2947" s="6" t="str">
        <x:f>IF(B2947="平","平",IF(B2947="","","仄"))</x:f>
        <x:v>平</x:v>
      </x:c>
      <x:c r="I2947" s="6" t="str">
        <x:f>IF(D2935="","",IF(AND(ISNUMBER(SEARCH("平",D2935)),OR(ISNUMBER(SEARCH("上",D2935)),ISNUMBER(SEARCH("去",D2935)),ISNUMBER(SEARCH("入",D2935)))),"Ambiguous",IF(ISNUMBER(SEARCH("平",D2935)),"平","仄")))</x:f>
        <x:v>仄</x:v>
      </x:c>
      <x:c r="J2947" s="7" t="str"/>
    </x:row>
    <x:row r="2948">
      <x:c r="A2948" s="5" t="str">
        <x:v>粟</x:v>
      </x:c>
      <x:c r="B2948" s="6" t="str">
        <x:v>入</x:v>
      </x:c>
      <x:c r="C2948" s="6" t="str">
        <x:f>IF(B2948="","Needs decision","Ready")</x:f>
        <x:v>Ready</x:v>
      </x:c>
      <x:c r="D2948" s="6" t="str">
        <x:v>入</x:v>
      </x:c>
      <x:c r="E2948" s="6" t="str">
        <x:v>sjowk (D)</x:v>
      </x:c>
      <x:c r="F2948" s="6" t="str">
        <x:v>1</x:v>
      </x:c>
      <x:c r="G2948" s="6" t="str"/>
      <x:c r="H2948" s="6" t="str">
        <x:f>IF(B2948="平","平",IF(B2948="","","仄"))</x:f>
        <x:v>仄</x:v>
      </x:c>
      <x:c r="I2948" s="6" t="str">
        <x:f>IF(D2936="","",IF(AND(ISNUMBER(SEARCH("平",D2936)),OR(ISNUMBER(SEARCH("上",D2936)),ISNUMBER(SEARCH("去",D2936)),ISNUMBER(SEARCH("入",D2936)))),"Ambiguous",IF(ISNUMBER(SEARCH("平",D2936)),"平","仄")))</x:f>
        <x:v>Ambiguous</x:v>
      </x:c>
      <x:c r="J2948" s="7" t="str"/>
    </x:row>
    <x:row r="2949">
      <x:c r="A2949" s="5" t="str">
        <x:v>粢</x:v>
      </x:c>
      <x:c r="B2949" s="6" t="str">
        <x:v>平</x:v>
      </x:c>
      <x:c r="C2949" s="6" t="str">
        <x:f>IF(B2949="","Needs decision","Ready")</x:f>
        <x:v>Ready</x:v>
      </x:c>
      <x:c r="D2949" s="6" t="str">
        <x:v>平</x:v>
      </x:c>
      <x:c r="E2949" s="6" t="str">
        <x:v>tsij (A)</x:v>
      </x:c>
      <x:c r="F2949" s="6" t="str">
        <x:v>1</x:v>
      </x:c>
      <x:c r="G2949" s="6" t="str"/>
      <x:c r="H2949" s="6" t="str">
        <x:f>IF(B2949="平","平",IF(B2949="","","仄"))</x:f>
        <x:v>平</x:v>
      </x:c>
      <x:c r="I2949" s="6" t="str">
        <x:f>IF(D2937="","",IF(AND(ISNUMBER(SEARCH("平",D2937)),OR(ISNUMBER(SEARCH("上",D2937)),ISNUMBER(SEARCH("去",D2937)),ISNUMBER(SEARCH("入",D2937)))),"Ambiguous",IF(ISNUMBER(SEARCH("平",D2937)),"平","仄")))</x:f>
        <x:v>平</x:v>
      </x:c>
      <x:c r="J2949" s="7" t="str"/>
    </x:row>
    <x:row r="2950">
      <x:c r="A2950" s="5" t="str">
        <x:v>粥</x:v>
      </x:c>
      <x:c r="B2950" s="6" t="str">
        <x:v>入</x:v>
      </x:c>
      <x:c r="C2950" s="6" t="str">
        <x:f>IF(B2950="","Needs decision","Ready")</x:f>
        <x:v>Ready</x:v>
      </x:c>
      <x:c r="D2950" s="6" t="str">
        <x:v>入</x:v>
      </x:c>
      <x:c r="E2950" s="6" t="str">
        <x:v>tsyuwk (D)</x:v>
      </x:c>
      <x:c r="F2950" s="6" t="str">
        <x:v>1</x:v>
      </x:c>
      <x:c r="G2950" s="6" t="str"/>
      <x:c r="H2950" s="6" t="str">
        <x:f>IF(B2950="平","平",IF(B2950="","","仄"))</x:f>
        <x:v>仄</x:v>
      </x:c>
      <x:c r="I2950" s="6" t="str">
        <x:f>IF(D2938="","",IF(AND(ISNUMBER(SEARCH("平",D2938)),OR(ISNUMBER(SEARCH("上",D2938)),ISNUMBER(SEARCH("去",D2938)),ISNUMBER(SEARCH("入",D2938)))),"Ambiguous",IF(ISNUMBER(SEARCH("平",D2938)),"平","仄")))</x:f>
        <x:v>仄</x:v>
      </x:c>
      <x:c r="J2950" s="7" t="str"/>
    </x:row>
    <x:row r="2951">
      <x:c r="A2951" s="5" t="str">
        <x:v>粦</x:v>
      </x:c>
      <x:c r="B2951" s="6" t="str">
        <x:v>平</x:v>
      </x:c>
      <x:c r="C2951" s="6" t="str">
        <x:f>IF(B2951="","Needs decision","Ready")</x:f>
        <x:v>Ready</x:v>
      </x:c>
      <x:c r="D2951" s="6" t="str">
        <x:v>平</x:v>
      </x:c>
      <x:c r="E2951" s="6" t="str">
        <x:v>lin (A)</x:v>
      </x:c>
      <x:c r="F2951" s="6" t="str">
        <x:v>1</x:v>
      </x:c>
      <x:c r="G2951" s="6" t="str"/>
      <x:c r="H2951" s="6" t="str">
        <x:f>IF(B2951="平","平",IF(B2951="","","仄"))</x:f>
        <x:v>平</x:v>
      </x:c>
      <x:c r="I2951" s="6" t="str">
        <x:f>IF(D2939="","",IF(AND(ISNUMBER(SEARCH("平",D2939)),OR(ISNUMBER(SEARCH("上",D2939)),ISNUMBER(SEARCH("去",D2939)),ISNUMBER(SEARCH("入",D2939)))),"Ambiguous",IF(ISNUMBER(SEARCH("平",D2939)),"平","仄")))</x:f>
        <x:v>平</x:v>
      </x:c>
      <x:c r="J2951" s="7" t="str"/>
    </x:row>
    <x:row r="2952">
      <x:c r="A2952" s="5" t="str">
        <x:v>粱</x:v>
      </x:c>
      <x:c r="B2952" s="6" t="str">
        <x:v>平</x:v>
      </x:c>
      <x:c r="C2952" s="6" t="str">
        <x:f>IF(B2952="","Needs decision","Ready")</x:f>
        <x:v>Ready</x:v>
      </x:c>
      <x:c r="D2952" s="6" t="str">
        <x:v>平</x:v>
      </x:c>
      <x:c r="E2952" s="6" t="str">
        <x:v>ljang (A)</x:v>
      </x:c>
      <x:c r="F2952" s="6" t="str">
        <x:v>1</x:v>
      </x:c>
      <x:c r="G2952" s="6" t="str"/>
      <x:c r="H2952" s="6" t="str">
        <x:f>IF(B2952="平","平",IF(B2952="","","仄"))</x:f>
        <x:v>平</x:v>
      </x:c>
      <x:c r="I2952" s="6" t="str">
        <x:f>IF(D2940="","",IF(AND(ISNUMBER(SEARCH("平",D2940)),OR(ISNUMBER(SEARCH("上",D2940)),ISNUMBER(SEARCH("去",D2940)),ISNUMBER(SEARCH("入",D2940)))),"Ambiguous",IF(ISNUMBER(SEARCH("平",D2940)),"平","仄")))</x:f>
        <x:v>平</x:v>
      </x:c>
      <x:c r="J2952" s="7" t="str"/>
    </x:row>
    <x:row r="2953">
      <x:c r="A2953" s="5" t="str">
        <x:v>粲</x:v>
      </x:c>
      <x:c r="B2953" s="6" t="str">
        <x:v>去</x:v>
      </x:c>
      <x:c r="C2953" s="6" t="str">
        <x:f>IF(B2953="","Needs decision","Ready")</x:f>
        <x:v>Ready</x:v>
      </x:c>
      <x:c r="D2953" s="6" t="str">
        <x:v>去</x:v>
      </x:c>
      <x:c r="E2953" s="6" t="str">
        <x:v>tshanH (C)</x:v>
      </x:c>
      <x:c r="F2953" s="6" t="str">
        <x:v>1</x:v>
      </x:c>
      <x:c r="G2953" s="6" t="str"/>
      <x:c r="H2953" s="6" t="str">
        <x:f>IF(B2953="平","平",IF(B2953="","","仄"))</x:f>
        <x:v>仄</x:v>
      </x:c>
      <x:c r="I2953" s="6" t="str">
        <x:f>IF(D2941="","",IF(AND(ISNUMBER(SEARCH("平",D2941)),OR(ISNUMBER(SEARCH("上",D2941)),ISNUMBER(SEARCH("去",D2941)),ISNUMBER(SEARCH("入",D2941)))),"Ambiguous",IF(ISNUMBER(SEARCH("平",D2941)),"平","仄")))</x:f>
        <x:v>平</x:v>
      </x:c>
      <x:c r="J2953" s="7" t="str"/>
    </x:row>
    <x:row r="2954">
      <x:c r="A2954" s="5" t="str">
        <x:v>粵</x:v>
      </x:c>
      <x:c r="B2954" s="6" t="str">
        <x:v>入</x:v>
      </x:c>
      <x:c r="C2954" s="6" t="str">
        <x:f>IF(B2954="","Needs decision","Ready")</x:f>
        <x:v>Ready</x:v>
      </x:c>
      <x:c r="D2954" s="6" t="str">
        <x:v>入</x:v>
      </x:c>
      <x:c r="E2954" s="6" t="str">
        <x:v>hjwot (D)</x:v>
      </x:c>
      <x:c r="F2954" s="6" t="str">
        <x:v>1</x:v>
      </x:c>
      <x:c r="G2954" s="6" t="str"/>
      <x:c r="H2954" s="6" t="str">
        <x:f>IF(B2954="平","平",IF(B2954="","","仄"))</x:f>
        <x:v>仄</x:v>
      </x:c>
      <x:c r="I2954" s="6" t="str">
        <x:f>IF(D2942="","",IF(AND(ISNUMBER(SEARCH("平",D2942)),OR(ISNUMBER(SEARCH("上",D2942)),ISNUMBER(SEARCH("去",D2942)),ISNUMBER(SEARCH("入",D2942)))),"Ambiguous",IF(ISNUMBER(SEARCH("平",D2942)),"平","仄")))</x:f>
        <x:v>仄</x:v>
      </x:c>
      <x:c r="J2954" s="7" t="str"/>
    </x:row>
    <x:row r="2955">
      <x:c r="A2955" s="5" t="str">
        <x:v>精</x:v>
      </x:c>
      <x:c r="B2955" s="6" t="str">
        <x:v>平</x:v>
      </x:c>
      <x:c r="C2955" s="6" t="str">
        <x:f>IF(B2955="","Needs decision","Ready")</x:f>
        <x:v>Ready</x:v>
      </x:c>
      <x:c r="D2955" s="6" t="str">
        <x:v>平</x:v>
      </x:c>
      <x:c r="E2955" s="6" t="str">
        <x:v>tsjeng (A)</x:v>
      </x:c>
      <x:c r="F2955" s="6" t="str">
        <x:v>1</x:v>
      </x:c>
      <x:c r="G2955" s="6" t="str"/>
      <x:c r="H2955" s="6" t="str">
        <x:f>IF(B2955="平","平",IF(B2955="","","仄"))</x:f>
        <x:v>平</x:v>
      </x:c>
      <x:c r="I2955" s="6" t="str">
        <x:f>IF(D2943="","",IF(AND(ISNUMBER(SEARCH("平",D2943)),OR(ISNUMBER(SEARCH("上",D2943)),ISNUMBER(SEARCH("去",D2943)),ISNUMBER(SEARCH("入",D2943)))),"Ambiguous",IF(ISNUMBER(SEARCH("平",D2943)),"平","仄")))</x:f>
        <x:v>仄</x:v>
      </x:c>
      <x:c r="J2955" s="7" t="str"/>
    </x:row>
    <x:row r="2956">
      <x:c r="A2956" s="5" t="str">
        <x:v>糊</x:v>
      </x:c>
      <x:c r="B2956" s="6" t="str">
        <x:v>平</x:v>
      </x:c>
      <x:c r="C2956" s="6" t="str">
        <x:f>IF(B2956="","Needs decision","Ready")</x:f>
        <x:v>Ready</x:v>
      </x:c>
      <x:c r="D2956" s="6" t="str">
        <x:v>平</x:v>
      </x:c>
      <x:c r="E2956" s="6" t="str">
        <x:v>hu (A)</x:v>
      </x:c>
      <x:c r="F2956" s="6" t="str">
        <x:v>1</x:v>
      </x:c>
      <x:c r="G2956" s="6" t="str"/>
      <x:c r="H2956" s="6" t="str">
        <x:f>IF(B2956="平","平",IF(B2956="","","仄"))</x:f>
        <x:v>平</x:v>
      </x:c>
      <x:c r="I2956" s="6" t="str">
        <x:f>IF(D2944="","",IF(AND(ISNUMBER(SEARCH("平",D2944)),OR(ISNUMBER(SEARCH("上",D2944)),ISNUMBER(SEARCH("去",D2944)),ISNUMBER(SEARCH("入",D2944)))),"Ambiguous",IF(ISNUMBER(SEARCH("平",D2944)),"平","仄")))</x:f>
        <x:v>仄</x:v>
      </x:c>
      <x:c r="J2956" s="7" t="str"/>
    </x:row>
    <x:row r="2957">
      <x:c r="A2957" s="5" t="str">
        <x:v>糖</x:v>
      </x:c>
      <x:c r="B2957" s="6" t="str">
        <x:v>平</x:v>
      </x:c>
      <x:c r="C2957" s="6" t="str">
        <x:f>IF(B2957="","Needs decision","Ready")</x:f>
        <x:v>Ready</x:v>
      </x:c>
      <x:c r="D2957" s="6" t="str">
        <x:v>平</x:v>
      </x:c>
      <x:c r="E2957" s="6" t="str">
        <x:v>dang (A)</x:v>
      </x:c>
      <x:c r="F2957" s="6" t="str">
        <x:v>1</x:v>
      </x:c>
      <x:c r="G2957" s="6" t="str"/>
      <x:c r="H2957" s="6" t="str">
        <x:f>IF(B2957="平","平",IF(B2957="","","仄"))</x:f>
        <x:v>平</x:v>
      </x:c>
      <x:c r="I2957" s="6" t="str">
        <x:f>IF(D2945="","",IF(AND(ISNUMBER(SEARCH("平",D2945)),OR(ISNUMBER(SEARCH("上",D2945)),ISNUMBER(SEARCH("去",D2945)),ISNUMBER(SEARCH("入",D2945)))),"Ambiguous",IF(ISNUMBER(SEARCH("平",D2945)),"平","仄")))</x:f>
        <x:v>仄</x:v>
      </x:c>
      <x:c r="J2957" s="7" t="str"/>
    </x:row>
    <x:row r="2958">
      <x:c r="A2958" s="5" t="str">
        <x:v>糜</x:v>
      </x:c>
      <x:c r="B2958" s="6" t="str">
        <x:v>平</x:v>
      </x:c>
      <x:c r="C2958" s="6" t="str">
        <x:f>IF(B2958="","Needs decision","Ready")</x:f>
        <x:v>Ready</x:v>
      </x:c>
      <x:c r="D2958" s="6" t="str">
        <x:v>平</x:v>
      </x:c>
      <x:c r="E2958" s="6" t="str">
        <x:v>mje (A)</x:v>
      </x:c>
      <x:c r="F2958" s="6" t="str">
        <x:v>1</x:v>
      </x:c>
      <x:c r="G2958" s="6" t="str"/>
      <x:c r="H2958" s="6" t="str">
        <x:f>IF(B2958="平","平",IF(B2958="","","仄"))</x:f>
        <x:v>平</x:v>
      </x:c>
      <x:c r="I2958" s="6" t="str">
        <x:f>IF(D2946="","",IF(AND(ISNUMBER(SEARCH("平",D2946)),OR(ISNUMBER(SEARCH("上",D2946)),ISNUMBER(SEARCH("去",D2946)),ISNUMBER(SEARCH("入",D2946)))),"Ambiguous",IF(ISNUMBER(SEARCH("平",D2946)),"平","仄")))</x:f>
        <x:v>仄</x:v>
      </x:c>
      <x:c r="J2958" s="7" t="str"/>
    </x:row>
    <x:row r="2959">
      <x:c r="A2959" s="5" t="str">
        <x:v>糞</x:v>
      </x:c>
      <x:c r="B2959" s="6" t="str">
        <x:v>去</x:v>
      </x:c>
      <x:c r="C2959" s="6" t="str">
        <x:f>IF(B2959="","Needs decision","Ready")</x:f>
        <x:v>Ready</x:v>
      </x:c>
      <x:c r="D2959" s="6" t="str">
        <x:v>去</x:v>
      </x:c>
      <x:c r="E2959" s="6" t="str">
        <x:v>pjunH (C)</x:v>
      </x:c>
      <x:c r="F2959" s="6" t="str">
        <x:v>1</x:v>
      </x:c>
      <x:c r="G2959" s="6" t="str"/>
      <x:c r="H2959" s="6" t="str">
        <x:f>IF(B2959="平","平",IF(B2959="","","仄"))</x:f>
        <x:v>仄</x:v>
      </x:c>
      <x:c r="I2959" s="6" t="str">
        <x:f>IF(D2947="","",IF(AND(ISNUMBER(SEARCH("平",D2947)),OR(ISNUMBER(SEARCH("上",D2947)),ISNUMBER(SEARCH("去",D2947)),ISNUMBER(SEARCH("入",D2947)))),"Ambiguous",IF(ISNUMBER(SEARCH("平",D2947)),"平","仄")))</x:f>
        <x:v>平</x:v>
      </x:c>
      <x:c r="J2959" s="7" t="str"/>
    </x:row>
    <x:row r="2960">
      <x:c r="A2960" s="5" t="str">
        <x:v>糟</x:v>
      </x:c>
      <x:c r="B2960" s="6" t="str">
        <x:v>平</x:v>
      </x:c>
      <x:c r="C2960" s="6" t="str">
        <x:f>IF(B2960="","Needs decision","Ready")</x:f>
        <x:v>Ready</x:v>
      </x:c>
      <x:c r="D2960" s="6" t="str">
        <x:v>平</x:v>
      </x:c>
      <x:c r="E2960" s="6" t="str">
        <x:v>tsaw (A)</x:v>
      </x:c>
      <x:c r="F2960" s="6" t="str">
        <x:v>1</x:v>
      </x:c>
      <x:c r="G2960" s="6" t="str"/>
      <x:c r="H2960" s="6" t="str">
        <x:f>IF(B2960="平","平",IF(B2960="","","仄"))</x:f>
        <x:v>平</x:v>
      </x:c>
      <x:c r="I2960" s="6" t="str">
        <x:f>IF(D2948="","",IF(AND(ISNUMBER(SEARCH("平",D2948)),OR(ISNUMBER(SEARCH("上",D2948)),ISNUMBER(SEARCH("去",D2948)),ISNUMBER(SEARCH("入",D2948)))),"Ambiguous",IF(ISNUMBER(SEARCH("平",D2948)),"平","仄")))</x:f>
        <x:v>仄</x:v>
      </x:c>
      <x:c r="J2960" s="7" t="str"/>
    </x:row>
    <x:row r="2961">
      <x:c r="A2961" s="5" t="str">
        <x:v>糧</x:v>
      </x:c>
      <x:c r="B2961" s="6" t="str">
        <x:v>平</x:v>
      </x:c>
      <x:c r="C2961" s="6" t="str">
        <x:f>IF(B2961="","Needs decision","Ready")</x:f>
        <x:v>Ready</x:v>
      </x:c>
      <x:c r="D2961" s="6" t="str">
        <x:v>平</x:v>
      </x:c>
      <x:c r="E2961" s="6" t="str">
        <x:v>ljang (A)</x:v>
      </x:c>
      <x:c r="F2961" s="6" t="str">
        <x:v>1</x:v>
      </x:c>
      <x:c r="G2961" s="6" t="str"/>
      <x:c r="H2961" s="6" t="str">
        <x:f>IF(B2961="平","平",IF(B2961="","","仄"))</x:f>
        <x:v>平</x:v>
      </x:c>
      <x:c r="I2961" s="6" t="str">
        <x:f>IF(D2949="","",IF(AND(ISNUMBER(SEARCH("平",D2949)),OR(ISNUMBER(SEARCH("上",D2949)),ISNUMBER(SEARCH("去",D2949)),ISNUMBER(SEARCH("入",D2949)))),"Ambiguous",IF(ISNUMBER(SEARCH("平",D2949)),"平","仄")))</x:f>
        <x:v>平</x:v>
      </x:c>
      <x:c r="J2961" s="7" t="str"/>
    </x:row>
    <x:row r="2962">
      <x:c r="A2962" s="5" t="str">
        <x:v>糲</x:v>
      </x:c>
      <x:c r="B2962" s="6" t="str"/>
      <x:c r="C2962" s="6" t="str">
        <x:f>IF(B2962="","Needs decision","Ready")</x:f>
        <x:v>Needs decision</x:v>
      </x:c>
      <x:c r="D2962" s="6" t="str">
        <x:v>去/入</x:v>
      </x:c>
      <x:c r="E2962" s="6" t="str">
        <x:v>lajH (C); lat (D); ljejH (C)</x:v>
      </x:c>
      <x:c r="F2962" s="6" t="str">
        <x:v>3</x:v>
      </x:c>
      <x:c r="G2962" s="6" t="str"/>
      <x:c r="H2962" s="6" t="str">
        <x:f>IF(B2962="平","平",IF(B2962="","","仄"))</x:f>
      </x:c>
      <x:c r="I2962" s="6" t="str">
        <x:f>IF(D2950="","",IF(AND(ISNUMBER(SEARCH("平",D2950)),OR(ISNUMBER(SEARCH("上",D2950)),ISNUMBER(SEARCH("去",D2950)),ISNUMBER(SEARCH("入",D2950)))),"Ambiguous",IF(ISNUMBER(SEARCH("平",D2950)),"平","仄")))</x:f>
        <x:v>仄</x:v>
      </x:c>
      <x:c r="J2962" s="7" t="str"/>
    </x:row>
    <x:row r="2963">
      <x:c r="A2963" s="5" t="str">
        <x:v>糳</x:v>
      </x:c>
      <x:c r="B2963" s="6" t="str">
        <x:v>入</x:v>
      </x:c>
      <x:c r="C2963" s="6" t="str">
        <x:f>IF(B2963="","Needs decision","Ready")</x:f>
        <x:v>Ready</x:v>
      </x:c>
      <x:c r="D2963" s="6" t="str">
        <x:v>入</x:v>
      </x:c>
      <x:c r="E2963" s="6" t="str">
        <x:v>tsak (D)</x:v>
      </x:c>
      <x:c r="F2963" s="6" t="str">
        <x:v>1</x:v>
      </x:c>
      <x:c r="G2963" s="6" t="str"/>
      <x:c r="H2963" s="6" t="str">
        <x:f>IF(B2963="平","平",IF(B2963="","","仄"))</x:f>
        <x:v>仄</x:v>
      </x:c>
      <x:c r="I2963" s="6" t="str">
        <x:f>IF(D2951="","",IF(AND(ISNUMBER(SEARCH("平",D2951)),OR(ISNUMBER(SEARCH("上",D2951)),ISNUMBER(SEARCH("去",D2951)),ISNUMBER(SEARCH("入",D2951)))),"Ambiguous",IF(ISNUMBER(SEARCH("平",D2951)),"平","仄")))</x:f>
        <x:v>平</x:v>
      </x:c>
      <x:c r="J2963" s="7" t="str"/>
    </x:row>
    <x:row r="2964">
      <x:c r="A2964" s="5" t="str">
        <x:v>糴</x:v>
      </x:c>
      <x:c r="B2964" s="6" t="str">
        <x:v>入</x:v>
      </x:c>
      <x:c r="C2964" s="6" t="str">
        <x:f>IF(B2964="","Needs decision","Ready")</x:f>
        <x:v>Ready</x:v>
      </x:c>
      <x:c r="D2964" s="6" t="str">
        <x:v>入</x:v>
      </x:c>
      <x:c r="E2964" s="6" t="str">
        <x:v>dek (D)</x:v>
      </x:c>
      <x:c r="F2964" s="6" t="str">
        <x:v>1</x:v>
      </x:c>
      <x:c r="G2964" s="6" t="str"/>
      <x:c r="H2964" s="6" t="str">
        <x:f>IF(B2964="平","平",IF(B2964="","","仄"))</x:f>
        <x:v>仄</x:v>
      </x:c>
      <x:c r="I2964" s="6" t="str">
        <x:f>IF(D2952="","",IF(AND(ISNUMBER(SEARCH("平",D2952)),OR(ISNUMBER(SEARCH("上",D2952)),ISNUMBER(SEARCH("去",D2952)),ISNUMBER(SEARCH("入",D2952)))),"Ambiguous",IF(ISNUMBER(SEARCH("平",D2952)),"平","仄")))</x:f>
        <x:v>平</x:v>
      </x:c>
      <x:c r="J2964" s="7" t="str"/>
    </x:row>
    <x:row r="2965">
      <x:c r="A2965" s="5" t="str">
        <x:v>系</x:v>
      </x:c>
      <x:c r="B2965" s="6" t="str">
        <x:v>去</x:v>
      </x:c>
      <x:c r="C2965" s="6" t="str">
        <x:f>IF(B2965="","Needs decision","Ready")</x:f>
        <x:v>Ready</x:v>
      </x:c>
      <x:c r="D2965" s="6" t="str">
        <x:v>去</x:v>
      </x:c>
      <x:c r="E2965" s="6" t="str">
        <x:v>hejH (C)</x:v>
      </x:c>
      <x:c r="F2965" s="6" t="str">
        <x:v>1</x:v>
      </x:c>
      <x:c r="G2965" s="6" t="str"/>
      <x:c r="H2965" s="6" t="str">
        <x:f>IF(B2965="平","平",IF(B2965="","","仄"))</x:f>
        <x:v>仄</x:v>
      </x:c>
      <x:c r="I2965" s="6" t="str">
        <x:f>IF(D2953="","",IF(AND(ISNUMBER(SEARCH("平",D2953)),OR(ISNUMBER(SEARCH("上",D2953)),ISNUMBER(SEARCH("去",D2953)),ISNUMBER(SEARCH("入",D2953)))),"Ambiguous",IF(ISNUMBER(SEARCH("平",D2953)),"平","仄")))</x:f>
        <x:v>仄</x:v>
      </x:c>
      <x:c r="J2965" s="7" t="str"/>
    </x:row>
    <x:row r="2966">
      <x:c r="A2966" s="5" t="str">
        <x:v>糾</x:v>
      </x:c>
      <x:c r="B2966" s="6" t="str">
        <x:v>上</x:v>
      </x:c>
      <x:c r="C2966" s="6" t="str">
        <x:f>IF(B2966="","Needs decision","Ready")</x:f>
        <x:v>Ready</x:v>
      </x:c>
      <x:c r="D2966" s="6" t="str">
        <x:v>上</x:v>
      </x:c>
      <x:c r="E2966" s="6" t="str">
        <x:v>kjiwX (B)</x:v>
      </x:c>
      <x:c r="F2966" s="6" t="str">
        <x:v>1</x:v>
      </x:c>
      <x:c r="G2966" s="6" t="str"/>
      <x:c r="H2966" s="6" t="str">
        <x:f>IF(B2966="平","平",IF(B2966="","","仄"))</x:f>
        <x:v>仄</x:v>
      </x:c>
      <x:c r="I2966" s="6" t="str">
        <x:f>IF(D2954="","",IF(AND(ISNUMBER(SEARCH("平",D2954)),OR(ISNUMBER(SEARCH("上",D2954)),ISNUMBER(SEARCH("去",D2954)),ISNUMBER(SEARCH("入",D2954)))),"Ambiguous",IF(ISNUMBER(SEARCH("平",D2954)),"平","仄")))</x:f>
        <x:v>仄</x:v>
      </x:c>
      <x:c r="J2966" s="7" t="str"/>
    </x:row>
    <x:row r="2967">
      <x:c r="A2967" s="5" t="str">
        <x:v>紀</x:v>
      </x:c>
      <x:c r="B2967" s="6" t="str">
        <x:v>上</x:v>
      </x:c>
      <x:c r="C2967" s="6" t="str">
        <x:f>IF(B2967="","Needs decision","Ready")</x:f>
        <x:v>Ready</x:v>
      </x:c>
      <x:c r="D2967" s="6" t="str">
        <x:v>上</x:v>
      </x:c>
      <x:c r="E2967" s="6" t="str">
        <x:v>kiX (B)</x:v>
      </x:c>
      <x:c r="F2967" s="6" t="str">
        <x:v>1</x:v>
      </x:c>
      <x:c r="G2967" s="6" t="str"/>
      <x:c r="H2967" s="6" t="str">
        <x:f>IF(B2967="平","平",IF(B2967="","","仄"))</x:f>
        <x:v>仄</x:v>
      </x:c>
      <x:c r="I2967" s="6" t="str">
        <x:f>IF(D2955="","",IF(AND(ISNUMBER(SEARCH("平",D2955)),OR(ISNUMBER(SEARCH("上",D2955)),ISNUMBER(SEARCH("去",D2955)),ISNUMBER(SEARCH("入",D2955)))),"Ambiguous",IF(ISNUMBER(SEARCH("平",D2955)),"平","仄")))</x:f>
        <x:v>平</x:v>
      </x:c>
      <x:c r="J2967" s="7" t="str"/>
    </x:row>
    <x:row r="2968">
      <x:c r="A2968" s="5" t="str">
        <x:v>紂</x:v>
      </x:c>
      <x:c r="B2968" s="6" t="str">
        <x:v>上</x:v>
      </x:c>
      <x:c r="C2968" s="6" t="str">
        <x:f>IF(B2968="","Needs decision","Ready")</x:f>
        <x:v>Ready</x:v>
      </x:c>
      <x:c r="D2968" s="6" t="str">
        <x:v>上</x:v>
      </x:c>
      <x:c r="E2968" s="6" t="str">
        <x:v>drjuwX (B)</x:v>
      </x:c>
      <x:c r="F2968" s="6" t="str">
        <x:v>1</x:v>
      </x:c>
      <x:c r="G2968" s="6" t="str"/>
      <x:c r="H2968" s="6" t="str">
        <x:f>IF(B2968="平","平",IF(B2968="","","仄"))</x:f>
        <x:v>仄</x:v>
      </x:c>
      <x:c r="I2968" s="6" t="str">
        <x:f>IF(D2956="","",IF(AND(ISNUMBER(SEARCH("平",D2956)),OR(ISNUMBER(SEARCH("上",D2956)),ISNUMBER(SEARCH("去",D2956)),ISNUMBER(SEARCH("入",D2956)))),"Ambiguous",IF(ISNUMBER(SEARCH("平",D2956)),"平","仄")))</x:f>
        <x:v>平</x:v>
      </x:c>
      <x:c r="J2968" s="7" t="str"/>
    </x:row>
    <x:row r="2969">
      <x:c r="A2969" s="5" t="str">
        <x:v>紃</x:v>
      </x:c>
      <x:c r="B2969" s="6" t="str">
        <x:v>平</x:v>
      </x:c>
      <x:c r="C2969" s="6" t="str">
        <x:f>IF(B2969="","Needs decision","Ready")</x:f>
        <x:v>Ready</x:v>
      </x:c>
      <x:c r="D2969" s="6" t="str">
        <x:v>平</x:v>
      </x:c>
      <x:c r="E2969" s="6" t="str">
        <x:v>zwin (A)</x:v>
      </x:c>
      <x:c r="F2969" s="6" t="str">
        <x:v>1</x:v>
      </x:c>
      <x:c r="G2969" s="6" t="str"/>
      <x:c r="H2969" s="6" t="str">
        <x:f>IF(B2969="平","平",IF(B2969="","","仄"))</x:f>
        <x:v>平</x:v>
      </x:c>
      <x:c r="I2969" s="6" t="str">
        <x:f>IF(D2957="","",IF(AND(ISNUMBER(SEARCH("平",D2957)),OR(ISNUMBER(SEARCH("上",D2957)),ISNUMBER(SEARCH("去",D2957)),ISNUMBER(SEARCH("入",D2957)))),"Ambiguous",IF(ISNUMBER(SEARCH("平",D2957)),"平","仄")))</x:f>
        <x:v>平</x:v>
      </x:c>
      <x:c r="J2969" s="7" t="str"/>
    </x:row>
    <x:row r="2970">
      <x:c r="A2970" s="5" t="str">
        <x:v>約</x:v>
      </x:c>
      <x:c r="B2970" s="6" t="str">
        <x:v>入</x:v>
      </x:c>
      <x:c r="C2970" s="6" t="str">
        <x:f>IF(B2970="","Needs decision","Ready")</x:f>
        <x:v>Ready</x:v>
      </x:c>
      <x:c r="D2970" s="6" t="str">
        <x:v>去/入</x:v>
      </x:c>
      <x:c r="E2970" s="6" t="str">
        <x:v>'jiewH (C); 'jak (D)</x:v>
      </x:c>
      <x:c r="F2970" s="6" t="str">
        <x:v>2</x:v>
      </x:c>
      <x:c r="G2970" s="6" t="str">
        <x:v>User workbook edit 2026-09-03</x:v>
      </x:c>
      <x:c r="H2970" s="6" t="str">
        <x:f>IF(B2970="平","平",IF(B2970="","","仄"))</x:f>
        <x:v>仄</x:v>
      </x:c>
      <x:c r="I2970" s="6" t="str">
        <x:f>IF(D2958="","",IF(AND(ISNUMBER(SEARCH("平",D2958)),OR(ISNUMBER(SEARCH("上",D2958)),ISNUMBER(SEARCH("去",D2958)),ISNUMBER(SEARCH("入",D2958)))),"Ambiguous",IF(ISNUMBER(SEARCH("平",D2958)),"平","仄")))</x:f>
        <x:v>平</x:v>
      </x:c>
      <x:c r="J2970" s="7" t="str">
        <x:v>manual user correction</x:v>
      </x:c>
    </x:row>
    <x:row r="2971">
      <x:c r="A2971" s="5" t="str">
        <x:v>紅</x:v>
      </x:c>
      <x:c r="B2971" s="6" t="str">
        <x:v>平</x:v>
      </x:c>
      <x:c r="C2971" s="6" t="str">
        <x:f>IF(B2971="","Needs decision","Ready")</x:f>
        <x:v>Ready</x:v>
      </x:c>
      <x:c r="D2971" s="6" t="str">
        <x:v>平</x:v>
      </x:c>
      <x:c r="E2971" s="6" t="str">
        <x:v>huwng (A)</x:v>
      </x:c>
      <x:c r="F2971" s="6" t="str">
        <x:v>1</x:v>
      </x:c>
      <x:c r="G2971" s="6" t="str"/>
      <x:c r="H2971" s="6" t="str">
        <x:f>IF(B2971="平","平",IF(B2971="","","仄"))</x:f>
        <x:v>平</x:v>
      </x:c>
      <x:c r="I2971" s="6" t="str">
        <x:f>IF(D2959="","",IF(AND(ISNUMBER(SEARCH("平",D2959)),OR(ISNUMBER(SEARCH("上",D2959)),ISNUMBER(SEARCH("去",D2959)),ISNUMBER(SEARCH("入",D2959)))),"Ambiguous",IF(ISNUMBER(SEARCH("平",D2959)),"平","仄")))</x:f>
        <x:v>仄</x:v>
      </x:c>
      <x:c r="J2971" s="7" t="str"/>
    </x:row>
    <x:row r="2972">
      <x:c r="A2972" s="5" t="str">
        <x:v>紆</x:v>
      </x:c>
      <x:c r="B2972" s="6" t="str">
        <x:v>平</x:v>
      </x:c>
      <x:c r="C2972" s="6" t="str">
        <x:f>IF(B2972="","Needs decision","Ready")</x:f>
        <x:v>Ready</x:v>
      </x:c>
      <x:c r="D2972" s="6" t="str">
        <x:v>平</x:v>
      </x:c>
      <x:c r="E2972" s="6" t="str">
        <x:v>'ju (A)</x:v>
      </x:c>
      <x:c r="F2972" s="6" t="str">
        <x:v>1</x:v>
      </x:c>
      <x:c r="G2972" s="6" t="str"/>
      <x:c r="H2972" s="6" t="str">
        <x:f>IF(B2972="平","平",IF(B2972="","","仄"))</x:f>
        <x:v>平</x:v>
      </x:c>
      <x:c r="I2972" s="6" t="str">
        <x:f>IF(D2960="","",IF(AND(ISNUMBER(SEARCH("平",D2960)),OR(ISNUMBER(SEARCH("上",D2960)),ISNUMBER(SEARCH("去",D2960)),ISNUMBER(SEARCH("入",D2960)))),"Ambiguous",IF(ISNUMBER(SEARCH("平",D2960)),"平","仄")))</x:f>
        <x:v>平</x:v>
      </x:c>
      <x:c r="J2972" s="7" t="str"/>
    </x:row>
    <x:row r="2973">
      <x:c r="A2973" s="5" t="str">
        <x:v>紈</x:v>
      </x:c>
      <x:c r="B2973" s="6" t="str">
        <x:v>平</x:v>
      </x:c>
      <x:c r="C2973" s="6" t="str">
        <x:f>IF(B2973="","Needs decision","Ready")</x:f>
        <x:v>Ready</x:v>
      </x:c>
      <x:c r="D2973" s="6" t="str">
        <x:v>平</x:v>
      </x:c>
      <x:c r="E2973" s="6" t="str">
        <x:v>hwan [ʁwɑn] (平)</x:v>
      </x:c>
      <x:c r="F2973" s="6" t="str">
        <x:v>1</x:v>
      </x:c>
      <x:c r="G2973" s="6" t="str">
        <x:v>Tang 300 gap; frequency 1; provisional from Xun Gong</x:v>
      </x:c>
      <x:c r="H2973" s="6" t="str">
        <x:f>IF(B2973="平","平",IF(B2973="","","仄"))</x:f>
        <x:v>平</x:v>
      </x:c>
      <x:c r="I2973" s="6" t="str">
        <x:f>IF(D2961="","",IF(AND(ISNUMBER(SEARCH("平",D2961)),OR(ISNUMBER(SEARCH("上",D2961)),ISNUMBER(SEARCH("去",D2961)),ISNUMBER(SEARCH("入",D2961)))),"Ambiguous",IF(ISNUMBER(SEARCH("平",D2961)),"平","仄")))</x:f>
        <x:v>平</x:v>
      </x:c>
      <x:c r="J2973" s="7" t="str">
        <x:v>Xun Gong, Tang 300 gap fill</x:v>
      </x:c>
    </x:row>
    <x:row r="2974">
      <x:c r="A2974" s="5" t="str">
        <x:v>紋</x:v>
      </x:c>
      <x:c r="B2974" s="6" t="str">
        <x:v>平</x:v>
      </x:c>
      <x:c r="C2974" s="6" t="str">
        <x:f>IF(B2974="","Needs decision","Ready")</x:f>
        <x:v>Ready</x:v>
      </x:c>
      <x:c r="D2974" s="6" t="str">
        <x:v>平</x:v>
      </x:c>
      <x:c r="E2974" s="6" t="str">
        <x:v>mjun [mɨ̯un] (平)</x:v>
      </x:c>
      <x:c r="F2974" s="6" t="str">
        <x:v>1</x:v>
      </x:c>
      <x:c r="G2974" s="6" t="str">
        <x:v>Tang 300 gap; frequency 1; provisional from Xun Gong</x:v>
      </x:c>
      <x:c r="H2974" s="6" t="str">
        <x:f>IF(B2974="平","平",IF(B2974="","","仄"))</x:f>
        <x:v>平</x:v>
      </x:c>
      <x:c r="I2974" s="6" t="str">
        <x:f>IF(D2962="","",IF(AND(ISNUMBER(SEARCH("平",D2962)),OR(ISNUMBER(SEARCH("上",D2962)),ISNUMBER(SEARCH("去",D2962)),ISNUMBER(SEARCH("入",D2962)))),"Ambiguous",IF(ISNUMBER(SEARCH("平",D2962)),"平","仄")))</x:f>
        <x:v>仄</x:v>
      </x:c>
      <x:c r="J2974" s="7" t="str">
        <x:v>Xun Gong, Tang 300 gap fill</x:v>
      </x:c>
    </x:row>
    <x:row r="2975">
      <x:c r="A2975" s="5" t="str">
        <x:v>納</x:v>
      </x:c>
      <x:c r="B2975" s="6" t="str">
        <x:v>入</x:v>
      </x:c>
      <x:c r="C2975" s="6" t="str">
        <x:f>IF(B2975="","Needs decision","Ready")</x:f>
        <x:v>Ready</x:v>
      </x:c>
      <x:c r="D2975" s="6" t="str">
        <x:v>入</x:v>
      </x:c>
      <x:c r="E2975" s="6" t="str">
        <x:v>nop (D)</x:v>
      </x:c>
      <x:c r="F2975" s="6" t="str">
        <x:v>1</x:v>
      </x:c>
      <x:c r="G2975" s="6" t="str"/>
      <x:c r="H2975" s="6" t="str">
        <x:f>IF(B2975="平","平",IF(B2975="","","仄"))</x:f>
        <x:v>仄</x:v>
      </x:c>
      <x:c r="I2975" s="6" t="str">
        <x:f>IF(D2963="","",IF(AND(ISNUMBER(SEARCH("平",D2963)),OR(ISNUMBER(SEARCH("上",D2963)),ISNUMBER(SEARCH("去",D2963)),ISNUMBER(SEARCH("入",D2963)))),"Ambiguous",IF(ISNUMBER(SEARCH("平",D2963)),"平","仄")))</x:f>
        <x:v>仄</x:v>
      </x:c>
      <x:c r="J2975" s="7" t="str"/>
    </x:row>
    <x:row r="2976">
      <x:c r="A2976" s="5" t="str">
        <x:v>紐</x:v>
      </x:c>
      <x:c r="B2976" s="6" t="str">
        <x:v>上</x:v>
      </x:c>
      <x:c r="C2976" s="6" t="str">
        <x:f>IF(B2976="","Needs decision","Ready")</x:f>
        <x:v>Ready</x:v>
      </x:c>
      <x:c r="D2976" s="6" t="str">
        <x:v>上</x:v>
      </x:c>
      <x:c r="E2976" s="6" t="str">
        <x:v>nrjuwX (B)</x:v>
      </x:c>
      <x:c r="F2976" s="6" t="str">
        <x:v>1</x:v>
      </x:c>
      <x:c r="G2976" s="6" t="str"/>
      <x:c r="H2976" s="6" t="str">
        <x:f>IF(B2976="平","平",IF(B2976="","","仄"))</x:f>
        <x:v>仄</x:v>
      </x:c>
      <x:c r="I2976" s="6" t="str">
        <x:f>IF(D2964="","",IF(AND(ISNUMBER(SEARCH("平",D2964)),OR(ISNUMBER(SEARCH("上",D2964)),ISNUMBER(SEARCH("去",D2964)),ISNUMBER(SEARCH("入",D2964)))),"Ambiguous",IF(ISNUMBER(SEARCH("平",D2964)),"平","仄")))</x:f>
        <x:v>仄</x:v>
      </x:c>
      <x:c r="J2976" s="7" t="str"/>
    </x:row>
    <x:row r="2977">
      <x:c r="A2977" s="5" t="str">
        <x:v>紓</x:v>
      </x:c>
      <x:c r="B2977" s="6" t="str"/>
      <x:c r="C2977" s="6" t="str">
        <x:f>IF(B2977="","Needs decision","Ready")</x:f>
        <x:v>Needs decision</x:v>
      </x:c>
      <x:c r="D2977" s="6" t="str">
        <x:v>平/上</x:v>
      </x:c>
      <x:c r="E2977" s="6" t="str">
        <x:v>syo (A); zyoX (B)</x:v>
      </x:c>
      <x:c r="F2977" s="6" t="str">
        <x:v>2</x:v>
      </x:c>
      <x:c r="G2977" s="6" t="str"/>
      <x:c r="H2977" s="6" t="str">
        <x:f>IF(B2977="平","平",IF(B2977="","","仄"))</x:f>
      </x:c>
      <x:c r="I2977" s="6" t="str">
        <x:f>IF(D2965="","",IF(AND(ISNUMBER(SEARCH("平",D2965)),OR(ISNUMBER(SEARCH("上",D2965)),ISNUMBER(SEARCH("去",D2965)),ISNUMBER(SEARCH("入",D2965)))),"Ambiguous",IF(ISNUMBER(SEARCH("平",D2965)),"平","仄")))</x:f>
        <x:v>仄</x:v>
      </x:c>
      <x:c r="J2977" s="7" t="str"/>
    </x:row>
    <x:row r="2978">
      <x:c r="A2978" s="5" t="str">
        <x:v>純</x:v>
      </x:c>
      <x:c r="B2978" s="6" t="str">
        <x:v>平</x:v>
      </x:c>
      <x:c r="C2978" s="6" t="str">
        <x:f>IF(B2978="","Needs decision","Ready")</x:f>
        <x:v>Ready</x:v>
      </x:c>
      <x:c r="D2978" s="6" t="str">
        <x:v>平</x:v>
      </x:c>
      <x:c r="E2978" s="6" t="str">
        <x:v>dzywin (A)</x:v>
      </x:c>
      <x:c r="F2978" s="6" t="str">
        <x:v>1</x:v>
      </x:c>
      <x:c r="G2978" s="6" t="str"/>
      <x:c r="H2978" s="6" t="str">
        <x:f>IF(B2978="平","平",IF(B2978="","","仄"))</x:f>
        <x:v>平</x:v>
      </x:c>
      <x:c r="I2978" s="6" t="str">
        <x:f>IF(D2966="","",IF(AND(ISNUMBER(SEARCH("平",D2966)),OR(ISNUMBER(SEARCH("上",D2966)),ISNUMBER(SEARCH("去",D2966)),ISNUMBER(SEARCH("入",D2966)))),"Ambiguous",IF(ISNUMBER(SEARCH("平",D2966)),"平","仄")))</x:f>
        <x:v>仄</x:v>
      </x:c>
      <x:c r="J2978" s="7" t="str"/>
    </x:row>
    <x:row r="2979">
      <x:c r="A2979" s="5" t="str">
        <x:v>紗</x:v>
      </x:c>
      <x:c r="B2979" s="6" t="str">
        <x:v>平</x:v>
      </x:c>
      <x:c r="C2979" s="6" t="str">
        <x:f>IF(B2979="","Needs decision","Ready")</x:f>
        <x:v>Ready</x:v>
      </x:c>
      <x:c r="D2979" s="6" t="str">
        <x:v>平</x:v>
      </x:c>
      <x:c r="E2979" s="6" t="str">
        <x:v>srae [ʂaˤ] (平)</x:v>
      </x:c>
      <x:c r="F2979" s="6" t="str">
        <x:v>1</x:v>
      </x:c>
      <x:c r="G2979" s="6" t="str">
        <x:v>Tang 300 gap; frequency 4; provisional from Xun Gong</x:v>
      </x:c>
      <x:c r="H2979" s="6" t="str">
        <x:f>IF(B2979="平","平",IF(B2979="","","仄"))</x:f>
        <x:v>平</x:v>
      </x:c>
      <x:c r="I2979" s="6" t="str">
        <x:f>IF(D2967="","",IF(AND(ISNUMBER(SEARCH("平",D2967)),OR(ISNUMBER(SEARCH("上",D2967)),ISNUMBER(SEARCH("去",D2967)),ISNUMBER(SEARCH("入",D2967)))),"Ambiguous",IF(ISNUMBER(SEARCH("平",D2967)),"平","仄")))</x:f>
        <x:v>仄</x:v>
      </x:c>
      <x:c r="J2979" s="7" t="str">
        <x:v>Xun Gong, Tang 300 gap fill</x:v>
      </x:c>
    </x:row>
    <x:row r="2980">
      <x:c r="A2980" s="5" t="str">
        <x:v>紙</x:v>
      </x:c>
      <x:c r="B2980" s="6" t="str">
        <x:v>上</x:v>
      </x:c>
      <x:c r="C2980" s="6" t="str">
        <x:f>IF(B2980="","Needs decision","Ready")</x:f>
        <x:v>Ready</x:v>
      </x:c>
      <x:c r="D2980" s="6" t="str">
        <x:v>上</x:v>
      </x:c>
      <x:c r="E2980" s="6" t="str">
        <x:v>tsyeX (B)</x:v>
      </x:c>
      <x:c r="F2980" s="6" t="str">
        <x:v>1</x:v>
      </x:c>
      <x:c r="G2980" s="6" t="str"/>
      <x:c r="H2980" s="6" t="str">
        <x:f>IF(B2980="平","平",IF(B2980="","","仄"))</x:f>
        <x:v>仄</x:v>
      </x:c>
      <x:c r="I2980" s="6" t="str">
        <x:f>IF(D2968="","",IF(AND(ISNUMBER(SEARCH("平",D2968)),OR(ISNUMBER(SEARCH("上",D2968)),ISNUMBER(SEARCH("去",D2968)),ISNUMBER(SEARCH("入",D2968)))),"Ambiguous",IF(ISNUMBER(SEARCH("平",D2968)),"平","仄")))</x:f>
        <x:v>仄</x:v>
      </x:c>
      <x:c r="J2980" s="7" t="str"/>
    </x:row>
    <x:row r="2981">
      <x:c r="A2981" s="5" t="str">
        <x:v>級</x:v>
      </x:c>
      <x:c r="B2981" s="6" t="str">
        <x:v>入</x:v>
      </x:c>
      <x:c r="C2981" s="6" t="str">
        <x:f>IF(B2981="","Needs decision","Ready")</x:f>
        <x:v>Ready</x:v>
      </x:c>
      <x:c r="D2981" s="6" t="str">
        <x:v>入</x:v>
      </x:c>
      <x:c r="E2981" s="6" t="str">
        <x:v>kip (D)</x:v>
      </x:c>
      <x:c r="F2981" s="6" t="str">
        <x:v>1</x:v>
      </x:c>
      <x:c r="G2981" s="6" t="str"/>
      <x:c r="H2981" s="6" t="str">
        <x:f>IF(B2981="平","平",IF(B2981="","","仄"))</x:f>
        <x:v>仄</x:v>
      </x:c>
      <x:c r="I2981" s="6" t="str">
        <x:f>IF(D2969="","",IF(AND(ISNUMBER(SEARCH("平",D2969)),OR(ISNUMBER(SEARCH("上",D2969)),ISNUMBER(SEARCH("去",D2969)),ISNUMBER(SEARCH("入",D2969)))),"Ambiguous",IF(ISNUMBER(SEARCH("平",D2969)),"平","仄")))</x:f>
        <x:v>平</x:v>
      </x:c>
      <x:c r="J2981" s="7" t="str"/>
    </x:row>
    <x:row r="2982">
      <x:c r="A2982" s="5" t="str">
        <x:v>紛</x:v>
      </x:c>
      <x:c r="B2982" s="6" t="str">
        <x:v>平</x:v>
      </x:c>
      <x:c r="C2982" s="6" t="str">
        <x:f>IF(B2982="","Needs decision","Ready")</x:f>
        <x:v>Ready</x:v>
      </x:c>
      <x:c r="D2982" s="6" t="str">
        <x:v>平</x:v>
      </x:c>
      <x:c r="E2982" s="6" t="str">
        <x:v>phjun [滂三C文平] pʰɨ̯un</x:v>
      </x:c>
      <x:c r="F2982" s="6" t="str">
        <x:v>1</x:v>
      </x:c>
      <x:c r="G2982" s="6" t="str">
        <x:v>Targeted preliminary fill from Xun Gong; review if uncertain</x:v>
      </x:c>
      <x:c r="H2982" s="6" t="str">
        <x:f>IF(B2982="平","平",IF(B2982="","","仄"))</x:f>
        <x:v>平</x:v>
      </x:c>
      <x:c r="I2982" s="6" t="str">
        <x:f>IF(D2970="","",IF(AND(ISNUMBER(SEARCH("平",D2970)),OR(ISNUMBER(SEARCH("上",D2970)),ISNUMBER(SEARCH("去",D2970)),ISNUMBER(SEARCH("入",D2970)))),"Ambiguous",IF(ISNUMBER(SEARCH("平",D2970)),"平","仄")))</x:f>
        <x:v>仄</x:v>
      </x:c>
      <x:c r="J2982" s="7" t="str">
        <x:v>Xun Gong character-readings.csv</x:v>
      </x:c>
    </x:row>
    <x:row r="2983">
      <x:c r="A2983" s="5" t="str">
        <x:v>紝</x:v>
      </x:c>
      <x:c r="B2983" s="6" t="str">
        <x:v>平</x:v>
      </x:c>
      <x:c r="C2983" s="6" t="str">
        <x:f>IF(B2983="","Needs decision","Ready")</x:f>
        <x:v>Ready</x:v>
      </x:c>
      <x:c r="D2983" s="6" t="str">
        <x:v>平</x:v>
      </x:c>
      <x:c r="E2983" s="6" t="str">
        <x:v>nrim (A); nyim (A)</x:v>
      </x:c>
      <x:c r="F2983" s="6" t="str">
        <x:v>2</x:v>
      </x:c>
      <x:c r="G2983" s="6" t="str"/>
      <x:c r="H2983" s="6" t="str">
        <x:f>IF(B2983="平","平",IF(B2983="","","仄"))</x:f>
        <x:v>平</x:v>
      </x:c>
      <x:c r="I2983" s="6" t="str">
        <x:f>IF(D2971="","",IF(AND(ISNUMBER(SEARCH("平",D2971)),OR(ISNUMBER(SEARCH("上",D2971)),ISNUMBER(SEARCH("去",D2971)),ISNUMBER(SEARCH("入",D2971)))),"Ambiguous",IF(ISNUMBER(SEARCH("平",D2971)),"平","仄")))</x:f>
        <x:v>平</x:v>
      </x:c>
      <x:c r="J2983" s="7" t="str"/>
    </x:row>
    <x:row r="2984">
      <x:c r="A2984" s="5" t="str">
        <x:v>素</x:v>
      </x:c>
      <x:c r="B2984" s="6" t="str">
        <x:v>去</x:v>
      </x:c>
      <x:c r="C2984" s="6" t="str">
        <x:f>IF(B2984="","Needs decision","Ready")</x:f>
        <x:v>Ready</x:v>
      </x:c>
      <x:c r="D2984" s="6" t="str">
        <x:v>去</x:v>
      </x:c>
      <x:c r="E2984" s="6" t="str">
        <x:v>suH (C)</x:v>
      </x:c>
      <x:c r="F2984" s="6" t="str">
        <x:v>1</x:v>
      </x:c>
      <x:c r="G2984" s="6" t="str"/>
      <x:c r="H2984" s="6" t="str">
        <x:f>IF(B2984="平","平",IF(B2984="","","仄"))</x:f>
        <x:v>仄</x:v>
      </x:c>
      <x:c r="I2984" s="6" t="str">
        <x:f>IF(D2972="","",IF(AND(ISNUMBER(SEARCH("平",D2972)),OR(ISNUMBER(SEARCH("上",D2972)),ISNUMBER(SEARCH("去",D2972)),ISNUMBER(SEARCH("入",D2972)))),"Ambiguous",IF(ISNUMBER(SEARCH("平",D2972)),"平","仄")))</x:f>
        <x:v>平</x:v>
      </x:c>
      <x:c r="J2984" s="7" t="str"/>
    </x:row>
    <x:row r="2985">
      <x:c r="A2985" s="5" t="str">
        <x:v>紡</x:v>
      </x:c>
      <x:c r="B2985" s="6" t="str">
        <x:v>上</x:v>
      </x:c>
      <x:c r="C2985" s="6" t="str">
        <x:f>IF(B2985="","Needs decision","Ready")</x:f>
        <x:v>Ready</x:v>
      </x:c>
      <x:c r="D2985" s="6" t="str">
        <x:v>上</x:v>
      </x:c>
      <x:c r="E2985" s="6" t="str">
        <x:v>phjangX (B)</x:v>
      </x:c>
      <x:c r="F2985" s="6" t="str">
        <x:v>1</x:v>
      </x:c>
      <x:c r="G2985" s="6" t="str"/>
      <x:c r="H2985" s="6" t="str">
        <x:f>IF(B2985="平","平",IF(B2985="","","仄"))</x:f>
        <x:v>仄</x:v>
      </x:c>
      <x:c r="I2985" s="6" t="str">
        <x:f>IF(D2973="","",IF(AND(ISNUMBER(SEARCH("平",D2973)),OR(ISNUMBER(SEARCH("上",D2973)),ISNUMBER(SEARCH("去",D2973)),ISNUMBER(SEARCH("入",D2973)))),"Ambiguous",IF(ISNUMBER(SEARCH("平",D2973)),"平","仄")))</x:f>
        <x:v>平</x:v>
      </x:c>
      <x:c r="J2985" s="7" t="str"/>
    </x:row>
    <x:row r="2986">
      <x:c r="A2986" s="5" t="str">
        <x:v>索</x:v>
      </x:c>
      <x:c r="B2986" s="6" t="str">
        <x:v>入</x:v>
      </x:c>
      <x:c r="C2986" s="6" t="str">
        <x:f>IF(B2986="","Needs decision","Ready")</x:f>
        <x:v>Ready</x:v>
      </x:c>
      <x:c r="D2986" s="6" t="str">
        <x:v>入</x:v>
      </x:c>
      <x:c r="E2986" s="6" t="str">
        <x:v>sak (D)</x:v>
      </x:c>
      <x:c r="F2986" s="6" t="str">
        <x:v>1</x:v>
      </x:c>
      <x:c r="G2986" s="6" t="str"/>
      <x:c r="H2986" s="6" t="str">
        <x:f>IF(B2986="平","平",IF(B2986="","","仄"))</x:f>
        <x:v>仄</x:v>
      </x:c>
      <x:c r="I2986" s="6" t="str">
        <x:f>IF(D2974="","",IF(AND(ISNUMBER(SEARCH("平",D2974)),OR(ISNUMBER(SEARCH("上",D2974)),ISNUMBER(SEARCH("去",D2974)),ISNUMBER(SEARCH("入",D2974)))),"Ambiguous",IF(ISNUMBER(SEARCH("平",D2974)),"平","仄")))</x:f>
        <x:v>平</x:v>
      </x:c>
      <x:c r="J2986" s="7" t="str"/>
    </x:row>
    <x:row r="2987">
      <x:c r="A2987" s="5" t="str">
        <x:v>紫</x:v>
      </x:c>
      <x:c r="B2987" s="6" t="str">
        <x:v>上</x:v>
      </x:c>
      <x:c r="C2987" s="6" t="str">
        <x:f>IF(B2987="","Needs decision","Ready")</x:f>
        <x:v>Ready</x:v>
      </x:c>
      <x:c r="D2987" s="6" t="str">
        <x:v>上</x:v>
      </x:c>
      <x:c r="E2987" s="6" t="str"/>
      <x:c r="F2987" s="6" t="str"/>
      <x:c r="G2987" s="6" t="str">
        <x:v>Manual user correction/addition</x:v>
      </x:c>
      <x:c r="H2987" s="6" t="str">
        <x:f>IF(B2987="平","平",IF(B2987="","","仄"))</x:f>
        <x:v>仄</x:v>
      </x:c>
      <x:c r="I2987" s="6" t="str">
        <x:f>IF(D2975="","",IF(AND(ISNUMBER(SEARCH("平",D2975)),OR(ISNUMBER(SEARCH("上",D2975)),ISNUMBER(SEARCH("去",D2975)),ISNUMBER(SEARCH("入",D2975)))),"Ambiguous",IF(ISNUMBER(SEARCH("平",D2975)),"平","仄")))</x:f>
        <x:v>仄</x:v>
      </x:c>
      <x:c r="J2987" s="7" t="str">
        <x:v>manual user correction</x:v>
      </x:c>
    </x:row>
    <x:row r="2988">
      <x:c r="A2988" s="5" t="str">
        <x:v>累</x:v>
      </x:c>
      <x:c r="B2988" s="6" t="str">
        <x:v>上</x:v>
      </x:c>
      <x:c r="C2988" s="6" t="str">
        <x:f>IF(B2988="","Needs decision","Ready")</x:f>
        <x:v>Ready</x:v>
      </x:c>
      <x:c r="D2988" s="6" t="str">
        <x:v>平/上</x:v>
      </x:c>
      <x:c r="E2988" s="6" t="str">
        <x:v>ljwe (A); ljweX (B)</x:v>
      </x:c>
      <x:c r="F2988" s="6" t="str">
        <x:v>2</x:v>
      </x:c>
      <x:c r="G2988" s="6" t="str"/>
      <x:c r="H2988" s="6" t="str">
        <x:f>IF(B2988="平","平",IF(B2988="","","仄"))</x:f>
        <x:v>仄</x:v>
      </x:c>
      <x:c r="I2988" s="6" t="str">
        <x:f>IF(D2976="","",IF(AND(ISNUMBER(SEARCH("平",D2976)),OR(ISNUMBER(SEARCH("上",D2976)),ISNUMBER(SEARCH("去",D2976)),ISNUMBER(SEARCH("入",D2976)))),"Ambiguous",IF(ISNUMBER(SEARCH("平",D2976)),"平","仄")))</x:f>
        <x:v>仄</x:v>
      </x:c>
      <x:c r="J2988" s="7" t="str"/>
    </x:row>
    <x:row r="2989">
      <x:c r="A2989" s="5" t="str">
        <x:v>細</x:v>
      </x:c>
      <x:c r="B2989" s="6" t="str">
        <x:v>去</x:v>
      </x:c>
      <x:c r="C2989" s="6" t="str">
        <x:f>IF(B2989="","Needs decision","Ready")</x:f>
        <x:v>Ready</x:v>
      </x:c>
      <x:c r="D2989" s="6" t="str">
        <x:v>去</x:v>
      </x:c>
      <x:c r="E2989" s="6" t="str">
        <x:v>sejH (C)</x:v>
      </x:c>
      <x:c r="F2989" s="6" t="str">
        <x:v>1</x:v>
      </x:c>
      <x:c r="G2989" s="6" t="str"/>
      <x:c r="H2989" s="6" t="str">
        <x:f>IF(B2989="平","平",IF(B2989="","","仄"))</x:f>
        <x:v>仄</x:v>
      </x:c>
      <x:c r="I2989" s="6" t="str">
        <x:f>IF(D2977="","",IF(AND(ISNUMBER(SEARCH("平",D2977)),OR(ISNUMBER(SEARCH("上",D2977)),ISNUMBER(SEARCH("去",D2977)),ISNUMBER(SEARCH("入",D2977)))),"Ambiguous",IF(ISNUMBER(SEARCH("平",D2977)),"平","仄")))</x:f>
        <x:v>Ambiguous</x:v>
      </x:c>
      <x:c r="J2989" s="7" t="str"/>
    </x:row>
    <x:row r="2990">
      <x:c r="A2990" s="5" t="str">
        <x:v>紱</x:v>
      </x:c>
      <x:c r="B2990" s="6" t="str">
        <x:v>入</x:v>
      </x:c>
      <x:c r="C2990" s="6" t="str">
        <x:f>IF(B2990="","Needs decision","Ready")</x:f>
        <x:v>Ready</x:v>
      </x:c>
      <x:c r="D2990" s="6" t="str">
        <x:v>入</x:v>
      </x:c>
      <x:c r="E2990" s="6" t="str">
        <x:v>pjut (D)</x:v>
      </x:c>
      <x:c r="F2990" s="6" t="str">
        <x:v>1</x:v>
      </x:c>
      <x:c r="G2990" s="6" t="str"/>
      <x:c r="H2990" s="6" t="str">
        <x:f>IF(B2990="平","平",IF(B2990="","","仄"))</x:f>
        <x:v>仄</x:v>
      </x:c>
      <x:c r="I2990" s="6" t="str">
        <x:f>IF(D2978="","",IF(AND(ISNUMBER(SEARCH("平",D2978)),OR(ISNUMBER(SEARCH("上",D2978)),ISNUMBER(SEARCH("去",D2978)),ISNUMBER(SEARCH("入",D2978)))),"Ambiguous",IF(ISNUMBER(SEARCH("平",D2978)),"平","仄")))</x:f>
        <x:v>平</x:v>
      </x:c>
      <x:c r="J2990" s="7" t="str"/>
    </x:row>
    <x:row r="2991">
      <x:c r="A2991" s="5" t="str">
        <x:v>紳</x:v>
      </x:c>
      <x:c r="B2991" s="6" t="str">
        <x:v>平</x:v>
      </x:c>
      <x:c r="C2991" s="6" t="str">
        <x:f>IF(B2991="","Needs decision","Ready")</x:f>
        <x:v>Ready</x:v>
      </x:c>
      <x:c r="D2991" s="6" t="str">
        <x:v>平</x:v>
      </x:c>
      <x:c r="E2991" s="6" t="str">
        <x:v>syin (A)</x:v>
      </x:c>
      <x:c r="F2991" s="6" t="str">
        <x:v>1</x:v>
      </x:c>
      <x:c r="G2991" s="6" t="str"/>
      <x:c r="H2991" s="6" t="str">
        <x:f>IF(B2991="平","平",IF(B2991="","","仄"))</x:f>
        <x:v>平</x:v>
      </x:c>
      <x:c r="I2991" s="6" t="str">
        <x:f>IF(D2979="","",IF(AND(ISNUMBER(SEARCH("平",D2979)),OR(ISNUMBER(SEARCH("上",D2979)),ISNUMBER(SEARCH("去",D2979)),ISNUMBER(SEARCH("入",D2979)))),"Ambiguous",IF(ISNUMBER(SEARCH("平",D2979)),"平","仄")))</x:f>
        <x:v>平</x:v>
      </x:c>
      <x:c r="J2991" s="7" t="str"/>
    </x:row>
    <x:row r="2992">
      <x:c r="A2992" s="5" t="str">
        <x:v>紵</x:v>
      </x:c>
      <x:c r="B2992" s="6" t="str">
        <x:v>上</x:v>
      </x:c>
      <x:c r="C2992" s="6" t="str">
        <x:f>IF(B2992="","Needs decision","Ready")</x:f>
        <x:v>Ready</x:v>
      </x:c>
      <x:c r="D2992" s="6" t="str">
        <x:v>上</x:v>
      </x:c>
      <x:c r="E2992" s="6" t="str">
        <x:v>drjoX (B)</x:v>
      </x:c>
      <x:c r="F2992" s="6" t="str">
        <x:v>1</x:v>
      </x:c>
      <x:c r="G2992" s="6" t="str"/>
      <x:c r="H2992" s="6" t="str">
        <x:f>IF(B2992="平","平",IF(B2992="","","仄"))</x:f>
        <x:v>仄</x:v>
      </x:c>
      <x:c r="I2992" s="6" t="str">
        <x:f>IF(D2980="","",IF(AND(ISNUMBER(SEARCH("平",D2980)),OR(ISNUMBER(SEARCH("上",D2980)),ISNUMBER(SEARCH("去",D2980)),ISNUMBER(SEARCH("入",D2980)))),"Ambiguous",IF(ISNUMBER(SEARCH("平",D2980)),"平","仄")))</x:f>
        <x:v>仄</x:v>
      </x:c>
      <x:c r="J2992" s="7" t="str"/>
    </x:row>
    <x:row r="2993">
      <x:c r="A2993" s="5" t="str">
        <x:v>紽</x:v>
      </x:c>
      <x:c r="B2993" s="6" t="str">
        <x:v>平</x:v>
      </x:c>
      <x:c r="C2993" s="6" t="str">
        <x:f>IF(B2993="","Needs decision","Ready")</x:f>
        <x:v>Ready</x:v>
      </x:c>
      <x:c r="D2993" s="6" t="str">
        <x:v>平</x:v>
      </x:c>
      <x:c r="E2993" s="6" t="str">
        <x:v>da (A)</x:v>
      </x:c>
      <x:c r="F2993" s="6" t="str">
        <x:v>1</x:v>
      </x:c>
      <x:c r="G2993" s="6" t="str"/>
      <x:c r="H2993" s="6" t="str">
        <x:f>IF(B2993="平","平",IF(B2993="","","仄"))</x:f>
        <x:v>平</x:v>
      </x:c>
      <x:c r="I2993" s="6" t="str">
        <x:f>IF(D2981="","",IF(AND(ISNUMBER(SEARCH("平",D2981)),OR(ISNUMBER(SEARCH("上",D2981)),ISNUMBER(SEARCH("去",D2981)),ISNUMBER(SEARCH("入",D2981)))),"Ambiguous",IF(ISNUMBER(SEARCH("平",D2981)),"平","仄")))</x:f>
        <x:v>仄</x:v>
      </x:c>
      <x:c r="J2993" s="7" t="str"/>
    </x:row>
    <x:row r="2994">
      <x:c r="A2994" s="5" t="str">
        <x:v>終</x:v>
      </x:c>
      <x:c r="B2994" s="6" t="str">
        <x:v>平</x:v>
      </x:c>
      <x:c r="C2994" s="6" t="str">
        <x:f>IF(B2994="","Needs decision","Ready")</x:f>
        <x:v>Ready</x:v>
      </x:c>
      <x:c r="D2994" s="6" t="str">
        <x:v>平</x:v>
      </x:c>
      <x:c r="E2994" s="6" t="str">
        <x:v>tsyuwng (A)</x:v>
      </x:c>
      <x:c r="F2994" s="6" t="str">
        <x:v>1</x:v>
      </x:c>
      <x:c r="G2994" s="6" t="str"/>
      <x:c r="H2994" s="6" t="str">
        <x:f>IF(B2994="平","平",IF(B2994="","","仄"))</x:f>
        <x:v>平</x:v>
      </x:c>
      <x:c r="I2994" s="6" t="str">
        <x:f>IF(D2982="","",IF(AND(ISNUMBER(SEARCH("平",D2982)),OR(ISNUMBER(SEARCH("上",D2982)),ISNUMBER(SEARCH("去",D2982)),ISNUMBER(SEARCH("入",D2982)))),"Ambiguous",IF(ISNUMBER(SEARCH("平",D2982)),"平","仄")))</x:f>
        <x:v>平</x:v>
      </x:c>
      <x:c r="J2994" s="7" t="str"/>
    </x:row>
    <x:row r="2995">
      <x:c r="A2995" s="5" t="str">
        <x:v>絃</x:v>
      </x:c>
      <x:c r="B2995" s="6" t="str">
        <x:v>平</x:v>
      </x:c>
      <x:c r="C2995" s="6" t="str">
        <x:f>IF(B2995="","Needs decision","Ready")</x:f>
        <x:v>Ready</x:v>
      </x:c>
      <x:c r="D2995" s="6" t="str">
        <x:v>平</x:v>
      </x:c>
      <x:c r="E2995" s="6" t="str"/>
      <x:c r="F2995" s="6" t="str"/>
      <x:c r="G2995" s="6" t="str">
        <x:v>Manual user correction/addition</x:v>
      </x:c>
      <x:c r="H2995" s="6" t="str">
        <x:f>IF(B2995="平","平",IF(B2995="","","仄"))</x:f>
        <x:v>平</x:v>
      </x:c>
      <x:c r="I2995" s="6" t="str">
        <x:f>IF(D2983="","",IF(AND(ISNUMBER(SEARCH("平",D2983)),OR(ISNUMBER(SEARCH("上",D2983)),ISNUMBER(SEARCH("去",D2983)),ISNUMBER(SEARCH("入",D2983)))),"Ambiguous",IF(ISNUMBER(SEARCH("平",D2983)),"平","仄")))</x:f>
        <x:v>平</x:v>
      </x:c>
      <x:c r="J2995" s="7" t="str">
        <x:v>manual user correction</x:v>
      </x:c>
    </x:row>
    <x:row r="2996">
      <x:c r="A2996" s="5" t="str">
        <x:v>組</x:v>
      </x:c>
      <x:c r="B2996" s="6" t="str">
        <x:v>上</x:v>
      </x:c>
      <x:c r="C2996" s="6" t="str">
        <x:f>IF(B2996="","Needs decision","Ready")</x:f>
        <x:v>Ready</x:v>
      </x:c>
      <x:c r="D2996" s="6" t="str">
        <x:v>上</x:v>
      </x:c>
      <x:c r="E2996" s="6" t="str">
        <x:v>tsuX [t̙s̙oʔ] (上)</x:v>
      </x:c>
      <x:c r="F2996" s="6" t="str">
        <x:v>1</x:v>
      </x:c>
      <x:c r="G2996" s="6" t="str">
        <x:v>Tang 300 gap; frequency 1; provisional from Xun Gong</x:v>
      </x:c>
      <x:c r="H2996" s="6" t="str">
        <x:f>IF(B2996="平","平",IF(B2996="","","仄"))</x:f>
        <x:v>仄</x:v>
      </x:c>
      <x:c r="I2996" s="6" t="str">
        <x:f>IF(D2984="","",IF(AND(ISNUMBER(SEARCH("平",D2984)),OR(ISNUMBER(SEARCH("上",D2984)),ISNUMBER(SEARCH("去",D2984)),ISNUMBER(SEARCH("入",D2984)))),"Ambiguous",IF(ISNUMBER(SEARCH("平",D2984)),"平","仄")))</x:f>
        <x:v>仄</x:v>
      </x:c>
      <x:c r="J2996" s="7" t="str">
        <x:v>Xun Gong, Tang 300 gap fill</x:v>
      </x:c>
    </x:row>
    <x:row r="2997">
      <x:c r="A2997" s="5" t="str">
        <x:v>絇</x:v>
      </x:c>
      <x:c r="B2997" s="6" t="str">
        <x:v>平</x:v>
      </x:c>
      <x:c r="C2997" s="6" t="str">
        <x:f>IF(B2997="","Needs decision","Ready")</x:f>
        <x:v>Ready</x:v>
      </x:c>
      <x:c r="D2997" s="6" t="str">
        <x:v>平</x:v>
      </x:c>
      <x:c r="E2997" s="6" t="str">
        <x:v>gju (A)</x:v>
      </x:c>
      <x:c r="F2997" s="6" t="str">
        <x:v>1</x:v>
      </x:c>
      <x:c r="G2997" s="6" t="str"/>
      <x:c r="H2997" s="6" t="str">
        <x:f>IF(B2997="平","平",IF(B2997="","","仄"))</x:f>
        <x:v>平</x:v>
      </x:c>
      <x:c r="I2997" s="6" t="str">
        <x:f>IF(D2985="","",IF(AND(ISNUMBER(SEARCH("平",D2985)),OR(ISNUMBER(SEARCH("上",D2985)),ISNUMBER(SEARCH("去",D2985)),ISNUMBER(SEARCH("入",D2985)))),"Ambiguous",IF(ISNUMBER(SEARCH("平",D2985)),"平","仄")))</x:f>
        <x:v>仄</x:v>
      </x:c>
      <x:c r="J2997" s="7" t="str"/>
    </x:row>
    <x:row r="2998">
      <x:c r="A2998" s="5" t="str">
        <x:v>絏</x:v>
      </x:c>
      <x:c r="B2998" s="6" t="str">
        <x:v>入</x:v>
      </x:c>
      <x:c r="C2998" s="6" t="str">
        <x:f>IF(B2998="","Needs decision","Ready")</x:f>
        <x:v>Ready</x:v>
      </x:c>
      <x:c r="D2998" s="6" t="str">
        <x:v>入</x:v>
      </x:c>
      <x:c r="E2998" s="6" t="str">
        <x:v>sjet (D)</x:v>
      </x:c>
      <x:c r="F2998" s="6" t="str">
        <x:v>1</x:v>
      </x:c>
      <x:c r="G2998" s="6" t="str"/>
      <x:c r="H2998" s="6" t="str">
        <x:f>IF(B2998="平","平",IF(B2998="","","仄"))</x:f>
        <x:v>仄</x:v>
      </x:c>
      <x:c r="I2998" s="6" t="str">
        <x:f>IF(D2986="","",IF(AND(ISNUMBER(SEARCH("平",D2986)),OR(ISNUMBER(SEARCH("上",D2986)),ISNUMBER(SEARCH("去",D2986)),ISNUMBER(SEARCH("入",D2986)))),"Ambiguous",IF(ISNUMBER(SEARCH("平",D2986)),"平","仄")))</x:f>
        <x:v>仄</x:v>
      </x:c>
      <x:c r="J2998" s="7" t="str"/>
    </x:row>
    <x:row r="2999">
      <x:c r="A2999" s="5" t="str">
        <x:v>結</x:v>
      </x:c>
      <x:c r="B2999" s="6" t="str">
        <x:v>入</x:v>
      </x:c>
      <x:c r="C2999" s="6" t="str">
        <x:f>IF(B2999="","Needs decision","Ready")</x:f>
        <x:v>Ready</x:v>
      </x:c>
      <x:c r="D2999" s="6" t="str">
        <x:v>入</x:v>
      </x:c>
      <x:c r="E2999" s="6" t="str">
        <x:v>ket (D)</x:v>
      </x:c>
      <x:c r="F2999" s="6" t="str">
        <x:v>1</x:v>
      </x:c>
      <x:c r="G2999" s="6" t="str"/>
      <x:c r="H2999" s="6" t="str">
        <x:f>IF(B2999="平","平",IF(B2999="","","仄"))</x:f>
        <x:v>仄</x:v>
      </x:c>
      <x:c r="I2999" s="6" t="str">
        <x:f>IF(D2987="","",IF(AND(ISNUMBER(SEARCH("平",D2987)),OR(ISNUMBER(SEARCH("上",D2987)),ISNUMBER(SEARCH("去",D2987)),ISNUMBER(SEARCH("入",D2987)))),"Ambiguous",IF(ISNUMBER(SEARCH("平",D2987)),"平","仄")))</x:f>
        <x:v>仄</x:v>
      </x:c>
      <x:c r="J2999" s="7" t="str"/>
    </x:row>
    <x:row r="3000">
      <x:c r="A3000" s="5" t="str">
        <x:v>絓</x:v>
      </x:c>
      <x:c r="B3000" s="6" t="str">
        <x:v>去</x:v>
      </x:c>
      <x:c r="C3000" s="6" t="str">
        <x:f>IF(B3000="","Needs decision","Ready")</x:f>
        <x:v>Ready</x:v>
      </x:c>
      <x:c r="D3000" s="6" t="str">
        <x:v>去</x:v>
      </x:c>
      <x:c r="E3000" s="6" t="str">
        <x:v>kweaH (C)</x:v>
      </x:c>
      <x:c r="F3000" s="6" t="str">
        <x:v>1</x:v>
      </x:c>
      <x:c r="G3000" s="6" t="str"/>
      <x:c r="H3000" s="6" t="str">
        <x:f>IF(B3000="平","平",IF(B3000="","","仄"))</x:f>
        <x:v>仄</x:v>
      </x:c>
      <x:c r="I3000" s="6" t="str">
        <x:f>IF(D2988="","",IF(AND(ISNUMBER(SEARCH("平",D2988)),OR(ISNUMBER(SEARCH("上",D2988)),ISNUMBER(SEARCH("去",D2988)),ISNUMBER(SEARCH("入",D2988)))),"Ambiguous",IF(ISNUMBER(SEARCH("平",D2988)),"平","仄")))</x:f>
        <x:v>Ambiguous</x:v>
      </x:c>
      <x:c r="J3000" s="7" t="str"/>
    </x:row>
    <x:row r="3001">
      <x:c r="A3001" s="5" t="str">
        <x:v>絕</x:v>
      </x:c>
      <x:c r="B3001" s="6" t="str">
        <x:v>入</x:v>
      </x:c>
      <x:c r="C3001" s="6" t="str">
        <x:f>IF(B3001="","Needs decision","Ready")</x:f>
        <x:v>Ready</x:v>
      </x:c>
      <x:c r="D3001" s="6" t="str">
        <x:v>入</x:v>
      </x:c>
      <x:c r="E3001" s="6" t="str">
        <x:v>dzjwet (D)</x:v>
      </x:c>
      <x:c r="F3001" s="6" t="str">
        <x:v>1</x:v>
      </x:c>
      <x:c r="G3001" s="6" t="str"/>
      <x:c r="H3001" s="6" t="str">
        <x:f>IF(B3001="平","平",IF(B3001="","","仄"))</x:f>
        <x:v>仄</x:v>
      </x:c>
      <x:c r="I3001" s="6" t="str">
        <x:f>IF(D2989="","",IF(AND(ISNUMBER(SEARCH("平",D2989)),OR(ISNUMBER(SEARCH("上",D2989)),ISNUMBER(SEARCH("去",D2989)),ISNUMBER(SEARCH("入",D2989)))),"Ambiguous",IF(ISNUMBER(SEARCH("平",D2989)),"平","仄")))</x:f>
        <x:v>仄</x:v>
      </x:c>
      <x:c r="J3001" s="7" t="str"/>
    </x:row>
    <x:row r="3002">
      <x:c r="A3002" s="5" t="str">
        <x:v>絞</x:v>
      </x:c>
      <x:c r="B3002" s="6" t="str">
        <x:v>上</x:v>
      </x:c>
      <x:c r="C3002" s="6" t="str">
        <x:f>IF(B3002="","Needs decision","Ready")</x:f>
        <x:v>Ready</x:v>
      </x:c>
      <x:c r="D3002" s="6" t="str">
        <x:v>上</x:v>
      </x:c>
      <x:c r="E3002" s="6" t="str">
        <x:v>kaewX (B)</x:v>
      </x:c>
      <x:c r="F3002" s="6" t="str">
        <x:v>1</x:v>
      </x:c>
      <x:c r="G3002" s="6" t="str"/>
      <x:c r="H3002" s="6" t="str">
        <x:f>IF(B3002="平","平",IF(B3002="","","仄"))</x:f>
        <x:v>仄</x:v>
      </x:c>
      <x:c r="I3002" s="6" t="str">
        <x:f>IF(D2990="","",IF(AND(ISNUMBER(SEARCH("平",D2990)),OR(ISNUMBER(SEARCH("上",D2990)),ISNUMBER(SEARCH("去",D2990)),ISNUMBER(SEARCH("入",D2990)))),"Ambiguous",IF(ISNUMBER(SEARCH("平",D2990)),"平","仄")))</x:f>
        <x:v>仄</x:v>
      </x:c>
      <x:c r="J3002" s="7" t="str"/>
    </x:row>
    <x:row r="3003">
      <x:c r="A3003" s="5" t="str">
        <x:v>絡</x:v>
      </x:c>
      <x:c r="B3003" s="6" t="str">
        <x:v>入</x:v>
      </x:c>
      <x:c r="C3003" s="6" t="str">
        <x:f>IF(B3003="","Needs decision","Ready")</x:f>
        <x:v>Ready</x:v>
      </x:c>
      <x:c r="D3003" s="6" t="str">
        <x:v>入</x:v>
      </x:c>
      <x:c r="E3003" s="6" t="str">
        <x:v>lak [l̙ɑk] (入)</x:v>
      </x:c>
      <x:c r="F3003" s="6" t="str">
        <x:v>1</x:v>
      </x:c>
      <x:c r="G3003" s="6" t="str">
        <x:v>Tang 300 gap; frequency 2; provisional from Xun Gong</x:v>
      </x:c>
      <x:c r="H3003" s="6" t="str">
        <x:f>IF(B3003="平","平",IF(B3003="","","仄"))</x:f>
        <x:v>仄</x:v>
      </x:c>
      <x:c r="I3003" s="6" t="str">
        <x:f>IF(D2991="","",IF(AND(ISNUMBER(SEARCH("平",D2991)),OR(ISNUMBER(SEARCH("上",D2991)),ISNUMBER(SEARCH("去",D2991)),ISNUMBER(SEARCH("入",D2991)))),"Ambiguous",IF(ISNUMBER(SEARCH("平",D2991)),"平","仄")))</x:f>
        <x:v>平</x:v>
      </x:c>
      <x:c r="J3003" s="7" t="str">
        <x:v>Xun Gong, Tang 300 gap fill</x:v>
      </x:c>
    </x:row>
    <x:row r="3004">
      <x:c r="A3004" s="5" t="str">
        <x:v>絢</x:v>
      </x:c>
      <x:c r="B3004" s="6" t="str">
        <x:v>去</x:v>
      </x:c>
      <x:c r="C3004" s="6" t="str">
        <x:f>IF(B3004="","Needs decision","Ready")</x:f>
        <x:v>Ready</x:v>
      </x:c>
      <x:c r="D3004" s="6" t="str">
        <x:v>去</x:v>
      </x:c>
      <x:c r="E3004" s="6" t="str">
        <x:v>xwenH (C)</x:v>
      </x:c>
      <x:c r="F3004" s="6" t="str">
        <x:v>1</x:v>
      </x:c>
      <x:c r="G3004" s="6" t="str"/>
      <x:c r="H3004" s="6" t="str">
        <x:f>IF(B3004="平","平",IF(B3004="","","仄"))</x:f>
        <x:v>仄</x:v>
      </x:c>
      <x:c r="I3004" s="6" t="str">
        <x:f>IF(D2992="","",IF(AND(ISNUMBER(SEARCH("平",D2992)),OR(ISNUMBER(SEARCH("上",D2992)),ISNUMBER(SEARCH("去",D2992)),ISNUMBER(SEARCH("入",D2992)))),"Ambiguous",IF(ISNUMBER(SEARCH("平",D2992)),"平","仄")))</x:f>
        <x:v>仄</x:v>
      </x:c>
      <x:c r="J3004" s="7" t="str"/>
    </x:row>
    <x:row r="3005">
      <x:c r="A3005" s="5" t="str">
        <x:v>給</x:v>
      </x:c>
      <x:c r="B3005" s="6" t="str">
        <x:v>入</x:v>
      </x:c>
      <x:c r="C3005" s="6" t="str">
        <x:f>IF(B3005="","Needs decision","Ready")</x:f>
        <x:v>Ready</x:v>
      </x:c>
      <x:c r="D3005" s="6" t="str">
        <x:v>入</x:v>
      </x:c>
      <x:c r="E3005" s="6" t="str">
        <x:v>kip (D)</x:v>
      </x:c>
      <x:c r="F3005" s="6" t="str">
        <x:v>1</x:v>
      </x:c>
      <x:c r="G3005" s="6" t="str"/>
      <x:c r="H3005" s="6" t="str">
        <x:f>IF(B3005="平","平",IF(B3005="","","仄"))</x:f>
        <x:v>仄</x:v>
      </x:c>
      <x:c r="I3005" s="6" t="str">
        <x:f>IF(D2993="","",IF(AND(ISNUMBER(SEARCH("平",D2993)),OR(ISNUMBER(SEARCH("上",D2993)),ISNUMBER(SEARCH("去",D2993)),ISNUMBER(SEARCH("入",D2993)))),"Ambiguous",IF(ISNUMBER(SEARCH("平",D2993)),"平","仄")))</x:f>
        <x:v>平</x:v>
      </x:c>
      <x:c r="J3005" s="7" t="str"/>
    </x:row>
    <x:row r="3006">
      <x:c r="A3006" s="5" t="str">
        <x:v>絮</x:v>
      </x:c>
      <x:c r="B3006" s="6" t="str">
        <x:v>去</x:v>
      </x:c>
      <x:c r="C3006" s="6" t="str">
        <x:f>IF(B3006="","Needs decision","Ready")</x:f>
        <x:v>Ready</x:v>
      </x:c>
      <x:c r="D3006" s="6" t="str">
        <x:v>去</x:v>
      </x:c>
      <x:c r="E3006" s="6" t="str">
        <x:v>sjoH (C)</x:v>
      </x:c>
      <x:c r="F3006" s="6" t="str">
        <x:v>1</x:v>
      </x:c>
      <x:c r="G3006" s="6" t="str"/>
      <x:c r="H3006" s="6" t="str">
        <x:f>IF(B3006="平","平",IF(B3006="","","仄"))</x:f>
        <x:v>仄</x:v>
      </x:c>
      <x:c r="I3006" s="6" t="str">
        <x:f>IF(D2994="","",IF(AND(ISNUMBER(SEARCH("平",D2994)),OR(ISNUMBER(SEARCH("上",D2994)),ISNUMBER(SEARCH("去",D2994)),ISNUMBER(SEARCH("入",D2994)))),"Ambiguous",IF(ISNUMBER(SEARCH("平",D2994)),"平","仄")))</x:f>
        <x:v>平</x:v>
      </x:c>
      <x:c r="J3006" s="7" t="str"/>
    </x:row>
    <x:row r="3007">
      <x:c r="A3007" s="5" t="str">
        <x:v>統</x:v>
      </x:c>
      <x:c r="B3007" s="6" t="str">
        <x:v>去</x:v>
      </x:c>
      <x:c r="C3007" s="6" t="str">
        <x:f>IF(B3007="","Needs decision","Ready")</x:f>
        <x:v>Ready</x:v>
      </x:c>
      <x:c r="D3007" s="6" t="str">
        <x:v>去</x:v>
      </x:c>
      <x:c r="E3007" s="6" t="str"/>
      <x:c r="F3007" s="6" t="str"/>
      <x:c r="G3007" s="6" t="str">
        <x:v>Manual user correction/addition</x:v>
      </x:c>
      <x:c r="H3007" s="6" t="str">
        <x:f>IF(B3007="平","平",IF(B3007="","","仄"))</x:f>
        <x:v>仄</x:v>
      </x:c>
      <x:c r="I3007" s="6" t="str">
        <x:f>IF(D2995="","",IF(AND(ISNUMBER(SEARCH("平",D2995)),OR(ISNUMBER(SEARCH("上",D2995)),ISNUMBER(SEARCH("去",D2995)),ISNUMBER(SEARCH("入",D2995)))),"Ambiguous",IF(ISNUMBER(SEARCH("平",D2995)),"平","仄")))</x:f>
        <x:v>平</x:v>
      </x:c>
      <x:c r="J3007" s="7" t="str">
        <x:v>manual user correction</x:v>
      </x:c>
    </x:row>
    <x:row r="3008">
      <x:c r="A3008" s="5" t="str">
        <x:v>絲</x:v>
      </x:c>
      <x:c r="B3008" s="6" t="str">
        <x:v>平</x:v>
      </x:c>
      <x:c r="C3008" s="6" t="str">
        <x:f>IF(B3008="","Needs decision","Ready")</x:f>
        <x:v>Ready</x:v>
      </x:c>
      <x:c r="D3008" s="6" t="str">
        <x:v>平</x:v>
      </x:c>
      <x:c r="E3008" s="6" t="str">
        <x:v>si (A)</x:v>
      </x:c>
      <x:c r="F3008" s="6" t="str">
        <x:v>1</x:v>
      </x:c>
      <x:c r="G3008" s="6" t="str"/>
      <x:c r="H3008" s="6" t="str">
        <x:f>IF(B3008="平","平",IF(B3008="","","仄"))</x:f>
        <x:v>平</x:v>
      </x:c>
      <x:c r="I3008" s="6" t="str">
        <x:f>IF(D2996="","",IF(AND(ISNUMBER(SEARCH("平",D2996)),OR(ISNUMBER(SEARCH("上",D2996)),ISNUMBER(SEARCH("去",D2996)),ISNUMBER(SEARCH("入",D2996)))),"Ambiguous",IF(ISNUMBER(SEARCH("平",D2996)),"平","仄")))</x:f>
        <x:v>仄</x:v>
      </x:c>
      <x:c r="J3008" s="7" t="str"/>
    </x:row>
    <x:row r="3009">
      <x:c r="A3009" s="5" t="str">
        <x:v>絳</x:v>
      </x:c>
      <x:c r="B3009" s="6" t="str">
        <x:v>去</x:v>
      </x:c>
      <x:c r="C3009" s="6" t="str">
        <x:f>IF(B3009="","Needs decision","Ready")</x:f>
        <x:v>Ready</x:v>
      </x:c>
      <x:c r="D3009" s="6" t="str">
        <x:v>去</x:v>
      </x:c>
      <x:c r="E3009" s="6" t="str">
        <x:v>kaewngH [qoˤŋh] (去)</x:v>
      </x:c>
      <x:c r="F3009" s="6" t="str">
        <x:v>1</x:v>
      </x:c>
      <x:c r="G3009" s="6" t="str">
        <x:v>Tang 300 gap; frequency 2; provisional from Xun Gong</x:v>
      </x:c>
      <x:c r="H3009" s="6" t="str">
        <x:f>IF(B3009="平","平",IF(B3009="","","仄"))</x:f>
        <x:v>仄</x:v>
      </x:c>
      <x:c r="I3009" s="6" t="str">
        <x:f>IF(D2997="","",IF(AND(ISNUMBER(SEARCH("平",D2997)),OR(ISNUMBER(SEARCH("上",D2997)),ISNUMBER(SEARCH("去",D2997)),ISNUMBER(SEARCH("入",D2997)))),"Ambiguous",IF(ISNUMBER(SEARCH("平",D2997)),"平","仄")))</x:f>
        <x:v>平</x:v>
      </x:c>
      <x:c r="J3009" s="7" t="str">
        <x:v>Xun Gong, Tang 300 gap fill</x:v>
      </x:c>
    </x:row>
    <x:row r="3010">
      <x:c r="A3010" s="5" t="str">
        <x:v>絹</x:v>
      </x:c>
      <x:c r="B3010" s="6" t="str">
        <x:v>去</x:v>
      </x:c>
      <x:c r="C3010" s="6" t="str">
        <x:f>IF(B3010="","Needs decision","Ready")</x:f>
        <x:v>Ready</x:v>
      </x:c>
      <x:c r="D3010" s="6" t="str">
        <x:v>去</x:v>
      </x:c>
      <x:c r="E3010" s="6" t="str">
        <x:v>kjwienH (C)</x:v>
      </x:c>
      <x:c r="F3010" s="6" t="str">
        <x:v>1</x:v>
      </x:c>
      <x:c r="G3010" s="6" t="str"/>
      <x:c r="H3010" s="6" t="str">
        <x:f>IF(B3010="平","平",IF(B3010="","","仄"))</x:f>
        <x:v>仄</x:v>
      </x:c>
      <x:c r="I3010" s="6" t="str">
        <x:f>IF(D2998="","",IF(AND(ISNUMBER(SEARCH("平",D2998)),OR(ISNUMBER(SEARCH("上",D2998)),ISNUMBER(SEARCH("去",D2998)),ISNUMBER(SEARCH("入",D2998)))),"Ambiguous",IF(ISNUMBER(SEARCH("平",D2998)),"平","仄")))</x:f>
        <x:v>仄</x:v>
      </x:c>
      <x:c r="J3010" s="7" t="str"/>
    </x:row>
    <x:row r="3011">
      <x:c r="A3011" s="5" t="str">
        <x:v>絺</x:v>
      </x:c>
      <x:c r="B3011" s="6" t="str">
        <x:v>平</x:v>
      </x:c>
      <x:c r="C3011" s="6" t="str">
        <x:f>IF(B3011="","Needs decision","Ready")</x:f>
        <x:v>Ready</x:v>
      </x:c>
      <x:c r="D3011" s="6" t="str">
        <x:v>平</x:v>
      </x:c>
      <x:c r="E3011" s="6" t="str">
        <x:v>trhij (A)</x:v>
      </x:c>
      <x:c r="F3011" s="6" t="str">
        <x:v>1</x:v>
      </x:c>
      <x:c r="G3011" s="6" t="str"/>
      <x:c r="H3011" s="6" t="str">
        <x:f>IF(B3011="平","平",IF(B3011="","","仄"))</x:f>
        <x:v>平</x:v>
      </x:c>
      <x:c r="I3011" s="6" t="str">
        <x:f>IF(D2999="","",IF(AND(ISNUMBER(SEARCH("平",D2999)),OR(ISNUMBER(SEARCH("上",D2999)),ISNUMBER(SEARCH("去",D2999)),ISNUMBER(SEARCH("入",D2999)))),"Ambiguous",IF(ISNUMBER(SEARCH("平",D2999)),"平","仄")))</x:f>
        <x:v>仄</x:v>
      </x:c>
      <x:c r="J3011" s="7" t="str"/>
    </x:row>
    <x:row r="3012">
      <x:c r="A3012" s="5" t="str">
        <x:v>綃</x:v>
      </x:c>
      <x:c r="B3012" s="6" t="str">
        <x:v>平</x:v>
      </x:c>
      <x:c r="C3012" s="6" t="str">
        <x:f>IF(B3012="","Needs decision","Ready")</x:f>
        <x:v>Ready</x:v>
      </x:c>
      <x:c r="D3012" s="6" t="str">
        <x:v>平</x:v>
      </x:c>
      <x:c r="E3012" s="6" t="str">
        <x:v>sjew [sjew] (平); sraew [ʂaˤw] (平)</x:v>
      </x:c>
      <x:c r="F3012" s="6" t="str">
        <x:v>2</x:v>
      </x:c>
      <x:c r="G3012" s="6" t="str">
        <x:v>Tang 300 gap; frequency 1; provisional from Xun Gong</x:v>
      </x:c>
      <x:c r="H3012" s="6" t="str">
        <x:f>IF(B3012="平","平",IF(B3012="","","仄"))</x:f>
        <x:v>平</x:v>
      </x:c>
      <x:c r="I3012" s="6" t="str">
        <x:f>IF(D3000="","",IF(AND(ISNUMBER(SEARCH("平",D3000)),OR(ISNUMBER(SEARCH("上",D3000)),ISNUMBER(SEARCH("去",D3000)),ISNUMBER(SEARCH("入",D3000)))),"Ambiguous",IF(ISNUMBER(SEARCH("平",D3000)),"平","仄")))</x:f>
        <x:v>仄</x:v>
      </x:c>
      <x:c r="J3012" s="7" t="str">
        <x:v>Xun Gong, Tang 300 gap fill</x:v>
      </x:c>
    </x:row>
    <x:row r="3013">
      <x:c r="A3013" s="5" t="str">
        <x:v>綌</x:v>
      </x:c>
      <x:c r="B3013" s="6" t="str">
        <x:v>入</x:v>
      </x:c>
      <x:c r="C3013" s="6" t="str">
        <x:f>IF(B3013="","Needs decision","Ready")</x:f>
        <x:v>Ready</x:v>
      </x:c>
      <x:c r="D3013" s="6" t="str">
        <x:v>入</x:v>
      </x:c>
      <x:c r="E3013" s="6" t="str">
        <x:v>khjaek (D)</x:v>
      </x:c>
      <x:c r="F3013" s="6" t="str">
        <x:v>1</x:v>
      </x:c>
      <x:c r="G3013" s="6" t="str"/>
      <x:c r="H3013" s="6" t="str">
        <x:f>IF(B3013="平","平",IF(B3013="","","仄"))</x:f>
        <x:v>仄</x:v>
      </x:c>
      <x:c r="I3013" s="6" t="str">
        <x:f>IF(D3001="","",IF(AND(ISNUMBER(SEARCH("平",D3001)),OR(ISNUMBER(SEARCH("上",D3001)),ISNUMBER(SEARCH("去",D3001)),ISNUMBER(SEARCH("入",D3001)))),"Ambiguous",IF(ISNUMBER(SEARCH("平",D3001)),"平","仄")))</x:f>
        <x:v>仄</x:v>
      </x:c>
      <x:c r="J3013" s="7" t="str"/>
    </x:row>
    <x:row r="3014">
      <x:c r="A3014" s="5" t="str">
        <x:v>綏</x:v>
      </x:c>
      <x:c r="B3014" s="6" t="str">
        <x:v>平</x:v>
      </x:c>
      <x:c r="C3014" s="6" t="str">
        <x:f>IF(B3014="","Needs decision","Ready")</x:f>
        <x:v>Ready</x:v>
      </x:c>
      <x:c r="D3014" s="6" t="str">
        <x:v>平</x:v>
      </x:c>
      <x:c r="E3014" s="6" t="str">
        <x:v>swij (A)</x:v>
      </x:c>
      <x:c r="F3014" s="6" t="str">
        <x:v>1</x:v>
      </x:c>
      <x:c r="G3014" s="6" t="str"/>
      <x:c r="H3014" s="6" t="str">
        <x:f>IF(B3014="平","平",IF(B3014="","","仄"))</x:f>
        <x:v>平</x:v>
      </x:c>
      <x:c r="I3014" s="6" t="str">
        <x:f>IF(D3002="","",IF(AND(ISNUMBER(SEARCH("平",D3002)),OR(ISNUMBER(SEARCH("上",D3002)),ISNUMBER(SEARCH("去",D3002)),ISNUMBER(SEARCH("入",D3002)))),"Ambiguous",IF(ISNUMBER(SEARCH("平",D3002)),"平","仄")))</x:f>
        <x:v>仄</x:v>
      </x:c>
      <x:c r="J3014" s="7" t="str"/>
    </x:row>
    <x:row r="3015">
      <x:c r="A3015" s="5" t="str">
        <x:v>經</x:v>
      </x:c>
      <x:c r="B3015" s="6" t="str">
        <x:v>平</x:v>
      </x:c>
      <x:c r="C3015" s="6" t="str">
        <x:f>IF(B3015="","Needs decision","Ready")</x:f>
        <x:v>Ready</x:v>
      </x:c>
      <x:c r="D3015" s="6" t="str">
        <x:v>平</x:v>
      </x:c>
      <x:c r="E3015" s="6" t="str">
        <x:v>keng (A)</x:v>
      </x:c>
      <x:c r="F3015" s="6" t="str">
        <x:v>1</x:v>
      </x:c>
      <x:c r="G3015" s="6" t="str"/>
      <x:c r="H3015" s="6" t="str">
        <x:f>IF(B3015="平","平",IF(B3015="","","仄"))</x:f>
        <x:v>平</x:v>
      </x:c>
      <x:c r="I3015" s="6" t="str">
        <x:f>IF(D3003="","",IF(AND(ISNUMBER(SEARCH("平",D3003)),OR(ISNUMBER(SEARCH("上",D3003)),ISNUMBER(SEARCH("去",D3003)),ISNUMBER(SEARCH("入",D3003)))),"Ambiguous",IF(ISNUMBER(SEARCH("平",D3003)),"平","仄")))</x:f>
        <x:v>仄</x:v>
      </x:c>
      <x:c r="J3015" s="7" t="str"/>
    </x:row>
    <x:row r="3016">
      <x:c r="A3016" s="5" t="str">
        <x:v>綜</x:v>
      </x:c>
      <x:c r="B3016" s="6" t="str">
        <x:v>去</x:v>
      </x:c>
      <x:c r="C3016" s="6" t="str">
        <x:f>IF(B3016="","Needs decision","Ready")</x:f>
        <x:v>Ready</x:v>
      </x:c>
      <x:c r="D3016" s="6" t="str">
        <x:v>去</x:v>
      </x:c>
      <x:c r="E3016" s="6" t="str">
        <x:v>tsowngH (C)</x:v>
      </x:c>
      <x:c r="F3016" s="6" t="str">
        <x:v>1</x:v>
      </x:c>
      <x:c r="G3016" s="6" t="str"/>
      <x:c r="H3016" s="6" t="str">
        <x:f>IF(B3016="平","平",IF(B3016="","","仄"))</x:f>
        <x:v>仄</x:v>
      </x:c>
      <x:c r="I3016" s="6" t="str">
        <x:f>IF(D3004="","",IF(AND(ISNUMBER(SEARCH("平",D3004)),OR(ISNUMBER(SEARCH("上",D3004)),ISNUMBER(SEARCH("去",D3004)),ISNUMBER(SEARCH("入",D3004)))),"Ambiguous",IF(ISNUMBER(SEARCH("平",D3004)),"平","仄")))</x:f>
        <x:v>仄</x:v>
      </x:c>
      <x:c r="J3016" s="7" t="str"/>
    </x:row>
    <x:row r="3017">
      <x:c r="A3017" s="5" t="str">
        <x:v>綠</x:v>
      </x:c>
      <x:c r="B3017" s="6" t="str">
        <x:v>入</x:v>
      </x:c>
      <x:c r="C3017" s="6" t="str">
        <x:f>IF(B3017="","Needs decision","Ready")</x:f>
        <x:v>Ready</x:v>
      </x:c>
      <x:c r="D3017" s="6" t="str">
        <x:v>入</x:v>
      </x:c>
      <x:c r="E3017" s="6" t="str">
        <x:v>ljowk (D)</x:v>
      </x:c>
      <x:c r="F3017" s="6" t="str">
        <x:v>1</x:v>
      </x:c>
      <x:c r="G3017" s="6" t="str"/>
      <x:c r="H3017" s="6" t="str">
        <x:f>IF(B3017="平","平",IF(B3017="","","仄"))</x:f>
        <x:v>仄</x:v>
      </x:c>
      <x:c r="I3017" s="6" t="str">
        <x:f>IF(D3005="","",IF(AND(ISNUMBER(SEARCH("平",D3005)),OR(ISNUMBER(SEARCH("上",D3005)),ISNUMBER(SEARCH("去",D3005)),ISNUMBER(SEARCH("入",D3005)))),"Ambiguous",IF(ISNUMBER(SEARCH("平",D3005)),"平","仄")))</x:f>
        <x:v>仄</x:v>
      </x:c>
      <x:c r="J3017" s="7" t="str"/>
    </x:row>
    <x:row r="3018">
      <x:c r="A3018" s="5" t="str">
        <x:v>綢</x:v>
      </x:c>
      <x:c r="B3018" s="6" t="str">
        <x:v>平</x:v>
      </x:c>
      <x:c r="C3018" s="6" t="str">
        <x:f>IF(B3018="","Needs decision","Ready")</x:f>
        <x:v>Ready</x:v>
      </x:c>
      <x:c r="D3018" s="6" t="str">
        <x:v>平</x:v>
      </x:c>
      <x:c r="E3018" s="6" t="str">
        <x:v>drjuw (A)</x:v>
      </x:c>
      <x:c r="F3018" s="6" t="str">
        <x:v>1</x:v>
      </x:c>
      <x:c r="G3018" s="6" t="str"/>
      <x:c r="H3018" s="6" t="str">
        <x:f>IF(B3018="平","平",IF(B3018="","","仄"))</x:f>
        <x:v>平</x:v>
      </x:c>
      <x:c r="I3018" s="6" t="str">
        <x:f>IF(D3006="","",IF(AND(ISNUMBER(SEARCH("平",D3006)),OR(ISNUMBER(SEARCH("上",D3006)),ISNUMBER(SEARCH("去",D3006)),ISNUMBER(SEARCH("入",D3006)))),"Ambiguous",IF(ISNUMBER(SEARCH("平",D3006)),"平","仄")))</x:f>
        <x:v>仄</x:v>
      </x:c>
      <x:c r="J3018" s="7" t="str"/>
    </x:row>
    <x:row r="3019">
      <x:c r="A3019" s="5" t="str">
        <x:v>綦</x:v>
      </x:c>
      <x:c r="B3019" s="6" t="str"/>
      <x:c r="C3019" s="6" t="str">
        <x:f>IF(B3019="","Needs decision","Ready")</x:f>
        <x:v>Needs decision</x:v>
      </x:c>
      <x:c r="D3019" s="6" t="str">
        <x:v>平/去</x:v>
      </x:c>
      <x:c r="E3019" s="6" t="str">
        <x:v>gi (A); giH (C)</x:v>
      </x:c>
      <x:c r="F3019" s="6" t="str">
        <x:v>2</x:v>
      </x:c>
      <x:c r="G3019" s="6" t="str"/>
      <x:c r="H3019" s="6" t="str">
        <x:f>IF(B3019="平","平",IF(B3019="","","仄"))</x:f>
      </x:c>
      <x:c r="I3019" s="6" t="str">
        <x:f>IF(D3007="","",IF(AND(ISNUMBER(SEARCH("平",D3007)),OR(ISNUMBER(SEARCH("上",D3007)),ISNUMBER(SEARCH("去",D3007)),ISNUMBER(SEARCH("入",D3007)))),"Ambiguous",IF(ISNUMBER(SEARCH("平",D3007)),"平","仄")))</x:f>
        <x:v>仄</x:v>
      </x:c>
      <x:c r="J3019" s="7" t="str"/>
    </x:row>
    <x:row r="3020">
      <x:c r="A3020" s="5" t="str">
        <x:v>維</x:v>
      </x:c>
      <x:c r="B3020" s="6" t="str">
        <x:v>平</x:v>
      </x:c>
      <x:c r="C3020" s="6" t="str">
        <x:f>IF(B3020="","Needs decision","Ready")</x:f>
        <x:v>Ready</x:v>
      </x:c>
      <x:c r="D3020" s="6" t="str">
        <x:v>平</x:v>
      </x:c>
      <x:c r="E3020" s="6" t="str">
        <x:v>ywij (A)</x:v>
      </x:c>
      <x:c r="F3020" s="6" t="str">
        <x:v>1</x:v>
      </x:c>
      <x:c r="G3020" s="6" t="str"/>
      <x:c r="H3020" s="6" t="str">
        <x:f>IF(B3020="平","平",IF(B3020="","","仄"))</x:f>
        <x:v>平</x:v>
      </x:c>
      <x:c r="I3020" s="6" t="str">
        <x:f>IF(D3008="","",IF(AND(ISNUMBER(SEARCH("平",D3008)),OR(ISNUMBER(SEARCH("上",D3008)),ISNUMBER(SEARCH("去",D3008)),ISNUMBER(SEARCH("入",D3008)))),"Ambiguous",IF(ISNUMBER(SEARCH("平",D3008)),"平","仄")))</x:f>
        <x:v>平</x:v>
      </x:c>
      <x:c r="J3020" s="7" t="str"/>
    </x:row>
    <x:row r="3021">
      <x:c r="A3021" s="5" t="str">
        <x:v>綱</x:v>
      </x:c>
      <x:c r="B3021" s="6" t="str">
        <x:v>平</x:v>
      </x:c>
      <x:c r="C3021" s="6" t="str">
        <x:f>IF(B3021="","Needs decision","Ready")</x:f>
        <x:v>Ready</x:v>
      </x:c>
      <x:c r="D3021" s="6" t="str">
        <x:v>平</x:v>
      </x:c>
      <x:c r="E3021" s="6" t="str">
        <x:v>kang (A)</x:v>
      </x:c>
      <x:c r="F3021" s="6" t="str">
        <x:v>1</x:v>
      </x:c>
      <x:c r="G3021" s="6" t="str"/>
      <x:c r="H3021" s="6" t="str">
        <x:f>IF(B3021="平","平",IF(B3021="","","仄"))</x:f>
        <x:v>平</x:v>
      </x:c>
      <x:c r="I3021" s="6" t="str">
        <x:f>IF(D3009="","",IF(AND(ISNUMBER(SEARCH("平",D3009)),OR(ISNUMBER(SEARCH("上",D3009)),ISNUMBER(SEARCH("去",D3009)),ISNUMBER(SEARCH("入",D3009)))),"Ambiguous",IF(ISNUMBER(SEARCH("平",D3009)),"平","仄")))</x:f>
        <x:v>仄</x:v>
      </x:c>
      <x:c r="J3021" s="7" t="str"/>
    </x:row>
    <x:row r="3022">
      <x:c r="A3022" s="5" t="str">
        <x:v>網</x:v>
      </x:c>
      <x:c r="B3022" s="6" t="str">
        <x:v>上</x:v>
      </x:c>
      <x:c r="C3022" s="6" t="str">
        <x:f>IF(B3022="","Needs decision","Ready")</x:f>
        <x:v>Ready</x:v>
      </x:c>
      <x:c r="D3022" s="6" t="str">
        <x:v>上</x:v>
      </x:c>
      <x:c r="E3022" s="6" t="str">
        <x:v>mjangX (B)</x:v>
      </x:c>
      <x:c r="F3022" s="6" t="str">
        <x:v>1</x:v>
      </x:c>
      <x:c r="G3022" s="6" t="str"/>
      <x:c r="H3022" s="6" t="str">
        <x:f>IF(B3022="平","平",IF(B3022="","","仄"))</x:f>
        <x:v>仄</x:v>
      </x:c>
      <x:c r="I3022" s="6" t="str">
        <x:f>IF(D3010="","",IF(AND(ISNUMBER(SEARCH("平",D3010)),OR(ISNUMBER(SEARCH("上",D3010)),ISNUMBER(SEARCH("去",D3010)),ISNUMBER(SEARCH("入",D3010)))),"Ambiguous",IF(ISNUMBER(SEARCH("平",D3010)),"平","仄")))</x:f>
        <x:v>仄</x:v>
      </x:c>
      <x:c r="J3022" s="7" t="str"/>
    </x:row>
    <x:row r="3023">
      <x:c r="A3023" s="5" t="str">
        <x:v>綴</x:v>
      </x:c>
      <x:c r="B3023" s="6" t="str">
        <x:v>入</x:v>
      </x:c>
      <x:c r="C3023" s="6" t="str">
        <x:f>IF(B3023="","Needs decision","Ready")</x:f>
        <x:v>Ready</x:v>
      </x:c>
      <x:c r="D3023" s="6" t="str">
        <x:v>入</x:v>
      </x:c>
      <x:c r="E3023" s="6" t="str">
        <x:v>trjwet (D)</x:v>
      </x:c>
      <x:c r="F3023" s="6" t="str">
        <x:v>1</x:v>
      </x:c>
      <x:c r="G3023" s="6" t="str"/>
      <x:c r="H3023" s="6" t="str">
        <x:f>IF(B3023="平","平",IF(B3023="","","仄"))</x:f>
        <x:v>仄</x:v>
      </x:c>
      <x:c r="I3023" s="6" t="str">
        <x:f>IF(D3011="","",IF(AND(ISNUMBER(SEARCH("平",D3011)),OR(ISNUMBER(SEARCH("上",D3011)),ISNUMBER(SEARCH("去",D3011)),ISNUMBER(SEARCH("入",D3011)))),"Ambiguous",IF(ISNUMBER(SEARCH("平",D3011)),"平","仄")))</x:f>
        <x:v>平</x:v>
      </x:c>
      <x:c r="J3023" s="7" t="str"/>
    </x:row>
    <x:row r="3024">
      <x:c r="A3024" s="5" t="str">
        <x:v>綸</x:v>
      </x:c>
      <x:c r="B3024" s="6" t="str">
        <x:v>平</x:v>
      </x:c>
      <x:c r="C3024" s="6" t="str">
        <x:f>IF(B3024="","Needs decision","Ready")</x:f>
        <x:v>Ready</x:v>
      </x:c>
      <x:c r="D3024" s="6" t="str">
        <x:v>平</x:v>
      </x:c>
      <x:c r="E3024" s="6" t="str">
        <x:v>kwean (A); lwin (A)</x:v>
      </x:c>
      <x:c r="F3024" s="6" t="str">
        <x:v>2</x:v>
      </x:c>
      <x:c r="G3024" s="6" t="str"/>
      <x:c r="H3024" s="6" t="str">
        <x:f>IF(B3024="平","平",IF(B3024="","","仄"))</x:f>
        <x:v>平</x:v>
      </x:c>
      <x:c r="I3024" s="6" t="str">
        <x:f>IF(D3012="","",IF(AND(ISNUMBER(SEARCH("平",D3012)),OR(ISNUMBER(SEARCH("上",D3012)),ISNUMBER(SEARCH("去",D3012)),ISNUMBER(SEARCH("入",D3012)))),"Ambiguous",IF(ISNUMBER(SEARCH("平",D3012)),"平","仄")))</x:f>
        <x:v>平</x:v>
      </x:c>
      <x:c r="J3024" s="7" t="str"/>
    </x:row>
    <x:row r="3025">
      <x:c r="A3025" s="5" t="str">
        <x:v>綺</x:v>
      </x:c>
      <x:c r="B3025" s="6" t="str">
        <x:v>上</x:v>
      </x:c>
      <x:c r="C3025" s="6" t="str">
        <x:f>IF(B3025="","Needs decision","Ready")</x:f>
        <x:v>Ready</x:v>
      </x:c>
      <x:c r="D3025" s="6" t="str">
        <x:v>上</x:v>
      </x:c>
      <x:c r="E3025" s="6" t="str">
        <x:v>khjeX (B)</x:v>
      </x:c>
      <x:c r="F3025" s="6" t="str">
        <x:v>1</x:v>
      </x:c>
      <x:c r="G3025" s="6" t="str"/>
      <x:c r="H3025" s="6" t="str">
        <x:f>IF(B3025="平","平",IF(B3025="","","仄"))</x:f>
        <x:v>仄</x:v>
      </x:c>
      <x:c r="I3025" s="6" t="str">
        <x:f>IF(D3013="","",IF(AND(ISNUMBER(SEARCH("平",D3013)),OR(ISNUMBER(SEARCH("上",D3013)),ISNUMBER(SEARCH("去",D3013)),ISNUMBER(SEARCH("入",D3013)))),"Ambiguous",IF(ISNUMBER(SEARCH("平",D3013)),"平","仄")))</x:f>
        <x:v>仄</x:v>
      </x:c>
      <x:c r="J3025" s="7" t="str"/>
    </x:row>
    <x:row r="3026">
      <x:c r="A3026" s="5" t="str">
        <x:v>綽</x:v>
      </x:c>
      <x:c r="B3026" s="6" t="str">
        <x:v>入</x:v>
      </x:c>
      <x:c r="C3026" s="6" t="str">
        <x:f>IF(B3026="","Needs decision","Ready")</x:f>
        <x:v>Ready</x:v>
      </x:c>
      <x:c r="D3026" s="6" t="str">
        <x:v>入</x:v>
      </x:c>
      <x:c r="E3026" s="6" t="str">
        <x:v>tsyhak (D)</x:v>
      </x:c>
      <x:c r="F3026" s="6" t="str">
        <x:v>1</x:v>
      </x:c>
      <x:c r="G3026" s="6" t="str"/>
      <x:c r="H3026" s="6" t="str">
        <x:f>IF(B3026="平","平",IF(B3026="","","仄"))</x:f>
        <x:v>仄</x:v>
      </x:c>
      <x:c r="I3026" s="6" t="str">
        <x:f>IF(D3014="","",IF(AND(ISNUMBER(SEARCH("平",D3014)),OR(ISNUMBER(SEARCH("上",D3014)),ISNUMBER(SEARCH("去",D3014)),ISNUMBER(SEARCH("入",D3014)))),"Ambiguous",IF(ISNUMBER(SEARCH("平",D3014)),"平","仄")))</x:f>
        <x:v>平</x:v>
      </x:c>
      <x:c r="J3026" s="7" t="str"/>
    </x:row>
    <x:row r="3027">
      <x:c r="A3027" s="5" t="str">
        <x:v>綿</x:v>
      </x:c>
      <x:c r="B3027" s="6" t="str">
        <x:v>平</x:v>
      </x:c>
      <x:c r="C3027" s="6" t="str">
        <x:f>IF(B3027="","Needs decision","Ready")</x:f>
        <x:v>Ready</x:v>
      </x:c>
      <x:c r="D3027" s="6" t="str">
        <x:v>平</x:v>
      </x:c>
      <x:c r="E3027" s="6" t="str">
        <x:v>mjien [mjen] (平)</x:v>
      </x:c>
      <x:c r="F3027" s="6" t="str">
        <x:v>1</x:v>
      </x:c>
      <x:c r="G3027" s="6" t="str">
        <x:v>Tang 300 gap; frequency 2; provisional from Xun Gong</x:v>
      </x:c>
      <x:c r="H3027" s="6" t="str">
        <x:f>IF(B3027="平","平",IF(B3027="","","仄"))</x:f>
        <x:v>平</x:v>
      </x:c>
      <x:c r="I3027" s="6" t="str">
        <x:f>IF(D3015="","",IF(AND(ISNUMBER(SEARCH("平",D3015)),OR(ISNUMBER(SEARCH("上",D3015)),ISNUMBER(SEARCH("去",D3015)),ISNUMBER(SEARCH("入",D3015)))),"Ambiguous",IF(ISNUMBER(SEARCH("平",D3015)),"平","仄")))</x:f>
        <x:v>平</x:v>
      </x:c>
      <x:c r="J3027" s="7" t="str">
        <x:v>Xun Gong, Tang 300 gap fill</x:v>
      </x:c>
    </x:row>
    <x:row r="3028">
      <x:c r="A3028" s="5" t="str">
        <x:v>緇</x:v>
      </x:c>
      <x:c r="B3028" s="6" t="str">
        <x:v>平</x:v>
      </x:c>
      <x:c r="C3028" s="6" t="str">
        <x:f>IF(B3028="","Needs decision","Ready")</x:f>
        <x:v>Ready</x:v>
      </x:c>
      <x:c r="D3028" s="6" t="str">
        <x:v>平</x:v>
      </x:c>
      <x:c r="E3028" s="6" t="str">
        <x:v>tsri (A)</x:v>
      </x:c>
      <x:c r="F3028" s="6" t="str">
        <x:v>1</x:v>
      </x:c>
      <x:c r="G3028" s="6" t="str"/>
      <x:c r="H3028" s="6" t="str">
        <x:f>IF(B3028="平","平",IF(B3028="","","仄"))</x:f>
        <x:v>平</x:v>
      </x:c>
      <x:c r="I3028" s="6" t="str">
        <x:f>IF(D3016="","",IF(AND(ISNUMBER(SEARCH("平",D3016)),OR(ISNUMBER(SEARCH("上",D3016)),ISNUMBER(SEARCH("去",D3016)),ISNUMBER(SEARCH("入",D3016)))),"Ambiguous",IF(ISNUMBER(SEARCH("平",D3016)),"平","仄")))</x:f>
        <x:v>仄</x:v>
      </x:c>
      <x:c r="J3028" s="7" t="str"/>
    </x:row>
    <x:row r="3029">
      <x:c r="A3029" s="5" t="str">
        <x:v>緊</x:v>
      </x:c>
      <x:c r="B3029" s="6" t="str">
        <x:v>上</x:v>
      </x:c>
      <x:c r="C3029" s="6" t="str">
        <x:f>IF(B3029="","Needs decision","Ready")</x:f>
        <x:v>Ready</x:v>
      </x:c>
      <x:c r="D3029" s="6" t="str">
        <x:v>上</x:v>
      </x:c>
      <x:c r="E3029" s="6" t="str">
        <x:v>kjinX (B)</x:v>
      </x:c>
      <x:c r="F3029" s="6" t="str">
        <x:v>1</x:v>
      </x:c>
      <x:c r="G3029" s="6" t="str"/>
      <x:c r="H3029" s="6" t="str">
        <x:f>IF(B3029="平","平",IF(B3029="","","仄"))</x:f>
        <x:v>仄</x:v>
      </x:c>
      <x:c r="I3029" s="6" t="str">
        <x:f>IF(D3017="","",IF(AND(ISNUMBER(SEARCH("平",D3017)),OR(ISNUMBER(SEARCH("上",D3017)),ISNUMBER(SEARCH("去",D3017)),ISNUMBER(SEARCH("入",D3017)))),"Ambiguous",IF(ISNUMBER(SEARCH("平",D3017)),"平","仄")))</x:f>
        <x:v>仄</x:v>
      </x:c>
      <x:c r="J3029" s="7" t="str"/>
    </x:row>
    <x:row r="3030">
      <x:c r="A3030" s="5" t="str">
        <x:v>緌</x:v>
      </x:c>
      <x:c r="B3030" s="6" t="str">
        <x:v>平</x:v>
      </x:c>
      <x:c r="C3030" s="6" t="str">
        <x:f>IF(B3030="","Needs decision","Ready")</x:f>
        <x:v>Ready</x:v>
      </x:c>
      <x:c r="D3030" s="6" t="str">
        <x:v>平</x:v>
      </x:c>
      <x:c r="E3030" s="6" t="str">
        <x:v>nywij (A)</x:v>
      </x:c>
      <x:c r="F3030" s="6" t="str">
        <x:v>1</x:v>
      </x:c>
      <x:c r="G3030" s="6" t="str"/>
      <x:c r="H3030" s="6" t="str">
        <x:f>IF(B3030="平","平",IF(B3030="","","仄"))</x:f>
        <x:v>平</x:v>
      </x:c>
      <x:c r="I3030" s="6" t="str">
        <x:f>IF(D3018="","",IF(AND(ISNUMBER(SEARCH("平",D3018)),OR(ISNUMBER(SEARCH("上",D3018)),ISNUMBER(SEARCH("去",D3018)),ISNUMBER(SEARCH("入",D3018)))),"Ambiguous",IF(ISNUMBER(SEARCH("平",D3018)),"平","仄")))</x:f>
        <x:v>平</x:v>
      </x:c>
      <x:c r="J3030" s="7" t="str"/>
    </x:row>
    <x:row r="3031">
      <x:c r="A3031" s="5" t="str">
        <x:v>緎</x:v>
      </x:c>
      <x:c r="B3031" s="6" t="str">
        <x:v>入</x:v>
      </x:c>
      <x:c r="C3031" s="6" t="str">
        <x:f>IF(B3031="","Needs decision","Ready")</x:f>
        <x:v>Ready</x:v>
      </x:c>
      <x:c r="D3031" s="6" t="str">
        <x:v>入</x:v>
      </x:c>
      <x:c r="E3031" s="6" t="str">
        <x:v>hwik (D); xwik (D)</x:v>
      </x:c>
      <x:c r="F3031" s="6" t="str">
        <x:v>2</x:v>
      </x:c>
      <x:c r="G3031" s="6" t="str"/>
      <x:c r="H3031" s="6" t="str">
        <x:f>IF(B3031="平","平",IF(B3031="","","仄"))</x:f>
        <x:v>仄</x:v>
      </x:c>
      <x:c r="I3031" s="6" t="str">
        <x:f>IF(D3019="","",IF(AND(ISNUMBER(SEARCH("平",D3019)),OR(ISNUMBER(SEARCH("上",D3019)),ISNUMBER(SEARCH("去",D3019)),ISNUMBER(SEARCH("入",D3019)))),"Ambiguous",IF(ISNUMBER(SEARCH("平",D3019)),"平","仄")))</x:f>
        <x:v>Ambiguous</x:v>
      </x:c>
      <x:c r="J3031" s="7" t="str"/>
    </x:row>
    <x:row r="3032">
      <x:c r="A3032" s="5" t="str">
        <x:v>緒</x:v>
      </x:c>
      <x:c r="B3032" s="6" t="str">
        <x:v>上</x:v>
      </x:c>
      <x:c r="C3032" s="6" t="str">
        <x:f>IF(B3032="","Needs decision","Ready")</x:f>
        <x:v>Ready</x:v>
      </x:c>
      <x:c r="D3032" s="6" t="str">
        <x:v>上</x:v>
      </x:c>
      <x:c r="E3032" s="6" t="str">
        <x:v>zjoX (B)</x:v>
      </x:c>
      <x:c r="F3032" s="6" t="str">
        <x:v>1</x:v>
      </x:c>
      <x:c r="G3032" s="6" t="str"/>
      <x:c r="H3032" s="6" t="str">
        <x:f>IF(B3032="平","平",IF(B3032="","","仄"))</x:f>
        <x:v>仄</x:v>
      </x:c>
      <x:c r="I3032" s="6" t="str">
        <x:f>IF(D3020="","",IF(AND(ISNUMBER(SEARCH("平",D3020)),OR(ISNUMBER(SEARCH("上",D3020)),ISNUMBER(SEARCH("去",D3020)),ISNUMBER(SEARCH("入",D3020)))),"Ambiguous",IF(ISNUMBER(SEARCH("平",D3020)),"平","仄")))</x:f>
        <x:v>平</x:v>
      </x:c>
      <x:c r="J3032" s="7" t="str"/>
    </x:row>
    <x:row r="3033">
      <x:c r="A3033" s="5" t="str">
        <x:v>緗</x:v>
      </x:c>
      <x:c r="B3033" s="6" t="str">
        <x:v>平</x:v>
      </x:c>
      <x:c r="C3033" s="6" t="str">
        <x:f>IF(B3033="","Needs decision","Ready")</x:f>
        <x:v>Ready</x:v>
      </x:c>
      <x:c r="D3033" s="6" t="str">
        <x:v>平</x:v>
      </x:c>
      <x:c r="E3033" s="6" t="str">
        <x:v>sjang [心開三陽平] sjɑŋ</x:v>
      </x:c>
      <x:c r="F3033" s="6" t="str">
        <x:v>1</x:v>
      </x:c>
      <x:c r="G3033" s="6" t="str">
        <x:v>Targeted preliminary fill from Xun Gong; review if uncertain</x:v>
      </x:c>
      <x:c r="H3033" s="6" t="str">
        <x:f>IF(B3033="平","平",IF(B3033="","","仄"))</x:f>
        <x:v>平</x:v>
      </x:c>
      <x:c r="I3033" s="6" t="str">
        <x:f>IF(D3021="","",IF(AND(ISNUMBER(SEARCH("平",D3021)),OR(ISNUMBER(SEARCH("上",D3021)),ISNUMBER(SEARCH("去",D3021)),ISNUMBER(SEARCH("入",D3021)))),"Ambiguous",IF(ISNUMBER(SEARCH("平",D3021)),"平","仄")))</x:f>
        <x:v>平</x:v>
      </x:c>
      <x:c r="J3033" s="7" t="str">
        <x:v>Xun Gong character-readings.csv</x:v>
      </x:c>
    </x:row>
    <x:row r="3034">
      <x:c r="A3034" s="5" t="str">
        <x:v>緘</x:v>
      </x:c>
      <x:c r="B3034" s="6" t="str">
        <x:v>平</x:v>
      </x:c>
      <x:c r="C3034" s="6" t="str">
        <x:f>IF(B3034="","Needs decision","Ready")</x:f>
        <x:v>Ready</x:v>
      </x:c>
      <x:c r="D3034" s="6" t="str">
        <x:v>平</x:v>
      </x:c>
      <x:c r="E3034" s="6" t="str">
        <x:v>keam [qeˤm] (平)</x:v>
      </x:c>
      <x:c r="F3034" s="6" t="str">
        <x:v>1</x:v>
      </x:c>
      <x:c r="G3034" s="6" t="str">
        <x:v>Tang 300 gap; frequency 1; provisional from Xun Gong</x:v>
      </x:c>
      <x:c r="H3034" s="6" t="str">
        <x:f>IF(B3034="平","平",IF(B3034="","","仄"))</x:f>
        <x:v>平</x:v>
      </x:c>
      <x:c r="I3034" s="6" t="str">
        <x:f>IF(D3022="","",IF(AND(ISNUMBER(SEARCH("平",D3022)),OR(ISNUMBER(SEARCH("上",D3022)),ISNUMBER(SEARCH("去",D3022)),ISNUMBER(SEARCH("入",D3022)))),"Ambiguous",IF(ISNUMBER(SEARCH("平",D3022)),"平","仄")))</x:f>
        <x:v>仄</x:v>
      </x:c>
      <x:c r="J3034" s="7" t="str">
        <x:v>Xun Gong, Tang 300 gap fill</x:v>
      </x:c>
    </x:row>
    <x:row r="3035">
      <x:c r="A3035" s="5" t="str">
        <x:v>線</x:v>
      </x:c>
      <x:c r="B3035" s="6" t="str">
        <x:v>去</x:v>
      </x:c>
      <x:c r="C3035" s="6" t="str">
        <x:f>IF(B3035="","Needs decision","Ready")</x:f>
        <x:v>Ready</x:v>
      </x:c>
      <x:c r="D3035" s="6" t="str">
        <x:v>去</x:v>
      </x:c>
      <x:c r="E3035" s="6" t="str">
        <x:v>sjenH [sjenh] (去)</x:v>
      </x:c>
      <x:c r="F3035" s="6" t="str">
        <x:v>1</x:v>
      </x:c>
      <x:c r="G3035" s="6" t="str">
        <x:v>Tang 300 gap; frequency 3; provisional from Xun Gong</x:v>
      </x:c>
      <x:c r="H3035" s="6" t="str">
        <x:f>IF(B3035="平","平",IF(B3035="","","仄"))</x:f>
        <x:v>仄</x:v>
      </x:c>
      <x:c r="I3035" s="6" t="str">
        <x:f>IF(D3023="","",IF(AND(ISNUMBER(SEARCH("平",D3023)),OR(ISNUMBER(SEARCH("上",D3023)),ISNUMBER(SEARCH("去",D3023)),ISNUMBER(SEARCH("入",D3023)))),"Ambiguous",IF(ISNUMBER(SEARCH("平",D3023)),"平","仄")))</x:f>
        <x:v>仄</x:v>
      </x:c>
      <x:c r="J3035" s="7" t="str">
        <x:v>Xun Gong, Tang 300 gap fill</x:v>
      </x:c>
    </x:row>
    <x:row r="3036">
      <x:c r="A3036" s="5" t="str">
        <x:v>緝</x:v>
      </x:c>
      <x:c r="B3036" s="6" t="str">
        <x:v>入</x:v>
      </x:c>
      <x:c r="C3036" s="6" t="str">
        <x:f>IF(B3036="","Needs decision","Ready")</x:f>
        <x:v>Ready</x:v>
      </x:c>
      <x:c r="D3036" s="6" t="str">
        <x:v>入</x:v>
      </x:c>
      <x:c r="E3036" s="6" t="str">
        <x:v>tship (D)</x:v>
      </x:c>
      <x:c r="F3036" s="6" t="str">
        <x:v>1</x:v>
      </x:c>
      <x:c r="G3036" s="6" t="str"/>
      <x:c r="H3036" s="6" t="str">
        <x:f>IF(B3036="平","平",IF(B3036="","","仄"))</x:f>
        <x:v>仄</x:v>
      </x:c>
      <x:c r="I3036" s="6" t="str">
        <x:f>IF(D3024="","",IF(AND(ISNUMBER(SEARCH("平",D3024)),OR(ISNUMBER(SEARCH("上",D3024)),ISNUMBER(SEARCH("去",D3024)),ISNUMBER(SEARCH("入",D3024)))),"Ambiguous",IF(ISNUMBER(SEARCH("平",D3024)),"平","仄")))</x:f>
        <x:v>平</x:v>
      </x:c>
      <x:c r="J3036" s="7" t="str"/>
    </x:row>
    <x:row r="3037">
      <x:c r="A3037" s="5" t="str">
        <x:v>緡</x:v>
      </x:c>
      <x:c r="B3037" s="6" t="str">
        <x:v>平</x:v>
      </x:c>
      <x:c r="C3037" s="6" t="str">
        <x:f>IF(B3037="","Needs decision","Ready")</x:f>
        <x:v>Ready</x:v>
      </x:c>
      <x:c r="D3037" s="6" t="str">
        <x:v>平</x:v>
      </x:c>
      <x:c r="E3037" s="6" t="str">
        <x:v>min (A)</x:v>
      </x:c>
      <x:c r="F3037" s="6" t="str">
        <x:v>1</x:v>
      </x:c>
      <x:c r="G3037" s="6" t="str"/>
      <x:c r="H3037" s="6" t="str">
        <x:f>IF(B3037="平","平",IF(B3037="","","仄"))</x:f>
        <x:v>平</x:v>
      </x:c>
      <x:c r="I3037" s="6" t="str">
        <x:f>IF(D3025="","",IF(AND(ISNUMBER(SEARCH("平",D3025)),OR(ISNUMBER(SEARCH("上",D3025)),ISNUMBER(SEARCH("去",D3025)),ISNUMBER(SEARCH("入",D3025)))),"Ambiguous",IF(ISNUMBER(SEARCH("平",D3025)),"平","仄")))</x:f>
        <x:v>仄</x:v>
      </x:c>
      <x:c r="J3037" s="7" t="str"/>
    </x:row>
    <x:row r="3038">
      <x:c r="A3038" s="5" t="str">
        <x:v>緣</x:v>
      </x:c>
      <x:c r="B3038" s="6" t="str">
        <x:v>平</x:v>
      </x:c>
      <x:c r="C3038" s="6" t="str">
        <x:f>IF(B3038="","Needs decision","Ready")</x:f>
        <x:v>Ready</x:v>
      </x:c>
      <x:c r="D3038" s="6" t="str">
        <x:v>平</x:v>
      </x:c>
      <x:c r="E3038" s="6" t="str">
        <x:v>ywen (A)</x:v>
      </x:c>
      <x:c r="F3038" s="6" t="str">
        <x:v>1</x:v>
      </x:c>
      <x:c r="G3038" s="6" t="str"/>
      <x:c r="H3038" s="6" t="str">
        <x:f>IF(B3038="平","平",IF(B3038="","","仄"))</x:f>
        <x:v>平</x:v>
      </x:c>
      <x:c r="I3038" s="6" t="str">
        <x:f>IF(D3026="","",IF(AND(ISNUMBER(SEARCH("平",D3026)),OR(ISNUMBER(SEARCH("上",D3026)),ISNUMBER(SEARCH("去",D3026)),ISNUMBER(SEARCH("入",D3026)))),"Ambiguous",IF(ISNUMBER(SEARCH("平",D3026)),"平","仄")))</x:f>
        <x:v>仄</x:v>
      </x:c>
      <x:c r="J3038" s="7" t="str"/>
    </x:row>
    <x:row r="3039">
      <x:c r="A3039" s="5" t="str">
        <x:v>緧</x:v>
      </x:c>
      <x:c r="B3039" s="6" t="str">
        <x:v>平</x:v>
      </x:c>
      <x:c r="C3039" s="6" t="str">
        <x:f>IF(B3039="","Needs decision","Ready")</x:f>
        <x:v>Ready</x:v>
      </x:c>
      <x:c r="D3039" s="6" t="str">
        <x:v>平</x:v>
      </x:c>
      <x:c r="E3039" s="6" t="str">
        <x:v>tshjuw (A)</x:v>
      </x:c>
      <x:c r="F3039" s="6" t="str">
        <x:v>1</x:v>
      </x:c>
      <x:c r="G3039" s="6" t="str"/>
      <x:c r="H3039" s="6" t="str">
        <x:f>IF(B3039="平","平",IF(B3039="","","仄"))</x:f>
        <x:v>平</x:v>
      </x:c>
      <x:c r="I3039" s="6" t="str">
        <x:f>IF(D3027="","",IF(AND(ISNUMBER(SEARCH("平",D3027)),OR(ISNUMBER(SEARCH("上",D3027)),ISNUMBER(SEARCH("去",D3027)),ISNUMBER(SEARCH("入",D3027)))),"Ambiguous",IF(ISNUMBER(SEARCH("平",D3027)),"平","仄")))</x:f>
        <x:v>平</x:v>
      </x:c>
      <x:c r="J3039" s="7" t="str"/>
    </x:row>
    <x:row r="3040">
      <x:c r="A3040" s="5" t="str">
        <x:v>編</x:v>
      </x:c>
      <x:c r="B3040" s="6" t="str">
        <x:v>平</x:v>
      </x:c>
      <x:c r="C3040" s="6" t="str">
        <x:f>IF(B3040="","Needs decision","Ready")</x:f>
        <x:v>Ready</x:v>
      </x:c>
      <x:c r="D3040" s="6" t="str">
        <x:v>平</x:v>
      </x:c>
      <x:c r="E3040" s="6" t="str">
        <x:v>pen (A); pjien (A)</x:v>
      </x:c>
      <x:c r="F3040" s="6" t="str">
        <x:v>2</x:v>
      </x:c>
      <x:c r="G3040" s="6" t="str"/>
      <x:c r="H3040" s="6" t="str">
        <x:f>IF(B3040="平","平",IF(B3040="","","仄"))</x:f>
        <x:v>平</x:v>
      </x:c>
      <x:c r="I3040" s="6" t="str">
        <x:f>IF(D3028="","",IF(AND(ISNUMBER(SEARCH("平",D3028)),OR(ISNUMBER(SEARCH("上",D3028)),ISNUMBER(SEARCH("去",D3028)),ISNUMBER(SEARCH("入",D3028)))),"Ambiguous",IF(ISNUMBER(SEARCH("平",D3028)),"平","仄")))</x:f>
        <x:v>平</x:v>
      </x:c>
      <x:c r="J3040" s="7" t="str"/>
    </x:row>
    <x:row r="3041">
      <x:c r="A3041" s="5" t="str">
        <x:v>緩</x:v>
      </x:c>
      <x:c r="B3041" s="6" t="str">
        <x:v>上</x:v>
      </x:c>
      <x:c r="C3041" s="6" t="str">
        <x:f>IF(B3041="","Needs decision","Ready")</x:f>
        <x:v>Ready</x:v>
      </x:c>
      <x:c r="D3041" s="6" t="str">
        <x:v>上</x:v>
      </x:c>
      <x:c r="E3041" s="6" t="str">
        <x:v>hwanX (B)</x:v>
      </x:c>
      <x:c r="F3041" s="6" t="str">
        <x:v>1</x:v>
      </x:c>
      <x:c r="G3041" s="6" t="str"/>
      <x:c r="H3041" s="6" t="str">
        <x:f>IF(B3041="平","平",IF(B3041="","","仄"))</x:f>
        <x:v>仄</x:v>
      </x:c>
      <x:c r="I3041" s="6" t="str">
        <x:f>IF(D3029="","",IF(AND(ISNUMBER(SEARCH("平",D3029)),OR(ISNUMBER(SEARCH("上",D3029)),ISNUMBER(SEARCH("去",D3029)),ISNUMBER(SEARCH("入",D3029)))),"Ambiguous",IF(ISNUMBER(SEARCH("平",D3029)),"平","仄")))</x:f>
        <x:v>仄</x:v>
      </x:c>
      <x:c r="J3041" s="7" t="str"/>
    </x:row>
    <x:row r="3042">
      <x:c r="A3042" s="5" t="str">
        <x:v>緫</x:v>
      </x:c>
      <x:c r="B3042" s="6" t="str">
        <x:v>上</x:v>
      </x:c>
      <x:c r="C3042" s="6" t="str">
        <x:f>IF(B3042="","Needs decision","Ready")</x:f>
        <x:v>Ready</x:v>
      </x:c>
      <x:c r="D3042" s="6" t="str">
        <x:v>平/上</x:v>
      </x:c>
      <x:c r="E3042" s="6" t="str">
        <x:v>tsuwng (A); tsuwngX (B)</x:v>
      </x:c>
      <x:c r="F3042" s="6" t="str">
        <x:v>2</x:v>
      </x:c>
      <x:c r="G3042" s="6" t="str"/>
      <x:c r="H3042" s="6" t="str">
        <x:f>IF(B3042="平","平",IF(B3042="","","仄"))</x:f>
        <x:v>仄</x:v>
      </x:c>
      <x:c r="I3042" s="6" t="str">
        <x:f>IF(D3030="","",IF(AND(ISNUMBER(SEARCH("平",D3030)),OR(ISNUMBER(SEARCH("上",D3030)),ISNUMBER(SEARCH("去",D3030)),ISNUMBER(SEARCH("入",D3030)))),"Ambiguous",IF(ISNUMBER(SEARCH("平",D3030)),"平","仄")))</x:f>
        <x:v>平</x:v>
      </x:c>
      <x:c r="J3042" s="7" t="str"/>
    </x:row>
    <x:row r="3043">
      <x:c r="A3043" s="5" t="str">
        <x:v>緯</x:v>
      </x:c>
      <x:c r="B3043" s="6" t="str">
        <x:v>去</x:v>
      </x:c>
      <x:c r="C3043" s="6" t="str">
        <x:f>IF(B3043="","Needs decision","Ready")</x:f>
        <x:v>Ready</x:v>
      </x:c>
      <x:c r="D3043" s="6" t="str">
        <x:v>去</x:v>
      </x:c>
      <x:c r="E3043" s="6" t="str">
        <x:v>hjw+jH [wɨjh] (去)</x:v>
      </x:c>
      <x:c r="F3043" s="6" t="str">
        <x:v>1</x:v>
      </x:c>
      <x:c r="G3043" s="6" t="str">
        <x:v>Tang 300 gap; frequency 1; provisional from Xun Gong</x:v>
      </x:c>
      <x:c r="H3043" s="6" t="str">
        <x:f>IF(B3043="平","平",IF(B3043="","","仄"))</x:f>
        <x:v>仄</x:v>
      </x:c>
      <x:c r="I3043" s="6" t="str">
        <x:f>IF(D3031="","",IF(AND(ISNUMBER(SEARCH("平",D3031)),OR(ISNUMBER(SEARCH("上",D3031)),ISNUMBER(SEARCH("去",D3031)),ISNUMBER(SEARCH("入",D3031)))),"Ambiguous",IF(ISNUMBER(SEARCH("平",D3031)),"平","仄")))</x:f>
        <x:v>仄</x:v>
      </x:c>
      <x:c r="J3043" s="7" t="str">
        <x:v>Xun Gong, Tang 300 gap fill</x:v>
      </x:c>
    </x:row>
    <x:row r="3044">
      <x:c r="A3044" s="5" t="str">
        <x:v>練</x:v>
      </x:c>
      <x:c r="B3044" s="6" t="str">
        <x:v>去</x:v>
      </x:c>
      <x:c r="C3044" s="6" t="str">
        <x:f>IF(B3044="","Needs decision","Ready")</x:f>
        <x:v>Ready</x:v>
      </x:c>
      <x:c r="D3044" s="6" t="str">
        <x:v>去</x:v>
      </x:c>
      <x:c r="E3044" s="6" t="str">
        <x:v>lenH (C)</x:v>
      </x:c>
      <x:c r="F3044" s="6" t="str">
        <x:v>1</x:v>
      </x:c>
      <x:c r="G3044" s="6" t="str"/>
      <x:c r="H3044" s="6" t="str">
        <x:f>IF(B3044="平","平",IF(B3044="","","仄"))</x:f>
        <x:v>仄</x:v>
      </x:c>
      <x:c r="I3044" s="6" t="str">
        <x:f>IF(D3032="","",IF(AND(ISNUMBER(SEARCH("平",D3032)),OR(ISNUMBER(SEARCH("上",D3032)),ISNUMBER(SEARCH("去",D3032)),ISNUMBER(SEARCH("入",D3032)))),"Ambiguous",IF(ISNUMBER(SEARCH("平",D3032)),"平","仄")))</x:f>
        <x:v>仄</x:v>
      </x:c>
      <x:c r="J3044" s="7" t="str"/>
    </x:row>
    <x:row r="3045">
      <x:c r="A3045" s="5" t="str">
        <x:v>緵</x:v>
      </x:c>
      <x:c r="B3045" s="6" t="str">
        <x:v>平</x:v>
      </x:c>
      <x:c r="C3045" s="6" t="str">
        <x:f>IF(B3045="","Needs decision","Ready")</x:f>
        <x:v>Ready</x:v>
      </x:c>
      <x:c r="D3045" s="6" t="str">
        <x:v>平</x:v>
      </x:c>
      <x:c r="E3045" s="6" t="str">
        <x:v>tsuwng (A)</x:v>
      </x:c>
      <x:c r="F3045" s="6" t="str">
        <x:v>1</x:v>
      </x:c>
      <x:c r="G3045" s="6" t="str"/>
      <x:c r="H3045" s="6" t="str">
        <x:f>IF(B3045="平","平",IF(B3045="","","仄"))</x:f>
        <x:v>平</x:v>
      </x:c>
      <x:c r="I3045" s="6" t="str">
        <x:f>IF(D3033="","",IF(AND(ISNUMBER(SEARCH("平",D3033)),OR(ISNUMBER(SEARCH("上",D3033)),ISNUMBER(SEARCH("去",D3033)),ISNUMBER(SEARCH("入",D3033)))),"Ambiguous",IF(ISNUMBER(SEARCH("平",D3033)),"平","仄")))</x:f>
        <x:v>平</x:v>
      </x:c>
      <x:c r="J3045" s="7" t="str"/>
    </x:row>
    <x:row r="3046">
      <x:c r="A3046" s="5" t="str">
        <x:v>縈</x:v>
      </x:c>
      <x:c r="B3046" s="6" t="str">
        <x:v>平</x:v>
      </x:c>
      <x:c r="C3046" s="6" t="str">
        <x:f>IF(B3046="","Needs decision","Ready")</x:f>
        <x:v>Ready</x:v>
      </x:c>
      <x:c r="D3046" s="6" t="str">
        <x:v>平</x:v>
      </x:c>
      <x:c r="E3046" s="6" t="str">
        <x:v>'jwieng [ʔjwaŋ] (平)</x:v>
      </x:c>
      <x:c r="F3046" s="6" t="str">
        <x:v>1</x:v>
      </x:c>
      <x:c r="G3046" s="6" t="str">
        <x:v>Tang 300 gap; frequency 4; provisional from Xun Gong</x:v>
      </x:c>
      <x:c r="H3046" s="6" t="str">
        <x:f>IF(B3046="平","平",IF(B3046="","","仄"))</x:f>
        <x:v>平</x:v>
      </x:c>
      <x:c r="I3046" s="6" t="str">
        <x:f>IF(D3034="","",IF(AND(ISNUMBER(SEARCH("平",D3034)),OR(ISNUMBER(SEARCH("上",D3034)),ISNUMBER(SEARCH("去",D3034)),ISNUMBER(SEARCH("入",D3034)))),"Ambiguous",IF(ISNUMBER(SEARCH("平",D3034)),"平","仄")))</x:f>
        <x:v>平</x:v>
      </x:c>
      <x:c r="J3046" s="7" t="str">
        <x:v>Xun Gong, Tang 300 gap fill</x:v>
      </x:c>
    </x:row>
    <x:row r="3047">
      <x:c r="A3047" s="5" t="str">
        <x:v>縊</x:v>
      </x:c>
      <x:c r="B3047" s="6" t="str">
        <x:v>去</x:v>
      </x:c>
      <x:c r="C3047" s="6" t="str">
        <x:f>IF(B3047="","Needs decision","Ready")</x:f>
        <x:v>Ready</x:v>
      </x:c>
      <x:c r="D3047" s="6" t="str">
        <x:v>去</x:v>
      </x:c>
      <x:c r="E3047" s="6" t="str">
        <x:v>'ejH (C); 'jieH (C)</x:v>
      </x:c>
      <x:c r="F3047" s="6" t="str">
        <x:v>2</x:v>
      </x:c>
      <x:c r="G3047" s="6" t="str"/>
      <x:c r="H3047" s="6" t="str">
        <x:f>IF(B3047="平","平",IF(B3047="","","仄"))</x:f>
        <x:v>仄</x:v>
      </x:c>
      <x:c r="I3047" s="6" t="str">
        <x:f>IF(D3035="","",IF(AND(ISNUMBER(SEARCH("平",D3035)),OR(ISNUMBER(SEARCH("上",D3035)),ISNUMBER(SEARCH("去",D3035)),ISNUMBER(SEARCH("入",D3035)))),"Ambiguous",IF(ISNUMBER(SEARCH("平",D3035)),"平","仄")))</x:f>
        <x:v>仄</x:v>
      </x:c>
      <x:c r="J3047" s="7" t="str"/>
    </x:row>
    <x:row r="3048">
      <x:c r="A3048" s="5" t="str">
        <x:v>縐</x:v>
      </x:c>
      <x:c r="B3048" s="6" t="str">
        <x:v>去</x:v>
      </x:c>
      <x:c r="C3048" s="6" t="str">
        <x:f>IF(B3048="","Needs decision","Ready")</x:f>
        <x:v>Ready</x:v>
      </x:c>
      <x:c r="D3048" s="6" t="str">
        <x:v>去</x:v>
      </x:c>
      <x:c r="E3048" s="6" t="str">
        <x:v>tsrjuwH (C)</x:v>
      </x:c>
      <x:c r="F3048" s="6" t="str">
        <x:v>1</x:v>
      </x:c>
      <x:c r="G3048" s="6" t="str"/>
      <x:c r="H3048" s="6" t="str">
        <x:f>IF(B3048="平","平",IF(B3048="","","仄"))</x:f>
        <x:v>仄</x:v>
      </x:c>
      <x:c r="I3048" s="6" t="str">
        <x:f>IF(D3036="","",IF(AND(ISNUMBER(SEARCH("平",D3036)),OR(ISNUMBER(SEARCH("上",D3036)),ISNUMBER(SEARCH("去",D3036)),ISNUMBER(SEARCH("入",D3036)))),"Ambiguous",IF(ISNUMBER(SEARCH("平",D3036)),"平","仄")))</x:f>
        <x:v>仄</x:v>
      </x:c>
      <x:c r="J3048" s="7" t="str"/>
    </x:row>
    <x:row r="3049">
      <x:c r="A3049" s="5" t="str">
        <x:v>縗</x:v>
      </x:c>
      <x:c r="B3049" s="6" t="str">
        <x:v>平</x:v>
      </x:c>
      <x:c r="C3049" s="6" t="str">
        <x:f>IF(B3049="","Needs decision","Ready")</x:f>
        <x:v>Ready</x:v>
      </x:c>
      <x:c r="D3049" s="6" t="str">
        <x:v>平</x:v>
      </x:c>
      <x:c r="E3049" s="6" t="str">
        <x:v>tshwoj (A)</x:v>
      </x:c>
      <x:c r="F3049" s="6" t="str">
        <x:v>1</x:v>
      </x:c>
      <x:c r="G3049" s="6" t="str"/>
      <x:c r="H3049" s="6" t="str">
        <x:f>IF(B3049="平","平",IF(B3049="","","仄"))</x:f>
        <x:v>平</x:v>
      </x:c>
      <x:c r="I3049" s="6" t="str">
        <x:f>IF(D3037="","",IF(AND(ISNUMBER(SEARCH("平",D3037)),OR(ISNUMBER(SEARCH("上",D3037)),ISNUMBER(SEARCH("去",D3037)),ISNUMBER(SEARCH("入",D3037)))),"Ambiguous",IF(ISNUMBER(SEARCH("平",D3037)),"平","仄")))</x:f>
        <x:v>平</x:v>
      </x:c>
      <x:c r="J3049" s="7" t="str"/>
    </x:row>
    <x:row r="3050">
      <x:c r="A3050" s="5" t="str">
        <x:v>縛</x:v>
      </x:c>
      <x:c r="B3050" s="6" t="str">
        <x:v>入</x:v>
      </x:c>
      <x:c r="C3050" s="6" t="str">
        <x:f>IF(B3050="","Needs decision","Ready")</x:f>
        <x:v>Ready</x:v>
      </x:c>
      <x:c r="D3050" s="6" t="str">
        <x:v>入</x:v>
      </x:c>
      <x:c r="E3050" s="6" t="str">
        <x:v>bjak (D)</x:v>
      </x:c>
      <x:c r="F3050" s="6" t="str">
        <x:v>1</x:v>
      </x:c>
      <x:c r="G3050" s="6" t="str"/>
      <x:c r="H3050" s="6" t="str">
        <x:f>IF(B3050="平","平",IF(B3050="","","仄"))</x:f>
        <x:v>仄</x:v>
      </x:c>
      <x:c r="I3050" s="6" t="str">
        <x:f>IF(D3038="","",IF(AND(ISNUMBER(SEARCH("平",D3038)),OR(ISNUMBER(SEARCH("上",D3038)),ISNUMBER(SEARCH("去",D3038)),ISNUMBER(SEARCH("入",D3038)))),"Ambiguous",IF(ISNUMBER(SEARCH("平",D3038)),"平","仄")))</x:f>
        <x:v>平</x:v>
      </x:c>
      <x:c r="J3050" s="7" t="str"/>
    </x:row>
    <x:row r="3051">
      <x:c r="A3051" s="5" t="str">
        <x:v>縝</x:v>
      </x:c>
      <x:c r="B3051" s="6" t="str">
        <x:v>平</x:v>
      </x:c>
      <x:c r="C3051" s="6" t="str">
        <x:f>IF(B3051="","Needs decision","Ready")</x:f>
        <x:v>Ready</x:v>
      </x:c>
      <x:c r="D3051" s="6" t="str">
        <x:v>平</x:v>
      </x:c>
      <x:c r="E3051" s="6" t="str">
        <x:v>tsyin (A)</x:v>
      </x:c>
      <x:c r="F3051" s="6" t="str">
        <x:v>1</x:v>
      </x:c>
      <x:c r="G3051" s="6" t="str"/>
      <x:c r="H3051" s="6" t="str">
        <x:f>IF(B3051="平","平",IF(B3051="","","仄"))</x:f>
        <x:v>平</x:v>
      </x:c>
      <x:c r="I3051" s="6" t="str">
        <x:f>IF(D3039="","",IF(AND(ISNUMBER(SEARCH("平",D3039)),OR(ISNUMBER(SEARCH("上",D3039)),ISNUMBER(SEARCH("去",D3039)),ISNUMBER(SEARCH("入",D3039)))),"Ambiguous",IF(ISNUMBER(SEARCH("平",D3039)),"平","仄")))</x:f>
        <x:v>平</x:v>
      </x:c>
      <x:c r="J3051" s="7" t="str"/>
    </x:row>
    <x:row r="3052">
      <x:c r="A3052" s="5" t="str">
        <x:v>縞</x:v>
      </x:c>
      <x:c r="B3052" s="6" t="str">
        <x:v>上</x:v>
      </x:c>
      <x:c r="C3052" s="6" t="str">
        <x:f>IF(B3052="","Needs decision","Ready")</x:f>
        <x:v>Ready</x:v>
      </x:c>
      <x:c r="D3052" s="6" t="str">
        <x:v>上/去</x:v>
      </x:c>
      <x:c r="E3052" s="6" t="str">
        <x:v>kawH [qəwh] (去); kawX [qəwʔ] (上)</x:v>
      </x:c>
      <x:c r="F3052" s="6" t="str">
        <x:v>2</x:v>
      </x:c>
      <x:c r="G3052" s="6" t="str">
        <x:v>Tang 300 gap; frequency 1; ambiguous in Xun Gong</x:v>
      </x:c>
      <x:c r="H3052" s="6" t="str">
        <x:f>IF(B3052="平","平",IF(B3052="","","仄"))</x:f>
        <x:v>仄</x:v>
      </x:c>
      <x:c r="I3052" s="6" t="str">
        <x:f>IF(D3040="","",IF(AND(ISNUMBER(SEARCH("平",D3040)),OR(ISNUMBER(SEARCH("上",D3040)),ISNUMBER(SEARCH("去",D3040)),ISNUMBER(SEARCH("入",D3040)))),"Ambiguous",IF(ISNUMBER(SEARCH("平",D3040)),"平","仄")))</x:f>
        <x:v>平</x:v>
      </x:c>
      <x:c r="J3052" s="7" t="str">
        <x:v>Xun Gong, Tang 300 gap fill</x:v>
      </x:c>
    </x:row>
    <x:row r="3053">
      <x:c r="A3053" s="5" t="str">
        <x:v>縟</x:v>
      </x:c>
      <x:c r="B3053" s="6" t="str">
        <x:v>入</x:v>
      </x:c>
      <x:c r="C3053" s="6" t="str">
        <x:f>IF(B3053="","Needs decision","Ready")</x:f>
        <x:v>Ready</x:v>
      </x:c>
      <x:c r="D3053" s="6" t="str">
        <x:v>入</x:v>
      </x:c>
      <x:c r="E3053" s="6" t="str">
        <x:v>nyowk (D)</x:v>
      </x:c>
      <x:c r="F3053" s="6" t="str">
        <x:v>1</x:v>
      </x:c>
      <x:c r="G3053" s="6" t="str"/>
      <x:c r="H3053" s="6" t="str">
        <x:f>IF(B3053="平","平",IF(B3053="","","仄"))</x:f>
        <x:v>仄</x:v>
      </x:c>
      <x:c r="I3053" s="6" t="str">
        <x:f>IF(D3041="","",IF(AND(ISNUMBER(SEARCH("平",D3041)),OR(ISNUMBER(SEARCH("上",D3041)),ISNUMBER(SEARCH("去",D3041)),ISNUMBER(SEARCH("入",D3041)))),"Ambiguous",IF(ISNUMBER(SEARCH("平",D3041)),"平","仄")))</x:f>
        <x:v>仄</x:v>
      </x:c>
      <x:c r="J3053" s="7" t="str"/>
    </x:row>
    <x:row r="3054">
      <x:c r="A3054" s="5" t="str">
        <x:v>縢</x:v>
      </x:c>
      <x:c r="B3054" s="6" t="str">
        <x:v>平</x:v>
      </x:c>
      <x:c r="C3054" s="6" t="str">
        <x:f>IF(B3054="","Needs decision","Ready")</x:f>
        <x:v>Ready</x:v>
      </x:c>
      <x:c r="D3054" s="6" t="str">
        <x:v>平</x:v>
      </x:c>
      <x:c r="E3054" s="6" t="str">
        <x:v>dong (A)</x:v>
      </x:c>
      <x:c r="F3054" s="6" t="str">
        <x:v>1</x:v>
      </x:c>
      <x:c r="G3054" s="6" t="str"/>
      <x:c r="H3054" s="6" t="str">
        <x:f>IF(B3054="平","平",IF(B3054="","","仄"))</x:f>
        <x:v>平</x:v>
      </x:c>
      <x:c r="I3054" s="6" t="str">
        <x:f>IF(D3042="","",IF(AND(ISNUMBER(SEARCH("平",D3042)),OR(ISNUMBER(SEARCH("上",D3042)),ISNUMBER(SEARCH("去",D3042)),ISNUMBER(SEARCH("入",D3042)))),"Ambiguous",IF(ISNUMBER(SEARCH("平",D3042)),"平","仄")))</x:f>
        <x:v>Ambiguous</x:v>
      </x:c>
      <x:c r="J3054" s="7" t="str"/>
    </x:row>
    <x:row r="3055">
      <x:c r="A3055" s="5" t="str">
        <x:v>縣</x:v>
      </x:c>
      <x:c r="B3055" s="6" t="str"/>
      <x:c r="C3055" s="6" t="str">
        <x:f>IF(B3055="","Needs decision","Ready")</x:f>
        <x:v>Needs decision</x:v>
      </x:c>
      <x:c r="D3055" s="6" t="str">
        <x:v>去/平</x:v>
      </x:c>
      <x:c r="E3055" s="6" t="str">
        <x:v>hwenH (C); hwen (A)</x:v>
      </x:c>
      <x:c r="F3055" s="6" t="str">
        <x:v>2</x:v>
      </x:c>
      <x:c r="G3055" s="6" t="str"/>
      <x:c r="H3055" s="6" t="str">
        <x:f>IF(B3055="平","平",IF(B3055="","","仄"))</x:f>
      </x:c>
      <x:c r="I3055" s="6" t="str">
        <x:f>IF(D3043="","",IF(AND(ISNUMBER(SEARCH("平",D3043)),OR(ISNUMBER(SEARCH("上",D3043)),ISNUMBER(SEARCH("去",D3043)),ISNUMBER(SEARCH("入",D3043)))),"Ambiguous",IF(ISNUMBER(SEARCH("平",D3043)),"平","仄")))</x:f>
        <x:v>仄</x:v>
      </x:c>
      <x:c r="J3055" s="7" t="str"/>
    </x:row>
    <x:row r="3056">
      <x:c r="A3056" s="5" t="str">
        <x:v>縫</x:v>
      </x:c>
      <x:c r="B3056" s="6" t="str"/>
      <x:c r="C3056" s="6" t="str">
        <x:f>IF(B3056="","Needs decision","Ready")</x:f>
        <x:v>Needs decision</x:v>
      </x:c>
      <x:c r="D3056" s="6" t="str">
        <x:v>平/去</x:v>
      </x:c>
      <x:c r="E3056" s="6" t="str">
        <x:v>bjowng (A); bjowngH (C)</x:v>
      </x:c>
      <x:c r="F3056" s="6" t="str">
        <x:v>2</x:v>
      </x:c>
      <x:c r="G3056" s="6" t="str"/>
      <x:c r="H3056" s="6" t="str">
        <x:f>IF(B3056="平","平",IF(B3056="","","仄"))</x:f>
      </x:c>
      <x:c r="I3056" s="6" t="str">
        <x:f>IF(D3044="","",IF(AND(ISNUMBER(SEARCH("平",D3044)),OR(ISNUMBER(SEARCH("上",D3044)),ISNUMBER(SEARCH("去",D3044)),ISNUMBER(SEARCH("入",D3044)))),"Ambiguous",IF(ISNUMBER(SEARCH("平",D3044)),"平","仄")))</x:f>
        <x:v>仄</x:v>
      </x:c>
      <x:c r="J3056" s="7" t="str"/>
    </x:row>
    <x:row r="3057">
      <x:c r="A3057" s="5" t="str">
        <x:v>縮</x:v>
      </x:c>
      <x:c r="B3057" s="6" t="str">
        <x:v>入</x:v>
      </x:c>
      <x:c r="C3057" s="6" t="str">
        <x:f>IF(B3057="","Needs decision","Ready")</x:f>
        <x:v>Ready</x:v>
      </x:c>
      <x:c r="D3057" s="6" t="str">
        <x:v>入</x:v>
      </x:c>
      <x:c r="E3057" s="6" t="str">
        <x:v>srjuwk (D)</x:v>
      </x:c>
      <x:c r="F3057" s="6" t="str">
        <x:v>1</x:v>
      </x:c>
      <x:c r="G3057" s="6" t="str"/>
      <x:c r="H3057" s="6" t="str">
        <x:f>IF(B3057="平","平",IF(B3057="","","仄"))</x:f>
        <x:v>仄</x:v>
      </x:c>
      <x:c r="I3057" s="6" t="str">
        <x:f>IF(D3045="","",IF(AND(ISNUMBER(SEARCH("平",D3045)),OR(ISNUMBER(SEARCH("上",D3045)),ISNUMBER(SEARCH("去",D3045)),ISNUMBER(SEARCH("入",D3045)))),"Ambiguous",IF(ISNUMBER(SEARCH("平",D3045)),"平","仄")))</x:f>
        <x:v>平</x:v>
      </x:c>
      <x:c r="J3057" s="7" t="str"/>
    </x:row>
    <x:row r="3058">
      <x:c r="A3058" s="5" t="str">
        <x:v>縱</x:v>
      </x:c>
      <x:c r="B3058" s="6" t="str">
        <x:v>去</x:v>
      </x:c>
      <x:c r="C3058" s="6" t="str">
        <x:f>IF(B3058="","Needs decision","Ready")</x:f>
        <x:v>Ready</x:v>
      </x:c>
      <x:c r="D3058" s="6" t="str">
        <x:v>去</x:v>
      </x:c>
      <x:c r="E3058" s="6" t="str">
        <x:v>tsjowngH (C)</x:v>
      </x:c>
      <x:c r="F3058" s="6" t="str">
        <x:v>1</x:v>
      </x:c>
      <x:c r="G3058" s="6" t="str"/>
      <x:c r="H3058" s="6" t="str">
        <x:f>IF(B3058="平","平",IF(B3058="","","仄"))</x:f>
        <x:v>仄</x:v>
      </x:c>
      <x:c r="I3058" s="6" t="str">
        <x:f>IF(D3046="","",IF(AND(ISNUMBER(SEARCH("平",D3046)),OR(ISNUMBER(SEARCH("上",D3046)),ISNUMBER(SEARCH("去",D3046)),ISNUMBER(SEARCH("入",D3046)))),"Ambiguous",IF(ISNUMBER(SEARCH("平",D3046)),"平","仄")))</x:f>
        <x:v>平</x:v>
      </x:c>
      <x:c r="J3058" s="7" t="str"/>
    </x:row>
    <x:row r="3059">
      <x:c r="A3059" s="5" t="str">
        <x:v>縶</x:v>
      </x:c>
      <x:c r="B3059" s="6" t="str">
        <x:v>入</x:v>
      </x:c>
      <x:c r="C3059" s="6" t="str">
        <x:f>IF(B3059="","Needs decision","Ready")</x:f>
        <x:v>Ready</x:v>
      </x:c>
      <x:c r="D3059" s="6" t="str">
        <x:v>入</x:v>
      </x:c>
      <x:c r="E3059" s="6" t="str">
        <x:v>trip (D)</x:v>
      </x:c>
      <x:c r="F3059" s="6" t="str">
        <x:v>1</x:v>
      </x:c>
      <x:c r="G3059" s="6" t="str"/>
      <x:c r="H3059" s="6" t="str">
        <x:f>IF(B3059="平","平",IF(B3059="","","仄"))</x:f>
        <x:v>仄</x:v>
      </x:c>
      <x:c r="I3059" s="6" t="str">
        <x:f>IF(D3047="","",IF(AND(ISNUMBER(SEARCH("平",D3047)),OR(ISNUMBER(SEARCH("上",D3047)),ISNUMBER(SEARCH("去",D3047)),ISNUMBER(SEARCH("入",D3047)))),"Ambiguous",IF(ISNUMBER(SEARCH("平",D3047)),"平","仄")))</x:f>
        <x:v>仄</x:v>
      </x:c>
      <x:c r="J3059" s="7" t="str"/>
    </x:row>
    <x:row r="3060">
      <x:c r="A3060" s="5" t="str">
        <x:v>縷</x:v>
      </x:c>
      <x:c r="B3060" s="6" t="str">
        <x:v>上</x:v>
      </x:c>
      <x:c r="C3060" s="6" t="str">
        <x:f>IF(B3060="","Needs decision","Ready")</x:f>
        <x:v>Ready</x:v>
      </x:c>
      <x:c r="D3060" s="6" t="str">
        <x:v>上</x:v>
      </x:c>
      <x:c r="E3060" s="6" t="str">
        <x:v>ljuX (B)</x:v>
      </x:c>
      <x:c r="F3060" s="6" t="str">
        <x:v>1</x:v>
      </x:c>
      <x:c r="G3060" s="6" t="str"/>
      <x:c r="H3060" s="6" t="str">
        <x:f>IF(B3060="平","平",IF(B3060="","","仄"))</x:f>
        <x:v>仄</x:v>
      </x:c>
      <x:c r="I3060" s="6" t="str">
        <x:f>IF(D3048="","",IF(AND(ISNUMBER(SEARCH("平",D3048)),OR(ISNUMBER(SEARCH("上",D3048)),ISNUMBER(SEARCH("去",D3048)),ISNUMBER(SEARCH("入",D3048)))),"Ambiguous",IF(ISNUMBER(SEARCH("平",D3048)),"平","仄")))</x:f>
        <x:v>仄</x:v>
      </x:c>
      <x:c r="J3060" s="7" t="str"/>
    </x:row>
    <x:row r="3061">
      <x:c r="A3061" s="5" t="str">
        <x:v>縹</x:v>
      </x:c>
      <x:c r="B3061" s="6" t="str">
        <x:v>上</x:v>
      </x:c>
      <x:c r="C3061" s="6" t="str">
        <x:f>IF(B3061="","Needs decision","Ready")</x:f>
        <x:v>Ready</x:v>
      </x:c>
      <x:c r="D3061" s="6" t="str">
        <x:v>上</x:v>
      </x:c>
      <x:c r="E3061" s="6" t="str">
        <x:v>phjiewX [pʰjewʔ] (上)</x:v>
      </x:c>
      <x:c r="F3061" s="6" t="str">
        <x:v>1</x:v>
      </x:c>
      <x:c r="G3061" s="6" t="str">
        <x:v>Tang 300 gap; frequency 1; provisional from Xun Gong</x:v>
      </x:c>
      <x:c r="H3061" s="6" t="str">
        <x:f>IF(B3061="平","平",IF(B3061="","","仄"))</x:f>
        <x:v>仄</x:v>
      </x:c>
      <x:c r="I3061" s="6" t="str">
        <x:f>IF(D3049="","",IF(AND(ISNUMBER(SEARCH("平",D3049)),OR(ISNUMBER(SEARCH("上",D3049)),ISNUMBER(SEARCH("去",D3049)),ISNUMBER(SEARCH("入",D3049)))),"Ambiguous",IF(ISNUMBER(SEARCH("平",D3049)),"平","仄")))</x:f>
        <x:v>平</x:v>
      </x:c>
      <x:c r="J3061" s="7" t="str">
        <x:v>Xun Gong, Tang 300 gap fill</x:v>
      </x:c>
    </x:row>
    <x:row r="3062">
      <x:c r="A3062" s="5" t="str">
        <x:v>總</x:v>
      </x:c>
      <x:c r="B3062" s="6" t="str">
        <x:v>上</x:v>
      </x:c>
      <x:c r="C3062" s="6" t="str">
        <x:f>IF(B3062="","Needs decision","Ready")</x:f>
        <x:v>Ready</x:v>
      </x:c>
      <x:c r="D3062" s="6" t="str">
        <x:v>平/上</x:v>
      </x:c>
      <x:c r="E3062" s="6" t="str">
        <x:v>tsuwng (A); tsuwngX (B)</x:v>
      </x:c>
      <x:c r="F3062" s="6" t="str">
        <x:v>2</x:v>
      </x:c>
      <x:c r="G3062" s="6" t="str"/>
      <x:c r="H3062" s="6" t="str">
        <x:f>IF(B3062="平","平",IF(B3062="","","仄"))</x:f>
        <x:v>仄</x:v>
      </x:c>
      <x:c r="I3062" s="6" t="str">
        <x:f>IF(D3050="","",IF(AND(ISNUMBER(SEARCH("平",D3050)),OR(ISNUMBER(SEARCH("上",D3050)),ISNUMBER(SEARCH("去",D3050)),ISNUMBER(SEARCH("入",D3050)))),"Ambiguous",IF(ISNUMBER(SEARCH("平",D3050)),"平","仄")))</x:f>
        <x:v>仄</x:v>
      </x:c>
      <x:c r="J3062" s="7" t="str"/>
    </x:row>
    <x:row r="3063">
      <x:c r="A3063" s="5" t="str">
        <x:v>績</x:v>
      </x:c>
      <x:c r="B3063" s="6" t="str">
        <x:v>入</x:v>
      </x:c>
      <x:c r="C3063" s="6" t="str">
        <x:f>IF(B3063="","Needs decision","Ready")</x:f>
        <x:v>Ready</x:v>
      </x:c>
      <x:c r="D3063" s="6" t="str">
        <x:v>入</x:v>
      </x:c>
      <x:c r="E3063" s="6" t="str">
        <x:v>tsek (D)</x:v>
      </x:c>
      <x:c r="F3063" s="6" t="str">
        <x:v>1</x:v>
      </x:c>
      <x:c r="G3063" s="6" t="str"/>
      <x:c r="H3063" s="6" t="str">
        <x:f>IF(B3063="平","平",IF(B3063="","","仄"))</x:f>
        <x:v>仄</x:v>
      </x:c>
      <x:c r="I3063" s="6" t="str">
        <x:f>IF(D3051="","",IF(AND(ISNUMBER(SEARCH("平",D3051)),OR(ISNUMBER(SEARCH("上",D3051)),ISNUMBER(SEARCH("去",D3051)),ISNUMBER(SEARCH("入",D3051)))),"Ambiguous",IF(ISNUMBER(SEARCH("平",D3051)),"平","仄")))</x:f>
        <x:v>平</x:v>
      </x:c>
      <x:c r="J3063" s="7" t="str"/>
    </x:row>
    <x:row r="3064">
      <x:c r="A3064" s="5" t="str">
        <x:v>繁</x:v>
      </x:c>
      <x:c r="B3064" s="6" t="str">
        <x:v>平</x:v>
      </x:c>
      <x:c r="C3064" s="6" t="str">
        <x:f>IF(B3064="","Needs decision","Ready")</x:f>
        <x:v>Ready</x:v>
      </x:c>
      <x:c r="D3064" s="6" t="str">
        <x:v>平</x:v>
      </x:c>
      <x:c r="E3064" s="6" t="str">
        <x:v>bjon (A)</x:v>
      </x:c>
      <x:c r="F3064" s="6" t="str">
        <x:v>1</x:v>
      </x:c>
      <x:c r="G3064" s="6" t="str"/>
      <x:c r="H3064" s="6" t="str">
        <x:f>IF(B3064="平","平",IF(B3064="","","仄"))</x:f>
        <x:v>平</x:v>
      </x:c>
      <x:c r="I3064" s="6" t="str">
        <x:f>IF(D3052="","",IF(AND(ISNUMBER(SEARCH("平",D3052)),OR(ISNUMBER(SEARCH("上",D3052)),ISNUMBER(SEARCH("去",D3052)),ISNUMBER(SEARCH("入",D3052)))),"Ambiguous",IF(ISNUMBER(SEARCH("平",D3052)),"平","仄")))</x:f>
        <x:v>仄</x:v>
      </x:c>
      <x:c r="J3064" s="7" t="str"/>
    </x:row>
    <x:row r="3065">
      <x:c r="A3065" s="5" t="str">
        <x:v>繃</x:v>
      </x:c>
      <x:c r="B3065" s="6" t="str">
        <x:v>平</x:v>
      </x:c>
      <x:c r="C3065" s="6" t="str">
        <x:f>IF(B3065="","Needs decision","Ready")</x:f>
        <x:v>Ready</x:v>
      </x:c>
      <x:c r="D3065" s="6" t="str">
        <x:v>平</x:v>
      </x:c>
      <x:c r="E3065" s="6" t="str">
        <x:v>peang (A)</x:v>
      </x:c>
      <x:c r="F3065" s="6" t="str">
        <x:v>1</x:v>
      </x:c>
      <x:c r="G3065" s="6" t="str"/>
      <x:c r="H3065" s="6" t="str">
        <x:f>IF(B3065="平","平",IF(B3065="","","仄"))</x:f>
        <x:v>平</x:v>
      </x:c>
      <x:c r="I3065" s="6" t="str">
        <x:f>IF(D3053="","",IF(AND(ISNUMBER(SEARCH("平",D3053)),OR(ISNUMBER(SEARCH("上",D3053)),ISNUMBER(SEARCH("去",D3053)),ISNUMBER(SEARCH("入",D3053)))),"Ambiguous",IF(ISNUMBER(SEARCH("平",D3053)),"平","仄")))</x:f>
        <x:v>仄</x:v>
      </x:c>
      <x:c r="J3065" s="7" t="str"/>
    </x:row>
    <x:row r="3066">
      <x:c r="A3066" s="5" t="str">
        <x:v>繒</x:v>
      </x:c>
      <x:c r="B3066" s="6" t="str">
        <x:v>平</x:v>
      </x:c>
      <x:c r="C3066" s="6" t="str">
        <x:f>IF(B3066="","Needs decision","Ready")</x:f>
        <x:v>Ready</x:v>
      </x:c>
      <x:c r="D3066" s="6" t="str">
        <x:v>平</x:v>
      </x:c>
      <x:c r="E3066" s="6" t="str">
        <x:v>dzing (A)</x:v>
      </x:c>
      <x:c r="F3066" s="6" t="str">
        <x:v>1</x:v>
      </x:c>
      <x:c r="G3066" s="6" t="str"/>
      <x:c r="H3066" s="6" t="str">
        <x:f>IF(B3066="平","平",IF(B3066="","","仄"))</x:f>
        <x:v>平</x:v>
      </x:c>
      <x:c r="I3066" s="6" t="str">
        <x:f>IF(D3054="","",IF(AND(ISNUMBER(SEARCH("平",D3054)),OR(ISNUMBER(SEARCH("上",D3054)),ISNUMBER(SEARCH("去",D3054)),ISNUMBER(SEARCH("入",D3054)))),"Ambiguous",IF(ISNUMBER(SEARCH("平",D3054)),"平","仄")))</x:f>
        <x:v>平</x:v>
      </x:c>
      <x:c r="J3066" s="7" t="str"/>
    </x:row>
    <x:row r="3067">
      <x:c r="A3067" s="5" t="str">
        <x:v>織</x:v>
      </x:c>
      <x:c r="B3067" s="6" t="str">
        <x:v>入</x:v>
      </x:c>
      <x:c r="C3067" s="6" t="str">
        <x:f>IF(B3067="","Needs decision","Ready")</x:f>
        <x:v>Ready</x:v>
      </x:c>
      <x:c r="D3067" s="6" t="str">
        <x:v>入</x:v>
      </x:c>
      <x:c r="E3067" s="6" t="str">
        <x:v>tsyik (D)</x:v>
      </x:c>
      <x:c r="F3067" s="6" t="str">
        <x:v>1</x:v>
      </x:c>
      <x:c r="G3067" s="6" t="str"/>
      <x:c r="H3067" s="6" t="str">
        <x:f>IF(B3067="平","平",IF(B3067="","","仄"))</x:f>
        <x:v>仄</x:v>
      </x:c>
      <x:c r="I3067" s="6" t="str">
        <x:f>IF(D3055="","",IF(AND(ISNUMBER(SEARCH("平",D3055)),OR(ISNUMBER(SEARCH("上",D3055)),ISNUMBER(SEARCH("去",D3055)),ISNUMBER(SEARCH("入",D3055)))),"Ambiguous",IF(ISNUMBER(SEARCH("平",D3055)),"平","仄")))</x:f>
        <x:v>Ambiguous</x:v>
      </x:c>
      <x:c r="J3067" s="7" t="str"/>
    </x:row>
    <x:row r="3068">
      <x:c r="A3068" s="5" t="str">
        <x:v>繕</x:v>
      </x:c>
      <x:c r="B3068" s="6" t="str">
        <x:v>去</x:v>
      </x:c>
      <x:c r="C3068" s="6" t="str">
        <x:f>IF(B3068="","Needs decision","Ready")</x:f>
        <x:v>Ready</x:v>
      </x:c>
      <x:c r="D3068" s="6" t="str">
        <x:v>去</x:v>
      </x:c>
      <x:c r="E3068" s="6" t="str">
        <x:v>dzyenH (C)</x:v>
      </x:c>
      <x:c r="F3068" s="6" t="str">
        <x:v>1</x:v>
      </x:c>
      <x:c r="G3068" s="6" t="str"/>
      <x:c r="H3068" s="6" t="str">
        <x:f>IF(B3068="平","平",IF(B3068="","","仄"))</x:f>
        <x:v>仄</x:v>
      </x:c>
      <x:c r="I3068" s="6" t="str">
        <x:f>IF(D3056="","",IF(AND(ISNUMBER(SEARCH("平",D3056)),OR(ISNUMBER(SEARCH("上",D3056)),ISNUMBER(SEARCH("去",D3056)),ISNUMBER(SEARCH("入",D3056)))),"Ambiguous",IF(ISNUMBER(SEARCH("平",D3056)),"平","仄")))</x:f>
        <x:v>Ambiguous</x:v>
      </x:c>
      <x:c r="J3068" s="7" t="str"/>
    </x:row>
    <x:row r="3069">
      <x:c r="A3069" s="5" t="str">
        <x:v>繘</x:v>
      </x:c>
      <x:c r="B3069" s="6" t="str">
        <x:v>入</x:v>
      </x:c>
      <x:c r="C3069" s="6" t="str">
        <x:f>IF(B3069="","Needs decision","Ready")</x:f>
        <x:v>Ready</x:v>
      </x:c>
      <x:c r="D3069" s="6" t="str">
        <x:v>入</x:v>
      </x:c>
      <x:c r="E3069" s="6" t="str">
        <x:v>kjwit (D); ywit (D)</x:v>
      </x:c>
      <x:c r="F3069" s="6" t="str">
        <x:v>2</x:v>
      </x:c>
      <x:c r="G3069" s="6" t="str"/>
      <x:c r="H3069" s="6" t="str">
        <x:f>IF(B3069="平","平",IF(B3069="","","仄"))</x:f>
        <x:v>仄</x:v>
      </x:c>
      <x:c r="I3069" s="6" t="str">
        <x:f>IF(D3057="","",IF(AND(ISNUMBER(SEARCH("平",D3057)),OR(ISNUMBER(SEARCH("上",D3057)),ISNUMBER(SEARCH("去",D3057)),ISNUMBER(SEARCH("入",D3057)))),"Ambiguous",IF(ISNUMBER(SEARCH("平",D3057)),"平","仄")))</x:f>
        <x:v>仄</x:v>
      </x:c>
      <x:c r="J3069" s="7" t="str"/>
    </x:row>
    <x:row r="3070">
      <x:c r="A3070" s="5" t="str">
        <x:v>繞</x:v>
      </x:c>
      <x:c r="B3070" s="6" t="str"/>
      <x:c r="C3070" s="6" t="str">
        <x:f>IF(B3070="","Needs decision","Ready")</x:f>
        <x:v>Needs decision</x:v>
      </x:c>
      <x:c r="D3070" s="6" t="str">
        <x:v>上/去</x:v>
      </x:c>
      <x:c r="E3070" s="6" t="str">
        <x:v>nyewX (B); nyewH (C)</x:v>
      </x:c>
      <x:c r="F3070" s="6" t="str">
        <x:v>2</x:v>
      </x:c>
      <x:c r="G3070" s="6" t="str"/>
      <x:c r="H3070" s="6" t="str">
        <x:f>IF(B3070="平","平",IF(B3070="","","仄"))</x:f>
      </x:c>
      <x:c r="I3070" s="6" t="str">
        <x:f>IF(D3058="","",IF(AND(ISNUMBER(SEARCH("平",D3058)),OR(ISNUMBER(SEARCH("上",D3058)),ISNUMBER(SEARCH("去",D3058)),ISNUMBER(SEARCH("入",D3058)))),"Ambiguous",IF(ISNUMBER(SEARCH("平",D3058)),"平","仄")))</x:f>
        <x:v>仄</x:v>
      </x:c>
      <x:c r="J3070" s="7" t="str"/>
    </x:row>
    <x:row r="3071">
      <x:c r="A3071" s="5" t="str">
        <x:v>繡</x:v>
      </x:c>
      <x:c r="B3071" s="6" t="str">
        <x:v>去</x:v>
      </x:c>
      <x:c r="C3071" s="6" t="str">
        <x:f>IF(B3071="","Needs decision","Ready")</x:f>
        <x:v>Ready</x:v>
      </x:c>
      <x:c r="D3071" s="6" t="str">
        <x:v>去</x:v>
      </x:c>
      <x:c r="E3071" s="6" t="str">
        <x:v>sjuwH (C)</x:v>
      </x:c>
      <x:c r="F3071" s="6" t="str">
        <x:v>1</x:v>
      </x:c>
      <x:c r="G3071" s="6" t="str"/>
      <x:c r="H3071" s="6" t="str">
        <x:f>IF(B3071="平","平",IF(B3071="","","仄"))</x:f>
        <x:v>仄</x:v>
      </x:c>
      <x:c r="I3071" s="6" t="str">
        <x:f>IF(D3059="","",IF(AND(ISNUMBER(SEARCH("平",D3059)),OR(ISNUMBER(SEARCH("上",D3059)),ISNUMBER(SEARCH("去",D3059)),ISNUMBER(SEARCH("入",D3059)))),"Ambiguous",IF(ISNUMBER(SEARCH("平",D3059)),"平","仄")))</x:f>
        <x:v>仄</x:v>
      </x:c>
      <x:c r="J3071" s="7" t="str"/>
    </x:row>
    <x:row r="3072">
      <x:c r="A3072" s="5" t="str">
        <x:v>繣</x:v>
      </x:c>
      <x:c r="B3072" s="6" t="str"/>
      <x:c r="C3072" s="6" t="str">
        <x:f>IF(B3072="","Needs decision","Ready")</x:f>
        <x:v>Needs decision</x:v>
      </x:c>
      <x:c r="D3072" s="6" t="str">
        <x:v>去/入</x:v>
      </x:c>
      <x:c r="E3072" s="6" t="str">
        <x:v>hweaH (C); xweak (D)</x:v>
      </x:c>
      <x:c r="F3072" s="6" t="str">
        <x:v>2</x:v>
      </x:c>
      <x:c r="G3072" s="6" t="str"/>
      <x:c r="H3072" s="6" t="str">
        <x:f>IF(B3072="平","平",IF(B3072="","","仄"))</x:f>
      </x:c>
      <x:c r="I3072" s="6" t="str">
        <x:f>IF(D3060="","",IF(AND(ISNUMBER(SEARCH("平",D3060)),OR(ISNUMBER(SEARCH("上",D3060)),ISNUMBER(SEARCH("去",D3060)),ISNUMBER(SEARCH("入",D3060)))),"Ambiguous",IF(ISNUMBER(SEARCH("平",D3060)),"平","仄")))</x:f>
        <x:v>仄</x:v>
      </x:c>
      <x:c r="J3072" s="7" t="str"/>
    </x:row>
    <x:row r="3073">
      <x:c r="A3073" s="5" t="str">
        <x:v>繩</x:v>
      </x:c>
      <x:c r="B3073" s="6" t="str">
        <x:v>平</x:v>
      </x:c>
      <x:c r="C3073" s="6" t="str">
        <x:f>IF(B3073="","Needs decision","Ready")</x:f>
        <x:v>Ready</x:v>
      </x:c>
      <x:c r="D3073" s="6" t="str">
        <x:v>平</x:v>
      </x:c>
      <x:c r="E3073" s="6" t="str">
        <x:v>zying (A)</x:v>
      </x:c>
      <x:c r="F3073" s="6" t="str">
        <x:v>1</x:v>
      </x:c>
      <x:c r="G3073" s="6" t="str"/>
      <x:c r="H3073" s="6" t="str">
        <x:f>IF(B3073="平","平",IF(B3073="","","仄"))</x:f>
        <x:v>平</x:v>
      </x:c>
      <x:c r="I3073" s="6" t="str">
        <x:f>IF(D3061="","",IF(AND(ISNUMBER(SEARCH("平",D3061)),OR(ISNUMBER(SEARCH("上",D3061)),ISNUMBER(SEARCH("去",D3061)),ISNUMBER(SEARCH("入",D3061)))),"Ambiguous",IF(ISNUMBER(SEARCH("平",D3061)),"平","仄")))</x:f>
        <x:v>仄</x:v>
      </x:c>
      <x:c r="J3073" s="7" t="str"/>
    </x:row>
    <x:row r="3074">
      <x:c r="A3074" s="5" t="str">
        <x:v>繫</x:v>
      </x:c>
      <x:c r="B3074" s="6" t="str">
        <x:v>去</x:v>
      </x:c>
      <x:c r="C3074" s="6" t="str">
        <x:f>IF(B3074="","Needs decision","Ready")</x:f>
        <x:v>Ready</x:v>
      </x:c>
      <x:c r="D3074" s="6" t="str">
        <x:v>去</x:v>
      </x:c>
      <x:c r="E3074" s="6" t="str">
        <x:v>kejH (C); hejH (C)</x:v>
      </x:c>
      <x:c r="F3074" s="6" t="str">
        <x:v>2</x:v>
      </x:c>
      <x:c r="G3074" s="6" t="str"/>
      <x:c r="H3074" s="6" t="str">
        <x:f>IF(B3074="平","平",IF(B3074="","","仄"))</x:f>
        <x:v>仄</x:v>
      </x:c>
      <x:c r="I3074" s="6" t="str">
        <x:f>IF(D3062="","",IF(AND(ISNUMBER(SEARCH("平",D3062)),OR(ISNUMBER(SEARCH("上",D3062)),ISNUMBER(SEARCH("去",D3062)),ISNUMBER(SEARCH("入",D3062)))),"Ambiguous",IF(ISNUMBER(SEARCH("平",D3062)),"平","仄")))</x:f>
        <x:v>Ambiguous</x:v>
      </x:c>
      <x:c r="J3074" s="7" t="str"/>
    </x:row>
    <x:row r="3075">
      <x:c r="A3075" s="5" t="str">
        <x:v>繭</x:v>
      </x:c>
      <x:c r="B3075" s="6" t="str">
        <x:v>上</x:v>
      </x:c>
      <x:c r="C3075" s="6" t="str">
        <x:f>IF(B3075="","Needs decision","Ready")</x:f>
        <x:v>Ready</x:v>
      </x:c>
      <x:c r="D3075" s="6" t="str">
        <x:v>上</x:v>
      </x:c>
      <x:c r="E3075" s="6" t="str">
        <x:v>kenX (B)</x:v>
      </x:c>
      <x:c r="F3075" s="6" t="str">
        <x:v>1</x:v>
      </x:c>
      <x:c r="G3075" s="6" t="str"/>
      <x:c r="H3075" s="6" t="str">
        <x:f>IF(B3075="平","平",IF(B3075="","","仄"))</x:f>
        <x:v>仄</x:v>
      </x:c>
      <x:c r="I3075" s="6" t="str">
        <x:f>IF(D3063="","",IF(AND(ISNUMBER(SEARCH("平",D3063)),OR(ISNUMBER(SEARCH("上",D3063)),ISNUMBER(SEARCH("去",D3063)),ISNUMBER(SEARCH("入",D3063)))),"Ambiguous",IF(ISNUMBER(SEARCH("平",D3063)),"平","仄")))</x:f>
        <x:v>仄</x:v>
      </x:c>
      <x:c r="J3075" s="7" t="str"/>
    </x:row>
    <x:row r="3076">
      <x:c r="A3076" s="5" t="str">
        <x:v>繰</x:v>
      </x:c>
      <x:c r="B3076" s="6" t="str">
        <x:v>上</x:v>
      </x:c>
      <x:c r="C3076" s="6" t="str">
        <x:f>IF(B3076="","Needs decision","Ready")</x:f>
        <x:v>Ready</x:v>
      </x:c>
      <x:c r="D3076" s="6" t="str">
        <x:v>上</x:v>
      </x:c>
      <x:c r="E3076" s="6" t="str">
        <x:v>tsawX (B)</x:v>
      </x:c>
      <x:c r="F3076" s="6" t="str">
        <x:v>1</x:v>
      </x:c>
      <x:c r="G3076" s="6" t="str"/>
      <x:c r="H3076" s="6" t="str">
        <x:f>IF(B3076="平","平",IF(B3076="","","仄"))</x:f>
        <x:v>仄</x:v>
      </x:c>
      <x:c r="I3076" s="6" t="str">
        <x:f>IF(D3064="","",IF(AND(ISNUMBER(SEARCH("平",D3064)),OR(ISNUMBER(SEARCH("上",D3064)),ISNUMBER(SEARCH("去",D3064)),ISNUMBER(SEARCH("入",D3064)))),"Ambiguous",IF(ISNUMBER(SEARCH("平",D3064)),"平","仄")))</x:f>
        <x:v>平</x:v>
      </x:c>
      <x:c r="J3076" s="7" t="str"/>
    </x:row>
    <x:row r="3077">
      <x:c r="A3077" s="5" t="str">
        <x:v>繳</x:v>
      </x:c>
      <x:c r="B3077" s="6" t="str">
        <x:v>入</x:v>
      </x:c>
      <x:c r="C3077" s="6" t="str">
        <x:f>IF(B3077="","Needs decision","Ready")</x:f>
        <x:v>Ready</x:v>
      </x:c>
      <x:c r="D3077" s="6" t="str">
        <x:v>入</x:v>
      </x:c>
      <x:c r="E3077" s="6" t="str">
        <x:v>tsyak (D)</x:v>
      </x:c>
      <x:c r="F3077" s="6" t="str">
        <x:v>1</x:v>
      </x:c>
      <x:c r="G3077" s="6" t="str"/>
      <x:c r="H3077" s="6" t="str">
        <x:f>IF(B3077="平","平",IF(B3077="","","仄"))</x:f>
        <x:v>仄</x:v>
      </x:c>
      <x:c r="I3077" s="6" t="str">
        <x:f>IF(D3065="","",IF(AND(ISNUMBER(SEARCH("平",D3065)),OR(ISNUMBER(SEARCH("上",D3065)),ISNUMBER(SEARCH("去",D3065)),ISNUMBER(SEARCH("入",D3065)))),"Ambiguous",IF(ISNUMBER(SEARCH("平",D3065)),"平","仄")))</x:f>
        <x:v>平</x:v>
      </x:c>
      <x:c r="J3077" s="7" t="str"/>
    </x:row>
    <x:row r="3078">
      <x:c r="A3078" s="5" t="str">
        <x:v>繹</x:v>
      </x:c>
      <x:c r="B3078" s="6" t="str">
        <x:v>入</x:v>
      </x:c>
      <x:c r="C3078" s="6" t="str">
        <x:f>IF(B3078="","Needs decision","Ready")</x:f>
        <x:v>Ready</x:v>
      </x:c>
      <x:c r="D3078" s="6" t="str">
        <x:v>入</x:v>
      </x:c>
      <x:c r="E3078" s="6" t="str">
        <x:v>yek [jak] (入)</x:v>
      </x:c>
      <x:c r="F3078" s="6" t="str">
        <x:v>1</x:v>
      </x:c>
      <x:c r="G3078" s="6" t="str">
        <x:v>Tang 300 gap; frequency 1; provisional from Xun Gong</x:v>
      </x:c>
      <x:c r="H3078" s="6" t="str">
        <x:f>IF(B3078="平","平",IF(B3078="","","仄"))</x:f>
        <x:v>仄</x:v>
      </x:c>
      <x:c r="I3078" s="6" t="str">
        <x:f>IF(D3066="","",IF(AND(ISNUMBER(SEARCH("平",D3066)),OR(ISNUMBER(SEARCH("上",D3066)),ISNUMBER(SEARCH("去",D3066)),ISNUMBER(SEARCH("入",D3066)))),"Ambiguous",IF(ISNUMBER(SEARCH("平",D3066)),"平","仄")))</x:f>
        <x:v>平</x:v>
      </x:c>
      <x:c r="J3078" s="7" t="str">
        <x:v>Xun Gong, Tang 300 gap fill</x:v>
      </x:c>
    </x:row>
    <x:row r="3079">
      <x:c r="A3079" s="5" t="str">
        <x:v>繼</x:v>
      </x:c>
      <x:c r="B3079" s="6" t="str">
        <x:v>去</x:v>
      </x:c>
      <x:c r="C3079" s="6" t="str">
        <x:f>IF(B3079="","Needs decision","Ready")</x:f>
        <x:v>Ready</x:v>
      </x:c>
      <x:c r="D3079" s="6" t="str">
        <x:v>去</x:v>
      </x:c>
      <x:c r="E3079" s="6" t="str">
        <x:v>kejH (C)</x:v>
      </x:c>
      <x:c r="F3079" s="6" t="str">
        <x:v>1</x:v>
      </x:c>
      <x:c r="G3079" s="6" t="str"/>
      <x:c r="H3079" s="6" t="str">
        <x:f>IF(B3079="平","平",IF(B3079="","","仄"))</x:f>
        <x:v>仄</x:v>
      </x:c>
      <x:c r="I3079" s="6" t="str">
        <x:f>IF(D3067="","",IF(AND(ISNUMBER(SEARCH("平",D3067)),OR(ISNUMBER(SEARCH("上",D3067)),ISNUMBER(SEARCH("去",D3067)),ISNUMBER(SEARCH("入",D3067)))),"Ambiguous",IF(ISNUMBER(SEARCH("平",D3067)),"平","仄")))</x:f>
        <x:v>仄</x:v>
      </x:c>
      <x:c r="J3079" s="7" t="str"/>
    </x:row>
    <x:row r="3080">
      <x:c r="A3080" s="5" t="str">
        <x:v>纂</x:v>
      </x:c>
      <x:c r="B3080" s="6" t="str">
        <x:v>上</x:v>
      </x:c>
      <x:c r="C3080" s="6" t="str">
        <x:f>IF(B3080="","Needs decision","Ready")</x:f>
        <x:v>Ready</x:v>
      </x:c>
      <x:c r="D3080" s="6" t="str">
        <x:v>上</x:v>
      </x:c>
      <x:c r="E3080" s="6" t="str">
        <x:v>tswanX (B)</x:v>
      </x:c>
      <x:c r="F3080" s="6" t="str">
        <x:v>1</x:v>
      </x:c>
      <x:c r="G3080" s="6" t="str"/>
      <x:c r="H3080" s="6" t="str">
        <x:f>IF(B3080="平","平",IF(B3080="","","仄"))</x:f>
        <x:v>仄</x:v>
      </x:c>
      <x:c r="I3080" s="6" t="str">
        <x:f>IF(D3068="","",IF(AND(ISNUMBER(SEARCH("平",D3068)),OR(ISNUMBER(SEARCH("上",D3068)),ISNUMBER(SEARCH("去",D3068)),ISNUMBER(SEARCH("入",D3068)))),"Ambiguous",IF(ISNUMBER(SEARCH("平",D3068)),"平","仄")))</x:f>
        <x:v>仄</x:v>
      </x:c>
      <x:c r="J3080" s="7" t="str"/>
    </x:row>
    <x:row r="3081">
      <x:c r="A3081" s="5" t="str">
        <x:v>纊</x:v>
      </x:c>
      <x:c r="B3081" s="6" t="str">
        <x:v>去</x:v>
      </x:c>
      <x:c r="C3081" s="6" t="str">
        <x:f>IF(B3081="","Needs decision","Ready")</x:f>
        <x:v>Ready</x:v>
      </x:c>
      <x:c r="D3081" s="6" t="str">
        <x:v>去</x:v>
      </x:c>
      <x:c r="E3081" s="6" t="str">
        <x:v>khwangH (C)</x:v>
      </x:c>
      <x:c r="F3081" s="6" t="str">
        <x:v>1</x:v>
      </x:c>
      <x:c r="G3081" s="6" t="str"/>
      <x:c r="H3081" s="6" t="str">
        <x:f>IF(B3081="平","平",IF(B3081="","","仄"))</x:f>
        <x:v>仄</x:v>
      </x:c>
      <x:c r="I3081" s="6" t="str">
        <x:f>IF(D3069="","",IF(AND(ISNUMBER(SEARCH("平",D3069)),OR(ISNUMBER(SEARCH("上",D3069)),ISNUMBER(SEARCH("去",D3069)),ISNUMBER(SEARCH("入",D3069)))),"Ambiguous",IF(ISNUMBER(SEARCH("平",D3069)),"平","仄")))</x:f>
        <x:v>仄</x:v>
      </x:c>
      <x:c r="J3081" s="7" t="str"/>
    </x:row>
    <x:row r="3082">
      <x:c r="A3082" s="5" t="str">
        <x:v>續</x:v>
      </x:c>
      <x:c r="B3082" s="6" t="str">
        <x:v>入</x:v>
      </x:c>
      <x:c r="C3082" s="6" t="str">
        <x:f>IF(B3082="","Needs decision","Ready")</x:f>
        <x:v>Ready</x:v>
      </x:c>
      <x:c r="D3082" s="6" t="str">
        <x:v>入</x:v>
      </x:c>
      <x:c r="E3082" s="6" t="str">
        <x:v>zjowk (D)</x:v>
      </x:c>
      <x:c r="F3082" s="6" t="str">
        <x:v>1</x:v>
      </x:c>
      <x:c r="G3082" s="6" t="str"/>
      <x:c r="H3082" s="6" t="str">
        <x:f>IF(B3082="平","平",IF(B3082="","","仄"))</x:f>
        <x:v>仄</x:v>
      </x:c>
      <x:c r="I3082" s="6" t="str">
        <x:f>IF(D3070="","",IF(AND(ISNUMBER(SEARCH("平",D3070)),OR(ISNUMBER(SEARCH("上",D3070)),ISNUMBER(SEARCH("去",D3070)),ISNUMBER(SEARCH("入",D3070)))),"Ambiguous",IF(ISNUMBER(SEARCH("平",D3070)),"平","仄")))</x:f>
        <x:v>仄</x:v>
      </x:c>
      <x:c r="J3082" s="7" t="str"/>
    </x:row>
    <x:row r="3083">
      <x:c r="A3083" s="5" t="str">
        <x:v>纍</x:v>
      </x:c>
      <x:c r="B3083" s="6" t="str">
        <x:v>平</x:v>
      </x:c>
      <x:c r="C3083" s="6" t="str">
        <x:f>IF(B3083="","Needs decision","Ready")</x:f>
        <x:v>Ready</x:v>
      </x:c>
      <x:c r="D3083" s="6" t="str">
        <x:v>平</x:v>
      </x:c>
      <x:c r="E3083" s="6" t="str">
        <x:v>lwij (A)</x:v>
      </x:c>
      <x:c r="F3083" s="6" t="str">
        <x:v>1</x:v>
      </x:c>
      <x:c r="G3083" s="6" t="str"/>
      <x:c r="H3083" s="6" t="str">
        <x:f>IF(B3083="平","平",IF(B3083="","","仄"))</x:f>
        <x:v>平</x:v>
      </x:c>
      <x:c r="I3083" s="6" t="str">
        <x:f>IF(D3071="","",IF(AND(ISNUMBER(SEARCH("平",D3071)),OR(ISNUMBER(SEARCH("上",D3071)),ISNUMBER(SEARCH("去",D3071)),ISNUMBER(SEARCH("入",D3071)))),"Ambiguous",IF(ISNUMBER(SEARCH("平",D3071)),"平","仄")))</x:f>
        <x:v>仄</x:v>
      </x:c>
      <x:c r="J3083" s="7" t="str"/>
    </x:row>
    <x:row r="3084">
      <x:c r="A3084" s="5" t="str">
        <x:v>纏</x:v>
      </x:c>
      <x:c r="B3084" s="6" t="str">
        <x:v>平</x:v>
      </x:c>
      <x:c r="C3084" s="6" t="str">
        <x:f>IF(B3084="","Needs decision","Ready")</x:f>
        <x:v>Ready</x:v>
      </x:c>
      <x:c r="D3084" s="6" t="str">
        <x:v>平</x:v>
      </x:c>
      <x:c r="E3084" s="6" t="str">
        <x:v>drjen (A)</x:v>
      </x:c>
      <x:c r="F3084" s="6" t="str">
        <x:v>1</x:v>
      </x:c>
      <x:c r="G3084" s="6" t="str"/>
      <x:c r="H3084" s="6" t="str">
        <x:f>IF(B3084="平","平",IF(B3084="","","仄"))</x:f>
        <x:v>平</x:v>
      </x:c>
      <x:c r="I3084" s="6" t="str">
        <x:f>IF(D3072="","",IF(AND(ISNUMBER(SEARCH("平",D3072)),OR(ISNUMBER(SEARCH("上",D3072)),ISNUMBER(SEARCH("去",D3072)),ISNUMBER(SEARCH("入",D3072)))),"Ambiguous",IF(ISNUMBER(SEARCH("平",D3072)),"平","仄")))</x:f>
        <x:v>仄</x:v>
      </x:c>
      <x:c r="J3084" s="7" t="str"/>
    </x:row>
    <x:row r="3085">
      <x:c r="A3085" s="5" t="str">
        <x:v>纓</x:v>
      </x:c>
      <x:c r="B3085" s="6" t="str">
        <x:v>平</x:v>
      </x:c>
      <x:c r="C3085" s="6" t="str">
        <x:f>IF(B3085="","Needs decision","Ready")</x:f>
        <x:v>Ready</x:v>
      </x:c>
      <x:c r="D3085" s="6" t="str">
        <x:v>平</x:v>
      </x:c>
      <x:c r="E3085" s="6" t="str">
        <x:v>'jieng (A)</x:v>
      </x:c>
      <x:c r="F3085" s="6" t="str">
        <x:v>1</x:v>
      </x:c>
      <x:c r="G3085" s="6" t="str"/>
      <x:c r="H3085" s="6" t="str">
        <x:f>IF(B3085="平","平",IF(B3085="","","仄"))</x:f>
        <x:v>平</x:v>
      </x:c>
      <x:c r="I3085" s="6" t="str">
        <x:f>IF(D3073="","",IF(AND(ISNUMBER(SEARCH("平",D3073)),OR(ISNUMBER(SEARCH("上",D3073)),ISNUMBER(SEARCH("去",D3073)),ISNUMBER(SEARCH("入",D3073)))),"Ambiguous",IF(ISNUMBER(SEARCH("平",D3073)),"平","仄")))</x:f>
        <x:v>平</x:v>
      </x:c>
      <x:c r="J3085" s="7" t="str"/>
    </x:row>
    <x:row r="3086">
      <x:c r="A3086" s="5" t="str">
        <x:v>纔</x:v>
      </x:c>
      <x:c r="B3086" s="6" t="str"/>
      <x:c r="C3086" s="6" t="str">
        <x:f>IF(B3086="","Needs decision","Ready")</x:f>
        <x:v>Needs decision</x:v>
      </x:c>
      <x:c r="D3086" s="6" t="str">
        <x:v>平/去</x:v>
      </x:c>
      <x:c r="E3086" s="6" t="str">
        <x:v>dzoj [d̙z̙əj] (平); dzojH [d̙z̙əjh] (去); sraem [ʂaˤm] (平)</x:v>
      </x:c>
      <x:c r="F3086" s="6" t="str">
        <x:v>3</x:v>
      </x:c>
      <x:c r="G3086" s="6" t="str">
        <x:v>Tang 300 gap; frequency 3; ambiguous in Xun Gong</x:v>
      </x:c>
      <x:c r="H3086" s="6" t="str">
        <x:f>IF(B3086="平","平",IF(B3086="","","仄"))</x:f>
      </x:c>
      <x:c r="I3086" s="6" t="str">
        <x:f>IF(D3074="","",IF(AND(ISNUMBER(SEARCH("平",D3074)),OR(ISNUMBER(SEARCH("上",D3074)),ISNUMBER(SEARCH("去",D3074)),ISNUMBER(SEARCH("入",D3074)))),"Ambiguous",IF(ISNUMBER(SEARCH("平",D3074)),"平","仄")))</x:f>
        <x:v>仄</x:v>
      </x:c>
      <x:c r="J3086" s="7" t="str">
        <x:v>Xun Gong, Tang 300 gap fill</x:v>
      </x:c>
    </x:row>
    <x:row r="3087">
      <x:c r="A3087" s="5" t="str">
        <x:v>纕</x:v>
      </x:c>
      <x:c r="B3087" s="6" t="str">
        <x:v>平</x:v>
      </x:c>
      <x:c r="C3087" s="6" t="str">
        <x:f>IF(B3087="","Needs decision","Ready")</x:f>
        <x:v>Ready</x:v>
      </x:c>
      <x:c r="D3087" s="6" t="str">
        <x:v>平</x:v>
      </x:c>
      <x:c r="E3087" s="6" t="str">
        <x:v>sjang (A)</x:v>
      </x:c>
      <x:c r="F3087" s="6" t="str">
        <x:v>1</x:v>
      </x:c>
      <x:c r="G3087" s="6" t="str"/>
      <x:c r="H3087" s="6" t="str">
        <x:f>IF(B3087="平","平",IF(B3087="","","仄"))</x:f>
        <x:v>平</x:v>
      </x:c>
      <x:c r="I3087" s="6" t="str">
        <x:f>IF(D3075="","",IF(AND(ISNUMBER(SEARCH("平",D3075)),OR(ISNUMBER(SEARCH("上",D3075)),ISNUMBER(SEARCH("去",D3075)),ISNUMBER(SEARCH("入",D3075)))),"Ambiguous",IF(ISNUMBER(SEARCH("平",D3075)),"平","仄")))</x:f>
        <x:v>仄</x:v>
      </x:c>
      <x:c r="J3087" s="7" t="str"/>
    </x:row>
    <x:row r="3088">
      <x:c r="A3088" s="5" t="str">
        <x:v>纖</x:v>
      </x:c>
      <x:c r="B3088" s="6" t="str">
        <x:v>平</x:v>
      </x:c>
      <x:c r="C3088" s="6" t="str">
        <x:f>IF(B3088="","Needs decision","Ready")</x:f>
        <x:v>Ready</x:v>
      </x:c>
      <x:c r="D3088" s="6" t="str">
        <x:v>平</x:v>
      </x:c>
      <x:c r="E3088" s="6" t="str">
        <x:v>sjem [心開三鹽平] sjem</x:v>
      </x:c>
      <x:c r="F3088" s="6" t="str">
        <x:v>1</x:v>
      </x:c>
      <x:c r="G3088" s="6" t="str">
        <x:v>Targeted preliminary fill from Xun Gong; review if uncertain</x:v>
      </x:c>
      <x:c r="H3088" s="6" t="str">
        <x:f>IF(B3088="平","平",IF(B3088="","","仄"))</x:f>
        <x:v>平</x:v>
      </x:c>
      <x:c r="I3088" s="6" t="str">
        <x:f>IF(D3076="","",IF(AND(ISNUMBER(SEARCH("平",D3076)),OR(ISNUMBER(SEARCH("上",D3076)),ISNUMBER(SEARCH("去",D3076)),ISNUMBER(SEARCH("入",D3076)))),"Ambiguous",IF(ISNUMBER(SEARCH("平",D3076)),"平","仄")))</x:f>
        <x:v>仄</x:v>
      </x:c>
      <x:c r="J3088" s="7" t="str">
        <x:v>Xun Gong character-readings.csv</x:v>
      </x:c>
    </x:row>
    <x:row r="3089">
      <x:c r="A3089" s="5" t="str">
        <x:v>纚</x:v>
      </x:c>
      <x:c r="B3089" s="6" t="str"/>
      <x:c r="C3089" s="6" t="str">
        <x:f>IF(B3089="","Needs decision","Ready")</x:f>
        <x:v>Needs decision</x:v>
      </x:c>
      <x:c r="D3089" s="6" t="str">
        <x:v>平/上</x:v>
      </x:c>
      <x:c r="E3089" s="6" t="str">
        <x:v>lje (A); sreaX (B); srjeX (B)</x:v>
      </x:c>
      <x:c r="F3089" s="6" t="str">
        <x:v>3</x:v>
      </x:c>
      <x:c r="G3089" s="6" t="str"/>
      <x:c r="H3089" s="6" t="str">
        <x:f>IF(B3089="平","平",IF(B3089="","","仄"))</x:f>
      </x:c>
      <x:c r="I3089" s="6" t="str">
        <x:f>IF(D3077="","",IF(AND(ISNUMBER(SEARCH("平",D3077)),OR(ISNUMBER(SEARCH("上",D3077)),ISNUMBER(SEARCH("去",D3077)),ISNUMBER(SEARCH("入",D3077)))),"Ambiguous",IF(ISNUMBER(SEARCH("平",D3077)),"平","仄")))</x:f>
        <x:v>仄</x:v>
      </x:c>
      <x:c r="J3089" s="7" t="str"/>
    </x:row>
    <x:row r="3090">
      <x:c r="A3090" s="5" t="str">
        <x:v>纛</x:v>
      </x:c>
      <x:c r="B3090" s="6" t="str"/>
      <x:c r="C3090" s="6" t="str">
        <x:f>IF(B3090="","Needs decision","Ready")</x:f>
        <x:v>Needs decision</x:v>
      </x:c>
      <x:c r="D3090" s="6" t="str">
        <x:v>去/入</x:v>
      </x:c>
      <x:c r="E3090" s="6" t="str">
        <x:v>dawH (C); dowk (D)</x:v>
      </x:c>
      <x:c r="F3090" s="6" t="str">
        <x:v>2</x:v>
      </x:c>
      <x:c r="G3090" s="6" t="str"/>
      <x:c r="H3090" s="6" t="str">
        <x:f>IF(B3090="平","平",IF(B3090="","","仄"))</x:f>
      </x:c>
      <x:c r="I3090" s="6" t="str">
        <x:f>IF(D3078="","",IF(AND(ISNUMBER(SEARCH("平",D3078)),OR(ISNUMBER(SEARCH("上",D3078)),ISNUMBER(SEARCH("去",D3078)),ISNUMBER(SEARCH("入",D3078)))),"Ambiguous",IF(ISNUMBER(SEARCH("平",D3078)),"平","仄")))</x:f>
        <x:v>仄</x:v>
      </x:c>
      <x:c r="J3090" s="7" t="str"/>
    </x:row>
    <x:row r="3091">
      <x:c r="A3091" s="5" t="str">
        <x:v>缶</x:v>
      </x:c>
      <x:c r="B3091" s="6" t="str">
        <x:v>上</x:v>
      </x:c>
      <x:c r="C3091" s="6" t="str">
        <x:f>IF(B3091="","Needs decision","Ready")</x:f>
        <x:v>Ready</x:v>
      </x:c>
      <x:c r="D3091" s="6" t="str">
        <x:v>上</x:v>
      </x:c>
      <x:c r="E3091" s="6" t="str">
        <x:v>pjuwX (B)</x:v>
      </x:c>
      <x:c r="F3091" s="6" t="str">
        <x:v>1</x:v>
      </x:c>
      <x:c r="G3091" s="6" t="str"/>
      <x:c r="H3091" s="6" t="str">
        <x:f>IF(B3091="平","平",IF(B3091="","","仄"))</x:f>
        <x:v>仄</x:v>
      </x:c>
      <x:c r="I3091" s="6" t="str">
        <x:f>IF(D3079="","",IF(AND(ISNUMBER(SEARCH("平",D3079)),OR(ISNUMBER(SEARCH("上",D3079)),ISNUMBER(SEARCH("去",D3079)),ISNUMBER(SEARCH("入",D3079)))),"Ambiguous",IF(ISNUMBER(SEARCH("平",D3079)),"平","仄")))</x:f>
        <x:v>仄</x:v>
      </x:c>
      <x:c r="J3091" s="7" t="str"/>
    </x:row>
    <x:row r="3092">
      <x:c r="A3092" s="5" t="str">
        <x:v>缺</x:v>
      </x:c>
      <x:c r="B3092" s="6" t="str">
        <x:v>入</x:v>
      </x:c>
      <x:c r="C3092" s="6" t="str">
        <x:f>IF(B3092="","Needs decision","Ready")</x:f>
        <x:v>Ready</x:v>
      </x:c>
      <x:c r="D3092" s="6" t="str">
        <x:v>入</x:v>
      </x:c>
      <x:c r="E3092" s="6" t="str">
        <x:v>khwet (D)</x:v>
      </x:c>
      <x:c r="F3092" s="6" t="str">
        <x:v>1</x:v>
      </x:c>
      <x:c r="G3092" s="6" t="str"/>
      <x:c r="H3092" s="6" t="str">
        <x:f>IF(B3092="平","平",IF(B3092="","","仄"))</x:f>
        <x:v>仄</x:v>
      </x:c>
      <x:c r="I3092" s="6" t="str">
        <x:f>IF(D3080="","",IF(AND(ISNUMBER(SEARCH("平",D3080)),OR(ISNUMBER(SEARCH("上",D3080)),ISNUMBER(SEARCH("去",D3080)),ISNUMBER(SEARCH("入",D3080)))),"Ambiguous",IF(ISNUMBER(SEARCH("平",D3080)),"平","仄")))</x:f>
        <x:v>仄</x:v>
      </x:c>
      <x:c r="J3092" s="7" t="str"/>
    </x:row>
    <x:row r="3093">
      <x:c r="A3093" s="5" t="str">
        <x:v>缾</x:v>
      </x:c>
      <x:c r="B3093" s="6" t="str">
        <x:v>平</x:v>
      </x:c>
      <x:c r="C3093" s="6" t="str">
        <x:f>IF(B3093="","Needs decision","Ready")</x:f>
        <x:v>Ready</x:v>
      </x:c>
      <x:c r="D3093" s="6" t="str">
        <x:v>平</x:v>
      </x:c>
      <x:c r="E3093" s="6" t="str">
        <x:v>beng (A)</x:v>
      </x:c>
      <x:c r="F3093" s="6" t="str">
        <x:v>1</x:v>
      </x:c>
      <x:c r="G3093" s="6" t="str"/>
      <x:c r="H3093" s="6" t="str">
        <x:f>IF(B3093="平","平",IF(B3093="","","仄"))</x:f>
        <x:v>平</x:v>
      </x:c>
      <x:c r="I3093" s="6" t="str">
        <x:f>IF(D3081="","",IF(AND(ISNUMBER(SEARCH("平",D3081)),OR(ISNUMBER(SEARCH("上",D3081)),ISNUMBER(SEARCH("去",D3081)),ISNUMBER(SEARCH("入",D3081)))),"Ambiguous",IF(ISNUMBER(SEARCH("平",D3081)),"平","仄")))</x:f>
        <x:v>仄</x:v>
      </x:c>
      <x:c r="J3093" s="7" t="str"/>
    </x:row>
    <x:row r="3094">
      <x:c r="A3094" s="5" t="str">
        <x:v>罃</x:v>
      </x:c>
      <x:c r="B3094" s="6" t="str">
        <x:v>平</x:v>
      </x:c>
      <x:c r="C3094" s="6" t="str">
        <x:f>IF(B3094="","Needs decision","Ready")</x:f>
        <x:v>Ready</x:v>
      </x:c>
      <x:c r="D3094" s="6" t="str">
        <x:v>平</x:v>
      </x:c>
      <x:c r="E3094" s="6" t="str">
        <x:v>'eang (A)</x:v>
      </x:c>
      <x:c r="F3094" s="6" t="str">
        <x:v>1</x:v>
      </x:c>
      <x:c r="G3094" s="6" t="str"/>
      <x:c r="H3094" s="6" t="str">
        <x:f>IF(B3094="平","平",IF(B3094="","","仄"))</x:f>
        <x:v>平</x:v>
      </x:c>
      <x:c r="I3094" s="6" t="str">
        <x:f>IF(D3082="","",IF(AND(ISNUMBER(SEARCH("平",D3082)),OR(ISNUMBER(SEARCH("上",D3082)),ISNUMBER(SEARCH("去",D3082)),ISNUMBER(SEARCH("入",D3082)))),"Ambiguous",IF(ISNUMBER(SEARCH("平",D3082)),"平","仄")))</x:f>
        <x:v>仄</x:v>
      </x:c>
      <x:c r="J3094" s="7" t="str"/>
    </x:row>
    <x:row r="3095">
      <x:c r="A3095" s="5" t="str">
        <x:v>罄</x:v>
      </x:c>
      <x:c r="B3095" s="6" t="str">
        <x:v>去</x:v>
      </x:c>
      <x:c r="C3095" s="6" t="str">
        <x:f>IF(B3095="","Needs decision","Ready")</x:f>
        <x:v>Ready</x:v>
      </x:c>
      <x:c r="D3095" s="6" t="str">
        <x:v>去</x:v>
      </x:c>
      <x:c r="E3095" s="6" t="str">
        <x:v>khengH (C)</x:v>
      </x:c>
      <x:c r="F3095" s="6" t="str">
        <x:v>1</x:v>
      </x:c>
      <x:c r="G3095" s="6" t="str"/>
      <x:c r="H3095" s="6" t="str">
        <x:f>IF(B3095="平","平",IF(B3095="","","仄"))</x:f>
        <x:v>仄</x:v>
      </x:c>
      <x:c r="I3095" s="6" t="str">
        <x:f>IF(D3083="","",IF(AND(ISNUMBER(SEARCH("平",D3083)),OR(ISNUMBER(SEARCH("上",D3083)),ISNUMBER(SEARCH("去",D3083)),ISNUMBER(SEARCH("入",D3083)))),"Ambiguous",IF(ISNUMBER(SEARCH("平",D3083)),"平","仄")))</x:f>
        <x:v>平</x:v>
      </x:c>
      <x:c r="J3095" s="7" t="str"/>
    </x:row>
    <x:row r="3096">
      <x:c r="A3096" s="5" t="str">
        <x:v>罌</x:v>
      </x:c>
      <x:c r="B3096" s="6" t="str">
        <x:v>平</x:v>
      </x:c>
      <x:c r="C3096" s="6" t="str">
        <x:f>IF(B3096="","Needs decision","Ready")</x:f>
        <x:v>Ready</x:v>
      </x:c>
      <x:c r="D3096" s="6" t="str">
        <x:v>平</x:v>
      </x:c>
      <x:c r="E3096" s="6" t="str">
        <x:v>'eang (A)</x:v>
      </x:c>
      <x:c r="F3096" s="6" t="str">
        <x:v>1</x:v>
      </x:c>
      <x:c r="G3096" s="6" t="str"/>
      <x:c r="H3096" s="6" t="str">
        <x:f>IF(B3096="平","平",IF(B3096="","","仄"))</x:f>
        <x:v>平</x:v>
      </x:c>
      <x:c r="I3096" s="6" t="str">
        <x:f>IF(D3084="","",IF(AND(ISNUMBER(SEARCH("平",D3084)),OR(ISNUMBER(SEARCH("上",D3084)),ISNUMBER(SEARCH("去",D3084)),ISNUMBER(SEARCH("入",D3084)))),"Ambiguous",IF(ISNUMBER(SEARCH("平",D3084)),"平","仄")))</x:f>
        <x:v>平</x:v>
      </x:c>
      <x:c r="J3096" s="7" t="str"/>
    </x:row>
    <x:row r="3097">
      <x:c r="A3097" s="5" t="str">
        <x:v>罍</x:v>
      </x:c>
      <x:c r="B3097" s="6" t="str">
        <x:v>平</x:v>
      </x:c>
      <x:c r="C3097" s="6" t="str">
        <x:f>IF(B3097="","Needs decision","Ready")</x:f>
        <x:v>Ready</x:v>
      </x:c>
      <x:c r="D3097" s="6" t="str">
        <x:v>平</x:v>
      </x:c>
      <x:c r="E3097" s="6" t="str">
        <x:v>lwoj (A)</x:v>
      </x:c>
      <x:c r="F3097" s="6" t="str">
        <x:v>1</x:v>
      </x:c>
      <x:c r="G3097" s="6" t="str"/>
      <x:c r="H3097" s="6" t="str">
        <x:f>IF(B3097="平","平",IF(B3097="","","仄"))</x:f>
        <x:v>平</x:v>
      </x:c>
      <x:c r="I3097" s="6" t="str">
        <x:f>IF(D3085="","",IF(AND(ISNUMBER(SEARCH("平",D3085)),OR(ISNUMBER(SEARCH("上",D3085)),ISNUMBER(SEARCH("去",D3085)),ISNUMBER(SEARCH("入",D3085)))),"Ambiguous",IF(ISNUMBER(SEARCH("平",D3085)),"平","仄")))</x:f>
        <x:v>平</x:v>
      </x:c>
      <x:c r="J3097" s="7" t="str"/>
    </x:row>
    <x:row r="3098">
      <x:c r="A3098" s="5" t="str">
        <x:v>网</x:v>
      </x:c>
      <x:c r="B3098" s="6" t="str">
        <x:v>上</x:v>
      </x:c>
      <x:c r="C3098" s="6" t="str">
        <x:f>IF(B3098="","Needs decision","Ready")</x:f>
        <x:v>Ready</x:v>
      </x:c>
      <x:c r="D3098" s="6" t="str">
        <x:v>上</x:v>
      </x:c>
      <x:c r="E3098" s="6" t="str">
        <x:v>mjangX (B)</x:v>
      </x:c>
      <x:c r="F3098" s="6" t="str">
        <x:v>1</x:v>
      </x:c>
      <x:c r="G3098" s="6" t="str"/>
      <x:c r="H3098" s="6" t="str">
        <x:f>IF(B3098="平","平",IF(B3098="","","仄"))</x:f>
        <x:v>仄</x:v>
      </x:c>
      <x:c r="I3098" s="6" t="str">
        <x:f>IF(D3086="","",IF(AND(ISNUMBER(SEARCH("平",D3086)),OR(ISNUMBER(SEARCH("上",D3086)),ISNUMBER(SEARCH("去",D3086)),ISNUMBER(SEARCH("入",D3086)))),"Ambiguous",IF(ISNUMBER(SEARCH("平",D3086)),"平","仄")))</x:f>
        <x:v>Ambiguous</x:v>
      </x:c>
      <x:c r="J3098" s="7" t="str"/>
    </x:row>
    <x:row r="3099">
      <x:c r="A3099" s="5" t="str">
        <x:v>罔</x:v>
      </x:c>
      <x:c r="B3099" s="6" t="str">
        <x:v>上</x:v>
      </x:c>
      <x:c r="C3099" s="6" t="str">
        <x:f>IF(B3099="","Needs decision","Ready")</x:f>
        <x:v>Ready</x:v>
      </x:c>
      <x:c r="D3099" s="6" t="str">
        <x:v>上</x:v>
      </x:c>
      <x:c r="E3099" s="6" t="str">
        <x:v>mjangX (B)</x:v>
      </x:c>
      <x:c r="F3099" s="6" t="str">
        <x:v>1</x:v>
      </x:c>
      <x:c r="G3099" s="6" t="str"/>
      <x:c r="H3099" s="6" t="str">
        <x:f>IF(B3099="平","平",IF(B3099="","","仄"))</x:f>
        <x:v>仄</x:v>
      </x:c>
      <x:c r="I3099" s="6" t="str">
        <x:f>IF(D3087="","",IF(AND(ISNUMBER(SEARCH("平",D3087)),OR(ISNUMBER(SEARCH("上",D3087)),ISNUMBER(SEARCH("去",D3087)),ISNUMBER(SEARCH("入",D3087)))),"Ambiguous",IF(ISNUMBER(SEARCH("平",D3087)),"平","仄")))</x:f>
        <x:v>平</x:v>
      </x:c>
      <x:c r="J3099" s="7" t="str"/>
    </x:row>
    <x:row r="3100">
      <x:c r="A3100" s="5" t="str">
        <x:v>罕</x:v>
      </x:c>
      <x:c r="B3100" s="6" t="str">
        <x:v>上</x:v>
      </x:c>
      <x:c r="C3100" s="6" t="str">
        <x:f>IF(B3100="","Needs decision","Ready")</x:f>
        <x:v>Ready</x:v>
      </x:c>
      <x:c r="D3100" s="6" t="str">
        <x:v>上</x:v>
      </x:c>
      <x:c r="E3100" s="6" t="str">
        <x:v>xanX (B)</x:v>
      </x:c>
      <x:c r="F3100" s="6" t="str">
        <x:v>1</x:v>
      </x:c>
      <x:c r="G3100" s="6" t="str"/>
      <x:c r="H3100" s="6" t="str">
        <x:f>IF(B3100="平","平",IF(B3100="","","仄"))</x:f>
        <x:v>仄</x:v>
      </x:c>
      <x:c r="I3100" s="6" t="str">
        <x:f>IF(D3088="","",IF(AND(ISNUMBER(SEARCH("平",D3088)),OR(ISNUMBER(SEARCH("上",D3088)),ISNUMBER(SEARCH("去",D3088)),ISNUMBER(SEARCH("入",D3088)))),"Ambiguous",IF(ISNUMBER(SEARCH("平",D3088)),"平","仄")))</x:f>
        <x:v>平</x:v>
      </x:c>
      <x:c r="J3100" s="7" t="str"/>
    </x:row>
    <x:row r="3101">
      <x:c r="A3101" s="5" t="str">
        <x:v>罛</x:v>
      </x:c>
      <x:c r="B3101" s="6" t="str">
        <x:v>平</x:v>
      </x:c>
      <x:c r="C3101" s="6" t="str">
        <x:f>IF(B3101="","Needs decision","Ready")</x:f>
        <x:v>Ready</x:v>
      </x:c>
      <x:c r="D3101" s="6" t="str">
        <x:v>平</x:v>
      </x:c>
      <x:c r="E3101" s="6" t="str">
        <x:v>ku (A)</x:v>
      </x:c>
      <x:c r="F3101" s="6" t="str">
        <x:v>1</x:v>
      </x:c>
      <x:c r="G3101" s="6" t="str"/>
      <x:c r="H3101" s="6" t="str">
        <x:f>IF(B3101="平","平",IF(B3101="","","仄"))</x:f>
        <x:v>平</x:v>
      </x:c>
      <x:c r="I3101" s="6" t="str">
        <x:f>IF(D3089="","",IF(AND(ISNUMBER(SEARCH("平",D3089)),OR(ISNUMBER(SEARCH("上",D3089)),ISNUMBER(SEARCH("去",D3089)),ISNUMBER(SEARCH("入",D3089)))),"Ambiguous",IF(ISNUMBER(SEARCH("平",D3089)),"平","仄")))</x:f>
        <x:v>Ambiguous</x:v>
      </x:c>
      <x:c r="J3101" s="7" t="str"/>
    </x:row>
    <x:row r="3102">
      <x:c r="A3102" s="5" t="str">
        <x:v>罧</x:v>
      </x:c>
      <x:c r="B3102" s="6" t="str"/>
      <x:c r="C3102" s="6" t="str">
        <x:f>IF(B3102="","Needs decision","Ready")</x:f>
        <x:v>Needs decision</x:v>
      </x:c>
      <x:c r="D3102" s="6" t="str">
        <x:v>去/上</x:v>
      </x:c>
      <x:c r="E3102" s="6" t="str">
        <x:v>srimH (C); simX (B)</x:v>
      </x:c>
      <x:c r="F3102" s="6" t="str">
        <x:v>2</x:v>
      </x:c>
      <x:c r="G3102" s="6" t="str"/>
      <x:c r="H3102" s="6" t="str">
        <x:f>IF(B3102="平","平",IF(B3102="","","仄"))</x:f>
      </x:c>
      <x:c r="I3102" s="6" t="str">
        <x:f>IF(D3090="","",IF(AND(ISNUMBER(SEARCH("平",D3090)),OR(ISNUMBER(SEARCH("上",D3090)),ISNUMBER(SEARCH("去",D3090)),ISNUMBER(SEARCH("入",D3090)))),"Ambiguous",IF(ISNUMBER(SEARCH("平",D3090)),"平","仄")))</x:f>
        <x:v>仄</x:v>
      </x:c>
      <x:c r="J3102" s="7" t="str"/>
    </x:row>
    <x:row r="3103">
      <x:c r="A3103" s="5" t="str">
        <x:v>罩</x:v>
      </x:c>
      <x:c r="B3103" s="6" t="str">
        <x:v>去</x:v>
      </x:c>
      <x:c r="C3103" s="6" t="str">
        <x:f>IF(B3103="","Needs decision","Ready")</x:f>
        <x:v>Ready</x:v>
      </x:c>
      <x:c r="D3103" s="6" t="str">
        <x:v>去</x:v>
      </x:c>
      <x:c r="E3103" s="6" t="str">
        <x:v>traewH (C)</x:v>
      </x:c>
      <x:c r="F3103" s="6" t="str">
        <x:v>1</x:v>
      </x:c>
      <x:c r="G3103" s="6" t="str"/>
      <x:c r="H3103" s="6" t="str">
        <x:f>IF(B3103="平","平",IF(B3103="","","仄"))</x:f>
        <x:v>仄</x:v>
      </x:c>
      <x:c r="I3103" s="6" t="str">
        <x:f>IF(D3091="","",IF(AND(ISNUMBER(SEARCH("平",D3091)),OR(ISNUMBER(SEARCH("上",D3091)),ISNUMBER(SEARCH("去",D3091)),ISNUMBER(SEARCH("入",D3091)))),"Ambiguous",IF(ISNUMBER(SEARCH("平",D3091)),"平","仄")))</x:f>
        <x:v>仄</x:v>
      </x:c>
      <x:c r="J3103" s="7" t="str"/>
    </x:row>
    <x:row r="3104">
      <x:c r="A3104" s="5" t="str">
        <x:v>罪</x:v>
      </x:c>
      <x:c r="B3104" s="6" t="str">
        <x:v>上</x:v>
      </x:c>
      <x:c r="C3104" s="6" t="str">
        <x:f>IF(B3104="","Needs decision","Ready")</x:f>
        <x:v>Ready</x:v>
      </x:c>
      <x:c r="D3104" s="6" t="str">
        <x:v>上</x:v>
      </x:c>
      <x:c r="E3104" s="6" t="str">
        <x:v>dzwojX (B)</x:v>
      </x:c>
      <x:c r="F3104" s="6" t="str">
        <x:v>1</x:v>
      </x:c>
      <x:c r="G3104" s="6" t="str"/>
      <x:c r="H3104" s="6" t="str">
        <x:f>IF(B3104="平","平",IF(B3104="","","仄"))</x:f>
        <x:v>仄</x:v>
      </x:c>
      <x:c r="I3104" s="6" t="str">
        <x:f>IF(D3092="","",IF(AND(ISNUMBER(SEARCH("平",D3092)),OR(ISNUMBER(SEARCH("上",D3092)),ISNUMBER(SEARCH("去",D3092)),ISNUMBER(SEARCH("入",D3092)))),"Ambiguous",IF(ISNUMBER(SEARCH("平",D3092)),"平","仄")))</x:f>
        <x:v>仄</x:v>
      </x:c>
      <x:c r="J3104" s="7" t="str"/>
    </x:row>
    <x:row r="3105">
      <x:c r="A3105" s="5" t="str">
        <x:v>置</x:v>
      </x:c>
      <x:c r="B3105" s="6" t="str">
        <x:v>去</x:v>
      </x:c>
      <x:c r="C3105" s="6" t="str">
        <x:f>IF(B3105="","Needs decision","Ready")</x:f>
        <x:v>Ready</x:v>
      </x:c>
      <x:c r="D3105" s="6" t="str">
        <x:v>去</x:v>
      </x:c>
      <x:c r="E3105" s="6" t="str">
        <x:v>triH (C)</x:v>
      </x:c>
      <x:c r="F3105" s="6" t="str">
        <x:v>1</x:v>
      </x:c>
      <x:c r="G3105" s="6" t="str"/>
      <x:c r="H3105" s="6" t="str">
        <x:f>IF(B3105="平","平",IF(B3105="","","仄"))</x:f>
        <x:v>仄</x:v>
      </x:c>
      <x:c r="I3105" s="6" t="str">
        <x:f>IF(D3093="","",IF(AND(ISNUMBER(SEARCH("平",D3093)),OR(ISNUMBER(SEARCH("上",D3093)),ISNUMBER(SEARCH("去",D3093)),ISNUMBER(SEARCH("入",D3093)))),"Ambiguous",IF(ISNUMBER(SEARCH("平",D3093)),"平","仄")))</x:f>
        <x:v>平</x:v>
      </x:c>
      <x:c r="J3105" s="7" t="str"/>
    </x:row>
    <x:row r="3106">
      <x:c r="A3106" s="5" t="str">
        <x:v>罰</x:v>
      </x:c>
      <x:c r="B3106" s="6" t="str">
        <x:v>入</x:v>
      </x:c>
      <x:c r="C3106" s="6" t="str">
        <x:f>IF(B3106="","Needs decision","Ready")</x:f>
        <x:v>Ready</x:v>
      </x:c>
      <x:c r="D3106" s="6" t="str">
        <x:v>入</x:v>
      </x:c>
      <x:c r="E3106" s="6" t="str">
        <x:v>bjot (D)</x:v>
      </x:c>
      <x:c r="F3106" s="6" t="str">
        <x:v>1</x:v>
      </x:c>
      <x:c r="G3106" s="6" t="str"/>
      <x:c r="H3106" s="6" t="str">
        <x:f>IF(B3106="平","平",IF(B3106="","","仄"))</x:f>
        <x:v>仄</x:v>
      </x:c>
      <x:c r="I3106" s="6" t="str">
        <x:f>IF(D3094="","",IF(AND(ISNUMBER(SEARCH("平",D3094)),OR(ISNUMBER(SEARCH("上",D3094)),ISNUMBER(SEARCH("去",D3094)),ISNUMBER(SEARCH("入",D3094)))),"Ambiguous",IF(ISNUMBER(SEARCH("平",D3094)),"平","仄")))</x:f>
        <x:v>平</x:v>
      </x:c>
      <x:c r="J3106" s="7" t="str"/>
    </x:row>
    <x:row r="3107">
      <x:c r="A3107" s="5" t="str">
        <x:v>署</x:v>
      </x:c>
      <x:c r="B3107" s="6" t="str">
        <x:v>去</x:v>
      </x:c>
      <x:c r="C3107" s="6" t="str">
        <x:f>IF(B3107="","Needs decision","Ready")</x:f>
        <x:v>Ready</x:v>
      </x:c>
      <x:c r="D3107" s="6" t="str">
        <x:v>去</x:v>
      </x:c>
      <x:c r="E3107" s="6" t="str">
        <x:v>dzyoH (C)</x:v>
      </x:c>
      <x:c r="F3107" s="6" t="str">
        <x:v>1</x:v>
      </x:c>
      <x:c r="G3107" s="6" t="str"/>
      <x:c r="H3107" s="6" t="str">
        <x:f>IF(B3107="平","平",IF(B3107="","","仄"))</x:f>
        <x:v>仄</x:v>
      </x:c>
      <x:c r="I3107" s="6" t="str">
        <x:f>IF(D3095="","",IF(AND(ISNUMBER(SEARCH("平",D3095)),OR(ISNUMBER(SEARCH("上",D3095)),ISNUMBER(SEARCH("去",D3095)),ISNUMBER(SEARCH("入",D3095)))),"Ambiguous",IF(ISNUMBER(SEARCH("平",D3095)),"平","仄")))</x:f>
        <x:v>仄</x:v>
      </x:c>
      <x:c r="J3107" s="7" t="str"/>
    </x:row>
    <x:row r="3108">
      <x:c r="A3108" s="5" t="str">
        <x:v>罵</x:v>
      </x:c>
      <x:c r="B3108" s="6" t="str">
        <x:v>去</x:v>
      </x:c>
      <x:c r="C3108" s="6" t="str">
        <x:f>IF(B3108="","Needs decision","Ready")</x:f>
        <x:v>Ready</x:v>
      </x:c>
      <x:c r="D3108" s="6" t="str">
        <x:v>去</x:v>
      </x:c>
      <x:c r="E3108" s="6" t="str">
        <x:v>maeH (C)</x:v>
      </x:c>
      <x:c r="F3108" s="6" t="str">
        <x:v>1</x:v>
      </x:c>
      <x:c r="G3108" s="6" t="str"/>
      <x:c r="H3108" s="6" t="str">
        <x:f>IF(B3108="平","平",IF(B3108="","","仄"))</x:f>
        <x:v>仄</x:v>
      </x:c>
      <x:c r="I3108" s="6" t="str">
        <x:f>IF(D3096="","",IF(AND(ISNUMBER(SEARCH("平",D3096)),OR(ISNUMBER(SEARCH("上",D3096)),ISNUMBER(SEARCH("去",D3096)),ISNUMBER(SEARCH("入",D3096)))),"Ambiguous",IF(ISNUMBER(SEARCH("平",D3096)),"平","仄")))</x:f>
        <x:v>平</x:v>
      </x:c>
      <x:c r="J3108" s="7" t="str"/>
    </x:row>
    <x:row r="3109">
      <x:c r="A3109" s="5" t="str">
        <x:v>罷</x:v>
      </x:c>
      <x:c r="B3109" s="6" t="str"/>
      <x:c r="C3109" s="6" t="str">
        <x:f>IF(B3109="","Needs decision","Ready")</x:f>
        <x:v>Needs decision</x:v>
      </x:c>
      <x:c r="D3109" s="6" t="str">
        <x:v>上/平</x:v>
      </x:c>
      <x:c r="E3109" s="6" t="str">
        <x:v>beaX (B); bje (A)</x:v>
      </x:c>
      <x:c r="F3109" s="6" t="str">
        <x:v>2</x:v>
      </x:c>
      <x:c r="G3109" s="6" t="str"/>
      <x:c r="H3109" s="6" t="str">
        <x:f>IF(B3109="平","平",IF(B3109="","","仄"))</x:f>
      </x:c>
      <x:c r="I3109" s="6" t="str">
        <x:f>IF(D3097="","",IF(AND(ISNUMBER(SEARCH("平",D3097)),OR(ISNUMBER(SEARCH("上",D3097)),ISNUMBER(SEARCH("去",D3097)),ISNUMBER(SEARCH("入",D3097)))),"Ambiguous",IF(ISNUMBER(SEARCH("平",D3097)),"平","仄")))</x:f>
        <x:v>平</x:v>
      </x:c>
      <x:c r="J3109" s="7" t="str"/>
    </x:row>
    <x:row r="3110">
      <x:c r="A3110" s="5" t="str">
        <x:v>罹</x:v>
      </x:c>
      <x:c r="B3110" s="6" t="str">
        <x:v>平</x:v>
      </x:c>
      <x:c r="C3110" s="6" t="str">
        <x:f>IF(B3110="","Needs decision","Ready")</x:f>
        <x:v>Ready</x:v>
      </x:c>
      <x:c r="D3110" s="6" t="str">
        <x:v>平</x:v>
      </x:c>
      <x:c r="E3110" s="6" t="str">
        <x:v>lje (A)</x:v>
      </x:c>
      <x:c r="F3110" s="6" t="str">
        <x:v>1</x:v>
      </x:c>
      <x:c r="G3110" s="6" t="str"/>
      <x:c r="H3110" s="6" t="str">
        <x:f>IF(B3110="平","平",IF(B3110="","","仄"))</x:f>
        <x:v>平</x:v>
      </x:c>
      <x:c r="I3110" s="6" t="str">
        <x:f>IF(D3098="","",IF(AND(ISNUMBER(SEARCH("平",D3098)),OR(ISNUMBER(SEARCH("上",D3098)),ISNUMBER(SEARCH("去",D3098)),ISNUMBER(SEARCH("入",D3098)))),"Ambiguous",IF(ISNUMBER(SEARCH("平",D3098)),"平","仄")))</x:f>
        <x:v>仄</x:v>
      </x:c>
      <x:c r="J3110" s="7" t="str"/>
    </x:row>
    <x:row r="3111">
      <x:c r="A3111" s="5" t="str">
        <x:v>罽</x:v>
      </x:c>
      <x:c r="B3111" s="6" t="str">
        <x:v>去</x:v>
      </x:c>
      <x:c r="C3111" s="6" t="str">
        <x:f>IF(B3111="","Needs decision","Ready")</x:f>
        <x:v>Ready</x:v>
      </x:c>
      <x:c r="D3111" s="6" t="str">
        <x:v>去</x:v>
      </x:c>
      <x:c r="E3111" s="6" t="str">
        <x:v>kjejH (C)</x:v>
      </x:c>
      <x:c r="F3111" s="6" t="str">
        <x:v>1</x:v>
      </x:c>
      <x:c r="G3111" s="6" t="str"/>
      <x:c r="H3111" s="6" t="str">
        <x:f>IF(B3111="平","平",IF(B3111="","","仄"))</x:f>
        <x:v>仄</x:v>
      </x:c>
      <x:c r="I3111" s="6" t="str">
        <x:f>IF(D3099="","",IF(AND(ISNUMBER(SEARCH("平",D3099)),OR(ISNUMBER(SEARCH("上",D3099)),ISNUMBER(SEARCH("去",D3099)),ISNUMBER(SEARCH("入",D3099)))),"Ambiguous",IF(ISNUMBER(SEARCH("平",D3099)),"平","仄")))</x:f>
        <x:v>仄</x:v>
      </x:c>
      <x:c r="J3111" s="7" t="str"/>
    </x:row>
    <x:row r="3112">
      <x:c r="A3112" s="5" t="str">
        <x:v>羅</x:v>
      </x:c>
      <x:c r="B3112" s="6" t="str">
        <x:v>平</x:v>
      </x:c>
      <x:c r="C3112" s="6" t="str">
        <x:f>IF(B3112="","Needs decision","Ready")</x:f>
        <x:v>Ready</x:v>
      </x:c>
      <x:c r="D3112" s="6" t="str">
        <x:v>平</x:v>
      </x:c>
      <x:c r="E3112" s="6" t="str">
        <x:v>la (A)</x:v>
      </x:c>
      <x:c r="F3112" s="6" t="str">
        <x:v>1</x:v>
      </x:c>
      <x:c r="G3112" s="6" t="str"/>
      <x:c r="H3112" s="6" t="str">
        <x:f>IF(B3112="平","平",IF(B3112="","","仄"))</x:f>
        <x:v>平</x:v>
      </x:c>
      <x:c r="I3112" s="6" t="str">
        <x:f>IF(D3100="","",IF(AND(ISNUMBER(SEARCH("平",D3100)),OR(ISNUMBER(SEARCH("上",D3100)),ISNUMBER(SEARCH("去",D3100)),ISNUMBER(SEARCH("入",D3100)))),"Ambiguous",IF(ISNUMBER(SEARCH("平",D3100)),"平","仄")))</x:f>
        <x:v>仄</x:v>
      </x:c>
      <x:c r="J3112" s="7" t="str"/>
    </x:row>
    <x:row r="3113">
      <x:c r="A3113" s="5" t="str">
        <x:v>羆</x:v>
      </x:c>
      <x:c r="B3113" s="6" t="str">
        <x:v>平</x:v>
      </x:c>
      <x:c r="C3113" s="6" t="str">
        <x:f>IF(B3113="","Needs decision","Ready")</x:f>
        <x:v>Ready</x:v>
      </x:c>
      <x:c r="D3113" s="6" t="str">
        <x:v>平</x:v>
      </x:c>
      <x:c r="E3113" s="6" t="str">
        <x:v>pje (A)</x:v>
      </x:c>
      <x:c r="F3113" s="6" t="str">
        <x:v>1</x:v>
      </x:c>
      <x:c r="G3113" s="6" t="str"/>
      <x:c r="H3113" s="6" t="str">
        <x:f>IF(B3113="平","平",IF(B3113="","","仄"))</x:f>
        <x:v>平</x:v>
      </x:c>
      <x:c r="I3113" s="6" t="str">
        <x:f>IF(D3101="","",IF(AND(ISNUMBER(SEARCH("平",D3101)),OR(ISNUMBER(SEARCH("上",D3101)),ISNUMBER(SEARCH("去",D3101)),ISNUMBER(SEARCH("入",D3101)))),"Ambiguous",IF(ISNUMBER(SEARCH("平",D3101)),"平","仄")))</x:f>
        <x:v>平</x:v>
      </x:c>
      <x:c r="J3113" s="7" t="str"/>
    </x:row>
    <x:row r="3114">
      <x:c r="A3114" s="5" t="str">
        <x:v>羈</x:v>
      </x:c>
      <x:c r="B3114" s="6" t="str">
        <x:v>平</x:v>
      </x:c>
      <x:c r="C3114" s="6" t="str">
        <x:f>IF(B3114="","Needs decision","Ready")</x:f>
        <x:v>Ready</x:v>
      </x:c>
      <x:c r="D3114" s="6" t="str">
        <x:v>平</x:v>
      </x:c>
      <x:c r="E3114" s="6" t="str">
        <x:v>kje (A)</x:v>
      </x:c>
      <x:c r="F3114" s="6" t="str">
        <x:v>1</x:v>
      </x:c>
      <x:c r="G3114" s="6" t="str"/>
      <x:c r="H3114" s="6" t="str">
        <x:f>IF(B3114="平","平",IF(B3114="","","仄"))</x:f>
        <x:v>平</x:v>
      </x:c>
      <x:c r="I3114" s="6" t="str">
        <x:f>IF(D3102="","",IF(AND(ISNUMBER(SEARCH("平",D3102)),OR(ISNUMBER(SEARCH("上",D3102)),ISNUMBER(SEARCH("去",D3102)),ISNUMBER(SEARCH("入",D3102)))),"Ambiguous",IF(ISNUMBER(SEARCH("平",D3102)),"平","仄")))</x:f>
        <x:v>仄</x:v>
      </x:c>
      <x:c r="J3114" s="7" t="str"/>
    </x:row>
    <x:row r="3115">
      <x:c r="A3115" s="5" t="str">
        <x:v>羊</x:v>
      </x:c>
      <x:c r="B3115" s="6" t="str">
        <x:v>平</x:v>
      </x:c>
      <x:c r="C3115" s="6" t="str">
        <x:f>IF(B3115="","Needs decision","Ready")</x:f>
        <x:v>Ready</x:v>
      </x:c>
      <x:c r="D3115" s="6" t="str">
        <x:v>平</x:v>
      </x:c>
      <x:c r="E3115" s="6" t="str">
        <x:v>yang (A)</x:v>
      </x:c>
      <x:c r="F3115" s="6" t="str">
        <x:v>1</x:v>
      </x:c>
      <x:c r="G3115" s="6" t="str"/>
      <x:c r="H3115" s="6" t="str">
        <x:f>IF(B3115="平","平",IF(B3115="","","仄"))</x:f>
        <x:v>平</x:v>
      </x:c>
      <x:c r="I3115" s="6" t="str">
        <x:f>IF(D3103="","",IF(AND(ISNUMBER(SEARCH("平",D3103)),OR(ISNUMBER(SEARCH("上",D3103)),ISNUMBER(SEARCH("去",D3103)),ISNUMBER(SEARCH("入",D3103)))),"Ambiguous",IF(ISNUMBER(SEARCH("平",D3103)),"平","仄")))</x:f>
        <x:v>仄</x:v>
      </x:c>
      <x:c r="J3115" s="7" t="str"/>
    </x:row>
    <x:row r="3116">
      <x:c r="A3116" s="5" t="str">
        <x:v>羌</x:v>
      </x:c>
      <x:c r="B3116" s="6" t="str">
        <x:v>平</x:v>
      </x:c>
      <x:c r="C3116" s="6" t="str">
        <x:f>IF(B3116="","Needs decision","Ready")</x:f>
        <x:v>Ready</x:v>
      </x:c>
      <x:c r="D3116" s="6" t="str">
        <x:v>平</x:v>
      </x:c>
      <x:c r="E3116" s="6" t="str">
        <x:v>khjang (A)</x:v>
      </x:c>
      <x:c r="F3116" s="6" t="str">
        <x:v>1</x:v>
      </x:c>
      <x:c r="G3116" s="6" t="str"/>
      <x:c r="H3116" s="6" t="str">
        <x:f>IF(B3116="平","平",IF(B3116="","","仄"))</x:f>
        <x:v>平</x:v>
      </x:c>
      <x:c r="I3116" s="6" t="str">
        <x:f>IF(D3104="","",IF(AND(ISNUMBER(SEARCH("平",D3104)),OR(ISNUMBER(SEARCH("上",D3104)),ISNUMBER(SEARCH("去",D3104)),ISNUMBER(SEARCH("入",D3104)))),"Ambiguous",IF(ISNUMBER(SEARCH("平",D3104)),"平","仄")))</x:f>
        <x:v>仄</x:v>
      </x:c>
      <x:c r="J3116" s="7" t="str"/>
    </x:row>
    <x:row r="3117">
      <x:c r="A3117" s="5" t="str">
        <x:v>美</x:v>
      </x:c>
      <x:c r="B3117" s="6" t="str">
        <x:v>上</x:v>
      </x:c>
      <x:c r="C3117" s="6" t="str">
        <x:f>IF(B3117="","Needs decision","Ready")</x:f>
        <x:v>Ready</x:v>
      </x:c>
      <x:c r="D3117" s="6" t="str">
        <x:v>上</x:v>
      </x:c>
      <x:c r="E3117" s="6" t="str">
        <x:v>mijX (B)</x:v>
      </x:c>
      <x:c r="F3117" s="6" t="str">
        <x:v>1</x:v>
      </x:c>
      <x:c r="G3117" s="6" t="str"/>
      <x:c r="H3117" s="6" t="str">
        <x:f>IF(B3117="平","平",IF(B3117="","","仄"))</x:f>
        <x:v>仄</x:v>
      </x:c>
      <x:c r="I3117" s="6" t="str">
        <x:f>IF(D3105="","",IF(AND(ISNUMBER(SEARCH("平",D3105)),OR(ISNUMBER(SEARCH("上",D3105)),ISNUMBER(SEARCH("去",D3105)),ISNUMBER(SEARCH("入",D3105)))),"Ambiguous",IF(ISNUMBER(SEARCH("平",D3105)),"平","仄")))</x:f>
        <x:v>仄</x:v>
      </x:c>
      <x:c r="J3117" s="7" t="str"/>
    </x:row>
    <x:row r="3118">
      <x:c r="A3118" s="5" t="str">
        <x:v>羕</x:v>
      </x:c>
      <x:c r="B3118" s="6" t="str">
        <x:v>去</x:v>
      </x:c>
      <x:c r="C3118" s="6" t="str">
        <x:f>IF(B3118="","Needs decision","Ready")</x:f>
        <x:v>Ready</x:v>
      </x:c>
      <x:c r="D3118" s="6" t="str">
        <x:v>去</x:v>
      </x:c>
      <x:c r="E3118" s="6" t="str">
        <x:v>yangH (C)</x:v>
      </x:c>
      <x:c r="F3118" s="6" t="str">
        <x:v>1</x:v>
      </x:c>
      <x:c r="G3118" s="6" t="str"/>
      <x:c r="H3118" s="6" t="str">
        <x:f>IF(B3118="平","平",IF(B3118="","","仄"))</x:f>
        <x:v>仄</x:v>
      </x:c>
      <x:c r="I3118" s="6" t="str">
        <x:f>IF(D3106="","",IF(AND(ISNUMBER(SEARCH("平",D3106)),OR(ISNUMBER(SEARCH("上",D3106)),ISNUMBER(SEARCH("去",D3106)),ISNUMBER(SEARCH("入",D3106)))),"Ambiguous",IF(ISNUMBER(SEARCH("平",D3106)),"平","仄")))</x:f>
        <x:v>仄</x:v>
      </x:c>
      <x:c r="J3118" s="7" t="str"/>
    </x:row>
    <x:row r="3119">
      <x:c r="A3119" s="5" t="str">
        <x:v>羖</x:v>
      </x:c>
      <x:c r="B3119" s="6" t="str">
        <x:v>上</x:v>
      </x:c>
      <x:c r="C3119" s="6" t="str">
        <x:f>IF(B3119="","Needs decision","Ready")</x:f>
        <x:v>Ready</x:v>
      </x:c>
      <x:c r="D3119" s="6" t="str">
        <x:v>上</x:v>
      </x:c>
      <x:c r="E3119" s="6" t="str">
        <x:v>kuX (B)</x:v>
      </x:c>
      <x:c r="F3119" s="6" t="str">
        <x:v>1</x:v>
      </x:c>
      <x:c r="G3119" s="6" t="str"/>
      <x:c r="H3119" s="6" t="str">
        <x:f>IF(B3119="平","平",IF(B3119="","","仄"))</x:f>
        <x:v>仄</x:v>
      </x:c>
      <x:c r="I3119" s="6" t="str">
        <x:f>IF(D3107="","",IF(AND(ISNUMBER(SEARCH("平",D3107)),OR(ISNUMBER(SEARCH("上",D3107)),ISNUMBER(SEARCH("去",D3107)),ISNUMBER(SEARCH("入",D3107)))),"Ambiguous",IF(ISNUMBER(SEARCH("平",D3107)),"平","仄")))</x:f>
        <x:v>仄</x:v>
      </x:c>
      <x:c r="J3119" s="7" t="str"/>
    </x:row>
    <x:row r="3120">
      <x:c r="A3120" s="5" t="str">
        <x:v>羞</x:v>
      </x:c>
      <x:c r="B3120" s="6" t="str">
        <x:v>平</x:v>
      </x:c>
      <x:c r="C3120" s="6" t="str">
        <x:f>IF(B3120="","Needs decision","Ready")</x:f>
        <x:v>Ready</x:v>
      </x:c>
      <x:c r="D3120" s="6" t="str">
        <x:v>平</x:v>
      </x:c>
      <x:c r="E3120" s="6" t="str">
        <x:v>sjuw (A)</x:v>
      </x:c>
      <x:c r="F3120" s="6" t="str">
        <x:v>1</x:v>
      </x:c>
      <x:c r="G3120" s="6" t="str"/>
      <x:c r="H3120" s="6" t="str">
        <x:f>IF(B3120="平","平",IF(B3120="","","仄"))</x:f>
        <x:v>平</x:v>
      </x:c>
      <x:c r="I3120" s="6" t="str">
        <x:f>IF(D3108="","",IF(AND(ISNUMBER(SEARCH("平",D3108)),OR(ISNUMBER(SEARCH("上",D3108)),ISNUMBER(SEARCH("去",D3108)),ISNUMBER(SEARCH("入",D3108)))),"Ambiguous",IF(ISNUMBER(SEARCH("平",D3108)),"平","仄")))</x:f>
        <x:v>仄</x:v>
      </x:c>
      <x:c r="J3120" s="7" t="str"/>
    </x:row>
    <x:row r="3121">
      <x:c r="A3121" s="5" t="str">
        <x:v>羣</x:v>
      </x:c>
      <x:c r="B3121" s="6" t="str">
        <x:v>平</x:v>
      </x:c>
      <x:c r="C3121" s="6" t="str">
        <x:f>IF(B3121="","Needs decision","Ready")</x:f>
        <x:v>Ready</x:v>
      </x:c>
      <x:c r="D3121" s="6" t="str">
        <x:v>平</x:v>
      </x:c>
      <x:c r="E3121" s="6" t="str">
        <x:v>gjun (A)</x:v>
      </x:c>
      <x:c r="F3121" s="6" t="str">
        <x:v>1</x:v>
      </x:c>
      <x:c r="G3121" s="6" t="str"/>
      <x:c r="H3121" s="6" t="str">
        <x:f>IF(B3121="平","平",IF(B3121="","","仄"))</x:f>
        <x:v>平</x:v>
      </x:c>
      <x:c r="I3121" s="6" t="str">
        <x:f>IF(D3109="","",IF(AND(ISNUMBER(SEARCH("平",D3109)),OR(ISNUMBER(SEARCH("上",D3109)),ISNUMBER(SEARCH("去",D3109)),ISNUMBER(SEARCH("入",D3109)))),"Ambiguous",IF(ISNUMBER(SEARCH("平",D3109)),"平","仄")))</x:f>
        <x:v>Ambiguous</x:v>
      </x:c>
      <x:c r="J3121" s="7" t="str"/>
    </x:row>
    <x:row r="3122">
      <x:c r="A3122" s="5" t="str">
        <x:v>群</x:v>
      </x:c>
      <x:c r="B3122" s="6" t="str">
        <x:v>平</x:v>
      </x:c>
      <x:c r="C3122" s="6" t="str">
        <x:f>IF(B3122="","Needs decision","Ready")</x:f>
        <x:v>Ready</x:v>
      </x:c>
      <x:c r="D3122" s="6" t="str">
        <x:v>平</x:v>
      </x:c>
      <x:c r="E3122" s="6" t="str">
        <x:v>gjun (A)</x:v>
      </x:c>
      <x:c r="F3122" s="6" t="str">
        <x:v>1</x:v>
      </x:c>
      <x:c r="G3122" s="6" t="str"/>
      <x:c r="H3122" s="6" t="str">
        <x:f>IF(B3122="平","平",IF(B3122="","","仄"))</x:f>
        <x:v>平</x:v>
      </x:c>
      <x:c r="I3122" s="6" t="str">
        <x:f>IF(D3110="","",IF(AND(ISNUMBER(SEARCH("平",D3110)),OR(ISNUMBER(SEARCH("上",D3110)),ISNUMBER(SEARCH("去",D3110)),ISNUMBER(SEARCH("入",D3110)))),"Ambiguous",IF(ISNUMBER(SEARCH("平",D3110)),"平","仄")))</x:f>
        <x:v>平</x:v>
      </x:c>
      <x:c r="J3122" s="7" t="str"/>
    </x:row>
    <x:row r="3123">
      <x:c r="A3123" s="5" t="str">
        <x:v>羨</x:v>
      </x:c>
      <x:c r="B3123" s="6" t="str">
        <x:v>上</x:v>
      </x:c>
      <x:c r="C3123" s="6" t="str">
        <x:f>IF(B3123="","Needs decision","Ready")</x:f>
        <x:v>Ready</x:v>
      </x:c>
      <x:c r="D3123" s="6" t="str">
        <x:v>去/平</x:v>
      </x:c>
      <x:c r="E3123" s="6" t="str">
        <x:v>zjenH (C); yen (A)</x:v>
      </x:c>
      <x:c r="F3123" s="6" t="str">
        <x:v>2</x:v>
      </x:c>
      <x:c r="G3123" s="6" t="str">
        <x:v>User workbook edit 2026-09-03</x:v>
      </x:c>
      <x:c r="H3123" s="6" t="str">
        <x:f>IF(B3123="平","平",IF(B3123="","","仄"))</x:f>
        <x:v>仄</x:v>
      </x:c>
      <x:c r="I3123" s="6" t="str">
        <x:f>IF(D3111="","",IF(AND(ISNUMBER(SEARCH("平",D3111)),OR(ISNUMBER(SEARCH("上",D3111)),ISNUMBER(SEARCH("去",D3111)),ISNUMBER(SEARCH("入",D3111)))),"Ambiguous",IF(ISNUMBER(SEARCH("平",D3111)),"平","仄")))</x:f>
        <x:v>仄</x:v>
      </x:c>
      <x:c r="J3123" s="7" t="str">
        <x:v>manual user correction</x:v>
      </x:c>
    </x:row>
    <x:row r="3124">
      <x:c r="A3124" s="5" t="str">
        <x:v>義</x:v>
      </x:c>
      <x:c r="B3124" s="6" t="str">
        <x:v>去</x:v>
      </x:c>
      <x:c r="C3124" s="6" t="str">
        <x:f>IF(B3124="","Needs decision","Ready")</x:f>
        <x:v>Ready</x:v>
      </x:c>
      <x:c r="D3124" s="6" t="str">
        <x:v>去</x:v>
      </x:c>
      <x:c r="E3124" s="6" t="str">
        <x:v>ngjeH (C)</x:v>
      </x:c>
      <x:c r="F3124" s="6" t="str">
        <x:v>1</x:v>
      </x:c>
      <x:c r="G3124" s="6" t="str"/>
      <x:c r="H3124" s="6" t="str">
        <x:f>IF(B3124="平","平",IF(B3124="","","仄"))</x:f>
        <x:v>仄</x:v>
      </x:c>
      <x:c r="I3124" s="6" t="str">
        <x:f>IF(D3112="","",IF(AND(ISNUMBER(SEARCH("平",D3112)),OR(ISNUMBER(SEARCH("上",D3112)),ISNUMBER(SEARCH("去",D3112)),ISNUMBER(SEARCH("入",D3112)))),"Ambiguous",IF(ISNUMBER(SEARCH("平",D3112)),"平","仄")))</x:f>
        <x:v>平</x:v>
      </x:c>
      <x:c r="J3124" s="7" t="str"/>
    </x:row>
    <x:row r="3125">
      <x:c r="A3125" s="5" t="str">
        <x:v>羮</x:v>
      </x:c>
      <x:c r="B3125" s="6" t="str">
        <x:v>平</x:v>
      </x:c>
      <x:c r="C3125" s="6" t="str">
        <x:f>IF(B3125="","Needs decision","Ready")</x:f>
        <x:v>Ready</x:v>
      </x:c>
      <x:c r="D3125" s="6" t="str">
        <x:v>平</x:v>
      </x:c>
      <x:c r="E3125" s="6" t="str"/>
      <x:c r="F3125" s="6" t="str"/>
      <x:c r="G3125" s="6" t="str">
        <x:v>Manual user correction/addition</x:v>
      </x:c>
      <x:c r="H3125" s="6" t="str">
        <x:f>IF(B3125="平","平",IF(B3125="","","仄"))</x:f>
        <x:v>平</x:v>
      </x:c>
      <x:c r="I3125" s="6" t="str">
        <x:f>IF(D3113="","",IF(AND(ISNUMBER(SEARCH("平",D3113)),OR(ISNUMBER(SEARCH("上",D3113)),ISNUMBER(SEARCH("去",D3113)),ISNUMBER(SEARCH("入",D3113)))),"Ambiguous",IF(ISNUMBER(SEARCH("平",D3113)),"平","仄")))</x:f>
        <x:v>平</x:v>
      </x:c>
      <x:c r="J3125" s="7" t="str">
        <x:v>manual user correction</x:v>
      </x:c>
    </x:row>
    <x:row r="3126">
      <x:c r="A3126" s="5" t="str">
        <x:v>羯</x:v>
      </x:c>
      <x:c r="B3126" s="6" t="str">
        <x:v>入</x:v>
      </x:c>
      <x:c r="C3126" s="6" t="str">
        <x:f>IF(B3126="","Needs decision","Ready")</x:f>
        <x:v>Ready</x:v>
      </x:c>
      <x:c r="D3126" s="6" t="str">
        <x:v>入</x:v>
      </x:c>
      <x:c r="E3126" s="6" t="str">
        <x:v>kjot [kɨ̯ət] (入)</x:v>
      </x:c>
      <x:c r="F3126" s="6" t="str">
        <x:v>1</x:v>
      </x:c>
      <x:c r="G3126" s="6" t="str">
        <x:v>Tang 300 gap; frequency 1; provisional from Xun Gong</x:v>
      </x:c>
      <x:c r="H3126" s="6" t="str">
        <x:f>IF(B3126="平","平",IF(B3126="","","仄"))</x:f>
        <x:v>仄</x:v>
      </x:c>
      <x:c r="I3126" s="6" t="str">
        <x:f>IF(D3114="","",IF(AND(ISNUMBER(SEARCH("平",D3114)),OR(ISNUMBER(SEARCH("上",D3114)),ISNUMBER(SEARCH("去",D3114)),ISNUMBER(SEARCH("入",D3114)))),"Ambiguous",IF(ISNUMBER(SEARCH("平",D3114)),"平","仄")))</x:f>
        <x:v>平</x:v>
      </x:c>
      <x:c r="J3126" s="7" t="str">
        <x:v>Xun Gong, Tang 300 gap fill</x:v>
      </x:c>
    </x:row>
    <x:row r="3127">
      <x:c r="A3127" s="5" t="str">
        <x:v>羲</x:v>
      </x:c>
      <x:c r="B3127" s="6" t="str">
        <x:v>平</x:v>
      </x:c>
      <x:c r="C3127" s="6" t="str">
        <x:f>IF(B3127="","Needs decision","Ready")</x:f>
        <x:v>Ready</x:v>
      </x:c>
      <x:c r="D3127" s="6" t="str">
        <x:v>平</x:v>
      </x:c>
      <x:c r="E3127" s="6" t="str">
        <x:v>xje (A)</x:v>
      </x:c>
      <x:c r="F3127" s="6" t="str">
        <x:v>1</x:v>
      </x:c>
      <x:c r="G3127" s="6" t="str"/>
      <x:c r="H3127" s="6" t="str">
        <x:f>IF(B3127="平","平",IF(B3127="","","仄"))</x:f>
        <x:v>平</x:v>
      </x:c>
      <x:c r="I3127" s="6" t="str">
        <x:f>IF(D3115="","",IF(AND(ISNUMBER(SEARCH("平",D3115)),OR(ISNUMBER(SEARCH("上",D3115)),ISNUMBER(SEARCH("去",D3115)),ISNUMBER(SEARCH("入",D3115)))),"Ambiguous",IF(ISNUMBER(SEARCH("平",D3115)),"平","仄")))</x:f>
        <x:v>平</x:v>
      </x:c>
      <x:c r="J3127" s="7" t="str"/>
    </x:row>
    <x:row r="3128">
      <x:c r="A3128" s="5" t="str">
        <x:v>羴</x:v>
      </x:c>
      <x:c r="B3128" s="6" t="str">
        <x:v>平</x:v>
      </x:c>
      <x:c r="C3128" s="6" t="str">
        <x:f>IF(B3128="","Needs decision","Ready")</x:f>
        <x:v>Ready</x:v>
      </x:c>
      <x:c r="D3128" s="6" t="str">
        <x:v>平</x:v>
      </x:c>
      <x:c r="E3128" s="6" t="str">
        <x:v>syen (A)</x:v>
      </x:c>
      <x:c r="F3128" s="6" t="str">
        <x:v>1</x:v>
      </x:c>
      <x:c r="G3128" s="6" t="str"/>
      <x:c r="H3128" s="6" t="str">
        <x:f>IF(B3128="平","平",IF(B3128="","","仄"))</x:f>
        <x:v>平</x:v>
      </x:c>
      <x:c r="I3128" s="6" t="str">
        <x:f>IF(D3116="","",IF(AND(ISNUMBER(SEARCH("平",D3116)),OR(ISNUMBER(SEARCH("上",D3116)),ISNUMBER(SEARCH("去",D3116)),ISNUMBER(SEARCH("入",D3116)))),"Ambiguous",IF(ISNUMBER(SEARCH("平",D3116)),"平","仄")))</x:f>
        <x:v>平</x:v>
      </x:c>
      <x:c r="J3128" s="7" t="str"/>
    </x:row>
    <x:row r="3129">
      <x:c r="A3129" s="5" t="str">
        <x:v>羶</x:v>
      </x:c>
      <x:c r="B3129" s="6" t="str">
        <x:v>平</x:v>
      </x:c>
      <x:c r="C3129" s="6" t="str">
        <x:f>IF(B3129="","Needs decision","Ready")</x:f>
        <x:v>Ready</x:v>
      </x:c>
      <x:c r="D3129" s="6" t="str">
        <x:v>平</x:v>
      </x:c>
      <x:c r="E3129" s="6" t="str">
        <x:v>syen (A)</x:v>
      </x:c>
      <x:c r="F3129" s="6" t="str">
        <x:v>1</x:v>
      </x:c>
      <x:c r="G3129" s="6" t="str"/>
      <x:c r="H3129" s="6" t="str">
        <x:f>IF(B3129="平","平",IF(B3129="","","仄"))</x:f>
        <x:v>平</x:v>
      </x:c>
      <x:c r="I3129" s="6" t="str">
        <x:f>IF(D3117="","",IF(AND(ISNUMBER(SEARCH("平",D3117)),OR(ISNUMBER(SEARCH("上",D3117)),ISNUMBER(SEARCH("去",D3117)),ISNUMBER(SEARCH("入",D3117)))),"Ambiguous",IF(ISNUMBER(SEARCH("平",D3117)),"平","仄")))</x:f>
        <x:v>仄</x:v>
      </x:c>
      <x:c r="J3129" s="7" t="str"/>
    </x:row>
    <x:row r="3130">
      <x:c r="A3130" s="5" t="str">
        <x:v>羸</x:v>
      </x:c>
      <x:c r="B3130" s="6" t="str">
        <x:v>平</x:v>
      </x:c>
      <x:c r="C3130" s="6" t="str">
        <x:f>IF(B3130="","Needs decision","Ready")</x:f>
        <x:v>Ready</x:v>
      </x:c>
      <x:c r="D3130" s="6" t="str">
        <x:v>平</x:v>
      </x:c>
      <x:c r="E3130" s="6" t="str">
        <x:v>ljwe (A)</x:v>
      </x:c>
      <x:c r="F3130" s="6" t="str">
        <x:v>1</x:v>
      </x:c>
      <x:c r="G3130" s="6" t="str"/>
      <x:c r="H3130" s="6" t="str">
        <x:f>IF(B3130="平","平",IF(B3130="","","仄"))</x:f>
        <x:v>平</x:v>
      </x:c>
      <x:c r="I3130" s="6" t="str">
        <x:f>IF(D3118="","",IF(AND(ISNUMBER(SEARCH("平",D3118)),OR(ISNUMBER(SEARCH("上",D3118)),ISNUMBER(SEARCH("去",D3118)),ISNUMBER(SEARCH("入",D3118)))),"Ambiguous",IF(ISNUMBER(SEARCH("平",D3118)),"平","仄")))</x:f>
        <x:v>仄</x:v>
      </x:c>
      <x:c r="J3130" s="7" t="str"/>
    </x:row>
    <x:row r="3131">
      <x:c r="A3131" s="5" t="str">
        <x:v>羹</x:v>
      </x:c>
      <x:c r="B3131" s="6" t="str">
        <x:v>平</x:v>
      </x:c>
      <x:c r="C3131" s="6" t="str">
        <x:f>IF(B3131="","Needs decision","Ready")</x:f>
        <x:v>Ready</x:v>
      </x:c>
      <x:c r="D3131" s="6" t="str">
        <x:v>平</x:v>
      </x:c>
      <x:c r="E3131" s="6" t="str">
        <x:v>kaeng (A)</x:v>
      </x:c>
      <x:c r="F3131" s="6" t="str">
        <x:v>1</x:v>
      </x:c>
      <x:c r="G3131" s="6" t="str"/>
      <x:c r="H3131" s="6" t="str">
        <x:f>IF(B3131="平","平",IF(B3131="","","仄"))</x:f>
        <x:v>平</x:v>
      </x:c>
      <x:c r="I3131" s="6" t="str">
        <x:f>IF(D3119="","",IF(AND(ISNUMBER(SEARCH("平",D3119)),OR(ISNUMBER(SEARCH("上",D3119)),ISNUMBER(SEARCH("去",D3119)),ISNUMBER(SEARCH("入",D3119)))),"Ambiguous",IF(ISNUMBER(SEARCH("平",D3119)),"平","仄")))</x:f>
        <x:v>仄</x:v>
      </x:c>
      <x:c r="J3131" s="7" t="str"/>
    </x:row>
    <x:row r="3132">
      <x:c r="A3132" s="5" t="str">
        <x:v>羽</x:v>
      </x:c>
      <x:c r="B3132" s="6" t="str">
        <x:v>上</x:v>
      </x:c>
      <x:c r="C3132" s="6" t="str">
        <x:f>IF(B3132="","Needs decision","Ready")</x:f>
        <x:v>Ready</x:v>
      </x:c>
      <x:c r="D3132" s="6" t="str">
        <x:v>上</x:v>
      </x:c>
      <x:c r="E3132" s="6" t="str">
        <x:v>hjuX (B)</x:v>
      </x:c>
      <x:c r="F3132" s="6" t="str">
        <x:v>1</x:v>
      </x:c>
      <x:c r="G3132" s="6" t="str"/>
      <x:c r="H3132" s="6" t="str">
        <x:f>IF(B3132="平","平",IF(B3132="","","仄"))</x:f>
        <x:v>仄</x:v>
      </x:c>
      <x:c r="I3132" s="6" t="str">
        <x:f>IF(D3120="","",IF(AND(ISNUMBER(SEARCH("平",D3120)),OR(ISNUMBER(SEARCH("上",D3120)),ISNUMBER(SEARCH("去",D3120)),ISNUMBER(SEARCH("入",D3120)))),"Ambiguous",IF(ISNUMBER(SEARCH("平",D3120)),"平","仄")))</x:f>
        <x:v>平</x:v>
      </x:c>
      <x:c r="J3132" s="7" t="str"/>
    </x:row>
    <x:row r="3133">
      <x:c r="A3133" s="5" t="str">
        <x:v>羿</x:v>
      </x:c>
      <x:c r="B3133" s="6" t="str">
        <x:v>去</x:v>
      </x:c>
      <x:c r="C3133" s="6" t="str">
        <x:f>IF(B3133="","Needs decision","Ready")</x:f>
        <x:v>Ready</x:v>
      </x:c>
      <x:c r="D3133" s="6" t="str">
        <x:v>去</x:v>
      </x:c>
      <x:c r="E3133" s="6" t="str">
        <x:v>ngejH (C)</x:v>
      </x:c>
      <x:c r="F3133" s="6" t="str">
        <x:v>1</x:v>
      </x:c>
      <x:c r="G3133" s="6" t="str"/>
      <x:c r="H3133" s="6" t="str">
        <x:f>IF(B3133="平","平",IF(B3133="","","仄"))</x:f>
        <x:v>仄</x:v>
      </x:c>
      <x:c r="I3133" s="6" t="str">
        <x:f>IF(D3121="","",IF(AND(ISNUMBER(SEARCH("平",D3121)),OR(ISNUMBER(SEARCH("上",D3121)),ISNUMBER(SEARCH("去",D3121)),ISNUMBER(SEARCH("入",D3121)))),"Ambiguous",IF(ISNUMBER(SEARCH("平",D3121)),"平","仄")))</x:f>
        <x:v>平</x:v>
      </x:c>
      <x:c r="J3133" s="7" t="str"/>
    </x:row>
    <x:row r="3134">
      <x:c r="A3134" s="5" t="str">
        <x:v>翁</x:v>
      </x:c>
      <x:c r="B3134" s="6" t="str">
        <x:v>平</x:v>
      </x:c>
      <x:c r="C3134" s="6" t="str">
        <x:f>IF(B3134="","Needs decision","Ready")</x:f>
        <x:v>Ready</x:v>
      </x:c>
      <x:c r="D3134" s="6" t="str">
        <x:v>平</x:v>
      </x:c>
      <x:c r="E3134" s="6" t="str">
        <x:v>'uwng (A)</x:v>
      </x:c>
      <x:c r="F3134" s="6" t="str">
        <x:v>1</x:v>
      </x:c>
      <x:c r="G3134" s="6" t="str"/>
      <x:c r="H3134" s="6" t="str">
        <x:f>IF(B3134="平","平",IF(B3134="","","仄"))</x:f>
        <x:v>平</x:v>
      </x:c>
      <x:c r="I3134" s="6" t="str">
        <x:f>IF(D3122="","",IF(AND(ISNUMBER(SEARCH("平",D3122)),OR(ISNUMBER(SEARCH("上",D3122)),ISNUMBER(SEARCH("去",D3122)),ISNUMBER(SEARCH("入",D3122)))),"Ambiguous",IF(ISNUMBER(SEARCH("平",D3122)),"平","仄")))</x:f>
        <x:v>平</x:v>
      </x:c>
      <x:c r="J3134" s="7" t="str"/>
    </x:row>
    <x:row r="3135">
      <x:c r="A3135" s="5" t="str">
        <x:v>翅</x:v>
      </x:c>
      <x:c r="B3135" s="6" t="str">
        <x:v>去</x:v>
      </x:c>
      <x:c r="C3135" s="6" t="str">
        <x:f>IF(B3135="","Needs decision","Ready")</x:f>
        <x:v>Ready</x:v>
      </x:c>
      <x:c r="D3135" s="6" t="str">
        <x:v>去</x:v>
      </x:c>
      <x:c r="E3135" s="6" t="str">
        <x:v>syeH (C)</x:v>
      </x:c>
      <x:c r="F3135" s="6" t="str">
        <x:v>1</x:v>
      </x:c>
      <x:c r="G3135" s="6" t="str"/>
      <x:c r="H3135" s="6" t="str">
        <x:f>IF(B3135="平","平",IF(B3135="","","仄"))</x:f>
        <x:v>仄</x:v>
      </x:c>
      <x:c r="I3135" s="6" t="str">
        <x:f>IF(D3123="","",IF(AND(ISNUMBER(SEARCH("平",D3123)),OR(ISNUMBER(SEARCH("上",D3123)),ISNUMBER(SEARCH("去",D3123)),ISNUMBER(SEARCH("入",D3123)))),"Ambiguous",IF(ISNUMBER(SEARCH("平",D3123)),"平","仄")))</x:f>
        <x:v>Ambiguous</x:v>
      </x:c>
      <x:c r="J3135" s="7" t="str"/>
    </x:row>
    <x:row r="3136">
      <x:c r="A3136" s="5" t="str">
        <x:v>翊</x:v>
      </x:c>
      <x:c r="B3136" s="6" t="str">
        <x:v>入</x:v>
      </x:c>
      <x:c r="C3136" s="6" t="str">
        <x:f>IF(B3136="","Needs decision","Ready")</x:f>
        <x:v>Ready</x:v>
      </x:c>
      <x:c r="D3136" s="6" t="str">
        <x:v>入</x:v>
      </x:c>
      <x:c r="E3136" s="6" t="str">
        <x:v>yik (D)</x:v>
      </x:c>
      <x:c r="F3136" s="6" t="str">
        <x:v>1</x:v>
      </x:c>
      <x:c r="G3136" s="6" t="str"/>
      <x:c r="H3136" s="6" t="str">
        <x:f>IF(B3136="平","平",IF(B3136="","","仄"))</x:f>
        <x:v>仄</x:v>
      </x:c>
      <x:c r="I3136" s="6" t="str">
        <x:f>IF(D3124="","",IF(AND(ISNUMBER(SEARCH("平",D3124)),OR(ISNUMBER(SEARCH("上",D3124)),ISNUMBER(SEARCH("去",D3124)),ISNUMBER(SEARCH("入",D3124)))),"Ambiguous",IF(ISNUMBER(SEARCH("平",D3124)),"平","仄")))</x:f>
        <x:v>仄</x:v>
      </x:c>
      <x:c r="J3136" s="7" t="str"/>
    </x:row>
    <x:row r="3137">
      <x:c r="A3137" s="5" t="str">
        <x:v>翌</x:v>
      </x:c>
      <x:c r="B3137" s="6" t="str">
        <x:v>入</x:v>
      </x:c>
      <x:c r="C3137" s="6" t="str">
        <x:f>IF(B3137="","Needs decision","Ready")</x:f>
        <x:v>Ready</x:v>
      </x:c>
      <x:c r="D3137" s="6" t="str">
        <x:v>入</x:v>
      </x:c>
      <x:c r="E3137" s="6" t="str">
        <x:v>yik (D)</x:v>
      </x:c>
      <x:c r="F3137" s="6" t="str">
        <x:v>1</x:v>
      </x:c>
      <x:c r="G3137" s="6" t="str"/>
      <x:c r="H3137" s="6" t="str">
        <x:f>IF(B3137="平","平",IF(B3137="","","仄"))</x:f>
        <x:v>仄</x:v>
      </x:c>
      <x:c r="I3137" s="6" t="str">
        <x:f>IF(D3125="","",IF(AND(ISNUMBER(SEARCH("平",D3125)),OR(ISNUMBER(SEARCH("上",D3125)),ISNUMBER(SEARCH("去",D3125)),ISNUMBER(SEARCH("入",D3125)))),"Ambiguous",IF(ISNUMBER(SEARCH("平",D3125)),"平","仄")))</x:f>
        <x:v>平</x:v>
      </x:c>
      <x:c r="J3137" s="7" t="str"/>
    </x:row>
    <x:row r="3138">
      <x:c r="A3138" s="5" t="str">
        <x:v>翎</x:v>
      </x:c>
      <x:c r="B3138" s="6" t="str">
        <x:v>平</x:v>
      </x:c>
      <x:c r="C3138" s="6" t="str">
        <x:f>IF(B3138="","Needs decision","Ready")</x:f>
        <x:v>Ready</x:v>
      </x:c>
      <x:c r="D3138" s="6" t="str">
        <x:v>平</x:v>
      </x:c>
      <x:c r="E3138" s="6" t="str">
        <x:v>leng [l̙eŋ] (平)</x:v>
      </x:c>
      <x:c r="F3138" s="6" t="str">
        <x:v>1</x:v>
      </x:c>
      <x:c r="G3138" s="6" t="str">
        <x:v>Tang 300 gap; frequency 1; provisional from Xun Gong</x:v>
      </x:c>
      <x:c r="H3138" s="6" t="str">
        <x:f>IF(B3138="平","平",IF(B3138="","","仄"))</x:f>
        <x:v>平</x:v>
      </x:c>
      <x:c r="I3138" s="6" t="str">
        <x:f>IF(D3126="","",IF(AND(ISNUMBER(SEARCH("平",D3126)),OR(ISNUMBER(SEARCH("上",D3126)),ISNUMBER(SEARCH("去",D3126)),ISNUMBER(SEARCH("入",D3126)))),"Ambiguous",IF(ISNUMBER(SEARCH("平",D3126)),"平","仄")))</x:f>
        <x:v>仄</x:v>
      </x:c>
      <x:c r="J3138" s="7" t="str">
        <x:v>Xun Gong, Tang 300 gap fill</x:v>
      </x:c>
    </x:row>
    <x:row r="3139">
      <x:c r="A3139" s="5" t="str">
        <x:v>翏</x:v>
      </x:c>
      <x:c r="B3139" s="6" t="str">
        <x:v>去</x:v>
      </x:c>
      <x:c r="C3139" s="6" t="str">
        <x:f>IF(B3139="","Needs decision","Ready")</x:f>
        <x:v>Ready</x:v>
      </x:c>
      <x:c r="D3139" s="6" t="str">
        <x:v>去</x:v>
      </x:c>
      <x:c r="E3139" s="6" t="str">
        <x:v>ljuwH (C)</x:v>
      </x:c>
      <x:c r="F3139" s="6" t="str">
        <x:v>1</x:v>
      </x:c>
      <x:c r="G3139" s="6" t="str"/>
      <x:c r="H3139" s="6" t="str">
        <x:f>IF(B3139="平","平",IF(B3139="","","仄"))</x:f>
        <x:v>仄</x:v>
      </x:c>
      <x:c r="I3139" s="6" t="str">
        <x:f>IF(D3127="","",IF(AND(ISNUMBER(SEARCH("平",D3127)),OR(ISNUMBER(SEARCH("上",D3127)),ISNUMBER(SEARCH("去",D3127)),ISNUMBER(SEARCH("入",D3127)))),"Ambiguous",IF(ISNUMBER(SEARCH("平",D3127)),"平","仄")))</x:f>
        <x:v>平</x:v>
      </x:c>
      <x:c r="J3139" s="7" t="str"/>
    </x:row>
    <x:row r="3140">
      <x:c r="A3140" s="5" t="str">
        <x:v>習</x:v>
      </x:c>
      <x:c r="B3140" s="6" t="str">
        <x:v>入</x:v>
      </x:c>
      <x:c r="C3140" s="6" t="str">
        <x:f>IF(B3140="","Needs decision","Ready")</x:f>
        <x:v>Ready</x:v>
      </x:c>
      <x:c r="D3140" s="6" t="str">
        <x:v>入</x:v>
      </x:c>
      <x:c r="E3140" s="6" t="str">
        <x:v>zip (D)</x:v>
      </x:c>
      <x:c r="F3140" s="6" t="str">
        <x:v>1</x:v>
      </x:c>
      <x:c r="G3140" s="6" t="str"/>
      <x:c r="H3140" s="6" t="str">
        <x:f>IF(B3140="平","平",IF(B3140="","","仄"))</x:f>
        <x:v>仄</x:v>
      </x:c>
      <x:c r="I3140" s="6" t="str">
        <x:f>IF(D3128="","",IF(AND(ISNUMBER(SEARCH("平",D3128)),OR(ISNUMBER(SEARCH("上",D3128)),ISNUMBER(SEARCH("去",D3128)),ISNUMBER(SEARCH("入",D3128)))),"Ambiguous",IF(ISNUMBER(SEARCH("平",D3128)),"平","仄")))</x:f>
        <x:v>平</x:v>
      </x:c>
      <x:c r="J3140" s="7" t="str"/>
    </x:row>
    <x:row r="3141">
      <x:c r="A3141" s="5" t="str">
        <x:v>翔</x:v>
      </x:c>
      <x:c r="B3141" s="6" t="str">
        <x:v>平</x:v>
      </x:c>
      <x:c r="C3141" s="6" t="str">
        <x:f>IF(B3141="","Needs decision","Ready")</x:f>
        <x:v>Ready</x:v>
      </x:c>
      <x:c r="D3141" s="6" t="str">
        <x:v>平</x:v>
      </x:c>
      <x:c r="E3141" s="6" t="str">
        <x:v>zjang (A)</x:v>
      </x:c>
      <x:c r="F3141" s="6" t="str">
        <x:v>1</x:v>
      </x:c>
      <x:c r="G3141" s="6" t="str"/>
      <x:c r="H3141" s="6" t="str">
        <x:f>IF(B3141="平","平",IF(B3141="","","仄"))</x:f>
        <x:v>平</x:v>
      </x:c>
      <x:c r="I3141" s="6" t="str">
        <x:f>IF(D3129="","",IF(AND(ISNUMBER(SEARCH("平",D3129)),OR(ISNUMBER(SEARCH("上",D3129)),ISNUMBER(SEARCH("去",D3129)),ISNUMBER(SEARCH("入",D3129)))),"Ambiguous",IF(ISNUMBER(SEARCH("平",D3129)),"平","仄")))</x:f>
        <x:v>平</x:v>
      </x:c>
      <x:c r="J3141" s="7" t="str"/>
    </x:row>
    <x:row r="3142">
      <x:c r="A3142" s="5" t="str">
        <x:v>翕</x:v>
      </x:c>
      <x:c r="B3142" s="6" t="str">
        <x:v>入</x:v>
      </x:c>
      <x:c r="C3142" s="6" t="str">
        <x:f>IF(B3142="","Needs decision","Ready")</x:f>
        <x:v>Ready</x:v>
      </x:c>
      <x:c r="D3142" s="6" t="str">
        <x:v>入</x:v>
      </x:c>
      <x:c r="E3142" s="6" t="str">
        <x:v>xip (D)</x:v>
      </x:c>
      <x:c r="F3142" s="6" t="str">
        <x:v>1</x:v>
      </x:c>
      <x:c r="G3142" s="6" t="str"/>
      <x:c r="H3142" s="6" t="str">
        <x:f>IF(B3142="平","平",IF(B3142="","","仄"))</x:f>
        <x:v>仄</x:v>
      </x:c>
      <x:c r="I3142" s="6" t="str">
        <x:f>IF(D3130="","",IF(AND(ISNUMBER(SEARCH("平",D3130)),OR(ISNUMBER(SEARCH("上",D3130)),ISNUMBER(SEARCH("去",D3130)),ISNUMBER(SEARCH("入",D3130)))),"Ambiguous",IF(ISNUMBER(SEARCH("平",D3130)),"平","仄")))</x:f>
        <x:v>平</x:v>
      </x:c>
      <x:c r="J3142" s="7" t="str"/>
    </x:row>
    <x:row r="3143">
      <x:c r="A3143" s="5" t="str">
        <x:v>翟</x:v>
      </x:c>
      <x:c r="B3143" s="6" t="str">
        <x:v>入</x:v>
      </x:c>
      <x:c r="C3143" s="6" t="str">
        <x:f>IF(B3143="","Needs decision","Ready")</x:f>
        <x:v>Ready</x:v>
      </x:c>
      <x:c r="D3143" s="6" t="str">
        <x:v>入</x:v>
      </x:c>
      <x:c r="E3143" s="6" t="str">
        <x:v>dek (D)</x:v>
      </x:c>
      <x:c r="F3143" s="6" t="str">
        <x:v>1</x:v>
      </x:c>
      <x:c r="G3143" s="6" t="str"/>
      <x:c r="H3143" s="6" t="str">
        <x:f>IF(B3143="平","平",IF(B3143="","","仄"))</x:f>
        <x:v>仄</x:v>
      </x:c>
      <x:c r="I3143" s="6" t="str">
        <x:f>IF(D3131="","",IF(AND(ISNUMBER(SEARCH("平",D3131)),OR(ISNUMBER(SEARCH("上",D3131)),ISNUMBER(SEARCH("去",D3131)),ISNUMBER(SEARCH("入",D3131)))),"Ambiguous",IF(ISNUMBER(SEARCH("平",D3131)),"平","仄")))</x:f>
        <x:v>平</x:v>
      </x:c>
      <x:c r="J3143" s="7" t="str"/>
    </x:row>
    <x:row r="3144">
      <x:c r="A3144" s="5" t="str">
        <x:v>翠</x:v>
      </x:c>
      <x:c r="B3144" s="6" t="str">
        <x:v>去</x:v>
      </x:c>
      <x:c r="C3144" s="6" t="str">
        <x:f>IF(B3144="","Needs decision","Ready")</x:f>
        <x:v>Ready</x:v>
      </x:c>
      <x:c r="D3144" s="6" t="str">
        <x:v>去</x:v>
      </x:c>
      <x:c r="E3144" s="6" t="str"/>
      <x:c r="F3144" s="6" t="str"/>
      <x:c r="G3144" s="6" t="str">
        <x:v>Manual user correction/addition</x:v>
      </x:c>
      <x:c r="H3144" s="6" t="str">
        <x:f>IF(B3144="平","平",IF(B3144="","","仄"))</x:f>
        <x:v>仄</x:v>
      </x:c>
      <x:c r="I3144" s="6" t="str">
        <x:f>IF(D3132="","",IF(AND(ISNUMBER(SEARCH("平",D3132)),OR(ISNUMBER(SEARCH("上",D3132)),ISNUMBER(SEARCH("去",D3132)),ISNUMBER(SEARCH("入",D3132)))),"Ambiguous",IF(ISNUMBER(SEARCH("平",D3132)),"平","仄")))</x:f>
        <x:v>仄</x:v>
      </x:c>
      <x:c r="J3144" s="7" t="str">
        <x:v>manual user correction</x:v>
      </x:c>
    </x:row>
    <x:row r="3145">
      <x:c r="A3145" s="5" t="str">
        <x:v>翡</x:v>
      </x:c>
      <x:c r="B3145" s="6" t="str">
        <x:v>去</x:v>
      </x:c>
      <x:c r="C3145" s="6" t="str">
        <x:f>IF(B3145="","Needs decision","Ready")</x:f>
        <x:v>Ready</x:v>
      </x:c>
      <x:c r="D3145" s="6" t="str">
        <x:v>去</x:v>
      </x:c>
      <x:c r="E3145" s="6" t="str">
        <x:v>bj+jH [bwɨjh] (去)</x:v>
      </x:c>
      <x:c r="F3145" s="6" t="str">
        <x:v>1</x:v>
      </x:c>
      <x:c r="G3145" s="6" t="str">
        <x:v>Tang 300 gap; frequency 3; provisional from Xun Gong</x:v>
      </x:c>
      <x:c r="H3145" s="6" t="str">
        <x:f>IF(B3145="平","平",IF(B3145="","","仄"))</x:f>
        <x:v>仄</x:v>
      </x:c>
      <x:c r="I3145" s="6" t="str">
        <x:f>IF(D3133="","",IF(AND(ISNUMBER(SEARCH("平",D3133)),OR(ISNUMBER(SEARCH("上",D3133)),ISNUMBER(SEARCH("去",D3133)),ISNUMBER(SEARCH("入",D3133)))),"Ambiguous",IF(ISNUMBER(SEARCH("平",D3133)),"平","仄")))</x:f>
        <x:v>仄</x:v>
      </x:c>
      <x:c r="J3145" s="7" t="str">
        <x:v>Xun Gong, Tang 300 gap fill</x:v>
      </x:c>
    </x:row>
    <x:row r="3146">
      <x:c r="A3146" s="5" t="str">
        <x:v>翣</x:v>
      </x:c>
      <x:c r="B3146" s="6" t="str">
        <x:v>入</x:v>
      </x:c>
      <x:c r="C3146" s="6" t="str">
        <x:f>IF(B3146="","Needs decision","Ready")</x:f>
        <x:v>Ready</x:v>
      </x:c>
      <x:c r="D3146" s="6" t="str">
        <x:v>入</x:v>
      </x:c>
      <x:c r="E3146" s="6" t="str">
        <x:v>sraep (D)</x:v>
      </x:c>
      <x:c r="F3146" s="6" t="str">
        <x:v>1</x:v>
      </x:c>
      <x:c r="G3146" s="6" t="str"/>
      <x:c r="H3146" s="6" t="str">
        <x:f>IF(B3146="平","平",IF(B3146="","","仄"))</x:f>
        <x:v>仄</x:v>
      </x:c>
      <x:c r="I3146" s="6" t="str">
        <x:f>IF(D3134="","",IF(AND(ISNUMBER(SEARCH("平",D3134)),OR(ISNUMBER(SEARCH("上",D3134)),ISNUMBER(SEARCH("去",D3134)),ISNUMBER(SEARCH("入",D3134)))),"Ambiguous",IF(ISNUMBER(SEARCH("平",D3134)),"平","仄")))</x:f>
        <x:v>平</x:v>
      </x:c>
      <x:c r="J3146" s="7" t="str"/>
    </x:row>
    <x:row r="3147">
      <x:c r="A3147" s="5" t="str">
        <x:v>翥</x:v>
      </x:c>
      <x:c r="B3147" s="6" t="str">
        <x:v>去</x:v>
      </x:c>
      <x:c r="C3147" s="6" t="str">
        <x:f>IF(B3147="","Needs decision","Ready")</x:f>
        <x:v>Ready</x:v>
      </x:c>
      <x:c r="D3147" s="6" t="str">
        <x:v>去</x:v>
      </x:c>
      <x:c r="E3147" s="6" t="str">
        <x:v>tsyoH [tɕəh] (去)</x:v>
      </x:c>
      <x:c r="F3147" s="6" t="str">
        <x:v>1</x:v>
      </x:c>
      <x:c r="G3147" s="6" t="str">
        <x:v>Tang 300 gap; frequency 1; provisional from Xun Gong</x:v>
      </x:c>
      <x:c r="H3147" s="6" t="str">
        <x:f>IF(B3147="平","平",IF(B3147="","","仄"))</x:f>
        <x:v>仄</x:v>
      </x:c>
      <x:c r="I3147" s="6" t="str">
        <x:f>IF(D3135="","",IF(AND(ISNUMBER(SEARCH("平",D3135)),OR(ISNUMBER(SEARCH("上",D3135)),ISNUMBER(SEARCH("去",D3135)),ISNUMBER(SEARCH("入",D3135)))),"Ambiguous",IF(ISNUMBER(SEARCH("平",D3135)),"平","仄")))</x:f>
        <x:v>仄</x:v>
      </x:c>
      <x:c r="J3147" s="7" t="str">
        <x:v>Xun Gong, Tang 300 gap fill</x:v>
      </x:c>
    </x:row>
    <x:row r="3148">
      <x:c r="A3148" s="5" t="str">
        <x:v>翦</x:v>
      </x:c>
      <x:c r="B3148" s="6" t="str">
        <x:v>上</x:v>
      </x:c>
      <x:c r="C3148" s="6" t="str">
        <x:f>IF(B3148="","Needs decision","Ready")</x:f>
        <x:v>Ready</x:v>
      </x:c>
      <x:c r="D3148" s="6" t="str">
        <x:v>上</x:v>
      </x:c>
      <x:c r="E3148" s="6" t="str">
        <x:v>tsjenX (B)</x:v>
      </x:c>
      <x:c r="F3148" s="6" t="str">
        <x:v>1</x:v>
      </x:c>
      <x:c r="G3148" s="6" t="str"/>
      <x:c r="H3148" s="6" t="str">
        <x:f>IF(B3148="平","平",IF(B3148="","","仄"))</x:f>
        <x:v>仄</x:v>
      </x:c>
      <x:c r="I3148" s="6" t="str">
        <x:f>IF(D3136="","",IF(AND(ISNUMBER(SEARCH("平",D3136)),OR(ISNUMBER(SEARCH("上",D3136)),ISNUMBER(SEARCH("去",D3136)),ISNUMBER(SEARCH("入",D3136)))),"Ambiguous",IF(ISNUMBER(SEARCH("平",D3136)),"平","仄")))</x:f>
        <x:v>仄</x:v>
      </x:c>
      <x:c r="J3148" s="7" t="str"/>
    </x:row>
    <x:row r="3149">
      <x:c r="A3149" s="5" t="str">
        <x:v>翩</x:v>
      </x:c>
      <x:c r="B3149" s="6" t="str">
        <x:v>平</x:v>
      </x:c>
      <x:c r="C3149" s="6" t="str">
        <x:f>IF(B3149="","Needs decision","Ready")</x:f>
        <x:v>Ready</x:v>
      </x:c>
      <x:c r="D3149" s="6" t="str">
        <x:v>平</x:v>
      </x:c>
      <x:c r="E3149" s="6" t="str">
        <x:v>phjien (A)</x:v>
      </x:c>
      <x:c r="F3149" s="6" t="str">
        <x:v>1</x:v>
      </x:c>
      <x:c r="G3149" s="6" t="str"/>
      <x:c r="H3149" s="6" t="str">
        <x:f>IF(B3149="平","平",IF(B3149="","","仄"))</x:f>
        <x:v>平</x:v>
      </x:c>
      <x:c r="I3149" s="6" t="str">
        <x:f>IF(D3137="","",IF(AND(ISNUMBER(SEARCH("平",D3137)),OR(ISNUMBER(SEARCH("上",D3137)),ISNUMBER(SEARCH("去",D3137)),ISNUMBER(SEARCH("入",D3137)))),"Ambiguous",IF(ISNUMBER(SEARCH("平",D3137)),"平","仄")))</x:f>
        <x:v>仄</x:v>
      </x:c>
      <x:c r="J3149" s="7" t="str"/>
    </x:row>
    <x:row r="3150">
      <x:c r="A3150" s="5" t="str">
        <x:v>翫</x:v>
      </x:c>
      <x:c r="B3150" s="6" t="str">
        <x:v>去</x:v>
      </x:c>
      <x:c r="C3150" s="6" t="str">
        <x:f>IF(B3150="","Needs decision","Ready")</x:f>
        <x:v>Ready</x:v>
      </x:c>
      <x:c r="D3150" s="6" t="str">
        <x:v>去</x:v>
      </x:c>
      <x:c r="E3150" s="6" t="str">
        <x:v>ngwanH (C)</x:v>
      </x:c>
      <x:c r="F3150" s="6" t="str">
        <x:v>1</x:v>
      </x:c>
      <x:c r="G3150" s="6" t="str"/>
      <x:c r="H3150" s="6" t="str">
        <x:f>IF(B3150="平","平",IF(B3150="","","仄"))</x:f>
        <x:v>仄</x:v>
      </x:c>
      <x:c r="I3150" s="6" t="str">
        <x:f>IF(D3138="","",IF(AND(ISNUMBER(SEARCH("平",D3138)),OR(ISNUMBER(SEARCH("上",D3138)),ISNUMBER(SEARCH("去",D3138)),ISNUMBER(SEARCH("入",D3138)))),"Ambiguous",IF(ISNUMBER(SEARCH("平",D3138)),"平","仄")))</x:f>
        <x:v>平</x:v>
      </x:c>
      <x:c r="J3150" s="7" t="str"/>
    </x:row>
    <x:row r="3151">
      <x:c r="A3151" s="5" t="str">
        <x:v>翯</x:v>
      </x:c>
      <x:c r="B3151" s="6" t="str">
        <x:v>入</x:v>
      </x:c>
      <x:c r="C3151" s="6" t="str">
        <x:f>IF(B3151="","Needs decision","Ready")</x:f>
        <x:v>Ready</x:v>
      </x:c>
      <x:c r="D3151" s="6" t="str">
        <x:v>入</x:v>
      </x:c>
      <x:c r="E3151" s="6" t="str">
        <x:v>haewk (D)</x:v>
      </x:c>
      <x:c r="F3151" s="6" t="str">
        <x:v>1</x:v>
      </x:c>
      <x:c r="G3151" s="6" t="str"/>
      <x:c r="H3151" s="6" t="str">
        <x:f>IF(B3151="平","平",IF(B3151="","","仄"))</x:f>
        <x:v>仄</x:v>
      </x:c>
      <x:c r="I3151" s="6" t="str">
        <x:f>IF(D3139="","",IF(AND(ISNUMBER(SEARCH("平",D3139)),OR(ISNUMBER(SEARCH("上",D3139)),ISNUMBER(SEARCH("去",D3139)),ISNUMBER(SEARCH("入",D3139)))),"Ambiguous",IF(ISNUMBER(SEARCH("平",D3139)),"平","仄")))</x:f>
        <x:v>仄</x:v>
      </x:c>
      <x:c r="J3151" s="7" t="str"/>
    </x:row>
    <x:row r="3152">
      <x:c r="A3152" s="5" t="str">
        <x:v>翰</x:v>
      </x:c>
      <x:c r="B3152" s="6" t="str">
        <x:v>去</x:v>
      </x:c>
      <x:c r="C3152" s="6" t="str">
        <x:f>IF(B3152="","Needs decision","Ready")</x:f>
        <x:v>Ready</x:v>
      </x:c>
      <x:c r="D3152" s="6" t="str">
        <x:v>去</x:v>
      </x:c>
      <x:c r="E3152" s="6" t="str">
        <x:v>hanH (C)</x:v>
      </x:c>
      <x:c r="F3152" s="6" t="str">
        <x:v>1</x:v>
      </x:c>
      <x:c r="G3152" s="6" t="str"/>
      <x:c r="H3152" s="6" t="str">
        <x:f>IF(B3152="平","平",IF(B3152="","","仄"))</x:f>
        <x:v>仄</x:v>
      </x:c>
      <x:c r="I3152" s="6" t="str">
        <x:f>IF(D3140="","",IF(AND(ISNUMBER(SEARCH("平",D3140)),OR(ISNUMBER(SEARCH("上",D3140)),ISNUMBER(SEARCH("去",D3140)),ISNUMBER(SEARCH("入",D3140)))),"Ambiguous",IF(ISNUMBER(SEARCH("平",D3140)),"平","仄")))</x:f>
        <x:v>仄</x:v>
      </x:c>
      <x:c r="J3152" s="7" t="str"/>
    </x:row>
    <x:row r="3153">
      <x:c r="A3153" s="5" t="str">
        <x:v>翱</x:v>
      </x:c>
      <x:c r="B3153" s="6" t="str">
        <x:v>平</x:v>
      </x:c>
      <x:c r="C3153" s="6" t="str">
        <x:f>IF(B3153="","Needs decision","Ready")</x:f>
        <x:v>Ready</x:v>
      </x:c>
      <x:c r="D3153" s="6" t="str">
        <x:v>平</x:v>
      </x:c>
      <x:c r="E3153" s="6" t="str">
        <x:v>ngaw [疑開一豪平] ɴəw</x:v>
      </x:c>
      <x:c r="F3153" s="6" t="str">
        <x:v>1</x:v>
      </x:c>
      <x:c r="G3153" s="6" t="str">
        <x:v>Targeted preliminary fill from Xun Gong; review if uncertain</x:v>
      </x:c>
      <x:c r="H3153" s="6" t="str">
        <x:f>IF(B3153="平","平",IF(B3153="","","仄"))</x:f>
        <x:v>平</x:v>
      </x:c>
      <x:c r="I3153" s="6" t="str">
        <x:f>IF(D3141="","",IF(AND(ISNUMBER(SEARCH("平",D3141)),OR(ISNUMBER(SEARCH("上",D3141)),ISNUMBER(SEARCH("去",D3141)),ISNUMBER(SEARCH("入",D3141)))),"Ambiguous",IF(ISNUMBER(SEARCH("平",D3141)),"平","仄")))</x:f>
        <x:v>平</x:v>
      </x:c>
      <x:c r="J3153" s="7" t="str">
        <x:v>Xun Gong character-readings.csv</x:v>
      </x:c>
    </x:row>
    <x:row r="3154">
      <x:c r="A3154" s="5" t="str">
        <x:v>翳</x:v>
      </x:c>
      <x:c r="B3154" s="6" t="str">
        <x:v>去</x:v>
      </x:c>
      <x:c r="C3154" s="6" t="str">
        <x:f>IF(B3154="","Needs decision","Ready")</x:f>
        <x:v>Ready</x:v>
      </x:c>
      <x:c r="D3154" s="6" t="str">
        <x:v>平/去</x:v>
      </x:c>
      <x:c r="E3154" s="6" t="str"/>
      <x:c r="F3154" s="6" t="str"/>
      <x:c r="G3154" s="6" t="str">
        <x:v>Manual user correction/addition; ambiguous 平/去</x:v>
      </x:c>
      <x:c r="H3154" s="6" t="str">
        <x:f>IF(B3154="平","平",IF(B3154="","","仄"))</x:f>
        <x:v>仄</x:v>
      </x:c>
      <x:c r="I3154" s="6" t="str">
        <x:f>IF(D3142="","",IF(AND(ISNUMBER(SEARCH("平",D3142)),OR(ISNUMBER(SEARCH("上",D3142)),ISNUMBER(SEARCH("去",D3142)),ISNUMBER(SEARCH("入",D3142)))),"Ambiguous",IF(ISNUMBER(SEARCH("平",D3142)),"平","仄")))</x:f>
        <x:v>仄</x:v>
      </x:c>
      <x:c r="J3154" s="7" t="str">
        <x:v>manual user correction</x:v>
      </x:c>
    </x:row>
    <x:row r="3155">
      <x:c r="A3155" s="5" t="str">
        <x:v>翹</x:v>
      </x:c>
      <x:c r="B3155" s="6" t="str">
        <x:v>平</x:v>
      </x:c>
      <x:c r="C3155" s="6" t="str">
        <x:f>IF(B3155="","Needs decision","Ready")</x:f>
        <x:v>Ready</x:v>
      </x:c>
      <x:c r="D3155" s="6" t="str">
        <x:v>平</x:v>
      </x:c>
      <x:c r="E3155" s="6" t="str">
        <x:v>gjiew (A)</x:v>
      </x:c>
      <x:c r="F3155" s="6" t="str">
        <x:v>1</x:v>
      </x:c>
      <x:c r="G3155" s="6" t="str"/>
      <x:c r="H3155" s="6" t="str">
        <x:f>IF(B3155="平","平",IF(B3155="","","仄"))</x:f>
        <x:v>平</x:v>
      </x:c>
      <x:c r="I3155" s="6" t="str">
        <x:f>IF(D3143="","",IF(AND(ISNUMBER(SEARCH("平",D3143)),OR(ISNUMBER(SEARCH("上",D3143)),ISNUMBER(SEARCH("去",D3143)),ISNUMBER(SEARCH("入",D3143)))),"Ambiguous",IF(ISNUMBER(SEARCH("平",D3143)),"平","仄")))</x:f>
        <x:v>仄</x:v>
      </x:c>
      <x:c r="J3155" s="7" t="str"/>
    </x:row>
    <x:row r="3156">
      <x:c r="A3156" s="5" t="str">
        <x:v>翻</x:v>
      </x:c>
      <x:c r="B3156" s="6" t="str">
        <x:v>平</x:v>
      </x:c>
      <x:c r="C3156" s="6" t="str">
        <x:f>IF(B3156="","Needs decision","Ready")</x:f>
        <x:v>Ready</x:v>
      </x:c>
      <x:c r="D3156" s="6" t="str">
        <x:v>平</x:v>
      </x:c>
      <x:c r="E3156" s="6" t="str">
        <x:v>phjon [滂三C元平] pʰɨ̯ən</x:v>
      </x:c>
      <x:c r="F3156" s="6" t="str">
        <x:v>1</x:v>
      </x:c>
      <x:c r="G3156" s="6" t="str">
        <x:v>Targeted preliminary fill from Xun Gong; review if uncertain</x:v>
      </x:c>
      <x:c r="H3156" s="6" t="str">
        <x:f>IF(B3156="平","平",IF(B3156="","","仄"))</x:f>
        <x:v>平</x:v>
      </x:c>
      <x:c r="I3156" s="6" t="str">
        <x:f>IF(D3144="","",IF(AND(ISNUMBER(SEARCH("平",D3144)),OR(ISNUMBER(SEARCH("上",D3144)),ISNUMBER(SEARCH("去",D3144)),ISNUMBER(SEARCH("入",D3144)))),"Ambiguous",IF(ISNUMBER(SEARCH("平",D3144)),"平","仄")))</x:f>
        <x:v>仄</x:v>
      </x:c>
      <x:c r="J3156" s="7" t="str">
        <x:v>Xun Gong character-readings.csv</x:v>
      </x:c>
    </x:row>
    <x:row r="3157">
      <x:c r="A3157" s="5" t="str">
        <x:v>翼</x:v>
      </x:c>
      <x:c r="B3157" s="6" t="str">
        <x:v>入</x:v>
      </x:c>
      <x:c r="C3157" s="6" t="str">
        <x:f>IF(B3157="","Needs decision","Ready")</x:f>
        <x:v>Ready</x:v>
      </x:c>
      <x:c r="D3157" s="6" t="str">
        <x:v>入</x:v>
      </x:c>
      <x:c r="E3157" s="6" t="str">
        <x:v>yik (D)</x:v>
      </x:c>
      <x:c r="F3157" s="6" t="str">
        <x:v>1</x:v>
      </x:c>
      <x:c r="G3157" s="6" t="str"/>
      <x:c r="H3157" s="6" t="str">
        <x:f>IF(B3157="平","平",IF(B3157="","","仄"))</x:f>
        <x:v>仄</x:v>
      </x:c>
      <x:c r="I3157" s="6" t="str">
        <x:f>IF(D3145="","",IF(AND(ISNUMBER(SEARCH("平",D3145)),OR(ISNUMBER(SEARCH("上",D3145)),ISNUMBER(SEARCH("去",D3145)),ISNUMBER(SEARCH("入",D3145)))),"Ambiguous",IF(ISNUMBER(SEARCH("平",D3145)),"平","仄")))</x:f>
        <x:v>仄</x:v>
      </x:c>
      <x:c r="J3157" s="7" t="str"/>
    </x:row>
    <x:row r="3158">
      <x:c r="A3158" s="5" t="str">
        <x:v>翽</x:v>
      </x:c>
      <x:c r="B3158" s="6" t="str">
        <x:v>去</x:v>
      </x:c>
      <x:c r="C3158" s="6" t="str">
        <x:f>IF(B3158="","Needs decision","Ready")</x:f>
        <x:v>Ready</x:v>
      </x:c>
      <x:c r="D3158" s="6" t="str">
        <x:v>去</x:v>
      </x:c>
      <x:c r="E3158" s="6" t="str">
        <x:v>xwajH (C)</x:v>
      </x:c>
      <x:c r="F3158" s="6" t="str">
        <x:v>1</x:v>
      </x:c>
      <x:c r="G3158" s="6" t="str"/>
      <x:c r="H3158" s="6" t="str">
        <x:f>IF(B3158="平","平",IF(B3158="","","仄"))</x:f>
        <x:v>仄</x:v>
      </x:c>
      <x:c r="I3158" s="6" t="str">
        <x:f>IF(D3146="","",IF(AND(ISNUMBER(SEARCH("平",D3146)),OR(ISNUMBER(SEARCH("上",D3146)),ISNUMBER(SEARCH("去",D3146)),ISNUMBER(SEARCH("入",D3146)))),"Ambiguous",IF(ISNUMBER(SEARCH("平",D3146)),"平","仄")))</x:f>
        <x:v>仄</x:v>
      </x:c>
      <x:c r="J3158" s="7" t="str"/>
    </x:row>
    <x:row r="3159">
      <x:c r="A3159" s="5" t="str">
        <x:v>翾</x:v>
      </x:c>
      <x:c r="B3159" s="6" t="str">
        <x:v>平</x:v>
      </x:c>
      <x:c r="C3159" s="6" t="str">
        <x:f>IF(B3159="","Needs decision","Ready")</x:f>
        <x:v>Ready</x:v>
      </x:c>
      <x:c r="D3159" s="6" t="str">
        <x:v>平</x:v>
      </x:c>
      <x:c r="E3159" s="6" t="str">
        <x:v>xjwien (A)</x:v>
      </x:c>
      <x:c r="F3159" s="6" t="str">
        <x:v>1</x:v>
      </x:c>
      <x:c r="G3159" s="6" t="str"/>
      <x:c r="H3159" s="6" t="str">
        <x:f>IF(B3159="平","平",IF(B3159="","","仄"))</x:f>
        <x:v>平</x:v>
      </x:c>
      <x:c r="I3159" s="6" t="str">
        <x:f>IF(D3147="","",IF(AND(ISNUMBER(SEARCH("平",D3147)),OR(ISNUMBER(SEARCH("上",D3147)),ISNUMBER(SEARCH("去",D3147)),ISNUMBER(SEARCH("入",D3147)))),"Ambiguous",IF(ISNUMBER(SEARCH("平",D3147)),"平","仄")))</x:f>
        <x:v>仄</x:v>
      </x:c>
      <x:c r="J3159" s="7" t="str"/>
    </x:row>
    <x:row r="3160">
      <x:c r="A3160" s="5" t="str">
        <x:v>耀</x:v>
      </x:c>
      <x:c r="B3160" s="6" t="str">
        <x:v>去</x:v>
      </x:c>
      <x:c r="C3160" s="6" t="str">
        <x:f>IF(B3160="","Needs decision","Ready")</x:f>
        <x:v>Ready</x:v>
      </x:c>
      <x:c r="D3160" s="6" t="str">
        <x:v>去</x:v>
      </x:c>
      <x:c r="E3160" s="6" t="str">
        <x:v>yewH (C)</x:v>
      </x:c>
      <x:c r="F3160" s="6" t="str">
        <x:v>1</x:v>
      </x:c>
      <x:c r="G3160" s="6" t="str"/>
      <x:c r="H3160" s="6" t="str">
        <x:f>IF(B3160="平","平",IF(B3160="","","仄"))</x:f>
        <x:v>仄</x:v>
      </x:c>
      <x:c r="I3160" s="6" t="str">
        <x:f>IF(D3148="","",IF(AND(ISNUMBER(SEARCH("平",D3148)),OR(ISNUMBER(SEARCH("上",D3148)),ISNUMBER(SEARCH("去",D3148)),ISNUMBER(SEARCH("入",D3148)))),"Ambiguous",IF(ISNUMBER(SEARCH("平",D3148)),"平","仄")))</x:f>
        <x:v>仄</x:v>
      </x:c>
      <x:c r="J3160" s="7" t="str"/>
    </x:row>
    <x:row r="3161">
      <x:c r="A3161" s="5" t="str">
        <x:v>老</x:v>
      </x:c>
      <x:c r="B3161" s="6" t="str">
        <x:v>上</x:v>
      </x:c>
      <x:c r="C3161" s="6" t="str">
        <x:f>IF(B3161="","Needs decision","Ready")</x:f>
        <x:v>Ready</x:v>
      </x:c>
      <x:c r="D3161" s="6" t="str">
        <x:v>上</x:v>
      </x:c>
      <x:c r="E3161" s="6" t="str">
        <x:v>lawX (B)</x:v>
      </x:c>
      <x:c r="F3161" s="6" t="str">
        <x:v>1</x:v>
      </x:c>
      <x:c r="G3161" s="6" t="str"/>
      <x:c r="H3161" s="6" t="str">
        <x:f>IF(B3161="平","平",IF(B3161="","","仄"))</x:f>
        <x:v>仄</x:v>
      </x:c>
      <x:c r="I3161" s="6" t="str">
        <x:f>IF(D3149="","",IF(AND(ISNUMBER(SEARCH("平",D3149)),OR(ISNUMBER(SEARCH("上",D3149)),ISNUMBER(SEARCH("去",D3149)),ISNUMBER(SEARCH("入",D3149)))),"Ambiguous",IF(ISNUMBER(SEARCH("平",D3149)),"平","仄")))</x:f>
        <x:v>平</x:v>
      </x:c>
      <x:c r="J3161" s="7" t="str"/>
    </x:row>
    <x:row r="3162">
      <x:c r="A3162" s="5" t="str">
        <x:v>考</x:v>
      </x:c>
      <x:c r="B3162" s="6" t="str">
        <x:v>上</x:v>
      </x:c>
      <x:c r="C3162" s="6" t="str">
        <x:f>IF(B3162="","Needs decision","Ready")</x:f>
        <x:v>Ready</x:v>
      </x:c>
      <x:c r="D3162" s="6" t="str">
        <x:v>上</x:v>
      </x:c>
      <x:c r="E3162" s="6" t="str">
        <x:v>khawX (B)</x:v>
      </x:c>
      <x:c r="F3162" s="6" t="str">
        <x:v>1</x:v>
      </x:c>
      <x:c r="G3162" s="6" t="str"/>
      <x:c r="H3162" s="6" t="str">
        <x:f>IF(B3162="平","平",IF(B3162="","","仄"))</x:f>
        <x:v>仄</x:v>
      </x:c>
      <x:c r="I3162" s="6" t="str">
        <x:f>IF(D3150="","",IF(AND(ISNUMBER(SEARCH("平",D3150)),OR(ISNUMBER(SEARCH("上",D3150)),ISNUMBER(SEARCH("去",D3150)),ISNUMBER(SEARCH("入",D3150)))),"Ambiguous",IF(ISNUMBER(SEARCH("平",D3150)),"平","仄")))</x:f>
        <x:v>仄</x:v>
      </x:c>
      <x:c r="J3162" s="7" t="str"/>
    </x:row>
    <x:row r="3163">
      <x:c r="A3163" s="5" t="str">
        <x:v>者</x:v>
      </x:c>
      <x:c r="B3163" s="6" t="str">
        <x:v>上</x:v>
      </x:c>
      <x:c r="C3163" s="6" t="str">
        <x:f>IF(B3163="","Needs decision","Ready")</x:f>
        <x:v>Ready</x:v>
      </x:c>
      <x:c r="D3163" s="6" t="str">
        <x:v>上</x:v>
      </x:c>
      <x:c r="E3163" s="6" t="str">
        <x:v>tsyaeX (B)</x:v>
      </x:c>
      <x:c r="F3163" s="6" t="str">
        <x:v>1</x:v>
      </x:c>
      <x:c r="G3163" s="6" t="str"/>
      <x:c r="H3163" s="6" t="str">
        <x:f>IF(B3163="平","平",IF(B3163="","","仄"))</x:f>
        <x:v>仄</x:v>
      </x:c>
      <x:c r="I3163" s="6" t="str">
        <x:f>IF(D3151="","",IF(AND(ISNUMBER(SEARCH("平",D3151)),OR(ISNUMBER(SEARCH("上",D3151)),ISNUMBER(SEARCH("去",D3151)),ISNUMBER(SEARCH("入",D3151)))),"Ambiguous",IF(ISNUMBER(SEARCH("平",D3151)),"平","仄")))</x:f>
        <x:v>仄</x:v>
      </x:c>
      <x:c r="J3163" s="7" t="str"/>
    </x:row>
    <x:row r="3164">
      <x:c r="A3164" s="5" t="str">
        <x:v>耆</x:v>
      </x:c>
      <x:c r="B3164" s="6" t="str">
        <x:v>平</x:v>
      </x:c>
      <x:c r="C3164" s="6" t="str">
        <x:f>IF(B3164="","Needs decision","Ready")</x:f>
        <x:v>Ready</x:v>
      </x:c>
      <x:c r="D3164" s="6" t="str">
        <x:v>平</x:v>
      </x:c>
      <x:c r="E3164" s="6" t="str">
        <x:v>gij (A)</x:v>
      </x:c>
      <x:c r="F3164" s="6" t="str">
        <x:v>1</x:v>
      </x:c>
      <x:c r="G3164" s="6" t="str"/>
      <x:c r="H3164" s="6" t="str">
        <x:f>IF(B3164="平","平",IF(B3164="","","仄"))</x:f>
        <x:v>平</x:v>
      </x:c>
      <x:c r="I3164" s="6" t="str">
        <x:f>IF(D3152="","",IF(AND(ISNUMBER(SEARCH("平",D3152)),OR(ISNUMBER(SEARCH("上",D3152)),ISNUMBER(SEARCH("去",D3152)),ISNUMBER(SEARCH("入",D3152)))),"Ambiguous",IF(ISNUMBER(SEARCH("平",D3152)),"平","仄")))</x:f>
        <x:v>仄</x:v>
      </x:c>
      <x:c r="J3164" s="7" t="str"/>
    </x:row>
    <x:row r="3165">
      <x:c r="A3165" s="5" t="str">
        <x:v>而</x:v>
      </x:c>
      <x:c r="B3165" s="6" t="str">
        <x:v>平</x:v>
      </x:c>
      <x:c r="C3165" s="6" t="str">
        <x:f>IF(B3165="","Needs decision","Ready")</x:f>
        <x:v>Ready</x:v>
      </x:c>
      <x:c r="D3165" s="6" t="str">
        <x:v>平</x:v>
      </x:c>
      <x:c r="E3165" s="6" t="str">
        <x:v>nyi (A)</x:v>
      </x:c>
      <x:c r="F3165" s="6" t="str">
        <x:v>1</x:v>
      </x:c>
      <x:c r="G3165" s="6" t="str"/>
      <x:c r="H3165" s="6" t="str">
        <x:f>IF(B3165="平","平",IF(B3165="","","仄"))</x:f>
        <x:v>平</x:v>
      </x:c>
      <x:c r="I3165" s="6" t="str">
        <x:f>IF(D3153="","",IF(AND(ISNUMBER(SEARCH("平",D3153)),OR(ISNUMBER(SEARCH("上",D3153)),ISNUMBER(SEARCH("去",D3153)),ISNUMBER(SEARCH("入",D3153)))),"Ambiguous",IF(ISNUMBER(SEARCH("平",D3153)),"平","仄")))</x:f>
        <x:v>平</x:v>
      </x:c>
      <x:c r="J3165" s="7" t="str"/>
    </x:row>
    <x:row r="3166">
      <x:c r="A3166" s="5" t="str">
        <x:v>耐</x:v>
      </x:c>
      <x:c r="B3166" s="6" t="str">
        <x:v>去</x:v>
      </x:c>
      <x:c r="C3166" s="6" t="str">
        <x:f>IF(B3166="","Needs decision","Ready")</x:f>
        <x:v>Ready</x:v>
      </x:c>
      <x:c r="D3166" s="6" t="str">
        <x:v>去</x:v>
      </x:c>
      <x:c r="E3166" s="6" t="str">
        <x:v>nojH (C)</x:v>
      </x:c>
      <x:c r="F3166" s="6" t="str">
        <x:v>1</x:v>
      </x:c>
      <x:c r="G3166" s="6" t="str"/>
      <x:c r="H3166" s="6" t="str">
        <x:f>IF(B3166="平","平",IF(B3166="","","仄"))</x:f>
        <x:v>仄</x:v>
      </x:c>
      <x:c r="I3166" s="6" t="str">
        <x:f>IF(D3154="","",IF(AND(ISNUMBER(SEARCH("平",D3154)),OR(ISNUMBER(SEARCH("上",D3154)),ISNUMBER(SEARCH("去",D3154)),ISNUMBER(SEARCH("入",D3154)))),"Ambiguous",IF(ISNUMBER(SEARCH("平",D3154)),"平","仄")))</x:f>
        <x:v>Ambiguous</x:v>
      </x:c>
      <x:c r="J3166" s="7" t="str"/>
    </x:row>
    <x:row r="3167">
      <x:c r="A3167" s="5" t="str">
        <x:v>耑</x:v>
      </x:c>
      <x:c r="B3167" s="6" t="str">
        <x:v>平</x:v>
      </x:c>
      <x:c r="C3167" s="6" t="str">
        <x:f>IF(B3167="","Needs decision","Ready")</x:f>
        <x:v>Ready</x:v>
      </x:c>
      <x:c r="D3167" s="6" t="str">
        <x:v>平</x:v>
      </x:c>
      <x:c r="E3167" s="6" t="str">
        <x:v>twan (A)</x:v>
      </x:c>
      <x:c r="F3167" s="6" t="str">
        <x:v>1</x:v>
      </x:c>
      <x:c r="G3167" s="6" t="str"/>
      <x:c r="H3167" s="6" t="str">
        <x:f>IF(B3167="平","平",IF(B3167="","","仄"))</x:f>
        <x:v>平</x:v>
      </x:c>
      <x:c r="I3167" s="6" t="str">
        <x:f>IF(D3155="","",IF(AND(ISNUMBER(SEARCH("平",D3155)),OR(ISNUMBER(SEARCH("上",D3155)),ISNUMBER(SEARCH("去",D3155)),ISNUMBER(SEARCH("入",D3155)))),"Ambiguous",IF(ISNUMBER(SEARCH("平",D3155)),"平","仄")))</x:f>
        <x:v>平</x:v>
      </x:c>
      <x:c r="J3167" s="7" t="str"/>
    </x:row>
    <x:row r="3168">
      <x:c r="A3168" s="5" t="str">
        <x:v>耕</x:v>
      </x:c>
      <x:c r="B3168" s="6" t="str">
        <x:v>平</x:v>
      </x:c>
      <x:c r="C3168" s="6" t="str">
        <x:f>IF(B3168="","Needs decision","Ready")</x:f>
        <x:v>Ready</x:v>
      </x:c>
      <x:c r="D3168" s="6" t="str">
        <x:v>平</x:v>
      </x:c>
      <x:c r="E3168" s="6" t="str">
        <x:v>keang (A)</x:v>
      </x:c>
      <x:c r="F3168" s="6" t="str">
        <x:v>1</x:v>
      </x:c>
      <x:c r="G3168" s="6" t="str"/>
      <x:c r="H3168" s="6" t="str">
        <x:f>IF(B3168="平","平",IF(B3168="","","仄"))</x:f>
        <x:v>平</x:v>
      </x:c>
      <x:c r="I3168" s="6" t="str">
        <x:f>IF(D3156="","",IF(AND(ISNUMBER(SEARCH("平",D3156)),OR(ISNUMBER(SEARCH("上",D3156)),ISNUMBER(SEARCH("去",D3156)),ISNUMBER(SEARCH("入",D3156)))),"Ambiguous",IF(ISNUMBER(SEARCH("平",D3156)),"平","仄")))</x:f>
        <x:v>平</x:v>
      </x:c>
      <x:c r="J3168" s="7" t="str"/>
    </x:row>
    <x:row r="3169">
      <x:c r="A3169" s="5" t="str">
        <x:v>耙</x:v>
      </x:c>
      <x:c r="B3169" s="6" t="str">
        <x:v>平</x:v>
      </x:c>
      <x:c r="C3169" s="6" t="str">
        <x:f>IF(B3169="","Needs decision","Ready")</x:f>
        <x:v>Ready</x:v>
      </x:c>
      <x:c r="D3169" s="6" t="str">
        <x:v>平</x:v>
      </x:c>
      <x:c r="E3169" s="6" t="str">
        <x:v>bae (A)</x:v>
      </x:c>
      <x:c r="F3169" s="6" t="str">
        <x:v>1</x:v>
      </x:c>
      <x:c r="G3169" s="6" t="str"/>
      <x:c r="H3169" s="6" t="str">
        <x:f>IF(B3169="平","平",IF(B3169="","","仄"))</x:f>
        <x:v>平</x:v>
      </x:c>
      <x:c r="I3169" s="6" t="str">
        <x:f>IF(D3157="","",IF(AND(ISNUMBER(SEARCH("平",D3157)),OR(ISNUMBER(SEARCH("上",D3157)),ISNUMBER(SEARCH("去",D3157)),ISNUMBER(SEARCH("入",D3157)))),"Ambiguous",IF(ISNUMBER(SEARCH("平",D3157)),"平","仄")))</x:f>
        <x:v>仄</x:v>
      </x:c>
      <x:c r="J3169" s="7" t="str"/>
    </x:row>
    <x:row r="3170">
      <x:c r="A3170" s="5" t="str">
        <x:v>耜</x:v>
      </x:c>
      <x:c r="B3170" s="6" t="str">
        <x:v>上</x:v>
      </x:c>
      <x:c r="C3170" s="6" t="str">
        <x:f>IF(B3170="","Needs decision","Ready")</x:f>
        <x:v>Ready</x:v>
      </x:c>
      <x:c r="D3170" s="6" t="str">
        <x:v>上</x:v>
      </x:c>
      <x:c r="E3170" s="6" t="str">
        <x:v>ziX (B)</x:v>
      </x:c>
      <x:c r="F3170" s="6" t="str">
        <x:v>1</x:v>
      </x:c>
      <x:c r="G3170" s="6" t="str"/>
      <x:c r="H3170" s="6" t="str">
        <x:f>IF(B3170="平","平",IF(B3170="","","仄"))</x:f>
        <x:v>仄</x:v>
      </x:c>
      <x:c r="I3170" s="6" t="str">
        <x:f>IF(D3158="","",IF(AND(ISNUMBER(SEARCH("平",D3158)),OR(ISNUMBER(SEARCH("上",D3158)),ISNUMBER(SEARCH("去",D3158)),ISNUMBER(SEARCH("入",D3158)))),"Ambiguous",IF(ISNUMBER(SEARCH("平",D3158)),"平","仄")))</x:f>
        <x:v>仄</x:v>
      </x:c>
      <x:c r="J3170" s="7" t="str"/>
    </x:row>
    <x:row r="3171">
      <x:c r="A3171" s="5" t="str">
        <x:v>耦</x:v>
      </x:c>
      <x:c r="B3171" s="6" t="str">
        <x:v>上</x:v>
      </x:c>
      <x:c r="C3171" s="6" t="str">
        <x:f>IF(B3171="","Needs decision","Ready")</x:f>
        <x:v>Ready</x:v>
      </x:c>
      <x:c r="D3171" s="6" t="str">
        <x:v>上</x:v>
      </x:c>
      <x:c r="E3171" s="6" t="str">
        <x:v>nguwX (B)</x:v>
      </x:c>
      <x:c r="F3171" s="6" t="str">
        <x:v>1</x:v>
      </x:c>
      <x:c r="G3171" s="6" t="str"/>
      <x:c r="H3171" s="6" t="str">
        <x:f>IF(B3171="平","平",IF(B3171="","","仄"))</x:f>
        <x:v>仄</x:v>
      </x:c>
      <x:c r="I3171" s="6" t="str">
        <x:f>IF(D3159="","",IF(AND(ISNUMBER(SEARCH("平",D3159)),OR(ISNUMBER(SEARCH("上",D3159)),ISNUMBER(SEARCH("去",D3159)),ISNUMBER(SEARCH("入",D3159)))),"Ambiguous",IF(ISNUMBER(SEARCH("平",D3159)),"平","仄")))</x:f>
        <x:v>平</x:v>
      </x:c>
      <x:c r="J3171" s="7" t="str"/>
    </x:row>
    <x:row r="3172">
      <x:c r="A3172" s="5" t="str">
        <x:v>耨</x:v>
      </x:c>
      <x:c r="B3172" s="6" t="str">
        <x:v>去</x:v>
      </x:c>
      <x:c r="C3172" s="6" t="str">
        <x:f>IF(B3172="","Needs decision","Ready")</x:f>
        <x:v>Ready</x:v>
      </x:c>
      <x:c r="D3172" s="6" t="str">
        <x:v>去</x:v>
      </x:c>
      <x:c r="E3172" s="6" t="str">
        <x:v>nuwH (C)</x:v>
      </x:c>
      <x:c r="F3172" s="6" t="str">
        <x:v>1</x:v>
      </x:c>
      <x:c r="G3172" s="6" t="str"/>
      <x:c r="H3172" s="6" t="str">
        <x:f>IF(B3172="平","平",IF(B3172="","","仄"))</x:f>
        <x:v>仄</x:v>
      </x:c>
      <x:c r="I3172" s="6" t="str">
        <x:f>IF(D3160="","",IF(AND(ISNUMBER(SEARCH("平",D3160)),OR(ISNUMBER(SEARCH("上",D3160)),ISNUMBER(SEARCH("去",D3160)),ISNUMBER(SEARCH("入",D3160)))),"Ambiguous",IF(ISNUMBER(SEARCH("平",D3160)),"平","仄")))</x:f>
        <x:v>仄</x:v>
      </x:c>
      <x:c r="J3172" s="7" t="str"/>
    </x:row>
    <x:row r="3173">
      <x:c r="A3173" s="5" t="str">
        <x:v>耳</x:v>
      </x:c>
      <x:c r="B3173" s="6" t="str">
        <x:v>上</x:v>
      </x:c>
      <x:c r="C3173" s="6" t="str">
        <x:f>IF(B3173="","Needs decision","Ready")</x:f>
        <x:v>Ready</x:v>
      </x:c>
      <x:c r="D3173" s="6" t="str">
        <x:v>上</x:v>
      </x:c>
      <x:c r="E3173" s="6" t="str">
        <x:v>nyiX (B)</x:v>
      </x:c>
      <x:c r="F3173" s="6" t="str">
        <x:v>1</x:v>
      </x:c>
      <x:c r="G3173" s="6" t="str"/>
      <x:c r="H3173" s="6" t="str">
        <x:f>IF(B3173="平","平",IF(B3173="","","仄"))</x:f>
        <x:v>仄</x:v>
      </x:c>
      <x:c r="I3173" s="6" t="str">
        <x:f>IF(D3161="","",IF(AND(ISNUMBER(SEARCH("平",D3161)),OR(ISNUMBER(SEARCH("上",D3161)),ISNUMBER(SEARCH("去",D3161)),ISNUMBER(SEARCH("入",D3161)))),"Ambiguous",IF(ISNUMBER(SEARCH("平",D3161)),"平","仄")))</x:f>
        <x:v>仄</x:v>
      </x:c>
      <x:c r="J3173" s="7" t="str"/>
    </x:row>
    <x:row r="3174">
      <x:c r="A3174" s="5" t="str">
        <x:v>耴</x:v>
      </x:c>
      <x:c r="B3174" s="6" t="str">
        <x:v>入</x:v>
      </x:c>
      <x:c r="C3174" s="6" t="str">
        <x:f>IF(B3174="","Needs decision","Ready")</x:f>
        <x:v>Ready</x:v>
      </x:c>
      <x:c r="D3174" s="6" t="str">
        <x:v>入</x:v>
      </x:c>
      <x:c r="E3174" s="6" t="str">
        <x:v>trjep (D)</x:v>
      </x:c>
      <x:c r="F3174" s="6" t="str">
        <x:v>1</x:v>
      </x:c>
      <x:c r="G3174" s="6" t="str"/>
      <x:c r="H3174" s="6" t="str">
        <x:f>IF(B3174="平","平",IF(B3174="","","仄"))</x:f>
        <x:v>仄</x:v>
      </x:c>
      <x:c r="I3174" s="6" t="str">
        <x:f>IF(D3162="","",IF(AND(ISNUMBER(SEARCH("平",D3162)),OR(ISNUMBER(SEARCH("上",D3162)),ISNUMBER(SEARCH("去",D3162)),ISNUMBER(SEARCH("入",D3162)))),"Ambiguous",IF(ISNUMBER(SEARCH("平",D3162)),"平","仄")))</x:f>
        <x:v>仄</x:v>
      </x:c>
      <x:c r="J3174" s="7" t="str"/>
    </x:row>
    <x:row r="3175">
      <x:c r="A3175" s="5" t="str">
        <x:v>耶</x:v>
      </x:c>
      <x:c r="B3175" s="6" t="str">
        <x:v>平</x:v>
      </x:c>
      <x:c r="C3175" s="6" t="str">
        <x:f>IF(B3175="","Needs decision","Ready")</x:f>
        <x:v>Ready</x:v>
      </x:c>
      <x:c r="D3175" s="6" t="str">
        <x:v>平</x:v>
      </x:c>
      <x:c r="E3175" s="6" t="str">
        <x:v>yae [ja] (平)</x:v>
      </x:c>
      <x:c r="F3175" s="6" t="str">
        <x:v>1</x:v>
      </x:c>
      <x:c r="G3175" s="6" t="str">
        <x:v>Tang 300 gap; frequency 1; provisional from Xun Gong</x:v>
      </x:c>
      <x:c r="H3175" s="6" t="str">
        <x:f>IF(B3175="平","平",IF(B3175="","","仄"))</x:f>
        <x:v>平</x:v>
      </x:c>
      <x:c r="I3175" s="6" t="str">
        <x:f>IF(D3163="","",IF(AND(ISNUMBER(SEARCH("平",D3163)),OR(ISNUMBER(SEARCH("上",D3163)),ISNUMBER(SEARCH("去",D3163)),ISNUMBER(SEARCH("入",D3163)))),"Ambiguous",IF(ISNUMBER(SEARCH("平",D3163)),"平","仄")))</x:f>
        <x:v>仄</x:v>
      </x:c>
      <x:c r="J3175" s="7" t="str">
        <x:v>Xun Gong, Tang 300 gap fill</x:v>
      </x:c>
    </x:row>
    <x:row r="3176">
      <x:c r="A3176" s="5" t="str">
        <x:v>耽</x:v>
      </x:c>
      <x:c r="B3176" s="6" t="str">
        <x:v>平</x:v>
      </x:c>
      <x:c r="C3176" s="6" t="str">
        <x:f>IF(B3176="","Needs decision","Ready")</x:f>
        <x:v>Ready</x:v>
      </x:c>
      <x:c r="D3176" s="6" t="str">
        <x:v>平</x:v>
      </x:c>
      <x:c r="E3176" s="6" t="str">
        <x:v>tom (A)</x:v>
      </x:c>
      <x:c r="F3176" s="6" t="str">
        <x:v>1</x:v>
      </x:c>
      <x:c r="G3176" s="6" t="str"/>
      <x:c r="H3176" s="6" t="str">
        <x:f>IF(B3176="平","平",IF(B3176="","","仄"))</x:f>
        <x:v>平</x:v>
      </x:c>
      <x:c r="I3176" s="6" t="str">
        <x:f>IF(D3164="","",IF(AND(ISNUMBER(SEARCH("平",D3164)),OR(ISNUMBER(SEARCH("上",D3164)),ISNUMBER(SEARCH("去",D3164)),ISNUMBER(SEARCH("入",D3164)))),"Ambiguous",IF(ISNUMBER(SEARCH("平",D3164)),"平","仄")))</x:f>
        <x:v>平</x:v>
      </x:c>
      <x:c r="J3176" s="7" t="str"/>
    </x:row>
    <x:row r="3177">
      <x:c r="A3177" s="5" t="str">
        <x:v>耿</x:v>
      </x:c>
      <x:c r="B3177" s="6" t="str">
        <x:v>上</x:v>
      </x:c>
      <x:c r="C3177" s="6" t="str">
        <x:f>IF(B3177="","Needs decision","Ready")</x:f>
        <x:v>Ready</x:v>
      </x:c>
      <x:c r="D3177" s="6" t="str">
        <x:v>上</x:v>
      </x:c>
      <x:c r="E3177" s="6" t="str">
        <x:v>keangX (B)</x:v>
      </x:c>
      <x:c r="F3177" s="6" t="str">
        <x:v>1</x:v>
      </x:c>
      <x:c r="G3177" s="6" t="str"/>
      <x:c r="H3177" s="6" t="str">
        <x:f>IF(B3177="平","平",IF(B3177="","","仄"))</x:f>
        <x:v>仄</x:v>
      </x:c>
      <x:c r="I3177" s="6" t="str">
        <x:f>IF(D3165="","",IF(AND(ISNUMBER(SEARCH("平",D3165)),OR(ISNUMBER(SEARCH("上",D3165)),ISNUMBER(SEARCH("去",D3165)),ISNUMBER(SEARCH("入",D3165)))),"Ambiguous",IF(ISNUMBER(SEARCH("平",D3165)),"平","仄")))</x:f>
        <x:v>平</x:v>
      </x:c>
      <x:c r="J3177" s="7" t="str"/>
    </x:row>
    <x:row r="3178">
      <x:c r="A3178" s="5" t="str">
        <x:v>聆</x:v>
      </x:c>
      <x:c r="B3178" s="6" t="str">
        <x:v>平</x:v>
      </x:c>
      <x:c r="C3178" s="6" t="str">
        <x:f>IF(B3178="","Needs decision","Ready")</x:f>
        <x:v>Ready</x:v>
      </x:c>
      <x:c r="D3178" s="6" t="str">
        <x:v>平</x:v>
      </x:c>
      <x:c r="E3178" s="6" t="str">
        <x:v>leng [l̙eŋ] (平)</x:v>
      </x:c>
      <x:c r="F3178" s="6" t="str">
        <x:v>1</x:v>
      </x:c>
      <x:c r="G3178" s="6" t="str">
        <x:v>Tang 300 gap; frequency 1; provisional from Xun Gong</x:v>
      </x:c>
      <x:c r="H3178" s="6" t="str">
        <x:f>IF(B3178="平","平",IF(B3178="","","仄"))</x:f>
        <x:v>平</x:v>
      </x:c>
      <x:c r="I3178" s="6" t="str">
        <x:f>IF(D3166="","",IF(AND(ISNUMBER(SEARCH("平",D3166)),OR(ISNUMBER(SEARCH("上",D3166)),ISNUMBER(SEARCH("去",D3166)),ISNUMBER(SEARCH("入",D3166)))),"Ambiguous",IF(ISNUMBER(SEARCH("平",D3166)),"平","仄")))</x:f>
        <x:v>仄</x:v>
      </x:c>
      <x:c r="J3178" s="7" t="str">
        <x:v>Xun Gong, Tang 300 gap fill</x:v>
      </x:c>
    </x:row>
    <x:row r="3179">
      <x:c r="A3179" s="5" t="str">
        <x:v>聊</x:v>
      </x:c>
      <x:c r="B3179" s="6" t="str">
        <x:v>平</x:v>
      </x:c>
      <x:c r="C3179" s="6" t="str">
        <x:f>IF(B3179="","Needs decision","Ready")</x:f>
        <x:v>Ready</x:v>
      </x:c>
      <x:c r="D3179" s="6" t="str">
        <x:v>平</x:v>
      </x:c>
      <x:c r="E3179" s="6" t="str">
        <x:v>lew (A)</x:v>
      </x:c>
      <x:c r="F3179" s="6" t="str">
        <x:v>1</x:v>
      </x:c>
      <x:c r="G3179" s="6" t="str"/>
      <x:c r="H3179" s="6" t="str">
        <x:f>IF(B3179="平","平",IF(B3179="","","仄"))</x:f>
        <x:v>平</x:v>
      </x:c>
      <x:c r="I3179" s="6" t="str">
        <x:f>IF(D3167="","",IF(AND(ISNUMBER(SEARCH("平",D3167)),OR(ISNUMBER(SEARCH("上",D3167)),ISNUMBER(SEARCH("去",D3167)),ISNUMBER(SEARCH("入",D3167)))),"Ambiguous",IF(ISNUMBER(SEARCH("平",D3167)),"平","仄")))</x:f>
        <x:v>平</x:v>
      </x:c>
      <x:c r="J3179" s="7" t="str"/>
    </x:row>
    <x:row r="3180">
      <x:c r="A3180" s="5" t="str">
        <x:v>聖</x:v>
      </x:c>
      <x:c r="B3180" s="6" t="str">
        <x:v>去</x:v>
      </x:c>
      <x:c r="C3180" s="6" t="str">
        <x:f>IF(B3180="","Needs decision","Ready")</x:f>
        <x:v>Ready</x:v>
      </x:c>
      <x:c r="D3180" s="6" t="str">
        <x:v>去</x:v>
      </x:c>
      <x:c r="E3180" s="6" t="str">
        <x:v>syengH (C)</x:v>
      </x:c>
      <x:c r="F3180" s="6" t="str">
        <x:v>1</x:v>
      </x:c>
      <x:c r="G3180" s="6" t="str"/>
      <x:c r="H3180" s="6" t="str">
        <x:f>IF(B3180="平","平",IF(B3180="","","仄"))</x:f>
        <x:v>仄</x:v>
      </x:c>
      <x:c r="I3180" s="6" t="str">
        <x:f>IF(D3168="","",IF(AND(ISNUMBER(SEARCH("平",D3168)),OR(ISNUMBER(SEARCH("上",D3168)),ISNUMBER(SEARCH("去",D3168)),ISNUMBER(SEARCH("入",D3168)))),"Ambiguous",IF(ISNUMBER(SEARCH("平",D3168)),"平","仄")))</x:f>
        <x:v>平</x:v>
      </x:c>
      <x:c r="J3180" s="7" t="str"/>
    </x:row>
    <x:row r="3181">
      <x:c r="A3181" s="5" t="str">
        <x:v>聘</x:v>
      </x:c>
      <x:c r="B3181" s="6" t="str">
        <x:v>去</x:v>
      </x:c>
      <x:c r="C3181" s="6" t="str">
        <x:f>IF(B3181="","Needs decision","Ready")</x:f>
        <x:v>Ready</x:v>
      </x:c>
      <x:c r="D3181" s="6" t="str">
        <x:v>去</x:v>
      </x:c>
      <x:c r="E3181" s="6" t="str">
        <x:v>pjiengH (C)</x:v>
      </x:c>
      <x:c r="F3181" s="6" t="str">
        <x:v>1</x:v>
      </x:c>
      <x:c r="G3181" s="6" t="str"/>
      <x:c r="H3181" s="6" t="str">
        <x:f>IF(B3181="平","平",IF(B3181="","","仄"))</x:f>
        <x:v>仄</x:v>
      </x:c>
      <x:c r="I3181" s="6" t="str">
        <x:f>IF(D3169="","",IF(AND(ISNUMBER(SEARCH("平",D3169)),OR(ISNUMBER(SEARCH("上",D3169)),ISNUMBER(SEARCH("去",D3169)),ISNUMBER(SEARCH("入",D3169)))),"Ambiguous",IF(ISNUMBER(SEARCH("平",D3169)),"平","仄")))</x:f>
        <x:v>平</x:v>
      </x:c>
      <x:c r="J3181" s="7" t="str"/>
    </x:row>
    <x:row r="3182">
      <x:c r="A3182" s="5" t="str">
        <x:v>聚</x:v>
      </x:c>
      <x:c r="B3182" s="6" t="str">
        <x:v>上</x:v>
      </x:c>
      <x:c r="C3182" s="6" t="str">
        <x:f>IF(B3182="","Needs decision","Ready")</x:f>
        <x:v>Ready</x:v>
      </x:c>
      <x:c r="D3182" s="6" t="str">
        <x:v>上/去</x:v>
      </x:c>
      <x:c r="E3182" s="6" t="str">
        <x:v>dzjuX (B); dzjuH (C)</x:v>
      </x:c>
      <x:c r="F3182" s="6" t="str">
        <x:v>2</x:v>
      </x:c>
      <x:c r="G3182" s="6" t="str">
        <x:v>Manual user correction/addition</x:v>
      </x:c>
      <x:c r="H3182" s="6" t="str">
        <x:f>IF(B3182="平","平",IF(B3182="","","仄"))</x:f>
        <x:v>仄</x:v>
      </x:c>
      <x:c r="I3182" s="6" t="str">
        <x:f>IF(D3170="","",IF(AND(ISNUMBER(SEARCH("平",D3170)),OR(ISNUMBER(SEARCH("上",D3170)),ISNUMBER(SEARCH("去",D3170)),ISNUMBER(SEARCH("入",D3170)))),"Ambiguous",IF(ISNUMBER(SEARCH("平",D3170)),"平","仄")))</x:f>
        <x:v>仄</x:v>
      </x:c>
      <x:c r="J3182" s="7" t="str">
        <x:v>manual user correction</x:v>
      </x:c>
    </x:row>
    <x:row r="3183">
      <x:c r="A3183" s="5" t="str">
        <x:v>聞</x:v>
      </x:c>
      <x:c r="B3183" s="6" t="str">
        <x:v>平</x:v>
      </x:c>
      <x:c r="C3183" s="6" t="str">
        <x:f>IF(B3183="","Needs decision","Ready")</x:f>
        <x:v>Ready</x:v>
      </x:c>
      <x:c r="D3183" s="6" t="str">
        <x:v>平</x:v>
      </x:c>
      <x:c r="E3183" s="6" t="str">
        <x:v>mjun (A)</x:v>
      </x:c>
      <x:c r="F3183" s="6" t="str">
        <x:v>1</x:v>
      </x:c>
      <x:c r="G3183" s="6" t="str"/>
      <x:c r="H3183" s="6" t="str">
        <x:f>IF(B3183="平","平",IF(B3183="","","仄"))</x:f>
        <x:v>平</x:v>
      </x:c>
      <x:c r="I3183" s="6" t="str">
        <x:f>IF(D3171="","",IF(AND(ISNUMBER(SEARCH("平",D3171)),OR(ISNUMBER(SEARCH("上",D3171)),ISNUMBER(SEARCH("去",D3171)),ISNUMBER(SEARCH("入",D3171)))),"Ambiguous",IF(ISNUMBER(SEARCH("平",D3171)),"平","仄")))</x:f>
        <x:v>仄</x:v>
      </x:c>
      <x:c r="J3183" s="7" t="str"/>
    </x:row>
    <x:row r="3184">
      <x:c r="A3184" s="5" t="str">
        <x:v>聯</x:v>
      </x:c>
      <x:c r="B3184" s="6" t="str">
        <x:v>平</x:v>
      </x:c>
      <x:c r="C3184" s="6" t="str">
        <x:f>IF(B3184="","Needs decision","Ready")</x:f>
        <x:v>Ready</x:v>
      </x:c>
      <x:c r="D3184" s="6" t="str">
        <x:v>平</x:v>
      </x:c>
      <x:c r="E3184" s="6" t="str"/>
      <x:c r="F3184" s="6" t="str"/>
      <x:c r="G3184" s="6" t="str">
        <x:v>Manual user correction/addition</x:v>
      </x:c>
      <x:c r="H3184" s="6" t="str">
        <x:f>IF(B3184="平","平",IF(B3184="","","仄"))</x:f>
        <x:v>平</x:v>
      </x:c>
      <x:c r="I3184" s="6" t="str">
        <x:f>IF(D3172="","",IF(AND(ISNUMBER(SEARCH("平",D3172)),OR(ISNUMBER(SEARCH("上",D3172)),ISNUMBER(SEARCH("去",D3172)),ISNUMBER(SEARCH("入",D3172)))),"Ambiguous",IF(ISNUMBER(SEARCH("平",D3172)),"平","仄")))</x:f>
        <x:v>仄</x:v>
      </x:c>
      <x:c r="J3184" s="7" t="str">
        <x:v>manual user correction</x:v>
      </x:c>
    </x:row>
    <x:row r="3185">
      <x:c r="A3185" s="5" t="str">
        <x:v>聰</x:v>
      </x:c>
      <x:c r="B3185" s="6" t="str">
        <x:v>平</x:v>
      </x:c>
      <x:c r="C3185" s="6" t="str">
        <x:f>IF(B3185="","Needs decision","Ready")</x:f>
        <x:v>Ready</x:v>
      </x:c>
      <x:c r="D3185" s="6" t="str">
        <x:v>平</x:v>
      </x:c>
      <x:c r="E3185" s="6" t="str">
        <x:v>tshuwng (A)</x:v>
      </x:c>
      <x:c r="F3185" s="6" t="str">
        <x:v>1</x:v>
      </x:c>
      <x:c r="G3185" s="6" t="str"/>
      <x:c r="H3185" s="6" t="str">
        <x:f>IF(B3185="平","平",IF(B3185="","","仄"))</x:f>
        <x:v>平</x:v>
      </x:c>
      <x:c r="I3185" s="6" t="str">
        <x:f>IF(D3173="","",IF(AND(ISNUMBER(SEARCH("平",D3173)),OR(ISNUMBER(SEARCH("上",D3173)),ISNUMBER(SEARCH("去",D3173)),ISNUMBER(SEARCH("入",D3173)))),"Ambiguous",IF(ISNUMBER(SEARCH("平",D3173)),"平","仄")))</x:f>
        <x:v>仄</x:v>
      </x:c>
      <x:c r="J3185" s="7" t="str"/>
    </x:row>
    <x:row r="3186">
      <x:c r="A3186" s="5" t="str">
        <x:v>聲</x:v>
      </x:c>
      <x:c r="B3186" s="6" t="str">
        <x:v>平</x:v>
      </x:c>
      <x:c r="C3186" s="6" t="str">
        <x:f>IF(B3186="","Needs decision","Ready")</x:f>
        <x:v>Ready</x:v>
      </x:c>
      <x:c r="D3186" s="6" t="str">
        <x:v>平</x:v>
      </x:c>
      <x:c r="E3186" s="6" t="str">
        <x:v>syeng (A)</x:v>
      </x:c>
      <x:c r="F3186" s="6" t="str">
        <x:v>1</x:v>
      </x:c>
      <x:c r="G3186" s="6" t="str"/>
      <x:c r="H3186" s="6" t="str">
        <x:f>IF(B3186="平","平",IF(B3186="","","仄"))</x:f>
        <x:v>平</x:v>
      </x:c>
      <x:c r="I3186" s="6" t="str">
        <x:f>IF(D3174="","",IF(AND(ISNUMBER(SEARCH("平",D3174)),OR(ISNUMBER(SEARCH("上",D3174)),ISNUMBER(SEARCH("去",D3174)),ISNUMBER(SEARCH("入",D3174)))),"Ambiguous",IF(ISNUMBER(SEARCH("平",D3174)),"平","仄")))</x:f>
        <x:v>仄</x:v>
      </x:c>
      <x:c r="J3186" s="7" t="str"/>
    </x:row>
    <x:row r="3187">
      <x:c r="A3187" s="5" t="str">
        <x:v>聳</x:v>
      </x:c>
      <x:c r="B3187" s="6" t="str">
        <x:v>上</x:v>
      </x:c>
      <x:c r="C3187" s="6" t="str">
        <x:f>IF(B3187="","Needs decision","Ready")</x:f>
        <x:v>Ready</x:v>
      </x:c>
      <x:c r="D3187" s="6" t="str">
        <x:v>上</x:v>
      </x:c>
      <x:c r="E3187" s="6" t="str">
        <x:v>sjowngX [sjoŋʔ] (上)</x:v>
      </x:c>
      <x:c r="F3187" s="6" t="str">
        <x:v>1</x:v>
      </x:c>
      <x:c r="G3187" s="6" t="str">
        <x:v>Tang 300 gap; frequency 1; provisional from Xun Gong</x:v>
      </x:c>
      <x:c r="H3187" s="6" t="str">
        <x:f>IF(B3187="平","平",IF(B3187="","","仄"))</x:f>
        <x:v>仄</x:v>
      </x:c>
      <x:c r="I3187" s="6" t="str">
        <x:f>IF(D3175="","",IF(AND(ISNUMBER(SEARCH("平",D3175)),OR(ISNUMBER(SEARCH("上",D3175)),ISNUMBER(SEARCH("去",D3175)),ISNUMBER(SEARCH("入",D3175)))),"Ambiguous",IF(ISNUMBER(SEARCH("平",D3175)),"平","仄")))</x:f>
        <x:v>平</x:v>
      </x:c>
      <x:c r="J3187" s="7" t="str">
        <x:v>Xun Gong, Tang 300 gap fill</x:v>
      </x:c>
    </x:row>
    <x:row r="3188">
      <x:c r="A3188" s="5" t="str">
        <x:v>聵</x:v>
      </x:c>
      <x:c r="B3188" s="6" t="str">
        <x:v>去</x:v>
      </x:c>
      <x:c r="C3188" s="6" t="str">
        <x:f>IF(B3188="","Needs decision","Ready")</x:f>
        <x:v>Ready</x:v>
      </x:c>
      <x:c r="D3188" s="6" t="str">
        <x:v>去</x:v>
      </x:c>
      <x:c r="E3188" s="6" t="str">
        <x:v>ngweajH (C)</x:v>
      </x:c>
      <x:c r="F3188" s="6" t="str">
        <x:v>1</x:v>
      </x:c>
      <x:c r="G3188" s="6" t="str"/>
      <x:c r="H3188" s="6" t="str">
        <x:f>IF(B3188="平","平",IF(B3188="","","仄"))</x:f>
        <x:v>仄</x:v>
      </x:c>
      <x:c r="I3188" s="6" t="str">
        <x:f>IF(D3176="","",IF(AND(ISNUMBER(SEARCH("平",D3176)),OR(ISNUMBER(SEARCH("上",D3176)),ISNUMBER(SEARCH("去",D3176)),ISNUMBER(SEARCH("入",D3176)))),"Ambiguous",IF(ISNUMBER(SEARCH("平",D3176)),"平","仄")))</x:f>
        <x:v>平</x:v>
      </x:c>
      <x:c r="J3188" s="7" t="str"/>
    </x:row>
    <x:row r="3189">
      <x:c r="A3189" s="5" t="str">
        <x:v>聶</x:v>
      </x:c>
      <x:c r="B3189" s="6" t="str">
        <x:v>入</x:v>
      </x:c>
      <x:c r="C3189" s="6" t="str">
        <x:f>IF(B3189="","Needs decision","Ready")</x:f>
        <x:v>Ready</x:v>
      </x:c>
      <x:c r="D3189" s="6" t="str">
        <x:v>入</x:v>
      </x:c>
      <x:c r="E3189" s="6" t="str">
        <x:v>nrjep (D)</x:v>
      </x:c>
      <x:c r="F3189" s="6" t="str">
        <x:v>1</x:v>
      </x:c>
      <x:c r="G3189" s="6" t="str"/>
      <x:c r="H3189" s="6" t="str">
        <x:f>IF(B3189="平","平",IF(B3189="","","仄"))</x:f>
        <x:v>仄</x:v>
      </x:c>
      <x:c r="I3189" s="6" t="str">
        <x:f>IF(D3177="","",IF(AND(ISNUMBER(SEARCH("平",D3177)),OR(ISNUMBER(SEARCH("上",D3177)),ISNUMBER(SEARCH("去",D3177)),ISNUMBER(SEARCH("入",D3177)))),"Ambiguous",IF(ISNUMBER(SEARCH("平",D3177)),"平","仄")))</x:f>
        <x:v>仄</x:v>
      </x:c>
      <x:c r="J3189" s="7" t="str"/>
    </x:row>
    <x:row r="3190">
      <x:c r="A3190" s="5" t="str">
        <x:v>職</x:v>
      </x:c>
      <x:c r="B3190" s="6" t="str">
        <x:v>入</x:v>
      </x:c>
      <x:c r="C3190" s="6" t="str">
        <x:f>IF(B3190="","Needs decision","Ready")</x:f>
        <x:v>Ready</x:v>
      </x:c>
      <x:c r="D3190" s="6" t="str">
        <x:v>入</x:v>
      </x:c>
      <x:c r="E3190" s="6" t="str">
        <x:v>tsyik (D)</x:v>
      </x:c>
      <x:c r="F3190" s="6" t="str">
        <x:v>1</x:v>
      </x:c>
      <x:c r="G3190" s="6" t="str"/>
      <x:c r="H3190" s="6" t="str">
        <x:f>IF(B3190="平","平",IF(B3190="","","仄"))</x:f>
        <x:v>仄</x:v>
      </x:c>
      <x:c r="I3190" s="6" t="str">
        <x:f>IF(D3178="","",IF(AND(ISNUMBER(SEARCH("平",D3178)),OR(ISNUMBER(SEARCH("上",D3178)),ISNUMBER(SEARCH("去",D3178)),ISNUMBER(SEARCH("入",D3178)))),"Ambiguous",IF(ISNUMBER(SEARCH("平",D3178)),"平","仄")))</x:f>
        <x:v>平</x:v>
      </x:c>
      <x:c r="J3190" s="7" t="str"/>
    </x:row>
    <x:row r="3191">
      <x:c r="A3191" s="5" t="str">
        <x:v>聽</x:v>
      </x:c>
      <x:c r="B3191" s="6" t="str">
        <x:v>平</x:v>
      </x:c>
      <x:c r="C3191" s="6" t="str">
        <x:f>IF(B3191="","Needs decision","Ready")</x:f>
        <x:v>Ready</x:v>
      </x:c>
      <x:c r="D3191" s="6" t="str">
        <x:v>平/去</x:v>
      </x:c>
      <x:c r="E3191" s="6" t="str">
        <x:v>theng (A); thengH (C)</x:v>
      </x:c>
      <x:c r="F3191" s="6" t="str">
        <x:v>2</x:v>
      </x:c>
      <x:c r="G3191" s="6" t="str">
        <x:v>User workbook edit 2026-09-03</x:v>
      </x:c>
      <x:c r="H3191" s="6" t="str">
        <x:f>IF(B3191="平","平",IF(B3191="","","仄"))</x:f>
        <x:v>平</x:v>
      </x:c>
      <x:c r="I3191" s="6" t="str">
        <x:f>IF(D3179="","",IF(AND(ISNUMBER(SEARCH("平",D3179)),OR(ISNUMBER(SEARCH("上",D3179)),ISNUMBER(SEARCH("去",D3179)),ISNUMBER(SEARCH("入",D3179)))),"Ambiguous",IF(ISNUMBER(SEARCH("平",D3179)),"平","仄")))</x:f>
        <x:v>平</x:v>
      </x:c>
      <x:c r="J3191" s="7" t="str">
        <x:v>manual user correction</x:v>
      </x:c>
    </x:row>
    <x:row r="3192">
      <x:c r="A3192" s="5" t="str">
        <x:v>聾</x:v>
      </x:c>
      <x:c r="B3192" s="6" t="str">
        <x:v>平</x:v>
      </x:c>
      <x:c r="C3192" s="6" t="str">
        <x:f>IF(B3192="","Needs decision","Ready")</x:f>
        <x:v>Ready</x:v>
      </x:c>
      <x:c r="D3192" s="6" t="str">
        <x:v>平</x:v>
      </x:c>
      <x:c r="E3192" s="6" t="str">
        <x:v>luwng (A)</x:v>
      </x:c>
      <x:c r="F3192" s="6" t="str">
        <x:v>1</x:v>
      </x:c>
      <x:c r="G3192" s="6" t="str"/>
      <x:c r="H3192" s="6" t="str">
        <x:f>IF(B3192="平","平",IF(B3192="","","仄"))</x:f>
        <x:v>平</x:v>
      </x:c>
      <x:c r="I3192" s="6" t="str">
        <x:f>IF(D3180="","",IF(AND(ISNUMBER(SEARCH("平",D3180)),OR(ISNUMBER(SEARCH("上",D3180)),ISNUMBER(SEARCH("去",D3180)),ISNUMBER(SEARCH("入",D3180)))),"Ambiguous",IF(ISNUMBER(SEARCH("平",D3180)),"平","仄")))</x:f>
        <x:v>仄</x:v>
      </x:c>
      <x:c r="J3192" s="7" t="str"/>
    </x:row>
    <x:row r="3193">
      <x:c r="A3193" s="5" t="str">
        <x:v>聿</x:v>
      </x:c>
      <x:c r="B3193" s="6" t="str">
        <x:v>入</x:v>
      </x:c>
      <x:c r="C3193" s="6" t="str">
        <x:f>IF(B3193="","Needs decision","Ready")</x:f>
        <x:v>Ready</x:v>
      </x:c>
      <x:c r="D3193" s="6" t="str">
        <x:v>入</x:v>
      </x:c>
      <x:c r="E3193" s="6" t="str">
        <x:v>ywit (D)</x:v>
      </x:c>
      <x:c r="F3193" s="6" t="str">
        <x:v>1</x:v>
      </x:c>
      <x:c r="G3193" s="6" t="str"/>
      <x:c r="H3193" s="6" t="str">
        <x:f>IF(B3193="平","平",IF(B3193="","","仄"))</x:f>
        <x:v>仄</x:v>
      </x:c>
      <x:c r="I3193" s="6" t="str">
        <x:f>IF(D3181="","",IF(AND(ISNUMBER(SEARCH("平",D3181)),OR(ISNUMBER(SEARCH("上",D3181)),ISNUMBER(SEARCH("去",D3181)),ISNUMBER(SEARCH("入",D3181)))),"Ambiguous",IF(ISNUMBER(SEARCH("平",D3181)),"平","仄")))</x:f>
        <x:v>仄</x:v>
      </x:c>
      <x:c r="J3193" s="7" t="str"/>
    </x:row>
    <x:row r="3194">
      <x:c r="A3194" s="5" t="str">
        <x:v>肅</x:v>
      </x:c>
      <x:c r="B3194" s="6" t="str">
        <x:v>入</x:v>
      </x:c>
      <x:c r="C3194" s="6" t="str">
        <x:f>IF(B3194="","Needs decision","Ready")</x:f>
        <x:v>Ready</x:v>
      </x:c>
      <x:c r="D3194" s="6" t="str">
        <x:v>入</x:v>
      </x:c>
      <x:c r="E3194" s="6" t="str">
        <x:v>sjuwk (D)</x:v>
      </x:c>
      <x:c r="F3194" s="6" t="str">
        <x:v>1</x:v>
      </x:c>
      <x:c r="G3194" s="6" t="str"/>
      <x:c r="H3194" s="6" t="str">
        <x:f>IF(B3194="平","平",IF(B3194="","","仄"))</x:f>
        <x:v>仄</x:v>
      </x:c>
      <x:c r="I3194" s="6" t="str">
        <x:f>IF(D3182="","",IF(AND(ISNUMBER(SEARCH("平",D3182)),OR(ISNUMBER(SEARCH("上",D3182)),ISNUMBER(SEARCH("去",D3182)),ISNUMBER(SEARCH("入",D3182)))),"Ambiguous",IF(ISNUMBER(SEARCH("平",D3182)),"平","仄")))</x:f>
        <x:v>仄</x:v>
      </x:c>
      <x:c r="J3194" s="7" t="str"/>
    </x:row>
    <x:row r="3195">
      <x:c r="A3195" s="5" t="str">
        <x:v>肆</x:v>
      </x:c>
      <x:c r="B3195" s="6" t="str">
        <x:v>去</x:v>
      </x:c>
      <x:c r="C3195" s="6" t="str">
        <x:f>IF(B3195="","Needs decision","Ready")</x:f>
        <x:v>Ready</x:v>
      </x:c>
      <x:c r="D3195" s="6" t="str">
        <x:v>去</x:v>
      </x:c>
      <x:c r="E3195" s="6" t="str">
        <x:v>sijH (C)</x:v>
      </x:c>
      <x:c r="F3195" s="6" t="str">
        <x:v>1</x:v>
      </x:c>
      <x:c r="G3195" s="6" t="str"/>
      <x:c r="H3195" s="6" t="str">
        <x:f>IF(B3195="平","平",IF(B3195="","","仄"))</x:f>
        <x:v>仄</x:v>
      </x:c>
      <x:c r="I3195" s="6" t="str">
        <x:f>IF(D3183="","",IF(AND(ISNUMBER(SEARCH("平",D3183)),OR(ISNUMBER(SEARCH("上",D3183)),ISNUMBER(SEARCH("去",D3183)),ISNUMBER(SEARCH("入",D3183)))),"Ambiguous",IF(ISNUMBER(SEARCH("平",D3183)),"平","仄")))</x:f>
        <x:v>平</x:v>
      </x:c>
      <x:c r="J3195" s="7" t="str"/>
    </x:row>
    <x:row r="3196">
      <x:c r="A3196" s="5" t="str">
        <x:v>肉</x:v>
      </x:c>
      <x:c r="B3196" s="6" t="str">
        <x:v>入</x:v>
      </x:c>
      <x:c r="C3196" s="6" t="str">
        <x:f>IF(B3196="","Needs decision","Ready")</x:f>
        <x:v>Ready</x:v>
      </x:c>
      <x:c r="D3196" s="6" t="str">
        <x:v>入</x:v>
      </x:c>
      <x:c r="E3196" s="6" t="str">
        <x:v>nyuwk (D)</x:v>
      </x:c>
      <x:c r="F3196" s="6" t="str">
        <x:v>1</x:v>
      </x:c>
      <x:c r="G3196" s="6" t="str"/>
      <x:c r="H3196" s="6" t="str">
        <x:f>IF(B3196="平","平",IF(B3196="","","仄"))</x:f>
        <x:v>仄</x:v>
      </x:c>
      <x:c r="I3196" s="6" t="str">
        <x:f>IF(D3184="","",IF(AND(ISNUMBER(SEARCH("平",D3184)),OR(ISNUMBER(SEARCH("上",D3184)),ISNUMBER(SEARCH("去",D3184)),ISNUMBER(SEARCH("入",D3184)))),"Ambiguous",IF(ISNUMBER(SEARCH("平",D3184)),"平","仄")))</x:f>
        <x:v>平</x:v>
      </x:c>
      <x:c r="J3196" s="7" t="str"/>
    </x:row>
    <x:row r="3197">
      <x:c r="A3197" s="5" t="str">
        <x:v>肌</x:v>
      </x:c>
      <x:c r="B3197" s="6" t="str">
        <x:v>平</x:v>
      </x:c>
      <x:c r="C3197" s="6" t="str">
        <x:f>IF(B3197="","Needs decision","Ready")</x:f>
        <x:v>Ready</x:v>
      </x:c>
      <x:c r="D3197" s="6" t="str">
        <x:v>平</x:v>
      </x:c>
      <x:c r="E3197" s="6" t="str">
        <x:v>kij (A)</x:v>
      </x:c>
      <x:c r="F3197" s="6" t="str">
        <x:v>1</x:v>
      </x:c>
      <x:c r="G3197" s="6" t="str"/>
      <x:c r="H3197" s="6" t="str">
        <x:f>IF(B3197="平","平",IF(B3197="","","仄"))</x:f>
        <x:v>平</x:v>
      </x:c>
      <x:c r="I3197" s="6" t="str">
        <x:f>IF(D3185="","",IF(AND(ISNUMBER(SEARCH("平",D3185)),OR(ISNUMBER(SEARCH("上",D3185)),ISNUMBER(SEARCH("去",D3185)),ISNUMBER(SEARCH("入",D3185)))),"Ambiguous",IF(ISNUMBER(SEARCH("平",D3185)),"平","仄")))</x:f>
        <x:v>平</x:v>
      </x:c>
      <x:c r="J3197" s="7" t="str"/>
    </x:row>
    <x:row r="3198">
      <x:c r="A3198" s="5" t="str">
        <x:v>肖</x:v>
      </x:c>
      <x:c r="B3198" s="6" t="str"/>
      <x:c r="C3198" s="6" t="str">
        <x:f>IF(B3198="","Needs decision","Ready")</x:f>
        <x:v>Needs decision</x:v>
      </x:c>
      <x:c r="D3198" s="6" t="str">
        <x:v>平/去</x:v>
      </x:c>
      <x:c r="E3198" s="6" t="str">
        <x:v>sjew (A); sjewH (C)</x:v>
      </x:c>
      <x:c r="F3198" s="6" t="str">
        <x:v>2</x:v>
      </x:c>
      <x:c r="G3198" s="6" t="str"/>
      <x:c r="H3198" s="6" t="str">
        <x:f>IF(B3198="平","平",IF(B3198="","","仄"))</x:f>
      </x:c>
      <x:c r="I3198" s="6" t="str">
        <x:f>IF(D3186="","",IF(AND(ISNUMBER(SEARCH("平",D3186)),OR(ISNUMBER(SEARCH("上",D3186)),ISNUMBER(SEARCH("去",D3186)),ISNUMBER(SEARCH("入",D3186)))),"Ambiguous",IF(ISNUMBER(SEARCH("平",D3186)),"平","仄")))</x:f>
        <x:v>平</x:v>
      </x:c>
      <x:c r="J3198" s="7" t="str"/>
    </x:row>
    <x:row r="3199">
      <x:c r="A3199" s="5" t="str">
        <x:v>肘</x:v>
      </x:c>
      <x:c r="B3199" s="6" t="str">
        <x:v>上</x:v>
      </x:c>
      <x:c r="C3199" s="6" t="str">
        <x:f>IF(B3199="","Needs decision","Ready")</x:f>
        <x:v>Ready</x:v>
      </x:c>
      <x:c r="D3199" s="6" t="str">
        <x:v>上</x:v>
      </x:c>
      <x:c r="E3199" s="6" t="str">
        <x:v>trjuwX (B)</x:v>
      </x:c>
      <x:c r="F3199" s="6" t="str">
        <x:v>1</x:v>
      </x:c>
      <x:c r="G3199" s="6" t="str"/>
      <x:c r="H3199" s="6" t="str">
        <x:f>IF(B3199="平","平",IF(B3199="","","仄"))</x:f>
        <x:v>仄</x:v>
      </x:c>
      <x:c r="I3199" s="6" t="str">
        <x:f>IF(D3187="","",IF(AND(ISNUMBER(SEARCH("平",D3187)),OR(ISNUMBER(SEARCH("上",D3187)),ISNUMBER(SEARCH("去",D3187)),ISNUMBER(SEARCH("入",D3187)))),"Ambiguous",IF(ISNUMBER(SEARCH("平",D3187)),"平","仄")))</x:f>
        <x:v>仄</x:v>
      </x:c>
      <x:c r="J3199" s="7" t="str"/>
    </x:row>
    <x:row r="3200">
      <x:c r="A3200" s="5" t="str">
        <x:v>肙</x:v>
      </x:c>
      <x:c r="B3200" s="6" t="str">
        <x:v>平</x:v>
      </x:c>
      <x:c r="C3200" s="6" t="str">
        <x:f>IF(B3200="","Needs decision","Ready")</x:f>
        <x:v>Ready</x:v>
      </x:c>
      <x:c r="D3200" s="6" t="str">
        <x:v>平</x:v>
      </x:c>
      <x:c r="E3200" s="6" t="str">
        <x:v>'wen (A)</x:v>
      </x:c>
      <x:c r="F3200" s="6" t="str">
        <x:v>1</x:v>
      </x:c>
      <x:c r="G3200" s="6" t="str"/>
      <x:c r="H3200" s="6" t="str">
        <x:f>IF(B3200="平","平",IF(B3200="","","仄"))</x:f>
        <x:v>平</x:v>
      </x:c>
      <x:c r="I3200" s="6" t="str">
        <x:f>IF(D3188="","",IF(AND(ISNUMBER(SEARCH("平",D3188)),OR(ISNUMBER(SEARCH("上",D3188)),ISNUMBER(SEARCH("去",D3188)),ISNUMBER(SEARCH("入",D3188)))),"Ambiguous",IF(ISNUMBER(SEARCH("平",D3188)),"平","仄")))</x:f>
        <x:v>仄</x:v>
      </x:c>
      <x:c r="J3200" s="7" t="str"/>
    </x:row>
    <x:row r="3201">
      <x:c r="A3201" s="5" t="str">
        <x:v>肚</x:v>
      </x:c>
      <x:c r="B3201" s="6" t="str">
        <x:v>上</x:v>
      </x:c>
      <x:c r="C3201" s="6" t="str">
        <x:f>IF(B3201="","Needs decision","Ready")</x:f>
        <x:v>Ready</x:v>
      </x:c>
      <x:c r="D3201" s="6" t="str">
        <x:v>上</x:v>
      </x:c>
      <x:c r="E3201" s="6" t="str">
        <x:v>tuX (B); duX (B)</x:v>
      </x:c>
      <x:c r="F3201" s="6" t="str">
        <x:v>2</x:v>
      </x:c>
      <x:c r="G3201" s="6" t="str"/>
      <x:c r="H3201" s="6" t="str">
        <x:f>IF(B3201="平","平",IF(B3201="","","仄"))</x:f>
        <x:v>仄</x:v>
      </x:c>
      <x:c r="I3201" s="6" t="str">
        <x:f>IF(D3189="","",IF(AND(ISNUMBER(SEARCH("平",D3189)),OR(ISNUMBER(SEARCH("上",D3189)),ISNUMBER(SEARCH("去",D3189)),ISNUMBER(SEARCH("入",D3189)))),"Ambiguous",IF(ISNUMBER(SEARCH("平",D3189)),"平","仄")))</x:f>
        <x:v>仄</x:v>
      </x:c>
      <x:c r="J3201" s="7" t="str"/>
    </x:row>
    <x:row r="3202">
      <x:c r="A3202" s="5" t="str">
        <x:v>肜</x:v>
      </x:c>
      <x:c r="B3202" s="6" t="str">
        <x:v>平</x:v>
      </x:c>
      <x:c r="C3202" s="6" t="str">
        <x:f>IF(B3202="","Needs decision","Ready")</x:f>
        <x:v>Ready</x:v>
      </x:c>
      <x:c r="D3202" s="6" t="str">
        <x:v>平</x:v>
      </x:c>
      <x:c r="E3202" s="6" t="str">
        <x:v>yuwng (A)</x:v>
      </x:c>
      <x:c r="F3202" s="6" t="str">
        <x:v>1</x:v>
      </x:c>
      <x:c r="G3202" s="6" t="str"/>
      <x:c r="H3202" s="6" t="str">
        <x:f>IF(B3202="平","平",IF(B3202="","","仄"))</x:f>
        <x:v>平</x:v>
      </x:c>
      <x:c r="I3202" s="6" t="str">
        <x:f>IF(D3190="","",IF(AND(ISNUMBER(SEARCH("平",D3190)),OR(ISNUMBER(SEARCH("上",D3190)),ISNUMBER(SEARCH("去",D3190)),ISNUMBER(SEARCH("入",D3190)))),"Ambiguous",IF(ISNUMBER(SEARCH("平",D3190)),"平","仄")))</x:f>
        <x:v>仄</x:v>
      </x:c>
      <x:c r="J3202" s="7" t="str"/>
    </x:row>
    <x:row r="3203">
      <x:c r="A3203" s="5" t="str">
        <x:v>肝</x:v>
      </x:c>
      <x:c r="B3203" s="6" t="str">
        <x:v>平</x:v>
      </x:c>
      <x:c r="C3203" s="6" t="str">
        <x:f>IF(B3203="","Needs decision","Ready")</x:f>
        <x:v>Ready</x:v>
      </x:c>
      <x:c r="D3203" s="6" t="str">
        <x:v>平</x:v>
      </x:c>
      <x:c r="E3203" s="6" t="str">
        <x:v>kan (A)</x:v>
      </x:c>
      <x:c r="F3203" s="6" t="str">
        <x:v>1</x:v>
      </x:c>
      <x:c r="G3203" s="6" t="str"/>
      <x:c r="H3203" s="6" t="str">
        <x:f>IF(B3203="平","平",IF(B3203="","","仄"))</x:f>
        <x:v>平</x:v>
      </x:c>
      <x:c r="I3203" s="6" t="str">
        <x:f>IF(D3191="","",IF(AND(ISNUMBER(SEARCH("平",D3191)),OR(ISNUMBER(SEARCH("上",D3191)),ISNUMBER(SEARCH("去",D3191)),ISNUMBER(SEARCH("入",D3191)))),"Ambiguous",IF(ISNUMBER(SEARCH("平",D3191)),"平","仄")))</x:f>
        <x:v>Ambiguous</x:v>
      </x:c>
      <x:c r="J3203" s="7" t="str"/>
    </x:row>
    <x:row r="3204">
      <x:c r="A3204" s="5" t="str">
        <x:v>股</x:v>
      </x:c>
      <x:c r="B3204" s="6" t="str">
        <x:v>上</x:v>
      </x:c>
      <x:c r="C3204" s="6" t="str">
        <x:f>IF(B3204="","Needs decision","Ready")</x:f>
        <x:v>Ready</x:v>
      </x:c>
      <x:c r="D3204" s="6" t="str">
        <x:v>上</x:v>
      </x:c>
      <x:c r="E3204" s="6" t="str">
        <x:v>kuX (B)</x:v>
      </x:c>
      <x:c r="F3204" s="6" t="str">
        <x:v>1</x:v>
      </x:c>
      <x:c r="G3204" s="6" t="str"/>
      <x:c r="H3204" s="6" t="str">
        <x:f>IF(B3204="平","平",IF(B3204="","","仄"))</x:f>
        <x:v>仄</x:v>
      </x:c>
      <x:c r="I3204" s="6" t="str">
        <x:f>IF(D3192="","",IF(AND(ISNUMBER(SEARCH("平",D3192)),OR(ISNUMBER(SEARCH("上",D3192)),ISNUMBER(SEARCH("去",D3192)),ISNUMBER(SEARCH("入",D3192)))),"Ambiguous",IF(ISNUMBER(SEARCH("平",D3192)),"平","仄")))</x:f>
        <x:v>平</x:v>
      </x:c>
      <x:c r="J3204" s="7" t="str"/>
    </x:row>
    <x:row r="3205">
      <x:c r="A3205" s="5" t="str">
        <x:v>肢</x:v>
      </x:c>
      <x:c r="B3205" s="6" t="str">
        <x:v>平</x:v>
      </x:c>
      <x:c r="C3205" s="6" t="str">
        <x:f>IF(B3205="","Needs decision","Ready")</x:f>
        <x:v>Ready</x:v>
      </x:c>
      <x:c r="D3205" s="6" t="str">
        <x:v>平</x:v>
      </x:c>
      <x:c r="E3205" s="6" t="str">
        <x:v>tsye (A)</x:v>
      </x:c>
      <x:c r="F3205" s="6" t="str">
        <x:v>1</x:v>
      </x:c>
      <x:c r="G3205" s="6" t="str"/>
      <x:c r="H3205" s="6" t="str">
        <x:f>IF(B3205="平","平",IF(B3205="","","仄"))</x:f>
        <x:v>平</x:v>
      </x:c>
      <x:c r="I3205" s="6" t="str">
        <x:f>IF(D3193="","",IF(AND(ISNUMBER(SEARCH("平",D3193)),OR(ISNUMBER(SEARCH("上",D3193)),ISNUMBER(SEARCH("去",D3193)),ISNUMBER(SEARCH("入",D3193)))),"Ambiguous",IF(ISNUMBER(SEARCH("平",D3193)),"平","仄")))</x:f>
        <x:v>仄</x:v>
      </x:c>
      <x:c r="J3205" s="7" t="str"/>
    </x:row>
    <x:row r="3206">
      <x:c r="A3206" s="5" t="str">
        <x:v>肥</x:v>
      </x:c>
      <x:c r="B3206" s="6" t="str">
        <x:v>平</x:v>
      </x:c>
      <x:c r="C3206" s="6" t="str">
        <x:f>IF(B3206="","Needs decision","Ready")</x:f>
        <x:v>Ready</x:v>
      </x:c>
      <x:c r="D3206" s="6" t="str">
        <x:v>平</x:v>
      </x:c>
      <x:c r="E3206" s="6" t="str">
        <x:v>bj+j (A)</x:v>
      </x:c>
      <x:c r="F3206" s="6" t="str">
        <x:v>1</x:v>
      </x:c>
      <x:c r="G3206" s="6" t="str"/>
      <x:c r="H3206" s="6" t="str">
        <x:f>IF(B3206="平","平",IF(B3206="","","仄"))</x:f>
        <x:v>平</x:v>
      </x:c>
      <x:c r="I3206" s="6" t="str">
        <x:f>IF(D3194="","",IF(AND(ISNUMBER(SEARCH("平",D3194)),OR(ISNUMBER(SEARCH("上",D3194)),ISNUMBER(SEARCH("去",D3194)),ISNUMBER(SEARCH("入",D3194)))),"Ambiguous",IF(ISNUMBER(SEARCH("平",D3194)),"平","仄")))</x:f>
        <x:v>仄</x:v>
      </x:c>
      <x:c r="J3206" s="7" t="str"/>
    </x:row>
    <x:row r="3207">
      <x:c r="A3207" s="5" t="str">
        <x:v>肩</x:v>
      </x:c>
      <x:c r="B3207" s="6" t="str">
        <x:v>平</x:v>
      </x:c>
      <x:c r="C3207" s="6" t="str">
        <x:f>IF(B3207="","Needs decision","Ready")</x:f>
        <x:v>Ready</x:v>
      </x:c>
      <x:c r="D3207" s="6" t="str">
        <x:v>平</x:v>
      </x:c>
      <x:c r="E3207" s="6" t="str">
        <x:v>ken (A)</x:v>
      </x:c>
      <x:c r="F3207" s="6" t="str">
        <x:v>1</x:v>
      </x:c>
      <x:c r="G3207" s="6" t="str"/>
      <x:c r="H3207" s="6" t="str">
        <x:f>IF(B3207="平","平",IF(B3207="","","仄"))</x:f>
        <x:v>平</x:v>
      </x:c>
      <x:c r="I3207" s="6" t="str">
        <x:f>IF(D3195="","",IF(AND(ISNUMBER(SEARCH("平",D3195)),OR(ISNUMBER(SEARCH("上",D3195)),ISNUMBER(SEARCH("去",D3195)),ISNUMBER(SEARCH("入",D3195)))),"Ambiguous",IF(ISNUMBER(SEARCH("平",D3195)),"平","仄")))</x:f>
        <x:v>仄</x:v>
      </x:c>
      <x:c r="J3207" s="7" t="str"/>
    </x:row>
    <x:row r="3208">
      <x:c r="A3208" s="5" t="str">
        <x:v>肯</x:v>
      </x:c>
      <x:c r="B3208" s="6" t="str">
        <x:v>上</x:v>
      </x:c>
      <x:c r="C3208" s="6" t="str">
        <x:f>IF(B3208="","Needs decision","Ready")</x:f>
        <x:v>Ready</x:v>
      </x:c>
      <x:c r="D3208" s="6" t="str">
        <x:v>上</x:v>
      </x:c>
      <x:c r="E3208" s="6" t="str">
        <x:v>khongX (B)</x:v>
      </x:c>
      <x:c r="F3208" s="6" t="str">
        <x:v>1</x:v>
      </x:c>
      <x:c r="G3208" s="6" t="str"/>
      <x:c r="H3208" s="6" t="str">
        <x:f>IF(B3208="平","平",IF(B3208="","","仄"))</x:f>
        <x:v>仄</x:v>
      </x:c>
      <x:c r="I3208" s="6" t="str">
        <x:f>IF(D3196="","",IF(AND(ISNUMBER(SEARCH("平",D3196)),OR(ISNUMBER(SEARCH("上",D3196)),ISNUMBER(SEARCH("去",D3196)),ISNUMBER(SEARCH("入",D3196)))),"Ambiguous",IF(ISNUMBER(SEARCH("平",D3196)),"平","仄")))</x:f>
        <x:v>仄</x:v>
      </x:c>
      <x:c r="J3208" s="7" t="str"/>
    </x:row>
    <x:row r="3209">
      <x:c r="A3209" s="5" t="str">
        <x:v>肱</x:v>
      </x:c>
      <x:c r="B3209" s="6" t="str">
        <x:v>平</x:v>
      </x:c>
      <x:c r="C3209" s="6" t="str">
        <x:f>IF(B3209="","Needs decision","Ready")</x:f>
        <x:v>Ready</x:v>
      </x:c>
      <x:c r="D3209" s="6" t="str">
        <x:v>平</x:v>
      </x:c>
      <x:c r="E3209" s="6" t="str">
        <x:v>kwong (A)</x:v>
      </x:c>
      <x:c r="F3209" s="6" t="str">
        <x:v>1</x:v>
      </x:c>
      <x:c r="G3209" s="6" t="str"/>
      <x:c r="H3209" s="6" t="str">
        <x:f>IF(B3209="平","平",IF(B3209="","","仄"))</x:f>
        <x:v>平</x:v>
      </x:c>
      <x:c r="I3209" s="6" t="str">
        <x:f>IF(D3197="","",IF(AND(ISNUMBER(SEARCH("平",D3197)),OR(ISNUMBER(SEARCH("上",D3197)),ISNUMBER(SEARCH("去",D3197)),ISNUMBER(SEARCH("入",D3197)))),"Ambiguous",IF(ISNUMBER(SEARCH("平",D3197)),"平","仄")))</x:f>
        <x:v>平</x:v>
      </x:c>
      <x:c r="J3209" s="7" t="str"/>
    </x:row>
    <x:row r="3210">
      <x:c r="A3210" s="5" t="str">
        <x:v>育</x:v>
      </x:c>
      <x:c r="B3210" s="6" t="str">
        <x:v>入</x:v>
      </x:c>
      <x:c r="C3210" s="6" t="str">
        <x:f>IF(B3210="","Needs decision","Ready")</x:f>
        <x:v>Ready</x:v>
      </x:c>
      <x:c r="D3210" s="6" t="str">
        <x:v>入</x:v>
      </x:c>
      <x:c r="E3210" s="6" t="str">
        <x:v>yuwk (D)</x:v>
      </x:c>
      <x:c r="F3210" s="6" t="str">
        <x:v>1</x:v>
      </x:c>
      <x:c r="G3210" s="6" t="str"/>
      <x:c r="H3210" s="6" t="str">
        <x:f>IF(B3210="平","平",IF(B3210="","","仄"))</x:f>
        <x:v>仄</x:v>
      </x:c>
      <x:c r="I3210" s="6" t="str">
        <x:f>IF(D3198="","",IF(AND(ISNUMBER(SEARCH("平",D3198)),OR(ISNUMBER(SEARCH("上",D3198)),ISNUMBER(SEARCH("去",D3198)),ISNUMBER(SEARCH("入",D3198)))),"Ambiguous",IF(ISNUMBER(SEARCH("平",D3198)),"平","仄")))</x:f>
        <x:v>Ambiguous</x:v>
      </x:c>
      <x:c r="J3210" s="7" t="str"/>
    </x:row>
    <x:row r="3211">
      <x:c r="A3211" s="5" t="str">
        <x:v>肴</x:v>
      </x:c>
      <x:c r="B3211" s="6" t="str">
        <x:v>平</x:v>
      </x:c>
      <x:c r="C3211" s="6" t="str">
        <x:f>IF(B3211="","Needs decision","Ready")</x:f>
        <x:v>Ready</x:v>
      </x:c>
      <x:c r="D3211" s="6" t="str">
        <x:v>平</x:v>
      </x:c>
      <x:c r="E3211" s="6" t="str">
        <x:v>haew (A)</x:v>
      </x:c>
      <x:c r="F3211" s="6" t="str">
        <x:v>1</x:v>
      </x:c>
      <x:c r="G3211" s="6" t="str"/>
      <x:c r="H3211" s="6" t="str">
        <x:f>IF(B3211="平","平",IF(B3211="","","仄"))</x:f>
        <x:v>平</x:v>
      </x:c>
      <x:c r="I3211" s="6" t="str">
        <x:f>IF(D3199="","",IF(AND(ISNUMBER(SEARCH("平",D3199)),OR(ISNUMBER(SEARCH("上",D3199)),ISNUMBER(SEARCH("去",D3199)),ISNUMBER(SEARCH("入",D3199)))),"Ambiguous",IF(ISNUMBER(SEARCH("平",D3199)),"平","仄")))</x:f>
        <x:v>仄</x:v>
      </x:c>
      <x:c r="J3211" s="7" t="str"/>
    </x:row>
    <x:row r="3212">
      <x:c r="A3212" s="5" t="str">
        <x:v>肺</x:v>
      </x:c>
      <x:c r="B3212" s="6" t="str">
        <x:v>去</x:v>
      </x:c>
      <x:c r="C3212" s="6" t="str">
        <x:f>IF(B3212="","Needs decision","Ready")</x:f>
        <x:v>Ready</x:v>
      </x:c>
      <x:c r="D3212" s="6" t="str">
        <x:v>去</x:v>
      </x:c>
      <x:c r="E3212" s="6" t="str">
        <x:v>phjojH (C); phajH (C)</x:v>
      </x:c>
      <x:c r="F3212" s="6" t="str">
        <x:v>2</x:v>
      </x:c>
      <x:c r="G3212" s="6" t="str"/>
      <x:c r="H3212" s="6" t="str">
        <x:f>IF(B3212="平","平",IF(B3212="","","仄"))</x:f>
        <x:v>仄</x:v>
      </x:c>
      <x:c r="I3212" s="6" t="str">
        <x:f>IF(D3200="","",IF(AND(ISNUMBER(SEARCH("平",D3200)),OR(ISNUMBER(SEARCH("上",D3200)),ISNUMBER(SEARCH("去",D3200)),ISNUMBER(SEARCH("入",D3200)))),"Ambiguous",IF(ISNUMBER(SEARCH("平",D3200)),"平","仄")))</x:f>
        <x:v>平</x:v>
      </x:c>
      <x:c r="J3212" s="7" t="str"/>
    </x:row>
    <x:row r="3213">
      <x:c r="A3213" s="5" t="str">
        <x:v>胃</x:v>
      </x:c>
      <x:c r="B3213" s="6" t="str">
        <x:v>去</x:v>
      </x:c>
      <x:c r="C3213" s="6" t="str">
        <x:f>IF(B3213="","Needs decision","Ready")</x:f>
        <x:v>Ready</x:v>
      </x:c>
      <x:c r="D3213" s="6" t="str">
        <x:v>去</x:v>
      </x:c>
      <x:c r="E3213" s="6" t="str">
        <x:v>hjw+jH (C)</x:v>
      </x:c>
      <x:c r="F3213" s="6" t="str">
        <x:v>1</x:v>
      </x:c>
      <x:c r="G3213" s="6" t="str"/>
      <x:c r="H3213" s="6" t="str">
        <x:f>IF(B3213="平","平",IF(B3213="","","仄"))</x:f>
        <x:v>仄</x:v>
      </x:c>
      <x:c r="I3213" s="6" t="str">
        <x:f>IF(D3201="","",IF(AND(ISNUMBER(SEARCH("平",D3201)),OR(ISNUMBER(SEARCH("上",D3201)),ISNUMBER(SEARCH("去",D3201)),ISNUMBER(SEARCH("入",D3201)))),"Ambiguous",IF(ISNUMBER(SEARCH("平",D3201)),"平","仄")))</x:f>
        <x:v>仄</x:v>
      </x:c>
      <x:c r="J3213" s="7" t="str"/>
    </x:row>
    <x:row r="3214">
      <x:c r="A3214" s="5" t="str">
        <x:v>胈</x:v>
      </x:c>
      <x:c r="B3214" s="6" t="str">
        <x:v>入</x:v>
      </x:c>
      <x:c r="C3214" s="6" t="str">
        <x:f>IF(B3214="","Needs decision","Ready")</x:f>
        <x:v>Ready</x:v>
      </x:c>
      <x:c r="D3214" s="6" t="str">
        <x:v>入</x:v>
      </x:c>
      <x:c r="E3214" s="6" t="str">
        <x:v>pat (D)</x:v>
      </x:c>
      <x:c r="F3214" s="6" t="str">
        <x:v>1</x:v>
      </x:c>
      <x:c r="G3214" s="6" t="str"/>
      <x:c r="H3214" s="6" t="str">
        <x:f>IF(B3214="平","平",IF(B3214="","","仄"))</x:f>
        <x:v>仄</x:v>
      </x:c>
      <x:c r="I3214" s="6" t="str">
        <x:f>IF(D3202="","",IF(AND(ISNUMBER(SEARCH("平",D3202)),OR(ISNUMBER(SEARCH("上",D3202)),ISNUMBER(SEARCH("去",D3202)),ISNUMBER(SEARCH("入",D3202)))),"Ambiguous",IF(ISNUMBER(SEARCH("平",D3202)),"平","仄")))</x:f>
        <x:v>平</x:v>
      </x:c>
      <x:c r="J3214" s="7" t="str"/>
    </x:row>
    <x:row r="3215">
      <x:c r="A3215" s="5" t="str">
        <x:v>胉</x:v>
      </x:c>
      <x:c r="B3215" s="6" t="str">
        <x:v>入</x:v>
      </x:c>
      <x:c r="C3215" s="6" t="str">
        <x:f>IF(B3215="","Needs decision","Ready")</x:f>
        <x:v>Ready</x:v>
      </x:c>
      <x:c r="D3215" s="6" t="str">
        <x:v>入</x:v>
      </x:c>
      <x:c r="E3215" s="6" t="str">
        <x:v>phak (D)</x:v>
      </x:c>
      <x:c r="F3215" s="6" t="str">
        <x:v>1</x:v>
      </x:c>
      <x:c r="G3215" s="6" t="str"/>
      <x:c r="H3215" s="6" t="str">
        <x:f>IF(B3215="平","平",IF(B3215="","","仄"))</x:f>
        <x:v>仄</x:v>
      </x:c>
      <x:c r="I3215" s="6" t="str">
        <x:f>IF(D3203="","",IF(AND(ISNUMBER(SEARCH("平",D3203)),OR(ISNUMBER(SEARCH("上",D3203)),ISNUMBER(SEARCH("去",D3203)),ISNUMBER(SEARCH("入",D3203)))),"Ambiguous",IF(ISNUMBER(SEARCH("平",D3203)),"平","仄")))</x:f>
        <x:v>平</x:v>
      </x:c>
      <x:c r="J3215" s="7" t="str"/>
    </x:row>
    <x:row r="3216">
      <x:c r="A3216" s="5" t="str">
        <x:v>背</x:v>
      </x:c>
      <x:c r="B3216" s="6" t="str">
        <x:v>去</x:v>
      </x:c>
      <x:c r="C3216" s="6" t="str">
        <x:f>IF(B3216="","Needs decision","Ready")</x:f>
        <x:v>Ready</x:v>
      </x:c>
      <x:c r="D3216" s="6" t="str">
        <x:v>去</x:v>
      </x:c>
      <x:c r="E3216" s="6" t="str">
        <x:v>bwojH (C); pwojH (C)</x:v>
      </x:c>
      <x:c r="F3216" s="6" t="str">
        <x:v>2</x:v>
      </x:c>
      <x:c r="G3216" s="6" t="str"/>
      <x:c r="H3216" s="6" t="str">
        <x:f>IF(B3216="平","平",IF(B3216="","","仄"))</x:f>
        <x:v>仄</x:v>
      </x:c>
      <x:c r="I3216" s="6" t="str">
        <x:f>IF(D3204="","",IF(AND(ISNUMBER(SEARCH("平",D3204)),OR(ISNUMBER(SEARCH("上",D3204)),ISNUMBER(SEARCH("去",D3204)),ISNUMBER(SEARCH("入",D3204)))),"Ambiguous",IF(ISNUMBER(SEARCH("平",D3204)),"平","仄")))</x:f>
        <x:v>仄</x:v>
      </x:c>
      <x:c r="J3216" s="7" t="str"/>
    </x:row>
    <x:row r="3217">
      <x:c r="A3217" s="5" t="str">
        <x:v>胎</x:v>
      </x:c>
      <x:c r="B3217" s="6" t="str">
        <x:v>平</x:v>
      </x:c>
      <x:c r="C3217" s="6" t="str">
        <x:f>IF(B3217="","Needs decision","Ready")</x:f>
        <x:v>Ready</x:v>
      </x:c>
      <x:c r="D3217" s="6" t="str">
        <x:v>平</x:v>
      </x:c>
      <x:c r="E3217" s="6" t="str">
        <x:v>thoj (A)</x:v>
      </x:c>
      <x:c r="F3217" s="6" t="str">
        <x:v>1</x:v>
      </x:c>
      <x:c r="G3217" s="6" t="str"/>
      <x:c r="H3217" s="6" t="str">
        <x:f>IF(B3217="平","平",IF(B3217="","","仄"))</x:f>
        <x:v>平</x:v>
      </x:c>
      <x:c r="I3217" s="6" t="str">
        <x:f>IF(D3205="","",IF(AND(ISNUMBER(SEARCH("平",D3205)),OR(ISNUMBER(SEARCH("上",D3205)),ISNUMBER(SEARCH("去",D3205)),ISNUMBER(SEARCH("入",D3205)))),"Ambiguous",IF(ISNUMBER(SEARCH("平",D3205)),"平","仄")))</x:f>
        <x:v>平</x:v>
      </x:c>
      <x:c r="J3217" s="7" t="str"/>
    </x:row>
    <x:row r="3218">
      <x:c r="A3218" s="5" t="str">
        <x:v>胑</x:v>
      </x:c>
      <x:c r="B3218" s="6" t="str">
        <x:v>平</x:v>
      </x:c>
      <x:c r="C3218" s="6" t="str">
        <x:f>IF(B3218="","Needs decision","Ready")</x:f>
        <x:v>Ready</x:v>
      </x:c>
      <x:c r="D3218" s="6" t="str">
        <x:v>平</x:v>
      </x:c>
      <x:c r="E3218" s="6" t="str">
        <x:v>tsye (A)</x:v>
      </x:c>
      <x:c r="F3218" s="6" t="str">
        <x:v>1</x:v>
      </x:c>
      <x:c r="G3218" s="6" t="str"/>
      <x:c r="H3218" s="6" t="str">
        <x:f>IF(B3218="平","平",IF(B3218="","","仄"))</x:f>
        <x:v>平</x:v>
      </x:c>
      <x:c r="I3218" s="6" t="str">
        <x:f>IF(D3206="","",IF(AND(ISNUMBER(SEARCH("平",D3206)),OR(ISNUMBER(SEARCH("上",D3206)),ISNUMBER(SEARCH("去",D3206)),ISNUMBER(SEARCH("入",D3206)))),"Ambiguous",IF(ISNUMBER(SEARCH("平",D3206)),"平","仄")))</x:f>
        <x:v>平</x:v>
      </x:c>
      <x:c r="J3218" s="7" t="str"/>
    </x:row>
    <x:row r="3219">
      <x:c r="A3219" s="5" t="str">
        <x:v>胙</x:v>
      </x:c>
      <x:c r="B3219" s="6" t="str">
        <x:v>去</x:v>
      </x:c>
      <x:c r="C3219" s="6" t="str">
        <x:f>IF(B3219="","Needs decision","Ready")</x:f>
        <x:v>Ready</x:v>
      </x:c>
      <x:c r="D3219" s="6" t="str">
        <x:v>去</x:v>
      </x:c>
      <x:c r="E3219" s="6" t="str">
        <x:v>dzuH (C)</x:v>
      </x:c>
      <x:c r="F3219" s="6" t="str">
        <x:v>1</x:v>
      </x:c>
      <x:c r="G3219" s="6" t="str"/>
      <x:c r="H3219" s="6" t="str">
        <x:f>IF(B3219="平","平",IF(B3219="","","仄"))</x:f>
        <x:v>仄</x:v>
      </x:c>
      <x:c r="I3219" s="6" t="str">
        <x:f>IF(D3207="","",IF(AND(ISNUMBER(SEARCH("平",D3207)),OR(ISNUMBER(SEARCH("上",D3207)),ISNUMBER(SEARCH("去",D3207)),ISNUMBER(SEARCH("入",D3207)))),"Ambiguous",IF(ISNUMBER(SEARCH("平",D3207)),"平","仄")))</x:f>
        <x:v>平</x:v>
      </x:c>
      <x:c r="J3219" s="7" t="str"/>
    </x:row>
    <x:row r="3220">
      <x:c r="A3220" s="5" t="str">
        <x:v>胝</x:v>
      </x:c>
      <x:c r="B3220" s="6" t="str">
        <x:v>平</x:v>
      </x:c>
      <x:c r="C3220" s="6" t="str">
        <x:f>IF(B3220="","Needs decision","Ready")</x:f>
        <x:v>Ready</x:v>
      </x:c>
      <x:c r="D3220" s="6" t="str">
        <x:v>平</x:v>
      </x:c>
      <x:c r="E3220" s="6" t="str">
        <x:v>trij [ʈi] (平)</x:v>
      </x:c>
      <x:c r="F3220" s="6" t="str">
        <x:v>1</x:v>
      </x:c>
      <x:c r="G3220" s="6" t="str">
        <x:v>Tang 300 gap; frequency 1; provisional from Xun Gong</x:v>
      </x:c>
      <x:c r="H3220" s="6" t="str">
        <x:f>IF(B3220="平","平",IF(B3220="","","仄"))</x:f>
        <x:v>平</x:v>
      </x:c>
      <x:c r="I3220" s="6" t="str">
        <x:f>IF(D3208="","",IF(AND(ISNUMBER(SEARCH("平",D3208)),OR(ISNUMBER(SEARCH("上",D3208)),ISNUMBER(SEARCH("去",D3208)),ISNUMBER(SEARCH("入",D3208)))),"Ambiguous",IF(ISNUMBER(SEARCH("平",D3208)),"平","仄")))</x:f>
        <x:v>仄</x:v>
      </x:c>
      <x:c r="J3220" s="7" t="str">
        <x:v>Xun Gong, Tang 300 gap fill</x:v>
      </x:c>
    </x:row>
    <x:row r="3221">
      <x:c r="A3221" s="5" t="str">
        <x:v>胞</x:v>
      </x:c>
      <x:c r="B3221" s="6" t="str">
        <x:v>平</x:v>
      </x:c>
      <x:c r="C3221" s="6" t="str">
        <x:f>IF(B3221="","Needs decision","Ready")</x:f>
        <x:v>Ready</x:v>
      </x:c>
      <x:c r="D3221" s="6" t="str">
        <x:v>平</x:v>
      </x:c>
      <x:c r="E3221" s="6" t="str">
        <x:v>paew (A)</x:v>
      </x:c>
      <x:c r="F3221" s="6" t="str">
        <x:v>1</x:v>
      </x:c>
      <x:c r="G3221" s="6" t="str"/>
      <x:c r="H3221" s="6" t="str">
        <x:f>IF(B3221="平","平",IF(B3221="","","仄"))</x:f>
        <x:v>平</x:v>
      </x:c>
      <x:c r="I3221" s="6" t="str">
        <x:f>IF(D3209="","",IF(AND(ISNUMBER(SEARCH("平",D3209)),OR(ISNUMBER(SEARCH("上",D3209)),ISNUMBER(SEARCH("去",D3209)),ISNUMBER(SEARCH("入",D3209)))),"Ambiguous",IF(ISNUMBER(SEARCH("平",D3209)),"平","仄")))</x:f>
        <x:v>平</x:v>
      </x:c>
      <x:c r="J3221" s="7" t="str"/>
    </x:row>
    <x:row r="3222">
      <x:c r="A3222" s="5" t="str">
        <x:v>胠</x:v>
      </x:c>
      <x:c r="B3222" s="6" t="str">
        <x:v>入</x:v>
      </x:c>
      <x:c r="C3222" s="6" t="str">
        <x:f>IF(B3222="","Needs decision","Ready")</x:f>
        <x:v>Ready</x:v>
      </x:c>
      <x:c r="D3222" s="6" t="str">
        <x:v>入</x:v>
      </x:c>
      <x:c r="E3222" s="6" t="str">
        <x:v>khjaep (D)</x:v>
      </x:c>
      <x:c r="F3222" s="6" t="str">
        <x:v>1</x:v>
      </x:c>
      <x:c r="G3222" s="6" t="str"/>
      <x:c r="H3222" s="6" t="str">
        <x:f>IF(B3222="平","平",IF(B3222="","","仄"))</x:f>
        <x:v>仄</x:v>
      </x:c>
      <x:c r="I3222" s="6" t="str">
        <x:f>IF(D3210="","",IF(AND(ISNUMBER(SEARCH("平",D3210)),OR(ISNUMBER(SEARCH("上",D3210)),ISNUMBER(SEARCH("去",D3210)),ISNUMBER(SEARCH("入",D3210)))),"Ambiguous",IF(ISNUMBER(SEARCH("平",D3210)),"平","仄")))</x:f>
        <x:v>仄</x:v>
      </x:c>
      <x:c r="J3222" s="7" t="str"/>
    </x:row>
    <x:row r="3223">
      <x:c r="A3223" s="5" t="str">
        <x:v>胡</x:v>
      </x:c>
      <x:c r="B3223" s="6" t="str">
        <x:v>平</x:v>
      </x:c>
      <x:c r="C3223" s="6" t="str">
        <x:f>IF(B3223="","Needs decision","Ready")</x:f>
        <x:v>Ready</x:v>
      </x:c>
      <x:c r="D3223" s="6" t="str">
        <x:v>平</x:v>
      </x:c>
      <x:c r="E3223" s="6" t="str">
        <x:v>hu (A)</x:v>
      </x:c>
      <x:c r="F3223" s="6" t="str">
        <x:v>1</x:v>
      </x:c>
      <x:c r="G3223" s="6" t="str"/>
      <x:c r="H3223" s="6" t="str">
        <x:f>IF(B3223="平","平",IF(B3223="","","仄"))</x:f>
        <x:v>平</x:v>
      </x:c>
      <x:c r="I3223" s="6" t="str">
        <x:f>IF(D3211="","",IF(AND(ISNUMBER(SEARCH("平",D3211)),OR(ISNUMBER(SEARCH("上",D3211)),ISNUMBER(SEARCH("去",D3211)),ISNUMBER(SEARCH("入",D3211)))),"Ambiguous",IF(ISNUMBER(SEARCH("平",D3211)),"平","仄")))</x:f>
        <x:v>平</x:v>
      </x:c>
      <x:c r="J3223" s="7" t="str"/>
    </x:row>
    <x:row r="3224">
      <x:c r="A3224" s="5" t="str">
        <x:v>胣</x:v>
      </x:c>
      <x:c r="B3224" s="6" t="str">
        <x:v>上</x:v>
      </x:c>
      <x:c r="C3224" s="6" t="str">
        <x:f>IF(B3224="","Needs decision","Ready")</x:f>
        <x:v>Ready</x:v>
      </x:c>
      <x:c r="D3224" s="6" t="str">
        <x:v>上</x:v>
      </x:c>
      <x:c r="E3224" s="6" t="str">
        <x:v>yeX (B)</x:v>
      </x:c>
      <x:c r="F3224" s="6" t="str">
        <x:v>1</x:v>
      </x:c>
      <x:c r="G3224" s="6" t="str"/>
      <x:c r="H3224" s="6" t="str">
        <x:f>IF(B3224="平","平",IF(B3224="","","仄"))</x:f>
        <x:v>仄</x:v>
      </x:c>
      <x:c r="I3224" s="6" t="str">
        <x:f>IF(D3212="","",IF(AND(ISNUMBER(SEARCH("平",D3212)),OR(ISNUMBER(SEARCH("上",D3212)),ISNUMBER(SEARCH("去",D3212)),ISNUMBER(SEARCH("入",D3212)))),"Ambiguous",IF(ISNUMBER(SEARCH("平",D3212)),"平","仄")))</x:f>
        <x:v>仄</x:v>
      </x:c>
      <x:c r="J3224" s="7" t="str"/>
    </x:row>
    <x:row r="3225">
      <x:c r="A3225" s="5" t="str">
        <x:v>胤</x:v>
      </x:c>
      <x:c r="B3225" s="6" t="str">
        <x:v>去</x:v>
      </x:c>
      <x:c r="C3225" s="6" t="str">
        <x:f>IF(B3225="","Needs decision","Ready")</x:f>
        <x:v>Ready</x:v>
      </x:c>
      <x:c r="D3225" s="6" t="str">
        <x:v>去</x:v>
      </x:c>
      <x:c r="E3225" s="6" t="str">
        <x:v>yinH (C)</x:v>
      </x:c>
      <x:c r="F3225" s="6" t="str">
        <x:v>1</x:v>
      </x:c>
      <x:c r="G3225" s="6" t="str"/>
      <x:c r="H3225" s="6" t="str">
        <x:f>IF(B3225="平","平",IF(B3225="","","仄"))</x:f>
        <x:v>仄</x:v>
      </x:c>
      <x:c r="I3225" s="6" t="str">
        <x:f>IF(D3213="","",IF(AND(ISNUMBER(SEARCH("平",D3213)),OR(ISNUMBER(SEARCH("上",D3213)),ISNUMBER(SEARCH("去",D3213)),ISNUMBER(SEARCH("入",D3213)))),"Ambiguous",IF(ISNUMBER(SEARCH("平",D3213)),"平","仄")))</x:f>
        <x:v>仄</x:v>
      </x:c>
      <x:c r="J3225" s="7" t="str"/>
    </x:row>
    <x:row r="3226">
      <x:c r="A3226" s="5" t="str">
        <x:v>胥</x:v>
      </x:c>
      <x:c r="B3226" s="6" t="str"/>
      <x:c r="C3226" s="6" t="str">
        <x:f>IF(B3226="","Needs decision","Ready")</x:f>
        <x:v>Needs decision</x:v>
      </x:c>
      <x:c r="D3226" s="6" t="str">
        <x:v>平/上</x:v>
      </x:c>
      <x:c r="E3226" s="6" t="str">
        <x:v>sjo [sjə] (平); sjoX [sjəʔ] (上)</x:v>
      </x:c>
      <x:c r="F3226" s="6" t="str">
        <x:v>2</x:v>
      </x:c>
      <x:c r="G3226" s="6" t="str">
        <x:v>Tang 300 gap; frequency 2; ambiguous in Xun Gong</x:v>
      </x:c>
      <x:c r="H3226" s="6" t="str">
        <x:f>IF(B3226="平","平",IF(B3226="","","仄"))</x:f>
      </x:c>
      <x:c r="I3226" s="6" t="str">
        <x:f>IF(D3214="","",IF(AND(ISNUMBER(SEARCH("平",D3214)),OR(ISNUMBER(SEARCH("上",D3214)),ISNUMBER(SEARCH("去",D3214)),ISNUMBER(SEARCH("入",D3214)))),"Ambiguous",IF(ISNUMBER(SEARCH("平",D3214)),"平","仄")))</x:f>
        <x:v>仄</x:v>
      </x:c>
      <x:c r="J3226" s="7" t="str">
        <x:v>Xun Gong, Tang 300 gap fill</x:v>
      </x:c>
    </x:row>
    <x:row r="3227">
      <x:c r="A3227" s="5" t="str">
        <x:v>胳</x:v>
      </x:c>
      <x:c r="B3227" s="6" t="str">
        <x:v>入</x:v>
      </x:c>
      <x:c r="C3227" s="6" t="str">
        <x:f>IF(B3227="","Needs decision","Ready")</x:f>
        <x:v>Ready</x:v>
      </x:c>
      <x:c r="D3227" s="6" t="str">
        <x:v>入</x:v>
      </x:c>
      <x:c r="E3227" s="6" t="str">
        <x:v>kak (D)</x:v>
      </x:c>
      <x:c r="F3227" s="6" t="str">
        <x:v>1</x:v>
      </x:c>
      <x:c r="G3227" s="6" t="str"/>
      <x:c r="H3227" s="6" t="str">
        <x:f>IF(B3227="平","平",IF(B3227="","","仄"))</x:f>
        <x:v>仄</x:v>
      </x:c>
      <x:c r="I3227" s="6" t="str">
        <x:f>IF(D3215="","",IF(AND(ISNUMBER(SEARCH("平",D3215)),OR(ISNUMBER(SEARCH("上",D3215)),ISNUMBER(SEARCH("去",D3215)),ISNUMBER(SEARCH("入",D3215)))),"Ambiguous",IF(ISNUMBER(SEARCH("平",D3215)),"平","仄")))</x:f>
        <x:v>仄</x:v>
      </x:c>
      <x:c r="J3227" s="7" t="str"/>
    </x:row>
    <x:row r="3228">
      <x:c r="A3228" s="5" t="str">
        <x:v>胷</x:v>
      </x:c>
      <x:c r="B3228" s="6" t="str">
        <x:v>平</x:v>
      </x:c>
      <x:c r="C3228" s="6" t="str">
        <x:f>IF(B3228="","Needs decision","Ready")</x:f>
        <x:v>Ready</x:v>
      </x:c>
      <x:c r="D3228" s="6" t="str">
        <x:v>平</x:v>
      </x:c>
      <x:c r="E3228" s="6" t="str">
        <x:v>xjowng [曉三C鍾平] xɨ̯oŋ</x:v>
      </x:c>
      <x:c r="F3228" s="6" t="str">
        <x:v>1</x:v>
      </x:c>
      <x:c r="G3228" s="6" t="str">
        <x:v>Targeted preliminary fill from Xun Gong; review if uncertain</x:v>
      </x:c>
      <x:c r="H3228" s="6" t="str">
        <x:f>IF(B3228="平","平",IF(B3228="","","仄"))</x:f>
        <x:v>平</x:v>
      </x:c>
      <x:c r="I3228" s="6" t="str">
        <x:f>IF(D3216="","",IF(AND(ISNUMBER(SEARCH("平",D3216)),OR(ISNUMBER(SEARCH("上",D3216)),ISNUMBER(SEARCH("去",D3216)),ISNUMBER(SEARCH("入",D3216)))),"Ambiguous",IF(ISNUMBER(SEARCH("平",D3216)),"平","仄")))</x:f>
        <x:v>仄</x:v>
      </x:c>
      <x:c r="J3228" s="7" t="str">
        <x:v>Xun Gong character-readings.csv</x:v>
      </x:c>
    </x:row>
    <x:row r="3229">
      <x:c r="A3229" s="5" t="str">
        <x:v>能</x:v>
      </x:c>
      <x:c r="B3229" s="6" t="str">
        <x:v>平</x:v>
      </x:c>
      <x:c r="C3229" s="6" t="str">
        <x:f>IF(B3229="","Needs decision","Ready")</x:f>
        <x:v>Ready</x:v>
      </x:c>
      <x:c r="D3229" s="6" t="str">
        <x:v>平</x:v>
      </x:c>
      <x:c r="E3229" s="6" t="str">
        <x:v>noj (A); nong (A)</x:v>
      </x:c>
      <x:c r="F3229" s="6" t="str">
        <x:v>2</x:v>
      </x:c>
      <x:c r="G3229" s="6" t="str"/>
      <x:c r="H3229" s="6" t="str">
        <x:f>IF(B3229="平","平",IF(B3229="","","仄"))</x:f>
        <x:v>平</x:v>
      </x:c>
      <x:c r="I3229" s="6" t="str">
        <x:f>IF(D3217="","",IF(AND(ISNUMBER(SEARCH("平",D3217)),OR(ISNUMBER(SEARCH("上",D3217)),ISNUMBER(SEARCH("去",D3217)),ISNUMBER(SEARCH("入",D3217)))),"Ambiguous",IF(ISNUMBER(SEARCH("平",D3217)),"平","仄")))</x:f>
        <x:v>平</x:v>
      </x:c>
      <x:c r="J3229" s="7" t="str"/>
    </x:row>
    <x:row r="3230">
      <x:c r="A3230" s="5" t="str">
        <x:v>脀</x:v>
      </x:c>
      <x:c r="B3230" s="6" t="str">
        <x:v>平</x:v>
      </x:c>
      <x:c r="C3230" s="6" t="str">
        <x:f>IF(B3230="","Needs decision","Ready")</x:f>
        <x:v>Ready</x:v>
      </x:c>
      <x:c r="D3230" s="6" t="str">
        <x:v>平</x:v>
      </x:c>
      <x:c r="E3230" s="6" t="str">
        <x:v>tsying (A)</x:v>
      </x:c>
      <x:c r="F3230" s="6" t="str">
        <x:v>1</x:v>
      </x:c>
      <x:c r="G3230" s="6" t="str"/>
      <x:c r="H3230" s="6" t="str">
        <x:f>IF(B3230="平","平",IF(B3230="","","仄"))</x:f>
        <x:v>平</x:v>
      </x:c>
      <x:c r="I3230" s="6" t="str">
        <x:f>IF(D3218="","",IF(AND(ISNUMBER(SEARCH("平",D3218)),OR(ISNUMBER(SEARCH("上",D3218)),ISNUMBER(SEARCH("去",D3218)),ISNUMBER(SEARCH("入",D3218)))),"Ambiguous",IF(ISNUMBER(SEARCH("平",D3218)),"平","仄")))</x:f>
        <x:v>平</x:v>
      </x:c>
      <x:c r="J3230" s="7" t="str"/>
    </x:row>
    <x:row r="3231">
      <x:c r="A3231" s="5" t="str">
        <x:v>脂</x:v>
      </x:c>
      <x:c r="B3231" s="6" t="str">
        <x:v>平</x:v>
      </x:c>
      <x:c r="C3231" s="6" t="str">
        <x:f>IF(B3231="","Needs decision","Ready")</x:f>
        <x:v>Ready</x:v>
      </x:c>
      <x:c r="D3231" s="6" t="str">
        <x:v>平</x:v>
      </x:c>
      <x:c r="E3231" s="6" t="str">
        <x:v>tsyij (A)</x:v>
      </x:c>
      <x:c r="F3231" s="6" t="str">
        <x:v>1</x:v>
      </x:c>
      <x:c r="G3231" s="6" t="str"/>
      <x:c r="H3231" s="6" t="str">
        <x:f>IF(B3231="平","平",IF(B3231="","","仄"))</x:f>
        <x:v>平</x:v>
      </x:c>
      <x:c r="I3231" s="6" t="str">
        <x:f>IF(D3219="","",IF(AND(ISNUMBER(SEARCH("平",D3219)),OR(ISNUMBER(SEARCH("上",D3219)),ISNUMBER(SEARCH("去",D3219)),ISNUMBER(SEARCH("入",D3219)))),"Ambiguous",IF(ISNUMBER(SEARCH("平",D3219)),"平","仄")))</x:f>
        <x:v>仄</x:v>
      </x:c>
      <x:c r="J3231" s="7" t="str"/>
    </x:row>
    <x:row r="3232">
      <x:c r="A3232" s="5" t="str">
        <x:v>脃</x:v>
      </x:c>
      <x:c r="B3232" s="6" t="str">
        <x:v>去</x:v>
      </x:c>
      <x:c r="C3232" s="6" t="str">
        <x:f>IF(B3232="","Needs decision","Ready")</x:f>
        <x:v>Ready</x:v>
      </x:c>
      <x:c r="D3232" s="6" t="str">
        <x:v>去</x:v>
      </x:c>
      <x:c r="E3232" s="6" t="str">
        <x:v>tshjwejH (C)</x:v>
      </x:c>
      <x:c r="F3232" s="6" t="str">
        <x:v>1</x:v>
      </x:c>
      <x:c r="G3232" s="6" t="str"/>
      <x:c r="H3232" s="6" t="str">
        <x:f>IF(B3232="平","平",IF(B3232="","","仄"))</x:f>
        <x:v>仄</x:v>
      </x:c>
      <x:c r="I3232" s="6" t="str">
        <x:f>IF(D3220="","",IF(AND(ISNUMBER(SEARCH("平",D3220)),OR(ISNUMBER(SEARCH("上",D3220)),ISNUMBER(SEARCH("去",D3220)),ISNUMBER(SEARCH("入",D3220)))),"Ambiguous",IF(ISNUMBER(SEARCH("平",D3220)),"平","仄")))</x:f>
        <x:v>平</x:v>
      </x:c>
      <x:c r="J3232" s="7" t="str"/>
    </x:row>
    <x:row r="3233">
      <x:c r="A3233" s="5" t="str">
        <x:v>脅</x:v>
      </x:c>
      <x:c r="B3233" s="6" t="str">
        <x:v>入</x:v>
      </x:c>
      <x:c r="C3233" s="6" t="str">
        <x:f>IF(B3233="","Needs decision","Ready")</x:f>
        <x:v>Ready</x:v>
      </x:c>
      <x:c r="D3233" s="6" t="str">
        <x:v>入</x:v>
      </x:c>
      <x:c r="E3233" s="6" t="str">
        <x:v>xjaep (D)</x:v>
      </x:c>
      <x:c r="F3233" s="6" t="str">
        <x:v>1</x:v>
      </x:c>
      <x:c r="G3233" s="6" t="str"/>
      <x:c r="H3233" s="6" t="str">
        <x:f>IF(B3233="平","平",IF(B3233="","","仄"))</x:f>
        <x:v>仄</x:v>
      </x:c>
      <x:c r="I3233" s="6" t="str">
        <x:f>IF(D3221="","",IF(AND(ISNUMBER(SEARCH("平",D3221)),OR(ISNUMBER(SEARCH("上",D3221)),ISNUMBER(SEARCH("去",D3221)),ISNUMBER(SEARCH("入",D3221)))),"Ambiguous",IF(ISNUMBER(SEARCH("平",D3221)),"平","仄")))</x:f>
        <x:v>平</x:v>
      </x:c>
      <x:c r="J3233" s="7" t="str"/>
    </x:row>
    <x:row r="3234">
      <x:c r="A3234" s="5" t="str">
        <x:v>脆</x:v>
      </x:c>
      <x:c r="B3234" s="6" t="str">
        <x:v>去</x:v>
      </x:c>
      <x:c r="C3234" s="6" t="str">
        <x:f>IF(B3234="","Needs decision","Ready")</x:f>
        <x:v>Ready</x:v>
      </x:c>
      <x:c r="D3234" s="6" t="str">
        <x:v>去</x:v>
      </x:c>
      <x:c r="E3234" s="6" t="str">
        <x:v>tshjwejH (C)</x:v>
      </x:c>
      <x:c r="F3234" s="6" t="str">
        <x:v>1</x:v>
      </x:c>
      <x:c r="G3234" s="6" t="str"/>
      <x:c r="H3234" s="6" t="str">
        <x:f>IF(B3234="平","平",IF(B3234="","","仄"))</x:f>
        <x:v>仄</x:v>
      </x:c>
      <x:c r="I3234" s="6" t="str">
        <x:f>IF(D3222="","",IF(AND(ISNUMBER(SEARCH("平",D3222)),OR(ISNUMBER(SEARCH("上",D3222)),ISNUMBER(SEARCH("去",D3222)),ISNUMBER(SEARCH("入",D3222)))),"Ambiguous",IF(ISNUMBER(SEARCH("平",D3222)),"平","仄")))</x:f>
        <x:v>仄</x:v>
      </x:c>
      <x:c r="J3234" s="7" t="str"/>
    </x:row>
    <x:row r="3235">
      <x:c r="A3235" s="5" t="str">
        <x:v>脈</x:v>
      </x:c>
      <x:c r="B3235" s="6" t="str">
        <x:v>入</x:v>
      </x:c>
      <x:c r="C3235" s="6" t="str">
        <x:f>IF(B3235="","Needs decision","Ready")</x:f>
        <x:v>Ready</x:v>
      </x:c>
      <x:c r="D3235" s="6" t="str">
        <x:v>入</x:v>
      </x:c>
      <x:c r="E3235" s="6" t="str">
        <x:v>meak (D)</x:v>
      </x:c>
      <x:c r="F3235" s="6" t="str">
        <x:v>1</x:v>
      </x:c>
      <x:c r="G3235" s="6" t="str"/>
      <x:c r="H3235" s="6" t="str">
        <x:f>IF(B3235="平","平",IF(B3235="","","仄"))</x:f>
        <x:v>仄</x:v>
      </x:c>
      <x:c r="I3235" s="6" t="str">
        <x:f>IF(D3223="","",IF(AND(ISNUMBER(SEARCH("平",D3223)),OR(ISNUMBER(SEARCH("上",D3223)),ISNUMBER(SEARCH("去",D3223)),ISNUMBER(SEARCH("入",D3223)))),"Ambiguous",IF(ISNUMBER(SEARCH("平",D3223)),"平","仄")))</x:f>
        <x:v>平</x:v>
      </x:c>
      <x:c r="J3235" s="7" t="str"/>
    </x:row>
    <x:row r="3236">
      <x:c r="A3236" s="5" t="str">
        <x:v>脉</x:v>
      </x:c>
      <x:c r="B3236" s="6" t="str">
        <x:v>入</x:v>
      </x:c>
      <x:c r="C3236" s="6" t="str">
        <x:f>IF(B3236="","Needs decision","Ready")</x:f>
        <x:v>Ready</x:v>
      </x:c>
      <x:c r="D3236" s="6" t="str">
        <x:v>入</x:v>
      </x:c>
      <x:c r="E3236" s="6" t="str">
        <x:v>meak (D)</x:v>
      </x:c>
      <x:c r="F3236" s="6" t="str">
        <x:v>1</x:v>
      </x:c>
      <x:c r="G3236" s="6" t="str"/>
      <x:c r="H3236" s="6" t="str">
        <x:f>IF(B3236="平","平",IF(B3236="","","仄"))</x:f>
        <x:v>仄</x:v>
      </x:c>
      <x:c r="I3236" s="6" t="str">
        <x:f>IF(D3224="","",IF(AND(ISNUMBER(SEARCH("平",D3224)),OR(ISNUMBER(SEARCH("上",D3224)),ISNUMBER(SEARCH("去",D3224)),ISNUMBER(SEARCH("入",D3224)))),"Ambiguous",IF(ISNUMBER(SEARCH("平",D3224)),"平","仄")))</x:f>
        <x:v>仄</x:v>
      </x:c>
      <x:c r="J3236" s="7" t="str"/>
    </x:row>
    <x:row r="3237">
      <x:c r="A3237" s="5" t="str">
        <x:v>脊</x:v>
      </x:c>
      <x:c r="B3237" s="6" t="str">
        <x:v>入</x:v>
      </x:c>
      <x:c r="C3237" s="6" t="str">
        <x:f>IF(B3237="","Needs decision","Ready")</x:f>
        <x:v>Ready</x:v>
      </x:c>
      <x:c r="D3237" s="6" t="str">
        <x:v>入</x:v>
      </x:c>
      <x:c r="E3237" s="6" t="str">
        <x:v>tsjek (D)</x:v>
      </x:c>
      <x:c r="F3237" s="6" t="str">
        <x:v>1</x:v>
      </x:c>
      <x:c r="G3237" s="6" t="str"/>
      <x:c r="H3237" s="6" t="str">
        <x:f>IF(B3237="平","平",IF(B3237="","","仄"))</x:f>
        <x:v>仄</x:v>
      </x:c>
      <x:c r="I3237" s="6" t="str">
        <x:f>IF(D3225="","",IF(AND(ISNUMBER(SEARCH("平",D3225)),OR(ISNUMBER(SEARCH("上",D3225)),ISNUMBER(SEARCH("去",D3225)),ISNUMBER(SEARCH("入",D3225)))),"Ambiguous",IF(ISNUMBER(SEARCH("平",D3225)),"平","仄")))</x:f>
        <x:v>仄</x:v>
      </x:c>
      <x:c r="J3237" s="7" t="str"/>
    </x:row>
    <x:row r="3238">
      <x:c r="A3238" s="5" t="str">
        <x:v>脚</x:v>
      </x:c>
      <x:c r="B3238" s="6" t="str">
        <x:v>入</x:v>
      </x:c>
      <x:c r="C3238" s="6" t="str">
        <x:f>IF(B3238="","Needs decision","Ready")</x:f>
        <x:v>Ready</x:v>
      </x:c>
      <x:c r="D3238" s="6" t="str">
        <x:v>入</x:v>
      </x:c>
      <x:c r="E3238" s="6" t="str">
        <x:v>kjak (D)</x:v>
      </x:c>
      <x:c r="F3238" s="6" t="str">
        <x:v>1</x:v>
      </x:c>
      <x:c r="G3238" s="6" t="str"/>
      <x:c r="H3238" s="6" t="str">
        <x:f>IF(B3238="平","平",IF(B3238="","","仄"))</x:f>
        <x:v>仄</x:v>
      </x:c>
      <x:c r="I3238" s="6" t="str">
        <x:f>IF(D3226="","",IF(AND(ISNUMBER(SEARCH("平",D3226)),OR(ISNUMBER(SEARCH("上",D3226)),ISNUMBER(SEARCH("去",D3226)),ISNUMBER(SEARCH("入",D3226)))),"Ambiguous",IF(ISNUMBER(SEARCH("平",D3226)),"平","仄")))</x:f>
        <x:v>Ambiguous</x:v>
      </x:c>
      <x:c r="J3238" s="7" t="str"/>
    </x:row>
    <x:row r="3239">
      <x:c r="A3239" s="5" t="str">
        <x:v>脛</x:v>
      </x:c>
      <x:c r="B3239" s="6" t="str">
        <x:v>去</x:v>
      </x:c>
      <x:c r="C3239" s="6" t="str">
        <x:f>IF(B3239="","Needs decision","Ready")</x:f>
        <x:v>Ready</x:v>
      </x:c>
      <x:c r="D3239" s="6" t="str">
        <x:v>去</x:v>
      </x:c>
      <x:c r="E3239" s="6" t="str">
        <x:v>hengH (C)</x:v>
      </x:c>
      <x:c r="F3239" s="6" t="str">
        <x:v>1</x:v>
      </x:c>
      <x:c r="G3239" s="6" t="str"/>
      <x:c r="H3239" s="6" t="str">
        <x:f>IF(B3239="平","平",IF(B3239="","","仄"))</x:f>
        <x:v>仄</x:v>
      </x:c>
      <x:c r="I3239" s="6" t="str">
        <x:f>IF(D3227="","",IF(AND(ISNUMBER(SEARCH("平",D3227)),OR(ISNUMBER(SEARCH("上",D3227)),ISNUMBER(SEARCH("去",D3227)),ISNUMBER(SEARCH("入",D3227)))),"Ambiguous",IF(ISNUMBER(SEARCH("平",D3227)),"平","仄")))</x:f>
        <x:v>仄</x:v>
      </x:c>
      <x:c r="J3239" s="7" t="str"/>
    </x:row>
    <x:row r="3240">
      <x:c r="A3240" s="5" t="str">
        <x:v>脞</x:v>
      </x:c>
      <x:c r="B3240" s="6" t="str">
        <x:v>上</x:v>
      </x:c>
      <x:c r="C3240" s="6" t="str">
        <x:f>IF(B3240="","Needs decision","Ready")</x:f>
        <x:v>Ready</x:v>
      </x:c>
      <x:c r="D3240" s="6" t="str">
        <x:v>上</x:v>
      </x:c>
      <x:c r="E3240" s="6" t="str">
        <x:v>tshwaX (B)</x:v>
      </x:c>
      <x:c r="F3240" s="6" t="str">
        <x:v>1</x:v>
      </x:c>
      <x:c r="G3240" s="6" t="str"/>
      <x:c r="H3240" s="6" t="str">
        <x:f>IF(B3240="平","平",IF(B3240="","","仄"))</x:f>
        <x:v>仄</x:v>
      </x:c>
      <x:c r="I3240" s="6" t="str">
        <x:f>IF(D3228="","",IF(AND(ISNUMBER(SEARCH("平",D3228)),OR(ISNUMBER(SEARCH("上",D3228)),ISNUMBER(SEARCH("去",D3228)),ISNUMBER(SEARCH("入",D3228)))),"Ambiguous",IF(ISNUMBER(SEARCH("平",D3228)),"平","仄")))</x:f>
        <x:v>平</x:v>
      </x:c>
      <x:c r="J3240" s="7" t="str"/>
    </x:row>
    <x:row r="3241">
      <x:c r="A3241" s="5" t="str">
        <x:v>脣</x:v>
      </x:c>
      <x:c r="B3241" s="6" t="str">
        <x:v>平</x:v>
      </x:c>
      <x:c r="C3241" s="6" t="str">
        <x:f>IF(B3241="","Needs decision","Ready")</x:f>
        <x:v>Ready</x:v>
      </x:c>
      <x:c r="D3241" s="6" t="str">
        <x:v>平</x:v>
      </x:c>
      <x:c r="E3241" s="6" t="str">
        <x:v>zywin (A)</x:v>
      </x:c>
      <x:c r="F3241" s="6" t="str">
        <x:v>1</x:v>
      </x:c>
      <x:c r="G3241" s="6" t="str"/>
      <x:c r="H3241" s="6" t="str">
        <x:f>IF(B3241="平","平",IF(B3241="","","仄"))</x:f>
        <x:v>平</x:v>
      </x:c>
      <x:c r="I3241" s="6" t="str">
        <x:f>IF(D3229="","",IF(AND(ISNUMBER(SEARCH("平",D3229)),OR(ISNUMBER(SEARCH("上",D3229)),ISNUMBER(SEARCH("去",D3229)),ISNUMBER(SEARCH("入",D3229)))),"Ambiguous",IF(ISNUMBER(SEARCH("平",D3229)),"平","仄")))</x:f>
        <x:v>平</x:v>
      </x:c>
      <x:c r="J3241" s="7" t="str"/>
    </x:row>
    <x:row r="3242">
      <x:c r="A3242" s="5" t="str">
        <x:v>脩</x:v>
      </x:c>
      <x:c r="B3242" s="6" t="str">
        <x:v>平</x:v>
      </x:c>
      <x:c r="C3242" s="6" t="str">
        <x:f>IF(B3242="","Needs decision","Ready")</x:f>
        <x:v>Ready</x:v>
      </x:c>
      <x:c r="D3242" s="6" t="str">
        <x:v>平</x:v>
      </x:c>
      <x:c r="E3242" s="6" t="str">
        <x:v>sjuw (A)</x:v>
      </x:c>
      <x:c r="F3242" s="6" t="str">
        <x:v>1</x:v>
      </x:c>
      <x:c r="G3242" s="6" t="str"/>
      <x:c r="H3242" s="6" t="str">
        <x:f>IF(B3242="平","平",IF(B3242="","","仄"))</x:f>
        <x:v>平</x:v>
      </x:c>
      <x:c r="I3242" s="6" t="str">
        <x:f>IF(D3230="","",IF(AND(ISNUMBER(SEARCH("平",D3230)),OR(ISNUMBER(SEARCH("上",D3230)),ISNUMBER(SEARCH("去",D3230)),ISNUMBER(SEARCH("入",D3230)))),"Ambiguous",IF(ISNUMBER(SEARCH("平",D3230)),"平","仄")))</x:f>
        <x:v>平</x:v>
      </x:c>
      <x:c r="J3242" s="7" t="str"/>
    </x:row>
    <x:row r="3243">
      <x:c r="A3243" s="5" t="str">
        <x:v>脫</x:v>
      </x:c>
      <x:c r="B3243" s="6" t="str">
        <x:v>入</x:v>
      </x:c>
      <x:c r="C3243" s="6" t="str">
        <x:f>IF(B3243="","Needs decision","Ready")</x:f>
        <x:v>Ready</x:v>
      </x:c>
      <x:c r="D3243" s="6" t="str"/>
      <x:c r="E3243" s="6" t="str"/>
      <x:c r="F3243" s="6" t="str"/>
      <x:c r="G3243" s="6" t="str"/>
      <x:c r="H3243" s="6" t="str">
        <x:f>IF(B3243="平","平",IF(B3243="","","仄"))</x:f>
        <x:v>仄</x:v>
      </x:c>
      <x:c r="I3243" s="6" t="str">
        <x:f>IF(D3231="","",IF(AND(ISNUMBER(SEARCH("平",D3231)),OR(ISNUMBER(SEARCH("上",D3231)),ISNUMBER(SEARCH("去",D3231)),ISNUMBER(SEARCH("入",D3231)))),"Ambiguous",IF(ISNUMBER(SEARCH("平",D3231)),"平","仄")))</x:f>
        <x:v>平</x:v>
      </x:c>
      <x:c r="J3243" s="7" t="str"/>
    </x:row>
    <x:row r="3244">
      <x:c r="A3244" s="5" t="str">
        <x:v>脯</x:v>
      </x:c>
      <x:c r="B3244" s="6" t="str">
        <x:v>上</x:v>
      </x:c>
      <x:c r="C3244" s="6" t="str">
        <x:f>IF(B3244="","Needs decision","Ready")</x:f>
        <x:v>Ready</x:v>
      </x:c>
      <x:c r="D3244" s="6" t="str">
        <x:v>上</x:v>
      </x:c>
      <x:c r="E3244" s="6" t="str">
        <x:v>pjuX (B)</x:v>
      </x:c>
      <x:c r="F3244" s="6" t="str">
        <x:v>1</x:v>
      </x:c>
      <x:c r="G3244" s="6" t="str"/>
      <x:c r="H3244" s="6" t="str">
        <x:f>IF(B3244="平","平",IF(B3244="","","仄"))</x:f>
        <x:v>仄</x:v>
      </x:c>
      <x:c r="I3244" s="6" t="str">
        <x:f>IF(D3232="","",IF(AND(ISNUMBER(SEARCH("平",D3232)),OR(ISNUMBER(SEARCH("上",D3232)),ISNUMBER(SEARCH("去",D3232)),ISNUMBER(SEARCH("入",D3232)))),"Ambiguous",IF(ISNUMBER(SEARCH("平",D3232)),"平","仄")))</x:f>
        <x:v>仄</x:v>
      </x:c>
      <x:c r="J3244" s="7" t="str"/>
    </x:row>
    <x:row r="3245">
      <x:c r="A3245" s="5" t="str">
        <x:v>脰</x:v>
      </x:c>
      <x:c r="B3245" s="6" t="str">
        <x:v>去</x:v>
      </x:c>
      <x:c r="C3245" s="6" t="str">
        <x:f>IF(B3245="","Needs decision","Ready")</x:f>
        <x:v>Ready</x:v>
      </x:c>
      <x:c r="D3245" s="6" t="str">
        <x:v>去</x:v>
      </x:c>
      <x:c r="E3245" s="6" t="str">
        <x:v>duwH (C)</x:v>
      </x:c>
      <x:c r="F3245" s="6" t="str">
        <x:v>1</x:v>
      </x:c>
      <x:c r="G3245" s="6" t="str"/>
      <x:c r="H3245" s="6" t="str">
        <x:f>IF(B3245="平","平",IF(B3245="","","仄"))</x:f>
        <x:v>仄</x:v>
      </x:c>
      <x:c r="I3245" s="6" t="str">
        <x:f>IF(D3233="","",IF(AND(ISNUMBER(SEARCH("平",D3233)),OR(ISNUMBER(SEARCH("上",D3233)),ISNUMBER(SEARCH("去",D3233)),ISNUMBER(SEARCH("入",D3233)))),"Ambiguous",IF(ISNUMBER(SEARCH("平",D3233)),"平","仄")))</x:f>
        <x:v>仄</x:v>
      </x:c>
      <x:c r="J3245" s="7" t="str"/>
    </x:row>
    <x:row r="3246">
      <x:c r="A3246" s="5" t="str">
        <x:v>脱</x:v>
      </x:c>
      <x:c r="B3246" s="6" t="str">
        <x:v>入</x:v>
      </x:c>
      <x:c r="C3246" s="6" t="str">
        <x:f>IF(B3246="","Needs decision","Ready")</x:f>
        <x:v>Ready</x:v>
      </x:c>
      <x:c r="D3246" s="6" t="str">
        <x:v>去/入</x:v>
      </x:c>
      <x:c r="E3246" s="6" t="str">
        <x:v>dwajH (C); dwat (D); thwat (D)</x:v>
      </x:c>
      <x:c r="F3246" s="6" t="str">
        <x:v>3</x:v>
      </x:c>
      <x:c r="G3246" s="6" t="str">
        <x:v>User workbook edit 2026-09-03</x:v>
      </x:c>
      <x:c r="H3246" s="6" t="str">
        <x:f>IF(B3246="平","平",IF(B3246="","","仄"))</x:f>
        <x:v>仄</x:v>
      </x:c>
      <x:c r="I3246" s="6" t="str">
        <x:f>IF(D3234="","",IF(AND(ISNUMBER(SEARCH("平",D3234)),OR(ISNUMBER(SEARCH("上",D3234)),ISNUMBER(SEARCH("去",D3234)),ISNUMBER(SEARCH("入",D3234)))),"Ambiguous",IF(ISNUMBER(SEARCH("平",D3234)),"平","仄")))</x:f>
        <x:v>仄</x:v>
      </x:c>
      <x:c r="J3246" s="7" t="str">
        <x:v>manual user correction</x:v>
      </x:c>
    </x:row>
    <x:row r="3247">
      <x:c r="A3247" s="5" t="str">
        <x:v>脾</x:v>
      </x:c>
      <x:c r="B3247" s="6" t="str">
        <x:v>平</x:v>
      </x:c>
      <x:c r="C3247" s="6" t="str">
        <x:f>IF(B3247="","Needs decision","Ready")</x:f>
        <x:v>Ready</x:v>
      </x:c>
      <x:c r="D3247" s="6" t="str">
        <x:v>平</x:v>
      </x:c>
      <x:c r="E3247" s="6" t="str">
        <x:v>bjie (A)</x:v>
      </x:c>
      <x:c r="F3247" s="6" t="str">
        <x:v>1</x:v>
      </x:c>
      <x:c r="G3247" s="6" t="str"/>
      <x:c r="H3247" s="6" t="str">
        <x:f>IF(B3247="平","平",IF(B3247="","","仄"))</x:f>
        <x:v>平</x:v>
      </x:c>
      <x:c r="I3247" s="6" t="str">
        <x:f>IF(D3235="","",IF(AND(ISNUMBER(SEARCH("平",D3235)),OR(ISNUMBER(SEARCH("上",D3235)),ISNUMBER(SEARCH("去",D3235)),ISNUMBER(SEARCH("入",D3235)))),"Ambiguous",IF(ISNUMBER(SEARCH("平",D3235)),"平","仄")))</x:f>
        <x:v>仄</x:v>
      </x:c>
      <x:c r="J3247" s="7" t="str"/>
    </x:row>
    <x:row r="3248">
      <x:c r="A3248" s="5" t="str">
        <x:v>腆</x:v>
      </x:c>
      <x:c r="B3248" s="6" t="str">
        <x:v>上</x:v>
      </x:c>
      <x:c r="C3248" s="6" t="str">
        <x:f>IF(B3248="","Needs decision","Ready")</x:f>
        <x:v>Ready</x:v>
      </x:c>
      <x:c r="D3248" s="6" t="str">
        <x:v>上</x:v>
      </x:c>
      <x:c r="E3248" s="6" t="str">
        <x:v>thenX (B)</x:v>
      </x:c>
      <x:c r="F3248" s="6" t="str">
        <x:v>1</x:v>
      </x:c>
      <x:c r="G3248" s="6" t="str"/>
      <x:c r="H3248" s="6" t="str">
        <x:f>IF(B3248="平","平",IF(B3248="","","仄"))</x:f>
        <x:v>仄</x:v>
      </x:c>
      <x:c r="I3248" s="6" t="str">
        <x:f>IF(D3236="","",IF(AND(ISNUMBER(SEARCH("平",D3236)),OR(ISNUMBER(SEARCH("上",D3236)),ISNUMBER(SEARCH("去",D3236)),ISNUMBER(SEARCH("入",D3236)))),"Ambiguous",IF(ISNUMBER(SEARCH("平",D3236)),"平","仄")))</x:f>
        <x:v>仄</x:v>
      </x:c>
      <x:c r="J3248" s="7" t="str"/>
    </x:row>
    <x:row r="3249">
      <x:c r="A3249" s="5" t="str">
        <x:v>腋</x:v>
      </x:c>
      <x:c r="B3249" s="6" t="str">
        <x:v>入</x:v>
      </x:c>
      <x:c r="C3249" s="6" t="str">
        <x:f>IF(B3249="","Needs decision","Ready")</x:f>
        <x:v>Ready</x:v>
      </x:c>
      <x:c r="D3249" s="6" t="str">
        <x:v>入</x:v>
      </x:c>
      <x:c r="E3249" s="6" t="str">
        <x:v>yek (D)</x:v>
      </x:c>
      <x:c r="F3249" s="6" t="str">
        <x:v>1</x:v>
      </x:c>
      <x:c r="G3249" s="6" t="str"/>
      <x:c r="H3249" s="6" t="str">
        <x:f>IF(B3249="平","平",IF(B3249="","","仄"))</x:f>
        <x:v>仄</x:v>
      </x:c>
      <x:c r="I3249" s="6" t="str">
        <x:f>IF(D3237="","",IF(AND(ISNUMBER(SEARCH("平",D3237)),OR(ISNUMBER(SEARCH("上",D3237)),ISNUMBER(SEARCH("去",D3237)),ISNUMBER(SEARCH("入",D3237)))),"Ambiguous",IF(ISNUMBER(SEARCH("平",D3237)),"平","仄")))</x:f>
        <x:v>仄</x:v>
      </x:c>
      <x:c r="J3249" s="7" t="str"/>
    </x:row>
    <x:row r="3250">
      <x:c r="A3250" s="5" t="str">
        <x:v>腎</x:v>
      </x:c>
      <x:c r="B3250" s="6" t="str">
        <x:v>上</x:v>
      </x:c>
      <x:c r="C3250" s="6" t="str">
        <x:f>IF(B3250="","Needs decision","Ready")</x:f>
        <x:v>Ready</x:v>
      </x:c>
      <x:c r="D3250" s="6" t="str">
        <x:v>上</x:v>
      </x:c>
      <x:c r="E3250" s="6" t="str">
        <x:v>dzyinX (B)</x:v>
      </x:c>
      <x:c r="F3250" s="6" t="str">
        <x:v>1</x:v>
      </x:c>
      <x:c r="G3250" s="6" t="str"/>
      <x:c r="H3250" s="6" t="str">
        <x:f>IF(B3250="平","平",IF(B3250="","","仄"))</x:f>
        <x:v>仄</x:v>
      </x:c>
      <x:c r="I3250" s="6" t="str">
        <x:f>IF(D3238="","",IF(AND(ISNUMBER(SEARCH("平",D3238)),OR(ISNUMBER(SEARCH("上",D3238)),ISNUMBER(SEARCH("去",D3238)),ISNUMBER(SEARCH("入",D3238)))),"Ambiguous",IF(ISNUMBER(SEARCH("平",D3238)),"平","仄")))</x:f>
        <x:v>仄</x:v>
      </x:c>
      <x:c r="J3250" s="7" t="str"/>
    </x:row>
    <x:row r="3251">
      <x:c r="A3251" s="5" t="str">
        <x:v>腐</x:v>
      </x:c>
      <x:c r="B3251" s="6" t="str">
        <x:v>上</x:v>
      </x:c>
      <x:c r="C3251" s="6" t="str">
        <x:f>IF(B3251="","Needs decision","Ready")</x:f>
        <x:v>Ready</x:v>
      </x:c>
      <x:c r="D3251" s="6" t="str">
        <x:v>上</x:v>
      </x:c>
      <x:c r="E3251" s="6" t="str">
        <x:v>bjuX (B)</x:v>
      </x:c>
      <x:c r="F3251" s="6" t="str">
        <x:v>1</x:v>
      </x:c>
      <x:c r="G3251" s="6" t="str"/>
      <x:c r="H3251" s="6" t="str">
        <x:f>IF(B3251="平","平",IF(B3251="","","仄"))</x:f>
        <x:v>仄</x:v>
      </x:c>
      <x:c r="I3251" s="6" t="str">
        <x:f>IF(D3239="","",IF(AND(ISNUMBER(SEARCH("平",D3239)),OR(ISNUMBER(SEARCH("上",D3239)),ISNUMBER(SEARCH("去",D3239)),ISNUMBER(SEARCH("入",D3239)))),"Ambiguous",IF(ISNUMBER(SEARCH("平",D3239)),"平","仄")))</x:f>
        <x:v>仄</x:v>
      </x:c>
      <x:c r="J3251" s="7" t="str"/>
    </x:row>
    <x:row r="3252">
      <x:c r="A3252" s="5" t="str">
        <x:v>腡</x:v>
      </x:c>
      <x:c r="B3252" s="6" t="str">
        <x:v>平</x:v>
      </x:c>
      <x:c r="C3252" s="6" t="str">
        <x:f>IF(B3252="","Needs decision","Ready")</x:f>
        <x:v>Ready</x:v>
      </x:c>
      <x:c r="D3252" s="6" t="str">
        <x:v>平</x:v>
      </x:c>
      <x:c r="E3252" s="6" t="str">
        <x:v>lwa (A)</x:v>
      </x:c>
      <x:c r="F3252" s="6" t="str">
        <x:v>1</x:v>
      </x:c>
      <x:c r="G3252" s="6" t="str"/>
      <x:c r="H3252" s="6" t="str">
        <x:f>IF(B3252="平","平",IF(B3252="","","仄"))</x:f>
        <x:v>平</x:v>
      </x:c>
      <x:c r="I3252" s="6" t="str">
        <x:f>IF(D3240="","",IF(AND(ISNUMBER(SEARCH("平",D3240)),OR(ISNUMBER(SEARCH("上",D3240)),ISNUMBER(SEARCH("去",D3240)),ISNUMBER(SEARCH("入",D3240)))),"Ambiguous",IF(ISNUMBER(SEARCH("平",D3240)),"平","仄")))</x:f>
        <x:v>仄</x:v>
      </x:c>
      <x:c r="J3252" s="7" t="str"/>
    </x:row>
    <x:row r="3253">
      <x:c r="A3253" s="5" t="str">
        <x:v>腥</x:v>
      </x:c>
      <x:c r="B3253" s="6" t="str">
        <x:v>平</x:v>
      </x:c>
      <x:c r="C3253" s="6" t="str">
        <x:f>IF(B3253="","Needs decision","Ready")</x:f>
        <x:v>Ready</x:v>
      </x:c>
      <x:c r="D3253" s="6" t="str">
        <x:v>平/去</x:v>
      </x:c>
      <x:c r="E3253" s="6" t="str">
        <x:v>seng [s̙eŋ] (平); sengH [s̙eŋh] (去)</x:v>
      </x:c>
      <x:c r="F3253" s="6" t="str">
        <x:v>2</x:v>
      </x:c>
      <x:c r="G3253" s="6" t="str">
        <x:v>Tang 300 gap; frequency 3; ambiguous in Xun Gong; User workbook edit 2026-09-03</x:v>
      </x:c>
      <x:c r="H3253" s="6" t="str">
        <x:f>IF(B3253="平","平",IF(B3253="","","仄"))</x:f>
        <x:v>平</x:v>
      </x:c>
      <x:c r="I3253" s="6" t="str">
        <x:f>IF(D3241="","",IF(AND(ISNUMBER(SEARCH("平",D3241)),OR(ISNUMBER(SEARCH("上",D3241)),ISNUMBER(SEARCH("去",D3241)),ISNUMBER(SEARCH("入",D3241)))),"Ambiguous",IF(ISNUMBER(SEARCH("平",D3241)),"平","仄")))</x:f>
        <x:v>平</x:v>
      </x:c>
      <x:c r="J3253" s="7" t="str">
        <x:v>manual user correction</x:v>
      </x:c>
    </x:row>
    <x:row r="3254">
      <x:c r="A3254" s="5" t="str">
        <x:v>腦</x:v>
      </x:c>
      <x:c r="B3254" s="6" t="str">
        <x:v>上</x:v>
      </x:c>
      <x:c r="C3254" s="6" t="str">
        <x:f>IF(B3254="","Needs decision","Ready")</x:f>
        <x:v>Ready</x:v>
      </x:c>
      <x:c r="D3254" s="6" t="str">
        <x:v>上</x:v>
      </x:c>
      <x:c r="E3254" s="6" t="str">
        <x:v>nawX (B)</x:v>
      </x:c>
      <x:c r="F3254" s="6" t="str">
        <x:v>1</x:v>
      </x:c>
      <x:c r="G3254" s="6" t="str"/>
      <x:c r="H3254" s="6" t="str">
        <x:f>IF(B3254="平","平",IF(B3254="","","仄"))</x:f>
        <x:v>仄</x:v>
      </x:c>
      <x:c r="I3254" s="6" t="str">
        <x:f>IF(D3242="","",IF(AND(ISNUMBER(SEARCH("平",D3242)),OR(ISNUMBER(SEARCH("上",D3242)),ISNUMBER(SEARCH("去",D3242)),ISNUMBER(SEARCH("入",D3242)))),"Ambiguous",IF(ISNUMBER(SEARCH("平",D3242)),"平","仄")))</x:f>
        <x:v>平</x:v>
      </x:c>
      <x:c r="J3254" s="7" t="str"/>
    </x:row>
    <x:row r="3255">
      <x:c r="A3255" s="5" t="str">
        <x:v>腫</x:v>
      </x:c>
      <x:c r="B3255" s="6" t="str">
        <x:v>上</x:v>
      </x:c>
      <x:c r="C3255" s="6" t="str">
        <x:f>IF(B3255="","Needs decision","Ready")</x:f>
        <x:v>Ready</x:v>
      </x:c>
      <x:c r="D3255" s="6" t="str">
        <x:v>上</x:v>
      </x:c>
      <x:c r="E3255" s="6" t="str">
        <x:v>tsyowngX (B)</x:v>
      </x:c>
      <x:c r="F3255" s="6" t="str">
        <x:v>1</x:v>
      </x:c>
      <x:c r="G3255" s="6" t="str"/>
      <x:c r="H3255" s="6" t="str">
        <x:f>IF(B3255="平","平",IF(B3255="","","仄"))</x:f>
        <x:v>仄</x:v>
      </x:c>
      <x:c r="I3255" s="6" t="str">
        <x:f>IF(D3243="","",IF(AND(ISNUMBER(SEARCH("平",D3243)),OR(ISNUMBER(SEARCH("上",D3243)),ISNUMBER(SEARCH("去",D3243)),ISNUMBER(SEARCH("入",D3243)))),"Ambiguous",IF(ISNUMBER(SEARCH("平",D3243)),"平","仄")))</x:f>
      </x:c>
      <x:c r="J3255" s="7" t="str"/>
    </x:row>
    <x:row r="3256">
      <x:c r="A3256" s="5" t="str">
        <x:v>腯</x:v>
      </x:c>
      <x:c r="B3256" s="6" t="str">
        <x:v>入</x:v>
      </x:c>
      <x:c r="C3256" s="6" t="str">
        <x:f>IF(B3256="","Needs decision","Ready")</x:f>
        <x:v>Ready</x:v>
      </x:c>
      <x:c r="D3256" s="6" t="str">
        <x:v>入</x:v>
      </x:c>
      <x:c r="E3256" s="6" t="str">
        <x:v>dwot (D)</x:v>
      </x:c>
      <x:c r="F3256" s="6" t="str">
        <x:v>1</x:v>
      </x:c>
      <x:c r="G3256" s="6" t="str"/>
      <x:c r="H3256" s="6" t="str">
        <x:f>IF(B3256="平","平",IF(B3256="","","仄"))</x:f>
        <x:v>仄</x:v>
      </x:c>
      <x:c r="I3256" s="6" t="str">
        <x:f>IF(D3244="","",IF(AND(ISNUMBER(SEARCH("平",D3244)),OR(ISNUMBER(SEARCH("上",D3244)),ISNUMBER(SEARCH("去",D3244)),ISNUMBER(SEARCH("入",D3244)))),"Ambiguous",IF(ISNUMBER(SEARCH("平",D3244)),"平","仄")))</x:f>
        <x:v>仄</x:v>
      </x:c>
      <x:c r="J3256" s="7" t="str"/>
    </x:row>
    <x:row r="3257">
      <x:c r="A3257" s="5" t="str">
        <x:v>腰</x:v>
      </x:c>
      <x:c r="B3257" s="6" t="str">
        <x:v>平</x:v>
      </x:c>
      <x:c r="C3257" s="6" t="str">
        <x:f>IF(B3257="","Needs decision","Ready")</x:f>
        <x:v>Ready</x:v>
      </x:c>
      <x:c r="D3257" s="6" t="str">
        <x:v>平</x:v>
      </x:c>
      <x:c r="E3257" s="6" t="str">
        <x:v>'jiew (A)</x:v>
      </x:c>
      <x:c r="F3257" s="6" t="str">
        <x:v>1</x:v>
      </x:c>
      <x:c r="G3257" s="6" t="str"/>
      <x:c r="H3257" s="6" t="str">
        <x:f>IF(B3257="平","平",IF(B3257="","","仄"))</x:f>
        <x:v>平</x:v>
      </x:c>
      <x:c r="I3257" s="6" t="str">
        <x:f>IF(D3245="","",IF(AND(ISNUMBER(SEARCH("平",D3245)),OR(ISNUMBER(SEARCH("上",D3245)),ISNUMBER(SEARCH("去",D3245)),ISNUMBER(SEARCH("入",D3245)))),"Ambiguous",IF(ISNUMBER(SEARCH("平",D3245)),"平","仄")))</x:f>
        <x:v>仄</x:v>
      </x:c>
      <x:c r="J3257" s="7" t="str"/>
    </x:row>
    <x:row r="3258">
      <x:c r="A3258" s="5" t="str">
        <x:v>腳</x:v>
      </x:c>
      <x:c r="B3258" s="6" t="str">
        <x:v>入</x:v>
      </x:c>
      <x:c r="C3258" s="6" t="str">
        <x:f>IF(B3258="","Needs decision","Ready")</x:f>
        <x:v>Ready</x:v>
      </x:c>
      <x:c r="D3258" s="6" t="str">
        <x:v>入</x:v>
      </x:c>
      <x:c r="E3258" s="6" t="str">
        <x:v>kjak (D)</x:v>
      </x:c>
      <x:c r="F3258" s="6" t="str">
        <x:v>1</x:v>
      </x:c>
      <x:c r="G3258" s="6" t="str"/>
      <x:c r="H3258" s="6" t="str">
        <x:f>IF(B3258="平","平",IF(B3258="","","仄"))</x:f>
        <x:v>仄</x:v>
      </x:c>
      <x:c r="I3258" s="6" t="str">
        <x:f>IF(D3246="","",IF(AND(ISNUMBER(SEARCH("平",D3246)),OR(ISNUMBER(SEARCH("上",D3246)),ISNUMBER(SEARCH("去",D3246)),ISNUMBER(SEARCH("入",D3246)))),"Ambiguous",IF(ISNUMBER(SEARCH("平",D3246)),"平","仄")))</x:f>
        <x:v>仄</x:v>
      </x:c>
      <x:c r="J3258" s="7" t="str"/>
    </x:row>
    <x:row r="3259">
      <x:c r="A3259" s="5" t="str">
        <x:v>腸</x:v>
      </x:c>
      <x:c r="B3259" s="6" t="str">
        <x:v>平</x:v>
      </x:c>
      <x:c r="C3259" s="6" t="str">
        <x:f>IF(B3259="","Needs decision","Ready")</x:f>
        <x:v>Ready</x:v>
      </x:c>
      <x:c r="D3259" s="6" t="str">
        <x:v>平</x:v>
      </x:c>
      <x:c r="E3259" s="6" t="str">
        <x:v>drjang (A)</x:v>
      </x:c>
      <x:c r="F3259" s="6" t="str">
        <x:v>1</x:v>
      </x:c>
      <x:c r="G3259" s="6" t="str"/>
      <x:c r="H3259" s="6" t="str">
        <x:f>IF(B3259="平","平",IF(B3259="","","仄"))</x:f>
        <x:v>平</x:v>
      </x:c>
      <x:c r="I3259" s="6" t="str">
        <x:f>IF(D3247="","",IF(AND(ISNUMBER(SEARCH("平",D3247)),OR(ISNUMBER(SEARCH("上",D3247)),ISNUMBER(SEARCH("去",D3247)),ISNUMBER(SEARCH("入",D3247)))),"Ambiguous",IF(ISNUMBER(SEARCH("平",D3247)),"平","仄")))</x:f>
        <x:v>平</x:v>
      </x:c>
      <x:c r="J3259" s="7" t="str"/>
    </x:row>
    <x:row r="3260">
      <x:c r="A3260" s="5" t="str">
        <x:v>腹</x:v>
      </x:c>
      <x:c r="B3260" s="6" t="str">
        <x:v>入</x:v>
      </x:c>
      <x:c r="C3260" s="6" t="str">
        <x:f>IF(B3260="","Needs decision","Ready")</x:f>
        <x:v>Ready</x:v>
      </x:c>
      <x:c r="D3260" s="6" t="str">
        <x:v>入</x:v>
      </x:c>
      <x:c r="E3260" s="6" t="str">
        <x:v>pjuwk (D)</x:v>
      </x:c>
      <x:c r="F3260" s="6" t="str">
        <x:v>1</x:v>
      </x:c>
      <x:c r="G3260" s="6" t="str"/>
      <x:c r="H3260" s="6" t="str">
        <x:f>IF(B3260="平","平",IF(B3260="","","仄"))</x:f>
        <x:v>仄</x:v>
      </x:c>
      <x:c r="I3260" s="6" t="str">
        <x:f>IF(D3248="","",IF(AND(ISNUMBER(SEARCH("平",D3248)),OR(ISNUMBER(SEARCH("上",D3248)),ISNUMBER(SEARCH("去",D3248)),ISNUMBER(SEARCH("入",D3248)))),"Ambiguous",IF(ISNUMBER(SEARCH("平",D3248)),"平","仄")))</x:f>
        <x:v>仄</x:v>
      </x:c>
      <x:c r="J3260" s="7" t="str"/>
    </x:row>
    <x:row r="3261">
      <x:c r="A3261" s="5" t="str">
        <x:v>膉</x:v>
      </x:c>
      <x:c r="B3261" s="6" t="str">
        <x:v>入</x:v>
      </x:c>
      <x:c r="C3261" s="6" t="str">
        <x:f>IF(B3261="","Needs decision","Ready")</x:f>
        <x:v>Ready</x:v>
      </x:c>
      <x:c r="D3261" s="6" t="str">
        <x:v>入</x:v>
      </x:c>
      <x:c r="E3261" s="6" t="str">
        <x:v>'jiek (D)</x:v>
      </x:c>
      <x:c r="F3261" s="6" t="str">
        <x:v>1</x:v>
      </x:c>
      <x:c r="G3261" s="6" t="str"/>
      <x:c r="H3261" s="6" t="str">
        <x:f>IF(B3261="平","平",IF(B3261="","","仄"))</x:f>
        <x:v>仄</x:v>
      </x:c>
      <x:c r="I3261" s="6" t="str">
        <x:f>IF(D3249="","",IF(AND(ISNUMBER(SEARCH("平",D3249)),OR(ISNUMBER(SEARCH("上",D3249)),ISNUMBER(SEARCH("去",D3249)),ISNUMBER(SEARCH("入",D3249)))),"Ambiguous",IF(ISNUMBER(SEARCH("平",D3249)),"平","仄")))</x:f>
        <x:v>仄</x:v>
      </x:c>
      <x:c r="J3261" s="7" t="str"/>
    </x:row>
    <x:row r="3262">
      <x:c r="A3262" s="5" t="str">
        <x:v>膊</x:v>
      </x:c>
      <x:c r="B3262" s="6" t="str">
        <x:v>入</x:v>
      </x:c>
      <x:c r="C3262" s="6" t="str">
        <x:f>IF(B3262="","Needs decision","Ready")</x:f>
        <x:v>Ready</x:v>
      </x:c>
      <x:c r="D3262" s="6" t="str">
        <x:v>入</x:v>
      </x:c>
      <x:c r="E3262" s="6" t="str">
        <x:v>phak (D)</x:v>
      </x:c>
      <x:c r="F3262" s="6" t="str">
        <x:v>1</x:v>
      </x:c>
      <x:c r="G3262" s="6" t="str"/>
      <x:c r="H3262" s="6" t="str">
        <x:f>IF(B3262="平","平",IF(B3262="","","仄"))</x:f>
        <x:v>仄</x:v>
      </x:c>
      <x:c r="I3262" s="6" t="str">
        <x:f>IF(D3250="","",IF(AND(ISNUMBER(SEARCH("平",D3250)),OR(ISNUMBER(SEARCH("上",D3250)),ISNUMBER(SEARCH("去",D3250)),ISNUMBER(SEARCH("入",D3250)))),"Ambiguous",IF(ISNUMBER(SEARCH("平",D3250)),"平","仄")))</x:f>
        <x:v>仄</x:v>
      </x:c>
      <x:c r="J3262" s="7" t="str"/>
    </x:row>
    <x:row r="3263">
      <x:c r="A3263" s="5" t="str">
        <x:v>膏</x:v>
      </x:c>
      <x:c r="B3263" s="6" t="str">
        <x:v>平</x:v>
      </x:c>
      <x:c r="C3263" s="6" t="str">
        <x:f>IF(B3263="","Needs decision","Ready")</x:f>
        <x:v>Ready</x:v>
      </x:c>
      <x:c r="D3263" s="6" t="str">
        <x:v>平/去</x:v>
      </x:c>
      <x:c r="E3263" s="6" t="str">
        <x:v>kaw (A); kawH (C)</x:v>
      </x:c>
      <x:c r="F3263" s="6" t="str">
        <x:v>2</x:v>
      </x:c>
      <x:c r="G3263" s="6" t="str"/>
      <x:c r="H3263" s="6" t="str">
        <x:f>IF(B3263="平","平",IF(B3263="","","仄"))</x:f>
        <x:v>平</x:v>
      </x:c>
      <x:c r="I3263" s="6" t="str">
        <x:f>IF(D3251="","",IF(AND(ISNUMBER(SEARCH("平",D3251)),OR(ISNUMBER(SEARCH("上",D3251)),ISNUMBER(SEARCH("去",D3251)),ISNUMBER(SEARCH("入",D3251)))),"Ambiguous",IF(ISNUMBER(SEARCH("平",D3251)),"平","仄")))</x:f>
        <x:v>仄</x:v>
      </x:c>
      <x:c r="J3263" s="7" t="str"/>
    </x:row>
    <x:row r="3264">
      <x:c r="A3264" s="5" t="str">
        <x:v>膚</x:v>
      </x:c>
      <x:c r="B3264" s="6" t="str">
        <x:v>平</x:v>
      </x:c>
      <x:c r="C3264" s="6" t="str">
        <x:f>IF(B3264="","Needs decision","Ready")</x:f>
        <x:v>Ready</x:v>
      </x:c>
      <x:c r="D3264" s="6" t="str">
        <x:v>平</x:v>
      </x:c>
      <x:c r="E3264" s="6" t="str">
        <x:v>pju (A)</x:v>
      </x:c>
      <x:c r="F3264" s="6" t="str">
        <x:v>1</x:v>
      </x:c>
      <x:c r="G3264" s="6" t="str"/>
      <x:c r="H3264" s="6" t="str">
        <x:f>IF(B3264="平","平",IF(B3264="","","仄"))</x:f>
        <x:v>平</x:v>
      </x:c>
      <x:c r="I3264" s="6" t="str">
        <x:f>IF(D3252="","",IF(AND(ISNUMBER(SEARCH("平",D3252)),OR(ISNUMBER(SEARCH("上",D3252)),ISNUMBER(SEARCH("去",D3252)),ISNUMBER(SEARCH("入",D3252)))),"Ambiguous",IF(ISNUMBER(SEARCH("平",D3252)),"平","仄")))</x:f>
        <x:v>平</x:v>
      </x:c>
      <x:c r="J3264" s="7" t="str"/>
    </x:row>
    <x:row r="3265">
      <x:c r="A3265" s="5" t="str">
        <x:v>膝</x:v>
      </x:c>
      <x:c r="B3265" s="6" t="str">
        <x:v>入</x:v>
      </x:c>
      <x:c r="C3265" s="6" t="str">
        <x:f>IF(B3265="","Needs decision","Ready")</x:f>
        <x:v>Ready</x:v>
      </x:c>
      <x:c r="D3265" s="6" t="str">
        <x:v>入</x:v>
      </x:c>
      <x:c r="E3265" s="6" t="str">
        <x:v>sit (D)</x:v>
      </x:c>
      <x:c r="F3265" s="6" t="str">
        <x:v>1</x:v>
      </x:c>
      <x:c r="G3265" s="6" t="str"/>
      <x:c r="H3265" s="6" t="str">
        <x:f>IF(B3265="平","平",IF(B3265="","","仄"))</x:f>
        <x:v>仄</x:v>
      </x:c>
      <x:c r="I3265" s="6" t="str">
        <x:f>IF(D3253="","",IF(AND(ISNUMBER(SEARCH("平",D3253)),OR(ISNUMBER(SEARCH("上",D3253)),ISNUMBER(SEARCH("去",D3253)),ISNUMBER(SEARCH("入",D3253)))),"Ambiguous",IF(ISNUMBER(SEARCH("平",D3253)),"平","仄")))</x:f>
        <x:v>Ambiguous</x:v>
      </x:c>
      <x:c r="J3265" s="7" t="str"/>
    </x:row>
    <x:row r="3266">
      <x:c r="A3266" s="5" t="str">
        <x:v>膠</x:v>
      </x:c>
      <x:c r="B3266" s="6" t="str"/>
      <x:c r="C3266" s="6" t="str">
        <x:f>IF(B3266="","Needs decision","Ready")</x:f>
        <x:v>Needs decision</x:v>
      </x:c>
      <x:c r="D3266" s="6" t="str">
        <x:v>平/上</x:v>
      </x:c>
      <x:c r="E3266" s="6" t="str">
        <x:v>kaew (A); kaewX (B)</x:v>
      </x:c>
      <x:c r="F3266" s="6" t="str">
        <x:v>2</x:v>
      </x:c>
      <x:c r="G3266" s="6" t="str"/>
      <x:c r="H3266" s="6" t="str">
        <x:f>IF(B3266="平","平",IF(B3266="","","仄"))</x:f>
      </x:c>
      <x:c r="I3266" s="6" t="str">
        <x:f>IF(D3254="","",IF(AND(ISNUMBER(SEARCH("平",D3254)),OR(ISNUMBER(SEARCH("上",D3254)),ISNUMBER(SEARCH("去",D3254)),ISNUMBER(SEARCH("入",D3254)))),"Ambiguous",IF(ISNUMBER(SEARCH("平",D3254)),"平","仄")))</x:f>
        <x:v>仄</x:v>
      </x:c>
      <x:c r="J3266" s="7" t="str"/>
    </x:row>
    <x:row r="3267">
      <x:c r="A3267" s="5" t="str">
        <x:v>膩</x:v>
      </x:c>
      <x:c r="B3267" s="6" t="str">
        <x:v>去</x:v>
      </x:c>
      <x:c r="C3267" s="6" t="str">
        <x:f>IF(B3267="","Needs decision","Ready")</x:f>
        <x:v>Ready</x:v>
      </x:c>
      <x:c r="D3267" s="6" t="str">
        <x:v>去</x:v>
      </x:c>
      <x:c r="E3267" s="6" t="str">
        <x:v>nrijH (C)</x:v>
      </x:c>
      <x:c r="F3267" s="6" t="str">
        <x:v>1</x:v>
      </x:c>
      <x:c r="G3267" s="6" t="str"/>
      <x:c r="H3267" s="6" t="str">
        <x:f>IF(B3267="平","平",IF(B3267="","","仄"))</x:f>
        <x:v>仄</x:v>
      </x:c>
      <x:c r="I3267" s="6" t="str">
        <x:f>IF(D3255="","",IF(AND(ISNUMBER(SEARCH("平",D3255)),OR(ISNUMBER(SEARCH("上",D3255)),ISNUMBER(SEARCH("去",D3255)),ISNUMBER(SEARCH("入",D3255)))),"Ambiguous",IF(ISNUMBER(SEARCH("平",D3255)),"平","仄")))</x:f>
        <x:v>仄</x:v>
      </x:c>
      <x:c r="J3267" s="7" t="str"/>
    </x:row>
    <x:row r="3268">
      <x:c r="A3268" s="5" t="str">
        <x:v>膬</x:v>
      </x:c>
      <x:c r="B3268" s="6" t="str">
        <x:v>入</x:v>
      </x:c>
      <x:c r="C3268" s="6" t="str">
        <x:f>IF(B3268="","Needs decision","Ready")</x:f>
        <x:v>Ready</x:v>
      </x:c>
      <x:c r="D3268" s="6" t="str">
        <x:v>入</x:v>
      </x:c>
      <x:c r="E3268" s="6" t="str">
        <x:v>tshjwet (D)</x:v>
      </x:c>
      <x:c r="F3268" s="6" t="str">
        <x:v>1</x:v>
      </x:c>
      <x:c r="G3268" s="6" t="str"/>
      <x:c r="H3268" s="6" t="str">
        <x:f>IF(B3268="平","平",IF(B3268="","","仄"))</x:f>
        <x:v>仄</x:v>
      </x:c>
      <x:c r="I3268" s="6" t="str">
        <x:f>IF(D3256="","",IF(AND(ISNUMBER(SEARCH("平",D3256)),OR(ISNUMBER(SEARCH("上",D3256)),ISNUMBER(SEARCH("去",D3256)),ISNUMBER(SEARCH("入",D3256)))),"Ambiguous",IF(ISNUMBER(SEARCH("平",D3256)),"平","仄")))</x:f>
        <x:v>仄</x:v>
      </x:c>
      <x:c r="J3268" s="7" t="str"/>
    </x:row>
    <x:row r="3269">
      <x:c r="A3269" s="5" t="str">
        <x:v>膳</x:v>
      </x:c>
      <x:c r="B3269" s="6" t="str">
        <x:v>去</x:v>
      </x:c>
      <x:c r="C3269" s="6" t="str">
        <x:f>IF(B3269="","Needs decision","Ready")</x:f>
        <x:v>Ready</x:v>
      </x:c>
      <x:c r="D3269" s="6" t="str">
        <x:v>去</x:v>
      </x:c>
      <x:c r="E3269" s="6" t="str">
        <x:v>dzyenH [dʑenh] (去)</x:v>
      </x:c>
      <x:c r="F3269" s="6" t="str">
        <x:v>1</x:v>
      </x:c>
      <x:c r="G3269" s="6" t="str">
        <x:v>Tang 300 gap; frequency 1; provisional from Xun Gong</x:v>
      </x:c>
      <x:c r="H3269" s="6" t="str">
        <x:f>IF(B3269="平","平",IF(B3269="","","仄"))</x:f>
        <x:v>仄</x:v>
      </x:c>
      <x:c r="I3269" s="6" t="str">
        <x:f>IF(D3257="","",IF(AND(ISNUMBER(SEARCH("平",D3257)),OR(ISNUMBER(SEARCH("上",D3257)),ISNUMBER(SEARCH("去",D3257)),ISNUMBER(SEARCH("入",D3257)))),"Ambiguous",IF(ISNUMBER(SEARCH("平",D3257)),"平","仄")))</x:f>
        <x:v>平</x:v>
      </x:c>
      <x:c r="J3269" s="7" t="str">
        <x:v>Xun Gong, Tang 300 gap fill</x:v>
      </x:c>
    </x:row>
    <x:row r="3270">
      <x:c r="A3270" s="5" t="str">
        <x:v>膷</x:v>
      </x:c>
      <x:c r="B3270" s="6" t="str">
        <x:v>平</x:v>
      </x:c>
      <x:c r="C3270" s="6" t="str">
        <x:f>IF(B3270="","Needs decision","Ready")</x:f>
        <x:v>Ready</x:v>
      </x:c>
      <x:c r="D3270" s="6" t="str">
        <x:v>平</x:v>
      </x:c>
      <x:c r="E3270" s="6" t="str">
        <x:v>xjang (A)</x:v>
      </x:c>
      <x:c r="F3270" s="6" t="str">
        <x:v>1</x:v>
      </x:c>
      <x:c r="G3270" s="6" t="str"/>
      <x:c r="H3270" s="6" t="str">
        <x:f>IF(B3270="平","平",IF(B3270="","","仄"))</x:f>
        <x:v>平</x:v>
      </x:c>
      <x:c r="I3270" s="6" t="str">
        <x:f>IF(D3258="","",IF(AND(ISNUMBER(SEARCH("平",D3258)),OR(ISNUMBER(SEARCH("上",D3258)),ISNUMBER(SEARCH("去",D3258)),ISNUMBER(SEARCH("入",D3258)))),"Ambiguous",IF(ISNUMBER(SEARCH("平",D3258)),"平","仄")))</x:f>
        <x:v>仄</x:v>
      </x:c>
      <x:c r="J3270" s="7" t="str"/>
    </x:row>
    <x:row r="3271">
      <x:c r="A3271" s="5" t="str">
        <x:v>膺</x:v>
      </x:c>
      <x:c r="B3271" s="6" t="str">
        <x:v>平</x:v>
      </x:c>
      <x:c r="C3271" s="6" t="str">
        <x:f>IF(B3271="","Needs decision","Ready")</x:f>
        <x:v>Ready</x:v>
      </x:c>
      <x:c r="D3271" s="6" t="str">
        <x:v>平</x:v>
      </x:c>
      <x:c r="E3271" s="6" t="str">
        <x:v>'ing (A)</x:v>
      </x:c>
      <x:c r="F3271" s="6" t="str">
        <x:v>1</x:v>
      </x:c>
      <x:c r="G3271" s="6" t="str"/>
      <x:c r="H3271" s="6" t="str">
        <x:f>IF(B3271="平","平",IF(B3271="","","仄"))</x:f>
        <x:v>平</x:v>
      </x:c>
      <x:c r="I3271" s="6" t="str">
        <x:f>IF(D3259="","",IF(AND(ISNUMBER(SEARCH("平",D3259)),OR(ISNUMBER(SEARCH("上",D3259)),ISNUMBER(SEARCH("去",D3259)),ISNUMBER(SEARCH("入",D3259)))),"Ambiguous",IF(ISNUMBER(SEARCH("平",D3259)),"平","仄")))</x:f>
        <x:v>平</x:v>
      </x:c>
      <x:c r="J3271" s="7" t="str"/>
    </x:row>
    <x:row r="3272">
      <x:c r="A3272" s="5" t="str">
        <x:v>膻</x:v>
      </x:c>
      <x:c r="B3272" s="6" t="str">
        <x:v>平</x:v>
      </x:c>
      <x:c r="C3272" s="6" t="str">
        <x:f>IF(B3272="","Needs decision","Ready")</x:f>
        <x:v>Ready</x:v>
      </x:c>
      <x:c r="D3272" s="6" t="str">
        <x:v>平</x:v>
      </x:c>
      <x:c r="E3272" s="6" t="str">
        <x:v>syen (A)</x:v>
      </x:c>
      <x:c r="F3272" s="6" t="str">
        <x:v>1</x:v>
      </x:c>
      <x:c r="G3272" s="6" t="str"/>
      <x:c r="H3272" s="6" t="str">
        <x:f>IF(B3272="平","平",IF(B3272="","","仄"))</x:f>
        <x:v>平</x:v>
      </x:c>
      <x:c r="I3272" s="6" t="str">
        <x:f>IF(D3260="","",IF(AND(ISNUMBER(SEARCH("平",D3260)),OR(ISNUMBER(SEARCH("上",D3260)),ISNUMBER(SEARCH("去",D3260)),ISNUMBER(SEARCH("入",D3260)))),"Ambiguous",IF(ISNUMBER(SEARCH("平",D3260)),"平","仄")))</x:f>
        <x:v>仄</x:v>
      </x:c>
      <x:c r="J3272" s="7" t="str"/>
    </x:row>
    <x:row r="3273">
      <x:c r="A3273" s="5" t="str">
        <x:v>膽</x:v>
      </x:c>
      <x:c r="B3273" s="6" t="str">
        <x:v>上</x:v>
      </x:c>
      <x:c r="C3273" s="6" t="str">
        <x:f>IF(B3273="","Needs decision","Ready")</x:f>
        <x:v>Ready</x:v>
      </x:c>
      <x:c r="D3273" s="6" t="str">
        <x:v>上</x:v>
      </x:c>
      <x:c r="E3273" s="6" t="str">
        <x:v>tamX (B)</x:v>
      </x:c>
      <x:c r="F3273" s="6" t="str">
        <x:v>1</x:v>
      </x:c>
      <x:c r="G3273" s="6" t="str"/>
      <x:c r="H3273" s="6" t="str">
        <x:f>IF(B3273="平","平",IF(B3273="","","仄"))</x:f>
        <x:v>仄</x:v>
      </x:c>
      <x:c r="I3273" s="6" t="str">
        <x:f>IF(D3261="","",IF(AND(ISNUMBER(SEARCH("平",D3261)),OR(ISNUMBER(SEARCH("上",D3261)),ISNUMBER(SEARCH("去",D3261)),ISNUMBER(SEARCH("入",D3261)))),"Ambiguous",IF(ISNUMBER(SEARCH("平",D3261)),"平","仄")))</x:f>
        <x:v>仄</x:v>
      </x:c>
      <x:c r="J3273" s="7" t="str"/>
    </x:row>
    <x:row r="3274">
      <x:c r="A3274" s="5" t="str">
        <x:v>膾</x:v>
      </x:c>
      <x:c r="B3274" s="6" t="str">
        <x:v>去</x:v>
      </x:c>
      <x:c r="C3274" s="6" t="str">
        <x:f>IF(B3274="","Needs decision","Ready")</x:f>
        <x:v>Ready</x:v>
      </x:c>
      <x:c r="D3274" s="6" t="str">
        <x:v>去</x:v>
      </x:c>
      <x:c r="E3274" s="6" t="str">
        <x:v>kwajH (C)</x:v>
      </x:c>
      <x:c r="F3274" s="6" t="str">
        <x:v>1</x:v>
      </x:c>
      <x:c r="G3274" s="6" t="str"/>
      <x:c r="H3274" s="6" t="str">
        <x:f>IF(B3274="平","平",IF(B3274="","","仄"))</x:f>
        <x:v>仄</x:v>
      </x:c>
      <x:c r="I3274" s="6" t="str">
        <x:f>IF(D3262="","",IF(AND(ISNUMBER(SEARCH("平",D3262)),OR(ISNUMBER(SEARCH("上",D3262)),ISNUMBER(SEARCH("去",D3262)),ISNUMBER(SEARCH("入",D3262)))),"Ambiguous",IF(ISNUMBER(SEARCH("平",D3262)),"平","仄")))</x:f>
        <x:v>仄</x:v>
      </x:c>
      <x:c r="J3274" s="7" t="str"/>
    </x:row>
    <x:row r="3275">
      <x:c r="A3275" s="5" t="str">
        <x:v>膿</x:v>
      </x:c>
      <x:c r="B3275" s="6" t="str">
        <x:v>平</x:v>
      </x:c>
      <x:c r="C3275" s="6" t="str">
        <x:f>IF(B3275="","Needs decision","Ready")</x:f>
        <x:v>Ready</x:v>
      </x:c>
      <x:c r="D3275" s="6" t="str">
        <x:v>平</x:v>
      </x:c>
      <x:c r="E3275" s="6" t="str">
        <x:v>nowng (A)</x:v>
      </x:c>
      <x:c r="F3275" s="6" t="str">
        <x:v>1</x:v>
      </x:c>
      <x:c r="G3275" s="6" t="str"/>
      <x:c r="H3275" s="6" t="str">
        <x:f>IF(B3275="平","平",IF(B3275="","","仄"))</x:f>
        <x:v>平</x:v>
      </x:c>
      <x:c r="I3275" s="6" t="str">
        <x:f>IF(D3263="","",IF(AND(ISNUMBER(SEARCH("平",D3263)),OR(ISNUMBER(SEARCH("上",D3263)),ISNUMBER(SEARCH("去",D3263)),ISNUMBER(SEARCH("入",D3263)))),"Ambiguous",IF(ISNUMBER(SEARCH("平",D3263)),"平","仄")))</x:f>
        <x:v>Ambiguous</x:v>
      </x:c>
      <x:c r="J3275" s="7" t="str"/>
    </x:row>
    <x:row r="3276">
      <x:c r="A3276" s="5" t="str">
        <x:v>臂</x:v>
      </x:c>
      <x:c r="B3276" s="6" t="str">
        <x:v>去</x:v>
      </x:c>
      <x:c r="C3276" s="6" t="str">
        <x:f>IF(B3276="","Needs decision","Ready")</x:f>
        <x:v>Ready</x:v>
      </x:c>
      <x:c r="D3276" s="6" t="str">
        <x:v>去</x:v>
      </x:c>
      <x:c r="E3276" s="6" t="str">
        <x:v>pjieH (C)</x:v>
      </x:c>
      <x:c r="F3276" s="6" t="str">
        <x:v>1</x:v>
      </x:c>
      <x:c r="G3276" s="6" t="str"/>
      <x:c r="H3276" s="6" t="str">
        <x:f>IF(B3276="平","平",IF(B3276="","","仄"))</x:f>
        <x:v>仄</x:v>
      </x:c>
      <x:c r="I3276" s="6" t="str">
        <x:f>IF(D3264="","",IF(AND(ISNUMBER(SEARCH("平",D3264)),OR(ISNUMBER(SEARCH("上",D3264)),ISNUMBER(SEARCH("去",D3264)),ISNUMBER(SEARCH("入",D3264)))),"Ambiguous",IF(ISNUMBER(SEARCH("平",D3264)),"平","仄")))</x:f>
        <x:v>平</x:v>
      </x:c>
      <x:c r="J3276" s="7" t="str"/>
    </x:row>
    <x:row r="3277">
      <x:c r="A3277" s="5" t="str">
        <x:v>臆</x:v>
      </x:c>
      <x:c r="B3277" s="6" t="str">
        <x:v>入</x:v>
      </x:c>
      <x:c r="C3277" s="6" t="str">
        <x:f>IF(B3277="","Needs decision","Ready")</x:f>
        <x:v>Ready</x:v>
      </x:c>
      <x:c r="D3277" s="6" t="str">
        <x:v>入</x:v>
      </x:c>
      <x:c r="E3277" s="6" t="str">
        <x:v>'ik (D)</x:v>
      </x:c>
      <x:c r="F3277" s="6" t="str">
        <x:v>1</x:v>
      </x:c>
      <x:c r="G3277" s="6" t="str"/>
      <x:c r="H3277" s="6" t="str">
        <x:f>IF(B3277="平","平",IF(B3277="","","仄"))</x:f>
        <x:v>仄</x:v>
      </x:c>
      <x:c r="I3277" s="6" t="str">
        <x:f>IF(D3265="","",IF(AND(ISNUMBER(SEARCH("平",D3265)),OR(ISNUMBER(SEARCH("上",D3265)),ISNUMBER(SEARCH("去",D3265)),ISNUMBER(SEARCH("入",D3265)))),"Ambiguous",IF(ISNUMBER(SEARCH("平",D3265)),"平","仄")))</x:f>
        <x:v>仄</x:v>
      </x:c>
      <x:c r="J3277" s="7" t="str"/>
    </x:row>
    <x:row r="3278">
      <x:c r="A3278" s="5" t="str">
        <x:v>臊</x:v>
      </x:c>
      <x:c r="B3278" s="6" t="str">
        <x:v>平</x:v>
      </x:c>
      <x:c r="C3278" s="6" t="str">
        <x:f>IF(B3278="","Needs decision","Ready")</x:f>
        <x:v>Ready</x:v>
      </x:c>
      <x:c r="D3278" s="6" t="str">
        <x:v>平</x:v>
      </x:c>
      <x:c r="E3278" s="6" t="str">
        <x:v>saw (A)</x:v>
      </x:c>
      <x:c r="F3278" s="6" t="str">
        <x:v>1</x:v>
      </x:c>
      <x:c r="G3278" s="6" t="str"/>
      <x:c r="H3278" s="6" t="str">
        <x:f>IF(B3278="平","平",IF(B3278="","","仄"))</x:f>
        <x:v>平</x:v>
      </x:c>
      <x:c r="I3278" s="6" t="str">
        <x:f>IF(D3266="","",IF(AND(ISNUMBER(SEARCH("平",D3266)),OR(ISNUMBER(SEARCH("上",D3266)),ISNUMBER(SEARCH("去",D3266)),ISNUMBER(SEARCH("入",D3266)))),"Ambiguous",IF(ISNUMBER(SEARCH("平",D3266)),"平","仄")))</x:f>
        <x:v>Ambiguous</x:v>
      </x:c>
      <x:c r="J3278" s="7" t="str"/>
    </x:row>
    <x:row r="3279">
      <x:c r="A3279" s="5" t="str">
        <x:v>臍</x:v>
      </x:c>
      <x:c r="B3279" s="6" t="str">
        <x:v>平</x:v>
      </x:c>
      <x:c r="C3279" s="6" t="str">
        <x:f>IF(B3279="","Needs decision","Ready")</x:f>
        <x:v>Ready</x:v>
      </x:c>
      <x:c r="D3279" s="6" t="str">
        <x:v>平</x:v>
      </x:c>
      <x:c r="E3279" s="6" t="str">
        <x:v>dzej (A)</x:v>
      </x:c>
      <x:c r="F3279" s="6" t="str">
        <x:v>1</x:v>
      </x:c>
      <x:c r="G3279" s="6" t="str"/>
      <x:c r="H3279" s="6" t="str">
        <x:f>IF(B3279="平","平",IF(B3279="","","仄"))</x:f>
        <x:v>平</x:v>
      </x:c>
      <x:c r="I3279" s="6" t="str">
        <x:f>IF(D3267="","",IF(AND(ISNUMBER(SEARCH("平",D3267)),OR(ISNUMBER(SEARCH("上",D3267)),ISNUMBER(SEARCH("去",D3267)),ISNUMBER(SEARCH("入",D3267)))),"Ambiguous",IF(ISNUMBER(SEARCH("平",D3267)),"平","仄")))</x:f>
        <x:v>仄</x:v>
      </x:c>
      <x:c r="J3279" s="7" t="str"/>
    </x:row>
    <x:row r="3280">
      <x:c r="A3280" s="5" t="str">
        <x:v>臘</x:v>
      </x:c>
      <x:c r="B3280" s="6" t="str">
        <x:v>入</x:v>
      </x:c>
      <x:c r="C3280" s="6" t="str">
        <x:f>IF(B3280="","Needs decision","Ready")</x:f>
        <x:v>Ready</x:v>
      </x:c>
      <x:c r="D3280" s="6" t="str">
        <x:v>入</x:v>
      </x:c>
      <x:c r="E3280" s="6" t="str">
        <x:v>lap (D)</x:v>
      </x:c>
      <x:c r="F3280" s="6" t="str">
        <x:v>1</x:v>
      </x:c>
      <x:c r="G3280" s="6" t="str"/>
      <x:c r="H3280" s="6" t="str">
        <x:f>IF(B3280="平","平",IF(B3280="","","仄"))</x:f>
        <x:v>仄</x:v>
      </x:c>
      <x:c r="I3280" s="6" t="str">
        <x:f>IF(D3268="","",IF(AND(ISNUMBER(SEARCH("平",D3268)),OR(ISNUMBER(SEARCH("上",D3268)),ISNUMBER(SEARCH("去",D3268)),ISNUMBER(SEARCH("入",D3268)))),"Ambiguous",IF(ISNUMBER(SEARCH("平",D3268)),"平","仄")))</x:f>
        <x:v>仄</x:v>
      </x:c>
      <x:c r="J3280" s="7" t="str"/>
    </x:row>
    <x:row r="3281">
      <x:c r="A3281" s="5" t="str">
        <x:v>臝</x:v>
      </x:c>
      <x:c r="B3281" s="6" t="str">
        <x:v>上</x:v>
      </x:c>
      <x:c r="C3281" s="6" t="str">
        <x:f>IF(B3281="","Needs decision","Ready")</x:f>
        <x:v>Ready</x:v>
      </x:c>
      <x:c r="D3281" s="6" t="str">
        <x:v>上</x:v>
      </x:c>
      <x:c r="E3281" s="6" t="str">
        <x:v>lwaX (B)</x:v>
      </x:c>
      <x:c r="F3281" s="6" t="str">
        <x:v>1</x:v>
      </x:c>
      <x:c r="G3281" s="6" t="str"/>
      <x:c r="H3281" s="6" t="str">
        <x:f>IF(B3281="平","平",IF(B3281="","","仄"))</x:f>
        <x:v>仄</x:v>
      </x:c>
      <x:c r="I3281" s="6" t="str">
        <x:f>IF(D3269="","",IF(AND(ISNUMBER(SEARCH("平",D3269)),OR(ISNUMBER(SEARCH("上",D3269)),ISNUMBER(SEARCH("去",D3269)),ISNUMBER(SEARCH("入",D3269)))),"Ambiguous",IF(ISNUMBER(SEARCH("平",D3269)),"平","仄")))</x:f>
        <x:v>仄</x:v>
      </x:c>
      <x:c r="J3281" s="7" t="str"/>
    </x:row>
    <x:row r="3282">
      <x:c r="A3282" s="5" t="str">
        <x:v>臡</x:v>
      </x:c>
      <x:c r="B3282" s="6" t="str">
        <x:v>平</x:v>
      </x:c>
      <x:c r="C3282" s="6" t="str">
        <x:f>IF(B3282="","Needs decision","Ready")</x:f>
        <x:v>Ready</x:v>
      </x:c>
      <x:c r="D3282" s="6" t="str">
        <x:v>平</x:v>
      </x:c>
      <x:c r="E3282" s="6" t="str">
        <x:v>nej (A)</x:v>
      </x:c>
      <x:c r="F3282" s="6" t="str">
        <x:v>1</x:v>
      </x:c>
      <x:c r="G3282" s="6" t="str"/>
      <x:c r="H3282" s="6" t="str">
        <x:f>IF(B3282="平","平",IF(B3282="","","仄"))</x:f>
        <x:v>平</x:v>
      </x:c>
      <x:c r="I3282" s="6" t="str">
        <x:f>IF(D3270="","",IF(AND(ISNUMBER(SEARCH("平",D3270)),OR(ISNUMBER(SEARCH("上",D3270)),ISNUMBER(SEARCH("去",D3270)),ISNUMBER(SEARCH("入",D3270)))),"Ambiguous",IF(ISNUMBER(SEARCH("平",D3270)),"平","仄")))</x:f>
        <x:v>平</x:v>
      </x:c>
      <x:c r="J3282" s="7" t="str"/>
    </x:row>
    <x:row r="3283">
      <x:c r="A3283" s="5" t="str">
        <x:v>臣</x:v>
      </x:c>
      <x:c r="B3283" s="6" t="str">
        <x:v>平</x:v>
      </x:c>
      <x:c r="C3283" s="6" t="str">
        <x:f>IF(B3283="","Needs decision","Ready")</x:f>
        <x:v>Ready</x:v>
      </x:c>
      <x:c r="D3283" s="6" t="str">
        <x:v>平</x:v>
      </x:c>
      <x:c r="E3283" s="6" t="str">
        <x:v>dzyin (A)</x:v>
      </x:c>
      <x:c r="F3283" s="6" t="str">
        <x:v>1</x:v>
      </x:c>
      <x:c r="G3283" s="6" t="str"/>
      <x:c r="H3283" s="6" t="str">
        <x:f>IF(B3283="平","平",IF(B3283="","","仄"))</x:f>
        <x:v>平</x:v>
      </x:c>
      <x:c r="I3283" s="6" t="str">
        <x:f>IF(D3271="","",IF(AND(ISNUMBER(SEARCH("平",D3271)),OR(ISNUMBER(SEARCH("上",D3271)),ISNUMBER(SEARCH("去",D3271)),ISNUMBER(SEARCH("入",D3271)))),"Ambiguous",IF(ISNUMBER(SEARCH("平",D3271)),"平","仄")))</x:f>
        <x:v>平</x:v>
      </x:c>
      <x:c r="J3283" s="7" t="str"/>
    </x:row>
    <x:row r="3284">
      <x:c r="A3284" s="5" t="str">
        <x:v>臥</x:v>
      </x:c>
      <x:c r="B3284" s="6" t="str">
        <x:v>去</x:v>
      </x:c>
      <x:c r="C3284" s="6" t="str">
        <x:f>IF(B3284="","Needs decision","Ready")</x:f>
        <x:v>Ready</x:v>
      </x:c>
      <x:c r="D3284" s="6" t="str">
        <x:v>去</x:v>
      </x:c>
      <x:c r="E3284" s="6" t="str">
        <x:v>ngwaH (C)</x:v>
      </x:c>
      <x:c r="F3284" s="6" t="str">
        <x:v>1</x:v>
      </x:c>
      <x:c r="G3284" s="6" t="str"/>
      <x:c r="H3284" s="6" t="str">
        <x:f>IF(B3284="平","平",IF(B3284="","","仄"))</x:f>
        <x:v>仄</x:v>
      </x:c>
      <x:c r="I3284" s="6" t="str">
        <x:f>IF(D3272="","",IF(AND(ISNUMBER(SEARCH("平",D3272)),OR(ISNUMBER(SEARCH("上",D3272)),ISNUMBER(SEARCH("去",D3272)),ISNUMBER(SEARCH("入",D3272)))),"Ambiguous",IF(ISNUMBER(SEARCH("平",D3272)),"平","仄")))</x:f>
        <x:v>平</x:v>
      </x:c>
      <x:c r="J3284" s="7" t="str"/>
    </x:row>
    <x:row r="3285">
      <x:c r="A3285" s="5" t="str">
        <x:v>臧</x:v>
      </x:c>
      <x:c r="B3285" s="6" t="str">
        <x:v>平</x:v>
      </x:c>
      <x:c r="C3285" s="6" t="str">
        <x:f>IF(B3285="","Needs decision","Ready")</x:f>
        <x:v>Ready</x:v>
      </x:c>
      <x:c r="D3285" s="6" t="str">
        <x:v>平</x:v>
      </x:c>
      <x:c r="E3285" s="6" t="str">
        <x:v>tsang (A)</x:v>
      </x:c>
      <x:c r="F3285" s="6" t="str">
        <x:v>1</x:v>
      </x:c>
      <x:c r="G3285" s="6" t="str"/>
      <x:c r="H3285" s="6" t="str">
        <x:f>IF(B3285="平","平",IF(B3285="","","仄"))</x:f>
        <x:v>平</x:v>
      </x:c>
      <x:c r="I3285" s="6" t="str">
        <x:f>IF(D3273="","",IF(AND(ISNUMBER(SEARCH("平",D3273)),OR(ISNUMBER(SEARCH("上",D3273)),ISNUMBER(SEARCH("去",D3273)),ISNUMBER(SEARCH("入",D3273)))),"Ambiguous",IF(ISNUMBER(SEARCH("平",D3273)),"平","仄")))</x:f>
        <x:v>仄</x:v>
      </x:c>
      <x:c r="J3285" s="7" t="str"/>
    </x:row>
    <x:row r="3286">
      <x:c r="A3286" s="5" t="str">
        <x:v>臨</x:v>
      </x:c>
      <x:c r="B3286" s="6" t="str">
        <x:v>平</x:v>
      </x:c>
      <x:c r="C3286" s="6" t="str">
        <x:f>IF(B3286="","Needs decision","Ready")</x:f>
        <x:v>Ready</x:v>
      </x:c>
      <x:c r="D3286" s="6" t="str">
        <x:v>平</x:v>
      </x:c>
      <x:c r="E3286" s="6" t="str">
        <x:v>lim (A)</x:v>
      </x:c>
      <x:c r="F3286" s="6" t="str">
        <x:v>1</x:v>
      </x:c>
      <x:c r="G3286" s="6" t="str"/>
      <x:c r="H3286" s="6" t="str">
        <x:f>IF(B3286="平","平",IF(B3286="","","仄"))</x:f>
        <x:v>平</x:v>
      </x:c>
      <x:c r="I3286" s="6" t="str">
        <x:f>IF(D3274="","",IF(AND(ISNUMBER(SEARCH("平",D3274)),OR(ISNUMBER(SEARCH("上",D3274)),ISNUMBER(SEARCH("去",D3274)),ISNUMBER(SEARCH("入",D3274)))),"Ambiguous",IF(ISNUMBER(SEARCH("平",D3274)),"平","仄")))</x:f>
        <x:v>仄</x:v>
      </x:c>
      <x:c r="J3286" s="7" t="str"/>
    </x:row>
    <x:row r="3287">
      <x:c r="A3287" s="5" t="str">
        <x:v>自</x:v>
      </x:c>
      <x:c r="B3287" s="6" t="str">
        <x:v>去</x:v>
      </x:c>
      <x:c r="C3287" s="6" t="str">
        <x:f>IF(B3287="","Needs decision","Ready")</x:f>
        <x:v>Ready</x:v>
      </x:c>
      <x:c r="D3287" s="6" t="str">
        <x:v>去</x:v>
      </x:c>
      <x:c r="E3287" s="6" t="str">
        <x:v>dzijH (C)</x:v>
      </x:c>
      <x:c r="F3287" s="6" t="str">
        <x:v>1</x:v>
      </x:c>
      <x:c r="G3287" s="6" t="str"/>
      <x:c r="H3287" s="6" t="str">
        <x:f>IF(B3287="平","平",IF(B3287="","","仄"))</x:f>
        <x:v>仄</x:v>
      </x:c>
      <x:c r="I3287" s="6" t="str">
        <x:f>IF(D3275="","",IF(AND(ISNUMBER(SEARCH("平",D3275)),OR(ISNUMBER(SEARCH("上",D3275)),ISNUMBER(SEARCH("去",D3275)),ISNUMBER(SEARCH("入",D3275)))),"Ambiguous",IF(ISNUMBER(SEARCH("平",D3275)),"平","仄")))</x:f>
        <x:v>平</x:v>
      </x:c>
      <x:c r="J3287" s="7" t="str"/>
    </x:row>
    <x:row r="3288">
      <x:c r="A3288" s="5" t="str">
        <x:v>臭</x:v>
      </x:c>
      <x:c r="B3288" s="6" t="str">
        <x:v>去</x:v>
      </x:c>
      <x:c r="C3288" s="6" t="str">
        <x:f>IF(B3288="","Needs decision","Ready")</x:f>
        <x:v>Ready</x:v>
      </x:c>
      <x:c r="D3288" s="6" t="str">
        <x:v>去</x:v>
      </x:c>
      <x:c r="E3288" s="6" t="str">
        <x:v>tsyhuwH (C); xjuwH (C)</x:v>
      </x:c>
      <x:c r="F3288" s="6" t="str">
        <x:v>2</x:v>
      </x:c>
      <x:c r="G3288" s="6" t="str"/>
      <x:c r="H3288" s="6" t="str">
        <x:f>IF(B3288="平","平",IF(B3288="","","仄"))</x:f>
        <x:v>仄</x:v>
      </x:c>
      <x:c r="I3288" s="6" t="str">
        <x:f>IF(D3276="","",IF(AND(ISNUMBER(SEARCH("平",D3276)),OR(ISNUMBER(SEARCH("上",D3276)),ISNUMBER(SEARCH("去",D3276)),ISNUMBER(SEARCH("入",D3276)))),"Ambiguous",IF(ISNUMBER(SEARCH("平",D3276)),"平","仄")))</x:f>
        <x:v>仄</x:v>
      </x:c>
      <x:c r="J3288" s="7" t="str"/>
    </x:row>
    <x:row r="3289">
      <x:c r="A3289" s="5" t="str">
        <x:v>至</x:v>
      </x:c>
      <x:c r="B3289" s="6" t="str">
        <x:v>去</x:v>
      </x:c>
      <x:c r="C3289" s="6" t="str">
        <x:f>IF(B3289="","Needs decision","Ready")</x:f>
        <x:v>Ready</x:v>
      </x:c>
      <x:c r="D3289" s="6" t="str">
        <x:v>去</x:v>
      </x:c>
      <x:c r="E3289" s="6" t="str">
        <x:v>tsyijH (C)</x:v>
      </x:c>
      <x:c r="F3289" s="6" t="str">
        <x:v>1</x:v>
      </x:c>
      <x:c r="G3289" s="6" t="str"/>
      <x:c r="H3289" s="6" t="str">
        <x:f>IF(B3289="平","平",IF(B3289="","","仄"))</x:f>
        <x:v>仄</x:v>
      </x:c>
      <x:c r="I3289" s="6" t="str">
        <x:f>IF(D3277="","",IF(AND(ISNUMBER(SEARCH("平",D3277)),OR(ISNUMBER(SEARCH("上",D3277)),ISNUMBER(SEARCH("去",D3277)),ISNUMBER(SEARCH("入",D3277)))),"Ambiguous",IF(ISNUMBER(SEARCH("平",D3277)),"平","仄")))</x:f>
        <x:v>仄</x:v>
      </x:c>
      <x:c r="J3289" s="7" t="str"/>
    </x:row>
    <x:row r="3290">
      <x:c r="A3290" s="5" t="str">
        <x:v>致</x:v>
      </x:c>
      <x:c r="B3290" s="6" t="str">
        <x:v>去</x:v>
      </x:c>
      <x:c r="C3290" s="6" t="str">
        <x:f>IF(B3290="","Needs decision","Ready")</x:f>
        <x:v>Ready</x:v>
      </x:c>
      <x:c r="D3290" s="6" t="str">
        <x:v>去</x:v>
      </x:c>
      <x:c r="E3290" s="6" t="str">
        <x:v>trijH (C)</x:v>
      </x:c>
      <x:c r="F3290" s="6" t="str">
        <x:v>1</x:v>
      </x:c>
      <x:c r="G3290" s="6" t="str"/>
      <x:c r="H3290" s="6" t="str">
        <x:f>IF(B3290="平","平",IF(B3290="","","仄"))</x:f>
        <x:v>仄</x:v>
      </x:c>
      <x:c r="I3290" s="6" t="str">
        <x:f>IF(D3278="","",IF(AND(ISNUMBER(SEARCH("平",D3278)),OR(ISNUMBER(SEARCH("上",D3278)),ISNUMBER(SEARCH("去",D3278)),ISNUMBER(SEARCH("入",D3278)))),"Ambiguous",IF(ISNUMBER(SEARCH("平",D3278)),"平","仄")))</x:f>
        <x:v>平</x:v>
      </x:c>
      <x:c r="J3290" s="7" t="str"/>
    </x:row>
    <x:row r="3291">
      <x:c r="A3291" s="5" t="str">
        <x:v>臺</x:v>
      </x:c>
      <x:c r="B3291" s="6" t="str">
        <x:v>平</x:v>
      </x:c>
      <x:c r="C3291" s="6" t="str">
        <x:f>IF(B3291="","Needs decision","Ready")</x:f>
        <x:v>Ready</x:v>
      </x:c>
      <x:c r="D3291" s="6" t="str">
        <x:v>平</x:v>
      </x:c>
      <x:c r="E3291" s="6" t="str">
        <x:v>doj (A)</x:v>
      </x:c>
      <x:c r="F3291" s="6" t="str">
        <x:v>1</x:v>
      </x:c>
      <x:c r="G3291" s="6" t="str"/>
      <x:c r="H3291" s="6" t="str">
        <x:f>IF(B3291="平","平",IF(B3291="","","仄"))</x:f>
        <x:v>平</x:v>
      </x:c>
      <x:c r="I3291" s="6" t="str">
        <x:f>IF(D3279="","",IF(AND(ISNUMBER(SEARCH("平",D3279)),OR(ISNUMBER(SEARCH("上",D3279)),ISNUMBER(SEARCH("去",D3279)),ISNUMBER(SEARCH("入",D3279)))),"Ambiguous",IF(ISNUMBER(SEARCH("平",D3279)),"平","仄")))</x:f>
        <x:v>平</x:v>
      </x:c>
      <x:c r="J3291" s="7" t="str"/>
    </x:row>
    <x:row r="3292">
      <x:c r="A3292" s="5" t="str">
        <x:v>臻</x:v>
      </x:c>
      <x:c r="B3292" s="6" t="str">
        <x:v>平</x:v>
      </x:c>
      <x:c r="C3292" s="6" t="str">
        <x:f>IF(B3292="","Needs decision","Ready")</x:f>
        <x:v>Ready</x:v>
      </x:c>
      <x:c r="D3292" s="6" t="str">
        <x:v>平</x:v>
      </x:c>
      <x:c r="E3292" s="6" t="str"/>
      <x:c r="F3292" s="6" t="str"/>
      <x:c r="G3292" s="6" t="str">
        <x:v>Manual user correction/addition</x:v>
      </x:c>
      <x:c r="H3292" s="6" t="str">
        <x:f>IF(B3292="平","平",IF(B3292="","","仄"))</x:f>
        <x:v>平</x:v>
      </x:c>
      <x:c r="I3292" s="6" t="str">
        <x:v>平</x:v>
      </x:c>
      <x:c r="J3292" s="7" t="str">
        <x:v>manual user correction</x:v>
      </x:c>
    </x:row>
    <x:row r="3293">
      <x:c r="A3293" s="5" t="str">
        <x:v>臼</x:v>
      </x:c>
      <x:c r="B3293" s="6" t="str">
        <x:v>上</x:v>
      </x:c>
      <x:c r="C3293" s="6" t="str">
        <x:f>IF(B3293="","Needs decision","Ready")</x:f>
        <x:v>Ready</x:v>
      </x:c>
      <x:c r="D3293" s="6" t="str">
        <x:v>上</x:v>
      </x:c>
      <x:c r="E3293" s="6" t="str">
        <x:v>gjuwX (B)</x:v>
      </x:c>
      <x:c r="F3293" s="6" t="str">
        <x:v>1</x:v>
      </x:c>
      <x:c r="G3293" s="6" t="str"/>
      <x:c r="H3293" s="6" t="str">
        <x:f>IF(B3293="平","平",IF(B3293="","","仄"))</x:f>
        <x:v>仄</x:v>
      </x:c>
      <x:c r="I3293" s="6" t="str">
        <x:f>IF(D3280="","",IF(AND(ISNUMBER(SEARCH("平",D3280)),OR(ISNUMBER(SEARCH("上",D3280)),ISNUMBER(SEARCH("去",D3280)),ISNUMBER(SEARCH("入",D3280)))),"Ambiguous",IF(ISNUMBER(SEARCH("平",D3280)),"平","仄")))</x:f>
        <x:v>仄</x:v>
      </x:c>
      <x:c r="J3293" s="7" t="str"/>
    </x:row>
    <x:row r="3294">
      <x:c r="A3294" s="5" t="str">
        <x:v>臽</x:v>
      </x:c>
      <x:c r="B3294" s="6" t="str">
        <x:v>去</x:v>
      </x:c>
      <x:c r="C3294" s="6" t="str">
        <x:f>IF(B3294="","Needs decision","Ready")</x:f>
        <x:v>Ready</x:v>
      </x:c>
      <x:c r="D3294" s="6" t="str">
        <x:v>去</x:v>
      </x:c>
      <x:c r="E3294" s="6" t="str">
        <x:v>heamH (C)</x:v>
      </x:c>
      <x:c r="F3294" s="6" t="str">
        <x:v>1</x:v>
      </x:c>
      <x:c r="G3294" s="6" t="str"/>
      <x:c r="H3294" s="6" t="str">
        <x:f>IF(B3294="平","平",IF(B3294="","","仄"))</x:f>
        <x:v>仄</x:v>
      </x:c>
      <x:c r="I3294" s="6" t="str">
        <x:f>IF(D3281="","",IF(AND(ISNUMBER(SEARCH("平",D3281)),OR(ISNUMBER(SEARCH("上",D3281)),ISNUMBER(SEARCH("去",D3281)),ISNUMBER(SEARCH("入",D3281)))),"Ambiguous",IF(ISNUMBER(SEARCH("平",D3281)),"平","仄")))</x:f>
        <x:v>仄</x:v>
      </x:c>
      <x:c r="J3294" s="7" t="str"/>
    </x:row>
    <x:row r="3295">
      <x:c r="A3295" s="5" t="str">
        <x:v>臾</x:v>
      </x:c>
      <x:c r="B3295" s="6" t="str">
        <x:v>平</x:v>
      </x:c>
      <x:c r="C3295" s="6" t="str">
        <x:f>IF(B3295="","Needs decision","Ready")</x:f>
        <x:v>Ready</x:v>
      </x:c>
      <x:c r="D3295" s="6" t="str">
        <x:v>平</x:v>
      </x:c>
      <x:c r="E3295" s="6" t="str">
        <x:v>yu (A)</x:v>
      </x:c>
      <x:c r="F3295" s="6" t="str">
        <x:v>1</x:v>
      </x:c>
      <x:c r="G3295" s="6" t="str"/>
      <x:c r="H3295" s="6" t="str">
        <x:f>IF(B3295="平","平",IF(B3295="","","仄"))</x:f>
        <x:v>平</x:v>
      </x:c>
      <x:c r="I3295" s="6" t="str">
        <x:f>IF(D3282="","",IF(AND(ISNUMBER(SEARCH("平",D3282)),OR(ISNUMBER(SEARCH("上",D3282)),ISNUMBER(SEARCH("去",D3282)),ISNUMBER(SEARCH("入",D3282)))),"Ambiguous",IF(ISNUMBER(SEARCH("平",D3282)),"平","仄")))</x:f>
        <x:v>平</x:v>
      </x:c>
      <x:c r="J3295" s="7" t="str"/>
    </x:row>
    <x:row r="3296">
      <x:c r="A3296" s="5" t="str">
        <x:v>臿</x:v>
      </x:c>
      <x:c r="B3296" s="6" t="str">
        <x:v>入</x:v>
      </x:c>
      <x:c r="C3296" s="6" t="str">
        <x:f>IF(B3296="","Needs decision","Ready")</x:f>
        <x:v>Ready</x:v>
      </x:c>
      <x:c r="D3296" s="6" t="str">
        <x:v>入</x:v>
      </x:c>
      <x:c r="E3296" s="6" t="str">
        <x:v>tsrheap (D)</x:v>
      </x:c>
      <x:c r="F3296" s="6" t="str">
        <x:v>1</x:v>
      </x:c>
      <x:c r="G3296" s="6" t="str"/>
      <x:c r="H3296" s="6" t="str">
        <x:f>IF(B3296="平","平",IF(B3296="","","仄"))</x:f>
        <x:v>仄</x:v>
      </x:c>
      <x:c r="I3296" s="6" t="str">
        <x:f>IF(D3283="","",IF(AND(ISNUMBER(SEARCH("平",D3283)),OR(ISNUMBER(SEARCH("上",D3283)),ISNUMBER(SEARCH("去",D3283)),ISNUMBER(SEARCH("入",D3283)))),"Ambiguous",IF(ISNUMBER(SEARCH("平",D3283)),"平","仄")))</x:f>
        <x:v>平</x:v>
      </x:c>
      <x:c r="J3296" s="7" t="str"/>
    </x:row>
    <x:row r="3297">
      <x:c r="A3297" s="5" t="str">
        <x:v>舁</x:v>
      </x:c>
      <x:c r="B3297" s="6" t="str">
        <x:v>上</x:v>
      </x:c>
      <x:c r="C3297" s="6" t="str">
        <x:f>IF(B3297="","Needs decision","Ready")</x:f>
        <x:v>Ready</x:v>
      </x:c>
      <x:c r="D3297" s="6" t="str">
        <x:v>上</x:v>
      </x:c>
      <x:c r="E3297" s="6" t="str">
        <x:v>yoX (B)</x:v>
      </x:c>
      <x:c r="F3297" s="6" t="str">
        <x:v>1</x:v>
      </x:c>
      <x:c r="G3297" s="6" t="str"/>
      <x:c r="H3297" s="6" t="str">
        <x:f>IF(B3297="平","平",IF(B3297="","","仄"))</x:f>
        <x:v>仄</x:v>
      </x:c>
      <x:c r="I3297" s="6" t="str">
        <x:f>IF(D3284="","",IF(AND(ISNUMBER(SEARCH("平",D3284)),OR(ISNUMBER(SEARCH("上",D3284)),ISNUMBER(SEARCH("去",D3284)),ISNUMBER(SEARCH("入",D3284)))),"Ambiguous",IF(ISNUMBER(SEARCH("平",D3284)),"平","仄")))</x:f>
        <x:v>仄</x:v>
      </x:c>
      <x:c r="J3297" s="7" t="str"/>
    </x:row>
    <x:row r="3298">
      <x:c r="A3298" s="5" t="str">
        <x:v>舂</x:v>
      </x:c>
      <x:c r="B3298" s="6" t="str">
        <x:v>平</x:v>
      </x:c>
      <x:c r="C3298" s="6" t="str">
        <x:f>IF(B3298="","Needs decision","Ready")</x:f>
        <x:v>Ready</x:v>
      </x:c>
      <x:c r="D3298" s="6" t="str">
        <x:v>平</x:v>
      </x:c>
      <x:c r="E3298" s="6" t="str">
        <x:v>syowng (A)</x:v>
      </x:c>
      <x:c r="F3298" s="6" t="str">
        <x:v>1</x:v>
      </x:c>
      <x:c r="G3298" s="6" t="str"/>
      <x:c r="H3298" s="6" t="str">
        <x:f>IF(B3298="平","平",IF(B3298="","","仄"))</x:f>
        <x:v>平</x:v>
      </x:c>
      <x:c r="I3298" s="6" t="str">
        <x:f>IF(D3285="","",IF(AND(ISNUMBER(SEARCH("平",D3285)),OR(ISNUMBER(SEARCH("上",D3285)),ISNUMBER(SEARCH("去",D3285)),ISNUMBER(SEARCH("入",D3285)))),"Ambiguous",IF(ISNUMBER(SEARCH("平",D3285)),"平","仄")))</x:f>
        <x:v>平</x:v>
      </x:c>
      <x:c r="J3298" s="7" t="str"/>
    </x:row>
    <x:row r="3299">
      <x:c r="A3299" s="5" t="str">
        <x:v>舄</x:v>
      </x:c>
      <x:c r="B3299" s="6" t="str">
        <x:v>入</x:v>
      </x:c>
      <x:c r="C3299" s="6" t="str">
        <x:f>IF(B3299="","Needs decision","Ready")</x:f>
        <x:v>Ready</x:v>
      </x:c>
      <x:c r="D3299" s="6" t="str">
        <x:v>入</x:v>
      </x:c>
      <x:c r="E3299" s="6" t="str">
        <x:v>sjek (D); tshjak (D)</x:v>
      </x:c>
      <x:c r="F3299" s="6" t="str">
        <x:v>2</x:v>
      </x:c>
      <x:c r="G3299" s="6" t="str"/>
      <x:c r="H3299" s="6" t="str">
        <x:f>IF(B3299="平","平",IF(B3299="","","仄"))</x:f>
        <x:v>仄</x:v>
      </x:c>
      <x:c r="I3299" s="6" t="str">
        <x:f>IF(D3286="","",IF(AND(ISNUMBER(SEARCH("平",D3286)),OR(ISNUMBER(SEARCH("上",D3286)),ISNUMBER(SEARCH("去",D3286)),ISNUMBER(SEARCH("入",D3286)))),"Ambiguous",IF(ISNUMBER(SEARCH("平",D3286)),"平","仄")))</x:f>
        <x:v>平</x:v>
      </x:c>
      <x:c r="J3299" s="7" t="str"/>
    </x:row>
    <x:row r="3300">
      <x:c r="A3300" s="5" t="str">
        <x:v>舅</x:v>
      </x:c>
      <x:c r="B3300" s="6" t="str">
        <x:v>上</x:v>
      </x:c>
      <x:c r="C3300" s="6" t="str">
        <x:f>IF(B3300="","Needs decision","Ready")</x:f>
        <x:v>Ready</x:v>
      </x:c>
      <x:c r="D3300" s="6" t="str">
        <x:v>上</x:v>
      </x:c>
      <x:c r="E3300" s="6" t="str">
        <x:v>gjuwX (B)</x:v>
      </x:c>
      <x:c r="F3300" s="6" t="str">
        <x:v>1</x:v>
      </x:c>
      <x:c r="G3300" s="6" t="str"/>
      <x:c r="H3300" s="6" t="str">
        <x:f>IF(B3300="平","平",IF(B3300="","","仄"))</x:f>
        <x:v>仄</x:v>
      </x:c>
      <x:c r="I3300" s="6" t="str">
        <x:f>IF(D3287="","",IF(AND(ISNUMBER(SEARCH("平",D3287)),OR(ISNUMBER(SEARCH("上",D3287)),ISNUMBER(SEARCH("去",D3287)),ISNUMBER(SEARCH("入",D3287)))),"Ambiguous",IF(ISNUMBER(SEARCH("平",D3287)),"平","仄")))</x:f>
        <x:v>仄</x:v>
      </x:c>
      <x:c r="J3300" s="7" t="str"/>
    </x:row>
    <x:row r="3301">
      <x:c r="A3301" s="5" t="str">
        <x:v>與</x:v>
      </x:c>
      <x:c r="B3301" s="6" t="str">
        <x:v>上</x:v>
      </x:c>
      <x:c r="C3301" s="6" t="str">
        <x:f>IF(B3301="","Needs decision","Ready")</x:f>
        <x:v>Ready</x:v>
      </x:c>
      <x:c r="D3301" s="6" t="str">
        <x:v>上/去</x:v>
      </x:c>
      <x:c r="E3301" s="6" t="str">
        <x:v>yoX (B); yoH (C)</x:v>
      </x:c>
      <x:c r="F3301" s="6" t="str">
        <x:v>2</x:v>
      </x:c>
      <x:c r="G3301" s="6" t="str">
        <x:v>Manual user correction/addition</x:v>
      </x:c>
      <x:c r="H3301" s="6" t="str">
        <x:f>IF(B3301="平","平",IF(B3301="","","仄"))</x:f>
        <x:v>仄</x:v>
      </x:c>
      <x:c r="I3301" s="6" t="str">
        <x:f>IF(D3288="","",IF(AND(ISNUMBER(SEARCH("平",D3288)),OR(ISNUMBER(SEARCH("上",D3288)),ISNUMBER(SEARCH("去",D3288)),ISNUMBER(SEARCH("入",D3288)))),"Ambiguous",IF(ISNUMBER(SEARCH("平",D3288)),"平","仄")))</x:f>
        <x:v>仄</x:v>
      </x:c>
      <x:c r="J3301" s="7" t="str">
        <x:v>manual user correction</x:v>
      </x:c>
    </x:row>
    <x:row r="3302">
      <x:c r="A3302" s="5" t="str">
        <x:v>興</x:v>
      </x:c>
      <x:c r="B3302" s="6" t="str">
        <x:v>平</x:v>
      </x:c>
      <x:c r="C3302" s="6" t="str">
        <x:f>IF(B3302="","Needs decision","Ready")</x:f>
        <x:v>Ready</x:v>
      </x:c>
      <x:c r="D3302" s="6" t="str">
        <x:v>平</x:v>
      </x:c>
      <x:c r="E3302" s="6" t="str">
        <x:v>xing (A)</x:v>
      </x:c>
      <x:c r="F3302" s="6" t="str">
        <x:v>1</x:v>
      </x:c>
      <x:c r="G3302" s="6" t="str"/>
      <x:c r="H3302" s="6" t="str">
        <x:f>IF(B3302="平","平",IF(B3302="","","仄"))</x:f>
        <x:v>平</x:v>
      </x:c>
      <x:c r="I3302" s="6" t="str">
        <x:f>IF(D3289="","",IF(AND(ISNUMBER(SEARCH("平",D3289)),OR(ISNUMBER(SEARCH("上",D3289)),ISNUMBER(SEARCH("去",D3289)),ISNUMBER(SEARCH("入",D3289)))),"Ambiguous",IF(ISNUMBER(SEARCH("平",D3289)),"平","仄")))</x:f>
        <x:v>仄</x:v>
      </x:c>
      <x:c r="J3302" s="7" t="str"/>
    </x:row>
    <x:row r="3303">
      <x:c r="A3303" s="5" t="str">
        <x:v>舉</x:v>
      </x:c>
      <x:c r="B3303" s="6" t="str">
        <x:v>上</x:v>
      </x:c>
      <x:c r="C3303" s="6" t="str">
        <x:f>IF(B3303="","Needs decision","Ready")</x:f>
        <x:v>Ready</x:v>
      </x:c>
      <x:c r="D3303" s="6" t="str">
        <x:v>上</x:v>
      </x:c>
      <x:c r="E3303" s="6" t="str">
        <x:v>kjoX (B)</x:v>
      </x:c>
      <x:c r="F3303" s="6" t="str">
        <x:v>1</x:v>
      </x:c>
      <x:c r="G3303" s="6" t="str"/>
      <x:c r="H3303" s="6" t="str">
        <x:f>IF(B3303="平","平",IF(B3303="","","仄"))</x:f>
        <x:v>仄</x:v>
      </x:c>
      <x:c r="I3303" s="6" t="str">
        <x:f>IF(D3290="","",IF(AND(ISNUMBER(SEARCH("平",D3290)),OR(ISNUMBER(SEARCH("上",D3290)),ISNUMBER(SEARCH("去",D3290)),ISNUMBER(SEARCH("入",D3290)))),"Ambiguous",IF(ISNUMBER(SEARCH("平",D3290)),"平","仄")))</x:f>
        <x:v>仄</x:v>
      </x:c>
      <x:c r="J3303" s="7" t="str"/>
    </x:row>
    <x:row r="3304">
      <x:c r="A3304" s="5" t="str">
        <x:v>舊</x:v>
      </x:c>
      <x:c r="B3304" s="6" t="str">
        <x:v>去</x:v>
      </x:c>
      <x:c r="C3304" s="6" t="str">
        <x:f>IF(B3304="","Needs decision","Ready")</x:f>
        <x:v>Ready</x:v>
      </x:c>
      <x:c r="D3304" s="6" t="str">
        <x:v>去</x:v>
      </x:c>
      <x:c r="E3304" s="6" t="str">
        <x:v>gjuwH (C)</x:v>
      </x:c>
      <x:c r="F3304" s="6" t="str">
        <x:v>1</x:v>
      </x:c>
      <x:c r="G3304" s="6" t="str"/>
      <x:c r="H3304" s="6" t="str">
        <x:f>IF(B3304="平","平",IF(B3304="","","仄"))</x:f>
        <x:v>仄</x:v>
      </x:c>
      <x:c r="I3304" s="6" t="str">
        <x:f>IF(D3291="","",IF(AND(ISNUMBER(SEARCH("平",D3291)),OR(ISNUMBER(SEARCH("上",D3291)),ISNUMBER(SEARCH("去",D3291)),ISNUMBER(SEARCH("入",D3291)))),"Ambiguous",IF(ISNUMBER(SEARCH("平",D3291)),"平","仄")))</x:f>
        <x:v>平</x:v>
      </x:c>
      <x:c r="J3304" s="7" t="str"/>
    </x:row>
    <x:row r="3305">
      <x:c r="A3305" s="5" t="str">
        <x:v>舌</x:v>
      </x:c>
      <x:c r="B3305" s="6" t="str">
        <x:v>入</x:v>
      </x:c>
      <x:c r="C3305" s="6" t="str">
        <x:f>IF(B3305="","Needs decision","Ready")</x:f>
        <x:v>Ready</x:v>
      </x:c>
      <x:c r="D3305" s="6" t="str">
        <x:v>入</x:v>
      </x:c>
      <x:c r="E3305" s="6" t="str">
        <x:v>zyet (D)</x:v>
      </x:c>
      <x:c r="F3305" s="6" t="str">
        <x:v>1</x:v>
      </x:c>
      <x:c r="G3305" s="6" t="str"/>
      <x:c r="H3305" s="6" t="str">
        <x:f>IF(B3305="平","平",IF(B3305="","","仄"))</x:f>
        <x:v>仄</x:v>
      </x:c>
      <x:c r="I3305" s="6" t="str">
        <x:f>IF(D3292="","",IF(AND(ISNUMBER(SEARCH("平",D3292)),OR(ISNUMBER(SEARCH("上",D3292)),ISNUMBER(SEARCH("去",D3292)),ISNUMBER(SEARCH("入",D3292)))),"Ambiguous",IF(ISNUMBER(SEARCH("平",D3292)),"平","仄")))</x:f>
        <x:v>平</x:v>
      </x:c>
      <x:c r="J3305" s="7" t="str"/>
    </x:row>
    <x:row r="3306">
      <x:c r="A3306" s="5" t="str">
        <x:v>舍</x:v>
      </x:c>
      <x:c r="B3306" s="6" t="str"/>
      <x:c r="C3306" s="6" t="str">
        <x:f>IF(B3306="","Needs decision","Ready")</x:f>
        <x:v>Needs decision</x:v>
      </x:c>
      <x:c r="D3306" s="6" t="str">
        <x:v>上/去</x:v>
      </x:c>
      <x:c r="E3306" s="6" t="str">
        <x:v>syaeX (B); syaeH (C)</x:v>
      </x:c>
      <x:c r="F3306" s="6" t="str">
        <x:v>2</x:v>
      </x:c>
      <x:c r="G3306" s="6" t="str"/>
      <x:c r="H3306" s="6" t="str">
        <x:f>IF(B3306="平","平",IF(B3306="","","仄"))</x:f>
      </x:c>
      <x:c r="I3306" s="6" t="str">
        <x:f>IF(D3293="","",IF(AND(ISNUMBER(SEARCH("平",D3293)),OR(ISNUMBER(SEARCH("上",D3293)),ISNUMBER(SEARCH("去",D3293)),ISNUMBER(SEARCH("入",D3293)))),"Ambiguous",IF(ISNUMBER(SEARCH("平",D3293)),"平","仄")))</x:f>
        <x:v>仄</x:v>
      </x:c>
      <x:c r="J3306" s="7" t="str"/>
    </x:row>
    <x:row r="3307">
      <x:c r="A3307" s="5" t="str">
        <x:v>舐</x:v>
      </x:c>
      <x:c r="B3307" s="6" t="str">
        <x:v>上</x:v>
      </x:c>
      <x:c r="C3307" s="6" t="str">
        <x:f>IF(B3307="","Needs decision","Ready")</x:f>
        <x:v>Ready</x:v>
      </x:c>
      <x:c r="D3307" s="6" t="str">
        <x:v>上</x:v>
      </x:c>
      <x:c r="E3307" s="6" t="str">
        <x:v>zyeX (B)</x:v>
      </x:c>
      <x:c r="F3307" s="6" t="str">
        <x:v>1</x:v>
      </x:c>
      <x:c r="G3307" s="6" t="str"/>
      <x:c r="H3307" s="6" t="str">
        <x:f>IF(B3307="平","平",IF(B3307="","","仄"))</x:f>
        <x:v>仄</x:v>
      </x:c>
      <x:c r="I3307" s="6" t="str">
        <x:f>IF(D3294="","",IF(AND(ISNUMBER(SEARCH("平",D3294)),OR(ISNUMBER(SEARCH("上",D3294)),ISNUMBER(SEARCH("去",D3294)),ISNUMBER(SEARCH("入",D3294)))),"Ambiguous",IF(ISNUMBER(SEARCH("平",D3294)),"平","仄")))</x:f>
        <x:v>仄</x:v>
      </x:c>
      <x:c r="J3307" s="7" t="str"/>
    </x:row>
    <x:row r="3308">
      <x:c r="A3308" s="5" t="str">
        <x:v>舒</x:v>
      </x:c>
      <x:c r="B3308" s="6" t="str">
        <x:v>平</x:v>
      </x:c>
      <x:c r="C3308" s="6" t="str">
        <x:f>IF(B3308="","Needs decision","Ready")</x:f>
        <x:v>Ready</x:v>
      </x:c>
      <x:c r="D3308" s="6" t="str">
        <x:v>平</x:v>
      </x:c>
      <x:c r="E3308" s="6" t="str">
        <x:v>syo (A)</x:v>
      </x:c>
      <x:c r="F3308" s="6" t="str">
        <x:v>1</x:v>
      </x:c>
      <x:c r="G3308" s="6" t="str"/>
      <x:c r="H3308" s="6" t="str">
        <x:f>IF(B3308="平","平",IF(B3308="","","仄"))</x:f>
        <x:v>平</x:v>
      </x:c>
      <x:c r="I3308" s="6" t="str">
        <x:f>IF(D3295="","",IF(AND(ISNUMBER(SEARCH("平",D3295)),OR(ISNUMBER(SEARCH("上",D3295)),ISNUMBER(SEARCH("去",D3295)),ISNUMBER(SEARCH("入",D3295)))),"Ambiguous",IF(ISNUMBER(SEARCH("平",D3295)),"平","仄")))</x:f>
        <x:v>平</x:v>
      </x:c>
      <x:c r="J3308" s="7" t="str"/>
    </x:row>
    <x:row r="3309">
      <x:c r="A3309" s="5" t="str">
        <x:v>舓</x:v>
      </x:c>
      <x:c r="B3309" s="6" t="str">
        <x:v>上</x:v>
      </x:c>
      <x:c r="C3309" s="6" t="str">
        <x:f>IF(B3309="","Needs decision","Ready")</x:f>
        <x:v>Ready</x:v>
      </x:c>
      <x:c r="D3309" s="6" t="str">
        <x:v>上</x:v>
      </x:c>
      <x:c r="E3309" s="6" t="str">
        <x:v>zyeX (B)</x:v>
      </x:c>
      <x:c r="F3309" s="6" t="str">
        <x:v>1</x:v>
      </x:c>
      <x:c r="G3309" s="6" t="str"/>
      <x:c r="H3309" s="6" t="str">
        <x:f>IF(B3309="平","平",IF(B3309="","","仄"))</x:f>
        <x:v>仄</x:v>
      </x:c>
      <x:c r="I3309" s="6" t="str">
        <x:f>IF(D3296="","",IF(AND(ISNUMBER(SEARCH("平",D3296)),OR(ISNUMBER(SEARCH("上",D3296)),ISNUMBER(SEARCH("去",D3296)),ISNUMBER(SEARCH("入",D3296)))),"Ambiguous",IF(ISNUMBER(SEARCH("平",D3296)),"平","仄")))</x:f>
        <x:v>仄</x:v>
      </x:c>
      <x:c r="J3309" s="7" t="str"/>
    </x:row>
    <x:row r="3310">
      <x:c r="A3310" s="5" t="str">
        <x:v>舔</x:v>
      </x:c>
      <x:c r="B3310" s="6" t="str">
        <x:v>上</x:v>
      </x:c>
      <x:c r="C3310" s="6" t="str">
        <x:f>IF(B3310="","Needs decision","Ready")</x:f>
        <x:v>Ready</x:v>
      </x:c>
      <x:c r="D3310" s="6" t="str">
        <x:v>上</x:v>
      </x:c>
      <x:c r="E3310" s="6" t="str">
        <x:v>themX (B)</x:v>
      </x:c>
      <x:c r="F3310" s="6" t="str">
        <x:v>1</x:v>
      </x:c>
      <x:c r="G3310" s="6" t="str"/>
      <x:c r="H3310" s="6" t="str">
        <x:f>IF(B3310="平","平",IF(B3310="","","仄"))</x:f>
        <x:v>仄</x:v>
      </x:c>
      <x:c r="I3310" s="6" t="str">
        <x:f>IF(D3297="","",IF(AND(ISNUMBER(SEARCH("平",D3297)),OR(ISNUMBER(SEARCH("上",D3297)),ISNUMBER(SEARCH("去",D3297)),ISNUMBER(SEARCH("入",D3297)))),"Ambiguous",IF(ISNUMBER(SEARCH("平",D3297)),"平","仄")))</x:f>
        <x:v>仄</x:v>
      </x:c>
      <x:c r="J3310" s="7" t="str"/>
    </x:row>
    <x:row r="3311">
      <x:c r="A3311" s="5" t="str">
        <x:v>舛</x:v>
      </x:c>
      <x:c r="B3311" s="6" t="str">
        <x:v>上</x:v>
      </x:c>
      <x:c r="C3311" s="6" t="str">
        <x:f>IF(B3311="","Needs decision","Ready")</x:f>
        <x:v>Ready</x:v>
      </x:c>
      <x:c r="D3311" s="6" t="str">
        <x:v>上</x:v>
      </x:c>
      <x:c r="E3311" s="6" t="str">
        <x:v>tsyhwenX (B)</x:v>
      </x:c>
      <x:c r="F3311" s="6" t="str">
        <x:v>1</x:v>
      </x:c>
      <x:c r="G3311" s="6" t="str"/>
      <x:c r="H3311" s="6" t="str">
        <x:f>IF(B3311="平","平",IF(B3311="","","仄"))</x:f>
        <x:v>仄</x:v>
      </x:c>
      <x:c r="I3311" s="6" t="str">
        <x:f>IF(D3298="","",IF(AND(ISNUMBER(SEARCH("平",D3298)),OR(ISNUMBER(SEARCH("上",D3298)),ISNUMBER(SEARCH("去",D3298)),ISNUMBER(SEARCH("入",D3298)))),"Ambiguous",IF(ISNUMBER(SEARCH("平",D3298)),"平","仄")))</x:f>
        <x:v>平</x:v>
      </x:c>
      <x:c r="J3311" s="7" t="str"/>
    </x:row>
    <x:row r="3312">
      <x:c r="A3312" s="5" t="str">
        <x:v>舜</x:v>
      </x:c>
      <x:c r="B3312" s="6" t="str">
        <x:v>去</x:v>
      </x:c>
      <x:c r="C3312" s="6" t="str">
        <x:f>IF(B3312="","Needs decision","Ready")</x:f>
        <x:v>Ready</x:v>
      </x:c>
      <x:c r="D3312" s="6" t="str">
        <x:v>去</x:v>
      </x:c>
      <x:c r="E3312" s="6" t="str">
        <x:v>sywinH (C)</x:v>
      </x:c>
      <x:c r="F3312" s="6" t="str">
        <x:v>1</x:v>
      </x:c>
      <x:c r="G3312" s="6" t="str"/>
      <x:c r="H3312" s="6" t="str">
        <x:f>IF(B3312="平","平",IF(B3312="","","仄"))</x:f>
        <x:v>仄</x:v>
      </x:c>
      <x:c r="I3312" s="6" t="str">
        <x:f>IF(D3299="","",IF(AND(ISNUMBER(SEARCH("平",D3299)),OR(ISNUMBER(SEARCH("上",D3299)),ISNUMBER(SEARCH("去",D3299)),ISNUMBER(SEARCH("入",D3299)))),"Ambiguous",IF(ISNUMBER(SEARCH("平",D3299)),"平","仄")))</x:f>
        <x:v>仄</x:v>
      </x:c>
      <x:c r="J3312" s="7" t="str"/>
    </x:row>
    <x:row r="3313">
      <x:c r="A3313" s="5" t="str">
        <x:v>舝</x:v>
      </x:c>
      <x:c r="B3313" s="6" t="str">
        <x:v>入</x:v>
      </x:c>
      <x:c r="C3313" s="6" t="str">
        <x:f>IF(B3313="","Needs decision","Ready")</x:f>
        <x:v>Ready</x:v>
      </x:c>
      <x:c r="D3313" s="6" t="str">
        <x:v>入</x:v>
      </x:c>
      <x:c r="E3313" s="6" t="str">
        <x:v>haet (D)</x:v>
      </x:c>
      <x:c r="F3313" s="6" t="str">
        <x:v>1</x:v>
      </x:c>
      <x:c r="G3313" s="6" t="str"/>
      <x:c r="H3313" s="6" t="str">
        <x:f>IF(B3313="平","平",IF(B3313="","","仄"))</x:f>
        <x:v>仄</x:v>
      </x:c>
      <x:c r="I3313" s="6" t="str">
        <x:f>IF(D3300="","",IF(AND(ISNUMBER(SEARCH("平",D3300)),OR(ISNUMBER(SEARCH("上",D3300)),ISNUMBER(SEARCH("去",D3300)),ISNUMBER(SEARCH("入",D3300)))),"Ambiguous",IF(ISNUMBER(SEARCH("平",D3300)),"平","仄")))</x:f>
        <x:v>仄</x:v>
      </x:c>
      <x:c r="J3313" s="7" t="str"/>
    </x:row>
    <x:row r="3314">
      <x:c r="A3314" s="5" t="str">
        <x:v>舞</x:v>
      </x:c>
      <x:c r="B3314" s="6" t="str">
        <x:v>上</x:v>
      </x:c>
      <x:c r="C3314" s="6" t="str">
        <x:f>IF(B3314="","Needs decision","Ready")</x:f>
        <x:v>Ready</x:v>
      </x:c>
      <x:c r="D3314" s="6" t="str">
        <x:v>上</x:v>
      </x:c>
      <x:c r="E3314" s="6" t="str">
        <x:v>mjuX (B)</x:v>
      </x:c>
      <x:c r="F3314" s="6" t="str">
        <x:v>1</x:v>
      </x:c>
      <x:c r="G3314" s="6" t="str"/>
      <x:c r="H3314" s="6" t="str">
        <x:f>IF(B3314="平","平",IF(B3314="","","仄"))</x:f>
        <x:v>仄</x:v>
      </x:c>
      <x:c r="I3314" s="6" t="str">
        <x:f>IF(D3301="","",IF(AND(ISNUMBER(SEARCH("平",D3301)),OR(ISNUMBER(SEARCH("上",D3301)),ISNUMBER(SEARCH("去",D3301)),ISNUMBER(SEARCH("入",D3301)))),"Ambiguous",IF(ISNUMBER(SEARCH("平",D3301)),"平","仄")))</x:f>
        <x:v>仄</x:v>
      </x:c>
      <x:c r="J3314" s="7" t="str"/>
    </x:row>
    <x:row r="3315">
      <x:c r="A3315" s="5" t="str">
        <x:v>舟</x:v>
      </x:c>
      <x:c r="B3315" s="6" t="str">
        <x:v>平</x:v>
      </x:c>
      <x:c r="C3315" s="6" t="str">
        <x:f>IF(B3315="","Needs decision","Ready")</x:f>
        <x:v>Ready</x:v>
      </x:c>
      <x:c r="D3315" s="6" t="str">
        <x:v>平</x:v>
      </x:c>
      <x:c r="E3315" s="6" t="str">
        <x:v>tsyuw (A)</x:v>
      </x:c>
      <x:c r="F3315" s="6" t="str">
        <x:v>1</x:v>
      </x:c>
      <x:c r="G3315" s="6" t="str"/>
      <x:c r="H3315" s="6" t="str">
        <x:f>IF(B3315="平","平",IF(B3315="","","仄"))</x:f>
        <x:v>平</x:v>
      </x:c>
      <x:c r="I3315" s="6" t="str">
        <x:f>IF(D3302="","",IF(AND(ISNUMBER(SEARCH("平",D3302)),OR(ISNUMBER(SEARCH("上",D3302)),ISNUMBER(SEARCH("去",D3302)),ISNUMBER(SEARCH("入",D3302)))),"Ambiguous",IF(ISNUMBER(SEARCH("平",D3302)),"平","仄")))</x:f>
        <x:v>平</x:v>
      </x:c>
      <x:c r="J3315" s="7" t="str"/>
    </x:row>
    <x:row r="3316">
      <x:c r="A3316" s="5" t="str">
        <x:v>舡</x:v>
      </x:c>
      <x:c r="B3316" s="6" t="str">
        <x:v>平</x:v>
      </x:c>
      <x:c r="C3316" s="6" t="str">
        <x:f>IF(B3316="","Needs decision","Ready")</x:f>
        <x:v>Ready</x:v>
      </x:c>
      <x:c r="D3316" s="6" t="str">
        <x:v>平</x:v>
      </x:c>
      <x:c r="E3316" s="6" t="str"/>
      <x:c r="F3316" s="6" t="str"/>
      <x:c r="G3316" s="6" t="str">
        <x:v>Manual user correction/addition</x:v>
      </x:c>
      <x:c r="H3316" s="6" t="str">
        <x:f>IF(B3316="平","平",IF(B3316="","","仄"))</x:f>
        <x:v>平</x:v>
      </x:c>
      <x:c r="I3316" s="6" t="str">
        <x:f>IF(D3303="","",IF(AND(ISNUMBER(SEARCH("平",D3303)),OR(ISNUMBER(SEARCH("上",D3303)),ISNUMBER(SEARCH("去",D3303)),ISNUMBER(SEARCH("入",D3303)))),"Ambiguous",IF(ISNUMBER(SEARCH("平",D3303)),"平","仄")))</x:f>
        <x:v>仄</x:v>
      </x:c>
      <x:c r="J3316" s="7" t="str">
        <x:v>manual user correction</x:v>
      </x:c>
    </x:row>
    <x:row r="3317">
      <x:c r="A3317" s="5" t="str">
        <x:v>舫</x:v>
      </x:c>
      <x:c r="B3317" s="6" t="str">
        <x:v>去</x:v>
      </x:c>
      <x:c r="C3317" s="6" t="str">
        <x:f>IF(B3317="","Needs decision","Ready")</x:f>
        <x:v>Ready</x:v>
      </x:c>
      <x:c r="D3317" s="6" t="str">
        <x:v>去</x:v>
      </x:c>
      <x:c r="E3317" s="6" t="str">
        <x:v>pangH (C); pjangH (C)</x:v>
      </x:c>
      <x:c r="F3317" s="6" t="str">
        <x:v>2</x:v>
      </x:c>
      <x:c r="G3317" s="6" t="str"/>
      <x:c r="H3317" s="6" t="str">
        <x:f>IF(B3317="平","平",IF(B3317="","","仄"))</x:f>
        <x:v>仄</x:v>
      </x:c>
      <x:c r="I3317" s="6" t="str">
        <x:f>IF(D3304="","",IF(AND(ISNUMBER(SEARCH("平",D3304)),OR(ISNUMBER(SEARCH("上",D3304)),ISNUMBER(SEARCH("去",D3304)),ISNUMBER(SEARCH("入",D3304)))),"Ambiguous",IF(ISNUMBER(SEARCH("平",D3304)),"平","仄")))</x:f>
        <x:v>仄</x:v>
      </x:c>
      <x:c r="J3317" s="7" t="str"/>
    </x:row>
    <x:row r="3318">
      <x:c r="A3318" s="5" t="str">
        <x:v>舵</x:v>
      </x:c>
      <x:c r="B3318" s="6" t="str">
        <x:v>上</x:v>
      </x:c>
      <x:c r="C3318" s="6" t="str">
        <x:f>IF(B3318="","Needs decision","Ready")</x:f>
        <x:v>Ready</x:v>
      </x:c>
      <x:c r="D3318" s="6" t="str">
        <x:v>上</x:v>
      </x:c>
      <x:c r="E3318" s="6" t="str">
        <x:v>daX (B)</x:v>
      </x:c>
      <x:c r="F3318" s="6" t="str">
        <x:v>1</x:v>
      </x:c>
      <x:c r="G3318" s="6" t="str"/>
      <x:c r="H3318" s="6" t="str">
        <x:f>IF(B3318="平","平",IF(B3318="","","仄"))</x:f>
        <x:v>仄</x:v>
      </x:c>
      <x:c r="I3318" s="6" t="str">
        <x:f>IF(D3305="","",IF(AND(ISNUMBER(SEARCH("平",D3305)),OR(ISNUMBER(SEARCH("上",D3305)),ISNUMBER(SEARCH("去",D3305)),ISNUMBER(SEARCH("入",D3305)))),"Ambiguous",IF(ISNUMBER(SEARCH("平",D3305)),"平","仄")))</x:f>
        <x:v>仄</x:v>
      </x:c>
      <x:c r="J3318" s="7" t="str"/>
    </x:row>
    <x:row r="3319">
      <x:c r="A3319" s="5" t="str">
        <x:v>船</x:v>
      </x:c>
      <x:c r="B3319" s="6" t="str">
        <x:v>平</x:v>
      </x:c>
      <x:c r="C3319" s="6" t="str">
        <x:f>IF(B3319="","Needs decision","Ready")</x:f>
        <x:v>Ready</x:v>
      </x:c>
      <x:c r="D3319" s="6" t="str">
        <x:v>平</x:v>
      </x:c>
      <x:c r="E3319" s="6" t="str">
        <x:v>zywen (A)</x:v>
      </x:c>
      <x:c r="F3319" s="6" t="str">
        <x:v>1</x:v>
      </x:c>
      <x:c r="G3319" s="6" t="str"/>
      <x:c r="H3319" s="6" t="str">
        <x:f>IF(B3319="平","平",IF(B3319="","","仄"))</x:f>
        <x:v>平</x:v>
      </x:c>
      <x:c r="I3319" s="6" t="str">
        <x:f>IF(D3306="","",IF(AND(ISNUMBER(SEARCH("平",D3306)),OR(ISNUMBER(SEARCH("上",D3306)),ISNUMBER(SEARCH("去",D3306)),ISNUMBER(SEARCH("入",D3306)))),"Ambiguous",IF(ISNUMBER(SEARCH("平",D3306)),"平","仄")))</x:f>
        <x:v>仄</x:v>
      </x:c>
      <x:c r="J3319" s="7" t="str"/>
    </x:row>
    <x:row r="3320">
      <x:c r="A3320" s="5" t="str">
        <x:v>艑</x:v>
      </x:c>
      <x:c r="B3320" s="6" t="str">
        <x:v>上</x:v>
      </x:c>
      <x:c r="C3320" s="6" t="str">
        <x:f>IF(B3320="","Needs decision","Ready")</x:f>
        <x:v>Ready</x:v>
      </x:c>
      <x:c r="D3320" s="6" t="str">
        <x:v>上</x:v>
      </x:c>
      <x:c r="E3320" s="6" t="str"/>
      <x:c r="F3320" s="6" t="str"/>
      <x:c r="G3320" s="6" t="str">
        <x:v>Manual user correction/addition</x:v>
      </x:c>
      <x:c r="H3320" s="6" t="str">
        <x:f>IF(B3320="平","平",IF(B3320="","","仄"))</x:f>
        <x:v>仄</x:v>
      </x:c>
      <x:c r="I3320" s="6" t="str">
        <x:v>仄</x:v>
      </x:c>
      <x:c r="J3320" s="7" t="str">
        <x:v>manual user correction</x:v>
      </x:c>
    </x:row>
    <x:row r="3321">
      <x:c r="A3321" s="5" t="str">
        <x:v>良</x:v>
      </x:c>
      <x:c r="B3321" s="6" t="str">
        <x:v>平</x:v>
      </x:c>
      <x:c r="C3321" s="6" t="str">
        <x:f>IF(B3321="","Needs decision","Ready")</x:f>
        <x:v>Ready</x:v>
      </x:c>
      <x:c r="D3321" s="6" t="str">
        <x:v>平</x:v>
      </x:c>
      <x:c r="E3321" s="6" t="str">
        <x:v>ljang (A)</x:v>
      </x:c>
      <x:c r="F3321" s="6" t="str">
        <x:v>1</x:v>
      </x:c>
      <x:c r="G3321" s="6" t="str"/>
      <x:c r="H3321" s="6" t="str">
        <x:f>IF(B3321="平","平",IF(B3321="","","仄"))</x:f>
        <x:v>平</x:v>
      </x:c>
      <x:c r="I3321" s="6" t="str">
        <x:f>IF(D3307="","",IF(AND(ISNUMBER(SEARCH("平",D3307)),OR(ISNUMBER(SEARCH("上",D3307)),ISNUMBER(SEARCH("去",D3307)),ISNUMBER(SEARCH("入",D3307)))),"Ambiguous",IF(ISNUMBER(SEARCH("平",D3307)),"平","仄")))</x:f>
        <x:v>仄</x:v>
      </x:c>
      <x:c r="J3321" s="7" t="str"/>
    </x:row>
    <x:row r="3322">
      <x:c r="A3322" s="5" t="str">
        <x:v>艱</x:v>
      </x:c>
      <x:c r="B3322" s="6" t="str">
        <x:v>平</x:v>
      </x:c>
      <x:c r="C3322" s="6" t="str">
        <x:f>IF(B3322="","Needs decision","Ready")</x:f>
        <x:v>Ready</x:v>
      </x:c>
      <x:c r="D3322" s="6" t="str">
        <x:v>平</x:v>
      </x:c>
      <x:c r="E3322" s="6" t="str">
        <x:v>kean (A)</x:v>
      </x:c>
      <x:c r="F3322" s="6" t="str">
        <x:v>1</x:v>
      </x:c>
      <x:c r="G3322" s="6" t="str"/>
      <x:c r="H3322" s="6" t="str">
        <x:f>IF(B3322="平","平",IF(B3322="","","仄"))</x:f>
        <x:v>平</x:v>
      </x:c>
      <x:c r="I3322" s="6" t="str">
        <x:f>IF(D3308="","",IF(AND(ISNUMBER(SEARCH("平",D3308)),OR(ISNUMBER(SEARCH("上",D3308)),ISNUMBER(SEARCH("去",D3308)),ISNUMBER(SEARCH("入",D3308)))),"Ambiguous",IF(ISNUMBER(SEARCH("平",D3308)),"平","仄")))</x:f>
        <x:v>平</x:v>
      </x:c>
      <x:c r="J3322" s="7" t="str"/>
    </x:row>
    <x:row r="3323">
      <x:c r="A3323" s="5" t="str">
        <x:v>色</x:v>
      </x:c>
      <x:c r="B3323" s="6" t="str">
        <x:v>入</x:v>
      </x:c>
      <x:c r="C3323" s="6" t="str">
        <x:f>IF(B3323="","Needs decision","Ready")</x:f>
        <x:v>Ready</x:v>
      </x:c>
      <x:c r="D3323" s="6" t="str">
        <x:v>入</x:v>
      </x:c>
      <x:c r="E3323" s="6" t="str">
        <x:v>srik (D)</x:v>
      </x:c>
      <x:c r="F3323" s="6" t="str">
        <x:v>1</x:v>
      </x:c>
      <x:c r="G3323" s="6" t="str"/>
      <x:c r="H3323" s="6" t="str">
        <x:f>IF(B3323="平","平",IF(B3323="","","仄"))</x:f>
        <x:v>仄</x:v>
      </x:c>
      <x:c r="I3323" s="6" t="str">
        <x:f>IF(D3309="","",IF(AND(ISNUMBER(SEARCH("平",D3309)),OR(ISNUMBER(SEARCH("上",D3309)),ISNUMBER(SEARCH("去",D3309)),ISNUMBER(SEARCH("入",D3309)))),"Ambiguous",IF(ISNUMBER(SEARCH("平",D3309)),"平","仄")))</x:f>
        <x:v>仄</x:v>
      </x:c>
      <x:c r="J3323" s="7" t="str"/>
    </x:row>
    <x:row r="3324">
      <x:c r="A3324" s="5" t="str">
        <x:v>艴</x:v>
      </x:c>
      <x:c r="B3324" s="6" t="str">
        <x:v>入</x:v>
      </x:c>
      <x:c r="C3324" s="6" t="str">
        <x:f>IF(B3324="","Needs decision","Ready")</x:f>
        <x:v>Ready</x:v>
      </x:c>
      <x:c r="D3324" s="6" t="str">
        <x:v>入</x:v>
      </x:c>
      <x:c r="E3324" s="6" t="str">
        <x:v>bwot (D); phjut (D)</x:v>
      </x:c>
      <x:c r="F3324" s="6" t="str">
        <x:v>2</x:v>
      </x:c>
      <x:c r="G3324" s="6" t="str"/>
      <x:c r="H3324" s="6" t="str">
        <x:f>IF(B3324="平","平",IF(B3324="","","仄"))</x:f>
        <x:v>仄</x:v>
      </x:c>
      <x:c r="I3324" s="6" t="str">
        <x:f>IF(D3310="","",IF(AND(ISNUMBER(SEARCH("平",D3310)),OR(ISNUMBER(SEARCH("上",D3310)),ISNUMBER(SEARCH("去",D3310)),ISNUMBER(SEARCH("入",D3310)))),"Ambiguous",IF(ISNUMBER(SEARCH("平",D3310)),"平","仄")))</x:f>
        <x:v>仄</x:v>
      </x:c>
      <x:c r="J3324" s="7" t="str"/>
    </x:row>
    <x:row r="3325">
      <x:c r="A3325" s="5" t="str">
        <x:v>艷</x:v>
      </x:c>
      <x:c r="B3325" s="6" t="str">
        <x:v>去</x:v>
      </x:c>
      <x:c r="C3325" s="6" t="str">
        <x:f>IF(B3325="","Needs decision","Ready")</x:f>
        <x:v>Ready</x:v>
      </x:c>
      <x:c r="D3325" s="6" t="str">
        <x:v>去</x:v>
      </x:c>
      <x:c r="E3325" s="6" t="str">
        <x:v>yemH [jemh] (去)</x:v>
      </x:c>
      <x:c r="F3325" s="6" t="str">
        <x:v>1</x:v>
      </x:c>
      <x:c r="G3325" s="6" t="str">
        <x:v>Tang 300 gap; frequency 1; provisional from Xun Gong</x:v>
      </x:c>
      <x:c r="H3325" s="6" t="str">
        <x:f>IF(B3325="平","平",IF(B3325="","","仄"))</x:f>
        <x:v>仄</x:v>
      </x:c>
      <x:c r="I3325" s="6" t="str">
        <x:f>IF(D3311="","",IF(AND(ISNUMBER(SEARCH("平",D3311)),OR(ISNUMBER(SEARCH("上",D3311)),ISNUMBER(SEARCH("去",D3311)),ISNUMBER(SEARCH("入",D3311)))),"Ambiguous",IF(ISNUMBER(SEARCH("平",D3311)),"平","仄")))</x:f>
        <x:v>仄</x:v>
      </x:c>
      <x:c r="J3325" s="7" t="str">
        <x:v>Xun Gong, Tang 300 gap fill</x:v>
      </x:c>
    </x:row>
    <x:row r="3326">
      <x:c r="A3326" s="5" t="str">
        <x:v>艾</x:v>
      </x:c>
      <x:c r="B3326" s="6" t="str">
        <x:v>去</x:v>
      </x:c>
      <x:c r="C3326" s="6" t="str">
        <x:f>IF(B3326="","Needs decision","Ready")</x:f>
        <x:v>Ready</x:v>
      </x:c>
      <x:c r="D3326" s="6" t="str">
        <x:v>去</x:v>
      </x:c>
      <x:c r="E3326" s="6" t="str">
        <x:v>ngajH (C)</x:v>
      </x:c>
      <x:c r="F3326" s="6" t="str">
        <x:v>1</x:v>
      </x:c>
      <x:c r="G3326" s="6" t="str"/>
      <x:c r="H3326" s="6" t="str">
        <x:f>IF(B3326="平","平",IF(B3326="","","仄"))</x:f>
        <x:v>仄</x:v>
      </x:c>
      <x:c r="I3326" s="6" t="str">
        <x:f>IF(D3312="","",IF(AND(ISNUMBER(SEARCH("平",D3312)),OR(ISNUMBER(SEARCH("上",D3312)),ISNUMBER(SEARCH("去",D3312)),ISNUMBER(SEARCH("入",D3312)))),"Ambiguous",IF(ISNUMBER(SEARCH("平",D3312)),"平","仄")))</x:f>
        <x:v>仄</x:v>
      </x:c>
      <x:c r="J3326" s="7" t="str"/>
    </x:row>
    <x:row r="3327">
      <x:c r="A3327" s="5" t="str">
        <x:v>芃</x:v>
      </x:c>
      <x:c r="B3327" s="6" t="str">
        <x:v>平</x:v>
      </x:c>
      <x:c r="C3327" s="6" t="str">
        <x:f>IF(B3327="","Needs decision","Ready")</x:f>
        <x:v>Ready</x:v>
      </x:c>
      <x:c r="D3327" s="6" t="str">
        <x:v>平</x:v>
      </x:c>
      <x:c r="E3327" s="6" t="str">
        <x:v>buwng (A)</x:v>
      </x:c>
      <x:c r="F3327" s="6" t="str">
        <x:v>1</x:v>
      </x:c>
      <x:c r="G3327" s="6" t="str"/>
      <x:c r="H3327" s="6" t="str">
        <x:f>IF(B3327="平","平",IF(B3327="","","仄"))</x:f>
        <x:v>平</x:v>
      </x:c>
      <x:c r="I3327" s="6" t="str">
        <x:f>IF(D3313="","",IF(AND(ISNUMBER(SEARCH("平",D3313)),OR(ISNUMBER(SEARCH("上",D3313)),ISNUMBER(SEARCH("去",D3313)),ISNUMBER(SEARCH("入",D3313)))),"Ambiguous",IF(ISNUMBER(SEARCH("平",D3313)),"平","仄")))</x:f>
        <x:v>仄</x:v>
      </x:c>
      <x:c r="J3327" s="7" t="str"/>
    </x:row>
    <x:row r="3328">
      <x:c r="A3328" s="5" t="str">
        <x:v>芄</x:v>
      </x:c>
      <x:c r="B3328" s="6" t="str">
        <x:v>平</x:v>
      </x:c>
      <x:c r="C3328" s="6" t="str">
        <x:f>IF(B3328="","Needs decision","Ready")</x:f>
        <x:v>Ready</x:v>
      </x:c>
      <x:c r="D3328" s="6" t="str">
        <x:v>平</x:v>
      </x:c>
      <x:c r="E3328" s="6" t="str">
        <x:v>hwan (A)</x:v>
      </x:c>
      <x:c r="F3328" s="6" t="str">
        <x:v>1</x:v>
      </x:c>
      <x:c r="G3328" s="6" t="str"/>
      <x:c r="H3328" s="6" t="str">
        <x:f>IF(B3328="平","平",IF(B3328="","","仄"))</x:f>
        <x:v>平</x:v>
      </x:c>
      <x:c r="I3328" s="6" t="str">
        <x:f>IF(D3314="","",IF(AND(ISNUMBER(SEARCH("平",D3314)),OR(ISNUMBER(SEARCH("上",D3314)),ISNUMBER(SEARCH("去",D3314)),ISNUMBER(SEARCH("入",D3314)))),"Ambiguous",IF(ISNUMBER(SEARCH("平",D3314)),"平","仄")))</x:f>
        <x:v>仄</x:v>
      </x:c>
      <x:c r="J3328" s="7" t="str"/>
    </x:row>
    <x:row r="3329">
      <x:c r="A3329" s="5" t="str">
        <x:v>芊</x:v>
      </x:c>
      <x:c r="B3329" s="6" t="str">
        <x:v>平</x:v>
      </x:c>
      <x:c r="C3329" s="6" t="str">
        <x:f>IF(B3329="","Needs decision","Ready")</x:f>
        <x:v>Ready</x:v>
      </x:c>
      <x:c r="D3329" s="6" t="str">
        <x:v>平</x:v>
      </x:c>
      <x:c r="E3329" s="6" t="str"/>
      <x:c r="F3329" s="6" t="str"/>
      <x:c r="G3329" s="6" t="str">
        <x:v>Manual user correction/addition</x:v>
      </x:c>
      <x:c r="H3329" s="6" t="str">
        <x:f>IF(B3329="平","平",IF(B3329="","","仄"))</x:f>
        <x:v>平</x:v>
      </x:c>
      <x:c r="I3329" s="6" t="str">
        <x:f>IF(D3315="","",IF(AND(ISNUMBER(SEARCH("平",D3315)),OR(ISNUMBER(SEARCH("上",D3315)),ISNUMBER(SEARCH("去",D3315)),ISNUMBER(SEARCH("入",D3315)))),"Ambiguous",IF(ISNUMBER(SEARCH("平",D3315)),"平","仄")))</x:f>
        <x:v>平</x:v>
      </x:c>
      <x:c r="J3329" s="7" t="str">
        <x:v>manual user correction</x:v>
      </x:c>
    </x:row>
    <x:row r="3330">
      <x:c r="A3330" s="5" t="str">
        <x:v>芋</x:v>
      </x:c>
      <x:c r="B3330" s="6" t="str">
        <x:v>去</x:v>
      </x:c>
      <x:c r="C3330" s="6" t="str">
        <x:f>IF(B3330="","Needs decision","Ready")</x:f>
        <x:v>Ready</x:v>
      </x:c>
      <x:c r="D3330" s="6" t="str">
        <x:v>去</x:v>
      </x:c>
      <x:c r="E3330" s="6" t="str">
        <x:v>hjuH (C)</x:v>
      </x:c>
      <x:c r="F3330" s="6" t="str">
        <x:v>1</x:v>
      </x:c>
      <x:c r="G3330" s="6" t="str"/>
      <x:c r="H3330" s="6" t="str">
        <x:f>IF(B3330="平","平",IF(B3330="","","仄"))</x:f>
        <x:v>仄</x:v>
      </x:c>
      <x:c r="I3330" s="6" t="str">
        <x:f>IF(D3316="","",IF(AND(ISNUMBER(SEARCH("平",D3316)),OR(ISNUMBER(SEARCH("上",D3316)),ISNUMBER(SEARCH("去",D3316)),ISNUMBER(SEARCH("入",D3316)))),"Ambiguous",IF(ISNUMBER(SEARCH("平",D3316)),"平","仄")))</x:f>
        <x:v>平</x:v>
      </x:c>
      <x:c r="J3330" s="7" t="str"/>
    </x:row>
    <x:row r="3331">
      <x:c r="A3331" s="5" t="str">
        <x:v>芐</x:v>
      </x:c>
      <x:c r="B3331" s="6" t="str">
        <x:v>去</x:v>
      </x:c>
      <x:c r="C3331" s="6" t="str">
        <x:f>IF(B3331="","Needs decision","Ready")</x:f>
        <x:v>Ready</x:v>
      </x:c>
      <x:c r="D3331" s="6" t="str">
        <x:v>去</x:v>
      </x:c>
      <x:c r="E3331" s="6" t="str">
        <x:v>haeH (C)</x:v>
      </x:c>
      <x:c r="F3331" s="6" t="str">
        <x:v>1</x:v>
      </x:c>
      <x:c r="G3331" s="6" t="str"/>
      <x:c r="H3331" s="6" t="str">
        <x:f>IF(B3331="平","平",IF(B3331="","","仄"))</x:f>
        <x:v>仄</x:v>
      </x:c>
      <x:c r="I3331" s="6" t="str">
        <x:f>IF(D3317="","",IF(AND(ISNUMBER(SEARCH("平",D3317)),OR(ISNUMBER(SEARCH("上",D3317)),ISNUMBER(SEARCH("去",D3317)),ISNUMBER(SEARCH("入",D3317)))),"Ambiguous",IF(ISNUMBER(SEARCH("平",D3317)),"平","仄")))</x:f>
        <x:v>仄</x:v>
      </x:c>
      <x:c r="J3331" s="7" t="str"/>
    </x:row>
    <x:row r="3332">
      <x:c r="A3332" s="5" t="str">
        <x:v>芒</x:v>
      </x:c>
      <x:c r="B3332" s="6" t="str">
        <x:v>上</x:v>
      </x:c>
      <x:c r="C3332" s="6" t="str">
        <x:f>IF(B3332="","Needs decision","Ready")</x:f>
        <x:v>Ready</x:v>
      </x:c>
      <x:c r="D3332" s="6" t="str">
        <x:v>上/平</x:v>
      </x:c>
      <x:c r="E3332" s="6" t="str">
        <x:v>xwangX (B); mang (A)</x:v>
      </x:c>
      <x:c r="F3332" s="6" t="str">
        <x:v>2</x:v>
      </x:c>
      <x:c r="G3332" s="6" t="str"/>
      <x:c r="H3332" s="6" t="str">
        <x:f>IF(B3332="平","平",IF(B3332="","","仄"))</x:f>
        <x:v>仄</x:v>
      </x:c>
      <x:c r="I3332" s="6" t="str">
        <x:f>IF(D3318="","",IF(AND(ISNUMBER(SEARCH("平",D3318)),OR(ISNUMBER(SEARCH("上",D3318)),ISNUMBER(SEARCH("去",D3318)),ISNUMBER(SEARCH("入",D3318)))),"Ambiguous",IF(ISNUMBER(SEARCH("平",D3318)),"平","仄")))</x:f>
        <x:v>仄</x:v>
      </x:c>
      <x:c r="J3332" s="7" t="str"/>
    </x:row>
    <x:row r="3333">
      <x:c r="A3333" s="5" t="str">
        <x:v>芙</x:v>
      </x:c>
      <x:c r="B3333" s="6" t="str">
        <x:v>平</x:v>
      </x:c>
      <x:c r="C3333" s="6" t="str">
        <x:f>IF(B3333="","Needs decision","Ready")</x:f>
        <x:v>Ready</x:v>
      </x:c>
      <x:c r="D3333" s="6" t="str">
        <x:v>平</x:v>
      </x:c>
      <x:c r="E3333" s="6" t="str"/>
      <x:c r="F3333" s="6" t="str"/>
      <x:c r="G3333" s="6" t="str">
        <x:v>Manual user correction/addition</x:v>
      </x:c>
      <x:c r="H3333" s="6" t="str">
        <x:f>IF(B3333="平","平",IF(B3333="","","仄"))</x:f>
        <x:v>平</x:v>
      </x:c>
      <x:c r="I3333" s="6" t="str">
        <x:f>IF(D3319="","",IF(AND(ISNUMBER(SEARCH("平",D3319)),OR(ISNUMBER(SEARCH("上",D3319)),ISNUMBER(SEARCH("去",D3319)),ISNUMBER(SEARCH("入",D3319)))),"Ambiguous",IF(ISNUMBER(SEARCH("平",D3319)),"平","仄")))</x:f>
        <x:v>平</x:v>
      </x:c>
      <x:c r="J3333" s="7" t="str">
        <x:v>manual user correction</x:v>
      </x:c>
    </x:row>
    <x:row r="3334">
      <x:c r="A3334" s="5" t="str">
        <x:v>芝</x:v>
      </x:c>
      <x:c r="B3334" s="6" t="str">
        <x:v>平</x:v>
      </x:c>
      <x:c r="C3334" s="6" t="str">
        <x:f>IF(B3334="","Needs decision","Ready")</x:f>
        <x:v>Ready</x:v>
      </x:c>
      <x:c r="D3334" s="6" t="str">
        <x:v>平</x:v>
      </x:c>
      <x:c r="E3334" s="6" t="str">
        <x:v>tsyi [章開三之平] tɕɨ</x:v>
      </x:c>
      <x:c r="F3334" s="6" t="str">
        <x:v>1</x:v>
      </x:c>
      <x:c r="G3334" s="6" t="str">
        <x:v>Targeted preliminary fill from Xun Gong; review if uncertain</x:v>
      </x:c>
      <x:c r="H3334" s="6" t="str">
        <x:f>IF(B3334="平","平",IF(B3334="","","仄"))</x:f>
        <x:v>平</x:v>
      </x:c>
      <x:c r="I3334" s="6" t="str">
        <x:f>IF(D3320="","",IF(AND(ISNUMBER(SEARCH("平",D3320)),OR(ISNUMBER(SEARCH("上",D3320)),ISNUMBER(SEARCH("去",D3320)),ISNUMBER(SEARCH("入",D3320)))),"Ambiguous",IF(ISNUMBER(SEARCH("平",D3320)),"平","仄")))</x:f>
        <x:v>仄</x:v>
      </x:c>
      <x:c r="J3334" s="7" t="str">
        <x:v>Xun Gong character-readings.csv</x:v>
      </x:c>
    </x:row>
    <x:row r="3335">
      <x:c r="A3335" s="5" t="str">
        <x:v>芟</x:v>
      </x:c>
      <x:c r="B3335" s="6" t="str">
        <x:v>平</x:v>
      </x:c>
      <x:c r="C3335" s="6" t="str">
        <x:f>IF(B3335="","Needs decision","Ready")</x:f>
        <x:v>Ready</x:v>
      </x:c>
      <x:c r="D3335" s="6" t="str">
        <x:v>平</x:v>
      </x:c>
      <x:c r="E3335" s="6" t="str">
        <x:v>sraem (A)</x:v>
      </x:c>
      <x:c r="F3335" s="6" t="str">
        <x:v>1</x:v>
      </x:c>
      <x:c r="G3335" s="6" t="str"/>
      <x:c r="H3335" s="6" t="str">
        <x:f>IF(B3335="平","平",IF(B3335="","","仄"))</x:f>
        <x:v>平</x:v>
      </x:c>
      <x:c r="I3335" s="6" t="str">
        <x:f>IF(D3321="","",IF(AND(ISNUMBER(SEARCH("平",D3321)),OR(ISNUMBER(SEARCH("上",D3321)),ISNUMBER(SEARCH("去",D3321)),ISNUMBER(SEARCH("入",D3321)))),"Ambiguous",IF(ISNUMBER(SEARCH("平",D3321)),"平","仄")))</x:f>
        <x:v>平</x:v>
      </x:c>
      <x:c r="J3335" s="7" t="str"/>
    </x:row>
    <x:row r="3336">
      <x:c r="A3336" s="5" t="str">
        <x:v>芥</x:v>
      </x:c>
      <x:c r="B3336" s="6" t="str">
        <x:v>去</x:v>
      </x:c>
      <x:c r="C3336" s="6" t="str">
        <x:f>IF(B3336="","Needs decision","Ready")</x:f>
        <x:v>Ready</x:v>
      </x:c>
      <x:c r="D3336" s="6" t="str">
        <x:v>去</x:v>
      </x:c>
      <x:c r="E3336" s="6" t="str">
        <x:v>keajH (C)</x:v>
      </x:c>
      <x:c r="F3336" s="6" t="str">
        <x:v>1</x:v>
      </x:c>
      <x:c r="G3336" s="6" t="str"/>
      <x:c r="H3336" s="6" t="str">
        <x:f>IF(B3336="平","平",IF(B3336="","","仄"))</x:f>
        <x:v>仄</x:v>
      </x:c>
      <x:c r="I3336" s="6" t="str">
        <x:f>IF(D3322="","",IF(AND(ISNUMBER(SEARCH("平",D3322)),OR(ISNUMBER(SEARCH("上",D3322)),ISNUMBER(SEARCH("去",D3322)),ISNUMBER(SEARCH("入",D3322)))),"Ambiguous",IF(ISNUMBER(SEARCH("平",D3322)),"平","仄")))</x:f>
        <x:v>平</x:v>
      </x:c>
      <x:c r="J3336" s="7" t="str"/>
    </x:row>
    <x:row r="3337">
      <x:c r="A3337" s="5" t="str">
        <x:v>芬</x:v>
      </x:c>
      <x:c r="B3337" s="6" t="str">
        <x:v>平</x:v>
      </x:c>
      <x:c r="C3337" s="6" t="str">
        <x:f>IF(B3337="","Needs decision","Ready")</x:f>
        <x:v>Ready</x:v>
      </x:c>
      <x:c r="D3337" s="6" t="str">
        <x:v>平</x:v>
      </x:c>
      <x:c r="E3337" s="6" t="str">
        <x:v>phjun [pʰɨ̯un] (平)</x:v>
      </x:c>
      <x:c r="F3337" s="6" t="str">
        <x:v>1</x:v>
      </x:c>
      <x:c r="G3337" s="6" t="str">
        <x:v>Tang 300 gap; frequency 2; provisional from Xun Gong</x:v>
      </x:c>
      <x:c r="H3337" s="6" t="str">
        <x:f>IF(B3337="平","平",IF(B3337="","","仄"))</x:f>
        <x:v>平</x:v>
      </x:c>
      <x:c r="I3337" s="6" t="str">
        <x:f>IF(D3323="","",IF(AND(ISNUMBER(SEARCH("平",D3323)),OR(ISNUMBER(SEARCH("上",D3323)),ISNUMBER(SEARCH("去",D3323)),ISNUMBER(SEARCH("入",D3323)))),"Ambiguous",IF(ISNUMBER(SEARCH("平",D3323)),"平","仄")))</x:f>
        <x:v>仄</x:v>
      </x:c>
      <x:c r="J3337" s="7" t="str">
        <x:v>Xun Gong, Tang 300 gap fill</x:v>
      </x:c>
    </x:row>
    <x:row r="3338">
      <x:c r="A3338" s="5" t="str">
        <x:v>芭</x:v>
      </x:c>
      <x:c r="B3338" s="6" t="str">
        <x:v>平</x:v>
      </x:c>
      <x:c r="C3338" s="6" t="str">
        <x:f>IF(B3338="","Needs decision","Ready")</x:f>
        <x:v>Ready</x:v>
      </x:c>
      <x:c r="D3338" s="6" t="str">
        <x:v>平</x:v>
      </x:c>
      <x:c r="E3338" s="6" t="str"/>
      <x:c r="F3338" s="6" t="str"/>
      <x:c r="G3338" s="6" t="str">
        <x:v>Manual user correction/addition</x:v>
      </x:c>
      <x:c r="H3338" s="6" t="str">
        <x:f>IF(B3338="平","平",IF(B3338="","","仄"))</x:f>
        <x:v>平</x:v>
      </x:c>
      <x:c r="I3338" s="6" t="str">
        <x:f>IF(D3324="","",IF(AND(ISNUMBER(SEARCH("平",D3324)),OR(ISNUMBER(SEARCH("上",D3324)),ISNUMBER(SEARCH("去",D3324)),ISNUMBER(SEARCH("入",D3324)))),"Ambiguous",IF(ISNUMBER(SEARCH("平",D3324)),"平","仄")))</x:f>
        <x:v>仄</x:v>
      </x:c>
      <x:c r="J3338" s="7" t="str">
        <x:v>manual user correction</x:v>
      </x:c>
    </x:row>
    <x:row r="3339">
      <x:c r="A3339" s="5" t="str">
        <x:v>芰</x:v>
      </x:c>
      <x:c r="B3339" s="6" t="str">
        <x:v>去</x:v>
      </x:c>
      <x:c r="C3339" s="6" t="str">
        <x:f>IF(B3339="","Needs decision","Ready")</x:f>
        <x:v>Ready</x:v>
      </x:c>
      <x:c r="D3339" s="6" t="str">
        <x:v>去</x:v>
      </x:c>
      <x:c r="E3339" s="6" t="str">
        <x:v>gjeH (C)</x:v>
      </x:c>
      <x:c r="F3339" s="6" t="str">
        <x:v>1</x:v>
      </x:c>
      <x:c r="G3339" s="6" t="str"/>
      <x:c r="H3339" s="6" t="str">
        <x:f>IF(B3339="平","平",IF(B3339="","","仄"))</x:f>
        <x:v>仄</x:v>
      </x:c>
      <x:c r="I3339" s="6" t="str">
        <x:f>IF(D3325="","",IF(AND(ISNUMBER(SEARCH("平",D3325)),OR(ISNUMBER(SEARCH("上",D3325)),ISNUMBER(SEARCH("去",D3325)),ISNUMBER(SEARCH("入",D3325)))),"Ambiguous",IF(ISNUMBER(SEARCH("平",D3325)),"平","仄")))</x:f>
        <x:v>仄</x:v>
      </x:c>
      <x:c r="J3339" s="7" t="str"/>
    </x:row>
    <x:row r="3340">
      <x:c r="A3340" s="5" t="str">
        <x:v>花</x:v>
      </x:c>
      <x:c r="B3340" s="6" t="str">
        <x:v>平</x:v>
      </x:c>
      <x:c r="C3340" s="6" t="str">
        <x:f>IF(B3340="","Needs decision","Ready")</x:f>
        <x:v>Ready</x:v>
      </x:c>
      <x:c r="D3340" s="6" t="str">
        <x:v>平</x:v>
      </x:c>
      <x:c r="E3340" s="6" t="str">
        <x:v>xwae (A)</x:v>
      </x:c>
      <x:c r="F3340" s="6" t="str">
        <x:v>1</x:v>
      </x:c>
      <x:c r="G3340" s="6" t="str"/>
      <x:c r="H3340" s="6" t="str">
        <x:f>IF(B3340="平","平",IF(B3340="","","仄"))</x:f>
        <x:v>平</x:v>
      </x:c>
      <x:c r="I3340" s="6" t="str">
        <x:f>IF(D3326="","",IF(AND(ISNUMBER(SEARCH("平",D3326)),OR(ISNUMBER(SEARCH("上",D3326)),ISNUMBER(SEARCH("去",D3326)),ISNUMBER(SEARCH("入",D3326)))),"Ambiguous",IF(ISNUMBER(SEARCH("平",D3326)),"平","仄")))</x:f>
        <x:v>仄</x:v>
      </x:c>
      <x:c r="J3340" s="7" t="str"/>
    </x:row>
    <x:row r="3341">
      <x:c r="A3341" s="5" t="str">
        <x:v>芳</x:v>
      </x:c>
      <x:c r="B3341" s="6" t="str">
        <x:v>平</x:v>
      </x:c>
      <x:c r="C3341" s="6" t="str">
        <x:f>IF(B3341="","Needs decision","Ready")</x:f>
        <x:v>Ready</x:v>
      </x:c>
      <x:c r="D3341" s="6" t="str">
        <x:v>平</x:v>
      </x:c>
      <x:c r="E3341" s="6" t="str">
        <x:v>phjang (A)</x:v>
      </x:c>
      <x:c r="F3341" s="6" t="str">
        <x:v>1</x:v>
      </x:c>
      <x:c r="G3341" s="6" t="str"/>
      <x:c r="H3341" s="6" t="str">
        <x:f>IF(B3341="平","平",IF(B3341="","","仄"))</x:f>
        <x:v>平</x:v>
      </x:c>
      <x:c r="I3341" s="6" t="str">
        <x:f>IF(D3327="","",IF(AND(ISNUMBER(SEARCH("平",D3327)),OR(ISNUMBER(SEARCH("上",D3327)),ISNUMBER(SEARCH("去",D3327)),ISNUMBER(SEARCH("入",D3327)))),"Ambiguous",IF(ISNUMBER(SEARCH("平",D3327)),"平","仄")))</x:f>
        <x:v>平</x:v>
      </x:c>
      <x:c r="J3341" s="7" t="str"/>
    </x:row>
    <x:row r="3342">
      <x:c r="A3342" s="5" t="str">
        <x:v>芴</x:v>
      </x:c>
      <x:c r="B3342" s="6" t="str">
        <x:v>入</x:v>
      </x:c>
      <x:c r="C3342" s="6" t="str">
        <x:f>IF(B3342="","Needs decision","Ready")</x:f>
        <x:v>Ready</x:v>
      </x:c>
      <x:c r="D3342" s="6" t="str">
        <x:v>入</x:v>
      </x:c>
      <x:c r="E3342" s="6" t="str">
        <x:v>xwot (D)</x:v>
      </x:c>
      <x:c r="F3342" s="6" t="str">
        <x:v>1</x:v>
      </x:c>
      <x:c r="G3342" s="6" t="str"/>
      <x:c r="H3342" s="6" t="str">
        <x:f>IF(B3342="平","平",IF(B3342="","","仄"))</x:f>
        <x:v>仄</x:v>
      </x:c>
      <x:c r="I3342" s="6" t="str">
        <x:f>IF(D3328="","",IF(AND(ISNUMBER(SEARCH("平",D3328)),OR(ISNUMBER(SEARCH("上",D3328)),ISNUMBER(SEARCH("去",D3328)),ISNUMBER(SEARCH("入",D3328)))),"Ambiguous",IF(ISNUMBER(SEARCH("平",D3328)),"平","仄")))</x:f>
        <x:v>平</x:v>
      </x:c>
      <x:c r="J3342" s="7" t="str"/>
    </x:row>
    <x:row r="3343">
      <x:c r="A3343" s="5" t="str">
        <x:v>芸</x:v>
      </x:c>
      <x:c r="B3343" s="6" t="str">
        <x:v>平</x:v>
      </x:c>
      <x:c r="C3343" s="6" t="str">
        <x:f>IF(B3343="","Needs decision","Ready")</x:f>
        <x:v>Ready</x:v>
      </x:c>
      <x:c r="D3343" s="6" t="str">
        <x:v>平</x:v>
      </x:c>
      <x:c r="E3343" s="6" t="str">
        <x:v>hjun (A)</x:v>
      </x:c>
      <x:c r="F3343" s="6" t="str">
        <x:v>1</x:v>
      </x:c>
      <x:c r="G3343" s="6" t="str"/>
      <x:c r="H3343" s="6" t="str">
        <x:f>IF(B3343="平","平",IF(B3343="","","仄"))</x:f>
        <x:v>平</x:v>
      </x:c>
      <x:c r="I3343" s="6" t="str">
        <x:f>IF(D3329="","",IF(AND(ISNUMBER(SEARCH("平",D3329)),OR(ISNUMBER(SEARCH("上",D3329)),ISNUMBER(SEARCH("去",D3329)),ISNUMBER(SEARCH("入",D3329)))),"Ambiguous",IF(ISNUMBER(SEARCH("平",D3329)),"平","仄")))</x:f>
        <x:v>平</x:v>
      </x:c>
      <x:c r="J3343" s="7" t="str"/>
    </x:row>
    <x:row r="3344">
      <x:c r="A3344" s="5" t="str">
        <x:v>芹</x:v>
      </x:c>
      <x:c r="B3344" s="6" t="str">
        <x:v>平</x:v>
      </x:c>
      <x:c r="C3344" s="6" t="str">
        <x:f>IF(B3344="","Needs decision","Ready")</x:f>
        <x:v>Ready</x:v>
      </x:c>
      <x:c r="D3344" s="6" t="str">
        <x:v>平</x:v>
      </x:c>
      <x:c r="E3344" s="6" t="str">
        <x:v>gj+n (A)</x:v>
      </x:c>
      <x:c r="F3344" s="6" t="str">
        <x:v>1</x:v>
      </x:c>
      <x:c r="G3344" s="6" t="str"/>
      <x:c r="H3344" s="6" t="str">
        <x:f>IF(B3344="平","平",IF(B3344="","","仄"))</x:f>
        <x:v>平</x:v>
      </x:c>
      <x:c r="I3344" s="6" t="str">
        <x:f>IF(D3330="","",IF(AND(ISNUMBER(SEARCH("平",D3330)),OR(ISNUMBER(SEARCH("上",D3330)),ISNUMBER(SEARCH("去",D3330)),ISNUMBER(SEARCH("入",D3330)))),"Ambiguous",IF(ISNUMBER(SEARCH("平",D3330)),"平","仄")))</x:f>
        <x:v>仄</x:v>
      </x:c>
      <x:c r="J3344" s="7" t="str"/>
    </x:row>
    <x:row r="3345">
      <x:c r="A3345" s="5" t="str">
        <x:v>芻</x:v>
      </x:c>
      <x:c r="B3345" s="6" t="str">
        <x:v>平</x:v>
      </x:c>
      <x:c r="C3345" s="6" t="str">
        <x:f>IF(B3345="","Needs decision","Ready")</x:f>
        <x:v>Ready</x:v>
      </x:c>
      <x:c r="D3345" s="6" t="str">
        <x:v>平</x:v>
      </x:c>
      <x:c r="E3345" s="6" t="str">
        <x:v>tsrhju (A)</x:v>
      </x:c>
      <x:c r="F3345" s="6" t="str">
        <x:v>1</x:v>
      </x:c>
      <x:c r="G3345" s="6" t="str"/>
      <x:c r="H3345" s="6" t="str">
        <x:f>IF(B3345="平","平",IF(B3345="","","仄"))</x:f>
        <x:v>平</x:v>
      </x:c>
      <x:c r="I3345" s="6" t="str">
        <x:f>IF(D3331="","",IF(AND(ISNUMBER(SEARCH("平",D3331)),OR(ISNUMBER(SEARCH("上",D3331)),ISNUMBER(SEARCH("去",D3331)),ISNUMBER(SEARCH("入",D3331)))),"Ambiguous",IF(ISNUMBER(SEARCH("平",D3331)),"平","仄")))</x:f>
        <x:v>仄</x:v>
      </x:c>
      <x:c r="J3345" s="7" t="str"/>
    </x:row>
    <x:row r="3346">
      <x:c r="A3346" s="5" t="str">
        <x:v>芼</x:v>
      </x:c>
      <x:c r="B3346" s="6" t="str">
        <x:v>去</x:v>
      </x:c>
      <x:c r="C3346" s="6" t="str">
        <x:f>IF(B3346="","Needs decision","Ready")</x:f>
        <x:v>Ready</x:v>
      </x:c>
      <x:c r="D3346" s="6" t="str">
        <x:v>去</x:v>
      </x:c>
      <x:c r="E3346" s="6" t="str">
        <x:v>mawH (C)</x:v>
      </x:c>
      <x:c r="F3346" s="6" t="str">
        <x:v>1</x:v>
      </x:c>
      <x:c r="G3346" s="6" t="str"/>
      <x:c r="H3346" s="6" t="str">
        <x:f>IF(B3346="平","平",IF(B3346="","","仄"))</x:f>
        <x:v>仄</x:v>
      </x:c>
      <x:c r="I3346" s="6" t="str">
        <x:f>IF(D3332="","",IF(AND(ISNUMBER(SEARCH("平",D3332)),OR(ISNUMBER(SEARCH("上",D3332)),ISNUMBER(SEARCH("去",D3332)),ISNUMBER(SEARCH("入",D3332)))),"Ambiguous",IF(ISNUMBER(SEARCH("平",D3332)),"平","仄")))</x:f>
        <x:v>Ambiguous</x:v>
      </x:c>
      <x:c r="J3346" s="7" t="str"/>
    </x:row>
    <x:row r="3347">
      <x:c r="A3347" s="5" t="str">
        <x:v>芽</x:v>
      </x:c>
      <x:c r="B3347" s="6" t="str">
        <x:v>平</x:v>
      </x:c>
      <x:c r="C3347" s="6" t="str">
        <x:f>IF(B3347="","Needs decision","Ready")</x:f>
        <x:v>Ready</x:v>
      </x:c>
      <x:c r="D3347" s="6" t="str">
        <x:v>平</x:v>
      </x:c>
      <x:c r="E3347" s="6" t="str">
        <x:v>ngae (A)</x:v>
      </x:c>
      <x:c r="F3347" s="6" t="str">
        <x:v>1</x:v>
      </x:c>
      <x:c r="G3347" s="6" t="str"/>
      <x:c r="H3347" s="6" t="str">
        <x:f>IF(B3347="平","平",IF(B3347="","","仄"))</x:f>
        <x:v>平</x:v>
      </x:c>
      <x:c r="I3347" s="6" t="str">
        <x:f>IF(D3333="","",IF(AND(ISNUMBER(SEARCH("平",D3333)),OR(ISNUMBER(SEARCH("上",D3333)),ISNUMBER(SEARCH("去",D3333)),ISNUMBER(SEARCH("入",D3333)))),"Ambiguous",IF(ISNUMBER(SEARCH("平",D3333)),"平","仄")))</x:f>
        <x:v>平</x:v>
      </x:c>
      <x:c r="J3347" s="7" t="str"/>
    </x:row>
    <x:row r="3348">
      <x:c r="A3348" s="5" t="str">
        <x:v>苑</x:v>
      </x:c>
      <x:c r="B3348" s="6" t="str">
        <x:v>上</x:v>
      </x:c>
      <x:c r="C3348" s="6" t="str">
        <x:f>IF(B3348="","Needs decision","Ready")</x:f>
        <x:v>Ready</x:v>
      </x:c>
      <x:c r="D3348" s="6" t="str">
        <x:v>上</x:v>
      </x:c>
      <x:c r="E3348" s="6" t="str">
        <x:v>'jwonX (B)</x:v>
      </x:c>
      <x:c r="F3348" s="6" t="str">
        <x:v>1</x:v>
      </x:c>
      <x:c r="G3348" s="6" t="str"/>
      <x:c r="H3348" s="6" t="str">
        <x:f>IF(B3348="平","平",IF(B3348="","","仄"))</x:f>
        <x:v>仄</x:v>
      </x:c>
      <x:c r="I3348" s="6" t="str">
        <x:f>IF(D3334="","",IF(AND(ISNUMBER(SEARCH("平",D3334)),OR(ISNUMBER(SEARCH("上",D3334)),ISNUMBER(SEARCH("去",D3334)),ISNUMBER(SEARCH("入",D3334)))),"Ambiguous",IF(ISNUMBER(SEARCH("平",D3334)),"平","仄")))</x:f>
        <x:v>平</x:v>
      </x:c>
      <x:c r="J3348" s="7" t="str"/>
    </x:row>
    <x:row r="3349">
      <x:c r="A3349" s="5" t="str">
        <x:v>苒</x:v>
      </x:c>
      <x:c r="B3349" s="6" t="str">
        <x:v>上</x:v>
      </x:c>
      <x:c r="C3349" s="6" t="str">
        <x:f>IF(B3349="","Needs decision","Ready")</x:f>
        <x:v>Ready</x:v>
      </x:c>
      <x:c r="D3349" s="6" t="str">
        <x:v>上</x:v>
      </x:c>
      <x:c r="E3349" s="6" t="str">
        <x:v>nyemX [ɲemʔ] (上)</x:v>
      </x:c>
      <x:c r="F3349" s="6" t="str">
        <x:v>1</x:v>
      </x:c>
      <x:c r="G3349" s="6" t="str">
        <x:v>Tang 300 gap; frequency 3; provisional from Xun Gong</x:v>
      </x:c>
      <x:c r="H3349" s="6" t="str">
        <x:f>IF(B3349="平","平",IF(B3349="","","仄"))</x:f>
        <x:v>仄</x:v>
      </x:c>
      <x:c r="I3349" s="6" t="str">
        <x:f>IF(D3335="","",IF(AND(ISNUMBER(SEARCH("平",D3335)),OR(ISNUMBER(SEARCH("上",D3335)),ISNUMBER(SEARCH("去",D3335)),ISNUMBER(SEARCH("入",D3335)))),"Ambiguous",IF(ISNUMBER(SEARCH("平",D3335)),"平","仄")))</x:f>
        <x:v>平</x:v>
      </x:c>
      <x:c r="J3349" s="7" t="str">
        <x:v>Xun Gong, Tang 300 gap fill</x:v>
      </x:c>
    </x:row>
    <x:row r="3350">
      <x:c r="A3350" s="5" t="str">
        <x:v>苔</x:v>
      </x:c>
      <x:c r="B3350" s="6" t="str">
        <x:v>平</x:v>
      </x:c>
      <x:c r="C3350" s="6" t="str">
        <x:f>IF(B3350="","Needs decision","Ready")</x:f>
        <x:v>Ready</x:v>
      </x:c>
      <x:c r="D3350" s="6" t="str">
        <x:v>平</x:v>
      </x:c>
      <x:c r="E3350" s="6" t="str">
        <x:v>doj [d̙əj] (平)</x:v>
      </x:c>
      <x:c r="F3350" s="6" t="str">
        <x:v>1</x:v>
      </x:c>
      <x:c r="G3350" s="6" t="str">
        <x:v>Tang 300 gap; frequency 7; provisional from Xun Gong</x:v>
      </x:c>
      <x:c r="H3350" s="6" t="str">
        <x:f>IF(B3350="平","平",IF(B3350="","","仄"))</x:f>
        <x:v>平</x:v>
      </x:c>
      <x:c r="I3350" s="6" t="str">
        <x:f>IF(D3336="","",IF(AND(ISNUMBER(SEARCH("平",D3336)),OR(ISNUMBER(SEARCH("上",D3336)),ISNUMBER(SEARCH("去",D3336)),ISNUMBER(SEARCH("入",D3336)))),"Ambiguous",IF(ISNUMBER(SEARCH("平",D3336)),"平","仄")))</x:f>
        <x:v>仄</x:v>
      </x:c>
      <x:c r="J3350" s="7" t="str">
        <x:v>Xun Gong, Tang 300 gap fill</x:v>
      </x:c>
    </x:row>
    <x:row r="3351">
      <x:c r="A3351" s="5" t="str">
        <x:v>苕</x:v>
      </x:c>
      <x:c r="B3351" s="6" t="str">
        <x:v>平</x:v>
      </x:c>
      <x:c r="C3351" s="6" t="str">
        <x:f>IF(B3351="","Needs decision","Ready")</x:f>
        <x:v>Ready</x:v>
      </x:c>
      <x:c r="D3351" s="6" t="str">
        <x:v>平</x:v>
      </x:c>
      <x:c r="E3351" s="6" t="str"/>
      <x:c r="F3351" s="6" t="str"/>
      <x:c r="G3351" s="6" t="str">
        <x:v>Manual user correction/addition</x:v>
      </x:c>
      <x:c r="H3351" s="6" t="str">
        <x:f>IF(B3351="平","平",IF(B3351="","","仄"))</x:f>
        <x:v>平</x:v>
      </x:c>
      <x:c r="I3351" s="6" t="str">
        <x:f>IF(D3337="","",IF(AND(ISNUMBER(SEARCH("平",D3337)),OR(ISNUMBER(SEARCH("上",D3337)),ISNUMBER(SEARCH("去",D3337)),ISNUMBER(SEARCH("入",D3337)))),"Ambiguous",IF(ISNUMBER(SEARCH("平",D3337)),"平","仄")))</x:f>
        <x:v>平</x:v>
      </x:c>
      <x:c r="J3351" s="7" t="str">
        <x:v>manual user correction</x:v>
      </x:c>
    </x:row>
    <x:row r="3352">
      <x:c r="A3352" s="5" t="str">
        <x:v>苗</x:v>
      </x:c>
      <x:c r="B3352" s="6" t="str">
        <x:v>平</x:v>
      </x:c>
      <x:c r="C3352" s="6" t="str">
        <x:f>IF(B3352="","Needs decision","Ready")</x:f>
        <x:v>Ready</x:v>
      </x:c>
      <x:c r="D3352" s="6" t="str">
        <x:v>平</x:v>
      </x:c>
      <x:c r="E3352" s="6" t="str">
        <x:v>mjew (A)</x:v>
      </x:c>
      <x:c r="F3352" s="6" t="str">
        <x:v>1</x:v>
      </x:c>
      <x:c r="G3352" s="6" t="str"/>
      <x:c r="H3352" s="6" t="str">
        <x:f>IF(B3352="平","平",IF(B3352="","","仄"))</x:f>
        <x:v>平</x:v>
      </x:c>
      <x:c r="I3352" s="6" t="str">
        <x:f>IF(D3338="","",IF(AND(ISNUMBER(SEARCH("平",D3338)),OR(ISNUMBER(SEARCH("上",D3338)),ISNUMBER(SEARCH("去",D3338)),ISNUMBER(SEARCH("入",D3338)))),"Ambiguous",IF(ISNUMBER(SEARCH("平",D3338)),"平","仄")))</x:f>
        <x:v>平</x:v>
      </x:c>
      <x:c r="J3352" s="7" t="str"/>
    </x:row>
    <x:row r="3353">
      <x:c r="A3353" s="5" t="str">
        <x:v>苞</x:v>
      </x:c>
      <x:c r="B3353" s="6" t="str">
        <x:v>平</x:v>
      </x:c>
      <x:c r="C3353" s="6" t="str">
        <x:f>IF(B3353="","Needs decision","Ready")</x:f>
        <x:v>Ready</x:v>
      </x:c>
      <x:c r="D3353" s="6" t="str">
        <x:v>平</x:v>
      </x:c>
      <x:c r="E3353" s="6" t="str">
        <x:v>paew (A)</x:v>
      </x:c>
      <x:c r="F3353" s="6" t="str">
        <x:v>1</x:v>
      </x:c>
      <x:c r="G3353" s="6" t="str"/>
      <x:c r="H3353" s="6" t="str">
        <x:f>IF(B3353="平","平",IF(B3353="","","仄"))</x:f>
        <x:v>平</x:v>
      </x:c>
      <x:c r="I3353" s="6" t="str">
        <x:f>IF(D3339="","",IF(AND(ISNUMBER(SEARCH("平",D3339)),OR(ISNUMBER(SEARCH("上",D3339)),ISNUMBER(SEARCH("去",D3339)),ISNUMBER(SEARCH("入",D3339)))),"Ambiguous",IF(ISNUMBER(SEARCH("平",D3339)),"平","仄")))</x:f>
        <x:v>仄</x:v>
      </x:c>
      <x:c r="J3353" s="7" t="str"/>
    </x:row>
    <x:row r="3354">
      <x:c r="A3354" s="5" t="str">
        <x:v>苟</x:v>
      </x:c>
      <x:c r="B3354" s="6" t="str">
        <x:v>上</x:v>
      </x:c>
      <x:c r="C3354" s="6" t="str">
        <x:f>IF(B3354="","Needs decision","Ready")</x:f>
        <x:v>Ready</x:v>
      </x:c>
      <x:c r="D3354" s="6" t="str">
        <x:v>上</x:v>
      </x:c>
      <x:c r="E3354" s="6" t="str">
        <x:v>kuwX (B)</x:v>
      </x:c>
      <x:c r="F3354" s="6" t="str">
        <x:v>1</x:v>
      </x:c>
      <x:c r="G3354" s="6" t="str"/>
      <x:c r="H3354" s="6" t="str">
        <x:f>IF(B3354="平","平",IF(B3354="","","仄"))</x:f>
        <x:v>仄</x:v>
      </x:c>
      <x:c r="I3354" s="6" t="str">
        <x:f>IF(D3340="","",IF(AND(ISNUMBER(SEARCH("平",D3340)),OR(ISNUMBER(SEARCH("上",D3340)),ISNUMBER(SEARCH("去",D3340)),ISNUMBER(SEARCH("入",D3340)))),"Ambiguous",IF(ISNUMBER(SEARCH("平",D3340)),"平","仄")))</x:f>
        <x:v>平</x:v>
      </x:c>
      <x:c r="J3354" s="7" t="str"/>
    </x:row>
    <x:row r="3355">
      <x:c r="A3355" s="5" t="str">
        <x:v>苡</x:v>
      </x:c>
      <x:c r="B3355" s="6" t="str">
        <x:v>上</x:v>
      </x:c>
      <x:c r="C3355" s="6" t="str">
        <x:f>IF(B3355="","Needs decision","Ready")</x:f>
        <x:v>Ready</x:v>
      </x:c>
      <x:c r="D3355" s="6" t="str">
        <x:v>上</x:v>
      </x:c>
      <x:c r="E3355" s="6" t="str">
        <x:v>yiX (B)</x:v>
      </x:c>
      <x:c r="F3355" s="6" t="str">
        <x:v>1</x:v>
      </x:c>
      <x:c r="G3355" s="6" t="str"/>
      <x:c r="H3355" s="6" t="str">
        <x:f>IF(B3355="平","平",IF(B3355="","","仄"))</x:f>
        <x:v>仄</x:v>
      </x:c>
      <x:c r="I3355" s="6" t="str">
        <x:f>IF(D3341="","",IF(AND(ISNUMBER(SEARCH("平",D3341)),OR(ISNUMBER(SEARCH("上",D3341)),ISNUMBER(SEARCH("去",D3341)),ISNUMBER(SEARCH("入",D3341)))),"Ambiguous",IF(ISNUMBER(SEARCH("平",D3341)),"平","仄")))</x:f>
        <x:v>平</x:v>
      </x:c>
      <x:c r="J3355" s="7" t="str"/>
    </x:row>
    <x:row r="3356">
      <x:c r="A3356" s="5" t="str">
        <x:v>若</x:v>
      </x:c>
      <x:c r="B3356" s="6" t="str">
        <x:v>入</x:v>
      </x:c>
      <x:c r="C3356" s="6" t="str">
        <x:f>IF(B3356="","Needs decision","Ready")</x:f>
        <x:v>Ready</x:v>
      </x:c>
      <x:c r="D3356" s="6" t="str">
        <x:v>入</x:v>
      </x:c>
      <x:c r="E3356" s="6" t="str">
        <x:v>nyak (D)</x:v>
      </x:c>
      <x:c r="F3356" s="6" t="str">
        <x:v>1</x:v>
      </x:c>
      <x:c r="G3356" s="6" t="str"/>
      <x:c r="H3356" s="6" t="str">
        <x:f>IF(B3356="平","平",IF(B3356="","","仄"))</x:f>
        <x:v>仄</x:v>
      </x:c>
      <x:c r="I3356" s="6" t="str">
        <x:f>IF(D3342="","",IF(AND(ISNUMBER(SEARCH("平",D3342)),OR(ISNUMBER(SEARCH("上",D3342)),ISNUMBER(SEARCH("去",D3342)),ISNUMBER(SEARCH("入",D3342)))),"Ambiguous",IF(ISNUMBER(SEARCH("平",D3342)),"平","仄")))</x:f>
        <x:v>仄</x:v>
      </x:c>
      <x:c r="J3356" s="7" t="str"/>
    </x:row>
    <x:row r="3357">
      <x:c r="A3357" s="5" t="str">
        <x:v>苦</x:v>
      </x:c>
      <x:c r="B3357" s="6" t="str">
        <x:v>上</x:v>
      </x:c>
      <x:c r="C3357" s="6" t="str">
        <x:f>IF(B3357="","Needs decision","Ready")</x:f>
        <x:v>Ready</x:v>
      </x:c>
      <x:c r="D3357" s="6" t="str">
        <x:v>上</x:v>
      </x:c>
      <x:c r="E3357" s="6" t="str">
        <x:v>khuX (B)</x:v>
      </x:c>
      <x:c r="F3357" s="6" t="str">
        <x:v>1</x:v>
      </x:c>
      <x:c r="G3357" s="6" t="str"/>
      <x:c r="H3357" s="6" t="str">
        <x:f>IF(B3357="平","平",IF(B3357="","","仄"))</x:f>
        <x:v>仄</x:v>
      </x:c>
      <x:c r="I3357" s="6" t="str">
        <x:f>IF(D3343="","",IF(AND(ISNUMBER(SEARCH("平",D3343)),OR(ISNUMBER(SEARCH("上",D3343)),ISNUMBER(SEARCH("去",D3343)),ISNUMBER(SEARCH("入",D3343)))),"Ambiguous",IF(ISNUMBER(SEARCH("平",D3343)),"平","仄")))</x:f>
        <x:v>平</x:v>
      </x:c>
      <x:c r="J3357" s="7" t="str"/>
    </x:row>
    <x:row r="3358">
      <x:c r="A3358" s="5" t="str">
        <x:v>苫</x:v>
      </x:c>
      <x:c r="B3358" s="6" t="str"/>
      <x:c r="C3358" s="6" t="str">
        <x:f>IF(B3358="","Needs decision","Ready")</x:f>
        <x:v>Needs decision</x:v>
      </x:c>
      <x:c r="D3358" s="6" t="str">
        <x:v>平/去</x:v>
      </x:c>
      <x:c r="E3358" s="6" t="str">
        <x:v>syem (A); syemH (C)</x:v>
      </x:c>
      <x:c r="F3358" s="6" t="str">
        <x:v>2</x:v>
      </x:c>
      <x:c r="G3358" s="6" t="str"/>
      <x:c r="H3358" s="6" t="str">
        <x:f>IF(B3358="平","平",IF(B3358="","","仄"))</x:f>
      </x:c>
      <x:c r="I3358" s="6" t="str">
        <x:f>IF(D3344="","",IF(AND(ISNUMBER(SEARCH("平",D3344)),OR(ISNUMBER(SEARCH("上",D3344)),ISNUMBER(SEARCH("去",D3344)),ISNUMBER(SEARCH("入",D3344)))),"Ambiguous",IF(ISNUMBER(SEARCH("平",D3344)),"平","仄")))</x:f>
        <x:v>平</x:v>
      </x:c>
      <x:c r="J3358" s="7" t="str"/>
    </x:row>
    <x:row r="3359">
      <x:c r="A3359" s="5" t="str">
        <x:v>英</x:v>
      </x:c>
      <x:c r="B3359" s="6" t="str">
        <x:v>平</x:v>
      </x:c>
      <x:c r="C3359" s="6" t="str">
        <x:f>IF(B3359="","Needs decision","Ready")</x:f>
        <x:v>Ready</x:v>
      </x:c>
      <x:c r="D3359" s="6" t="str">
        <x:v>平</x:v>
      </x:c>
      <x:c r="E3359" s="6" t="str">
        <x:v>'jaeng (A)</x:v>
      </x:c>
      <x:c r="F3359" s="6" t="str">
        <x:v>1</x:v>
      </x:c>
      <x:c r="G3359" s="6" t="str"/>
      <x:c r="H3359" s="6" t="str">
        <x:f>IF(B3359="平","平",IF(B3359="","","仄"))</x:f>
        <x:v>平</x:v>
      </x:c>
      <x:c r="I3359" s="6" t="str">
        <x:f>IF(D3345="","",IF(AND(ISNUMBER(SEARCH("平",D3345)),OR(ISNUMBER(SEARCH("上",D3345)),ISNUMBER(SEARCH("去",D3345)),ISNUMBER(SEARCH("入",D3345)))),"Ambiguous",IF(ISNUMBER(SEARCH("平",D3345)),"平","仄")))</x:f>
        <x:v>平</x:v>
      </x:c>
      <x:c r="J3359" s="7" t="str"/>
    </x:row>
    <x:row r="3360">
      <x:c r="A3360" s="5" t="str">
        <x:v>苹</x:v>
      </x:c>
      <x:c r="B3360" s="6" t="str">
        <x:v>平</x:v>
      </x:c>
      <x:c r="C3360" s="6" t="str">
        <x:f>IF(B3360="","Needs decision","Ready")</x:f>
        <x:v>Ready</x:v>
      </x:c>
      <x:c r="D3360" s="6" t="str">
        <x:v>平</x:v>
      </x:c>
      <x:c r="E3360" s="6" t="str">
        <x:v>beng (A)</x:v>
      </x:c>
      <x:c r="F3360" s="6" t="str">
        <x:v>1</x:v>
      </x:c>
      <x:c r="G3360" s="6" t="str"/>
      <x:c r="H3360" s="6" t="str">
        <x:f>IF(B3360="平","平",IF(B3360="","","仄"))</x:f>
        <x:v>平</x:v>
      </x:c>
      <x:c r="I3360" s="6" t="str">
        <x:f>IF(D3346="","",IF(AND(ISNUMBER(SEARCH("平",D3346)),OR(ISNUMBER(SEARCH("上",D3346)),ISNUMBER(SEARCH("去",D3346)),ISNUMBER(SEARCH("入",D3346)))),"Ambiguous",IF(ISNUMBER(SEARCH("平",D3346)),"平","仄")))</x:f>
        <x:v>仄</x:v>
      </x:c>
      <x:c r="J3360" s="7" t="str"/>
    </x:row>
    <x:row r="3361">
      <x:c r="A3361" s="5" t="str">
        <x:v>苾</x:v>
      </x:c>
      <x:c r="B3361" s="6" t="str">
        <x:v>入</x:v>
      </x:c>
      <x:c r="C3361" s="6" t="str">
        <x:f>IF(B3361="","Needs decision","Ready")</x:f>
        <x:v>Ready</x:v>
      </x:c>
      <x:c r="D3361" s="6" t="str">
        <x:v>入</x:v>
      </x:c>
      <x:c r="E3361" s="6" t="str">
        <x:v>bet (D)</x:v>
      </x:c>
      <x:c r="F3361" s="6" t="str">
        <x:v>1</x:v>
      </x:c>
      <x:c r="G3361" s="6" t="str"/>
      <x:c r="H3361" s="6" t="str">
        <x:f>IF(B3361="平","平",IF(B3361="","","仄"))</x:f>
        <x:v>仄</x:v>
      </x:c>
      <x:c r="I3361" s="6" t="str">
        <x:f>IF(D3347="","",IF(AND(ISNUMBER(SEARCH("平",D3347)),OR(ISNUMBER(SEARCH("上",D3347)),ISNUMBER(SEARCH("去",D3347)),ISNUMBER(SEARCH("入",D3347)))),"Ambiguous",IF(ISNUMBER(SEARCH("平",D3347)),"平","仄")))</x:f>
        <x:v>平</x:v>
      </x:c>
      <x:c r="J3361" s="7" t="str"/>
    </x:row>
    <x:row r="3362">
      <x:c r="A3362" s="5" t="str">
        <x:v>茀</x:v>
      </x:c>
      <x:c r="B3362" s="6" t="str">
        <x:v>入</x:v>
      </x:c>
      <x:c r="C3362" s="6" t="str">
        <x:f>IF(B3362="","Needs decision","Ready")</x:f>
        <x:v>Ready</x:v>
      </x:c>
      <x:c r="D3362" s="6" t="str">
        <x:v>入</x:v>
      </x:c>
      <x:c r="E3362" s="6" t="str">
        <x:v>phjut (D); pjut (D)</x:v>
      </x:c>
      <x:c r="F3362" s="6" t="str">
        <x:v>2</x:v>
      </x:c>
      <x:c r="G3362" s="6" t="str"/>
      <x:c r="H3362" s="6" t="str">
        <x:f>IF(B3362="平","平",IF(B3362="","","仄"))</x:f>
        <x:v>仄</x:v>
      </x:c>
      <x:c r="I3362" s="6" t="str">
        <x:f>IF(D3348="","",IF(AND(ISNUMBER(SEARCH("平",D3348)),OR(ISNUMBER(SEARCH("上",D3348)),ISNUMBER(SEARCH("去",D3348)),ISNUMBER(SEARCH("入",D3348)))),"Ambiguous",IF(ISNUMBER(SEARCH("平",D3348)),"平","仄")))</x:f>
        <x:v>仄</x:v>
      </x:c>
      <x:c r="J3362" s="7" t="str"/>
    </x:row>
    <x:row r="3363">
      <x:c r="A3363" s="5" t="str">
        <x:v>茁</x:v>
      </x:c>
      <x:c r="B3363" s="6" t="str">
        <x:v>入</x:v>
      </x:c>
      <x:c r="C3363" s="6" t="str">
        <x:f>IF(B3363="","Needs decision","Ready")</x:f>
        <x:v>Ready</x:v>
      </x:c>
      <x:c r="D3363" s="6" t="str">
        <x:v>入</x:v>
      </x:c>
      <x:c r="E3363" s="6" t="str">
        <x:v>tsrjwet (D); tsrweat (D)</x:v>
      </x:c>
      <x:c r="F3363" s="6" t="str">
        <x:v>2</x:v>
      </x:c>
      <x:c r="G3363" s="6" t="str"/>
      <x:c r="H3363" s="6" t="str">
        <x:f>IF(B3363="平","平",IF(B3363="","","仄"))</x:f>
        <x:v>仄</x:v>
      </x:c>
      <x:c r="I3363" s="6" t="str">
        <x:f>IF(D3349="","",IF(AND(ISNUMBER(SEARCH("平",D3349)),OR(ISNUMBER(SEARCH("上",D3349)),ISNUMBER(SEARCH("去",D3349)),ISNUMBER(SEARCH("入",D3349)))),"Ambiguous",IF(ISNUMBER(SEARCH("平",D3349)),"平","仄")))</x:f>
        <x:v>仄</x:v>
      </x:c>
      <x:c r="J3363" s="7" t="str"/>
    </x:row>
    <x:row r="3364">
      <x:c r="A3364" s="5" t="str">
        <x:v>茂</x:v>
      </x:c>
      <x:c r="B3364" s="6" t="str">
        <x:v>去</x:v>
      </x:c>
      <x:c r="C3364" s="6" t="str">
        <x:f>IF(B3364="","Needs decision","Ready")</x:f>
        <x:v>Ready</x:v>
      </x:c>
      <x:c r="D3364" s="6" t="str">
        <x:v>去</x:v>
      </x:c>
      <x:c r="E3364" s="6" t="str"/>
      <x:c r="F3364" s="6" t="str"/>
      <x:c r="G3364" s="6" t="str">
        <x:v>Manual user correction/addition</x:v>
      </x:c>
      <x:c r="H3364" s="6" t="str">
        <x:f>IF(B3364="平","平",IF(B3364="","","仄"))</x:f>
        <x:v>仄</x:v>
      </x:c>
      <x:c r="I3364" s="6" t="str">
        <x:f>IF(D3350="","",IF(AND(ISNUMBER(SEARCH("平",D3350)),OR(ISNUMBER(SEARCH("上",D3350)),ISNUMBER(SEARCH("去",D3350)),ISNUMBER(SEARCH("入",D3350)))),"Ambiguous",IF(ISNUMBER(SEARCH("平",D3350)),"平","仄")))</x:f>
        <x:v>平</x:v>
      </x:c>
      <x:c r="J3364" s="7" t="str">
        <x:v>manual user correction</x:v>
      </x:c>
    </x:row>
    <x:row r="3365">
      <x:c r="A3365" s="5" t="str">
        <x:v>范</x:v>
      </x:c>
      <x:c r="B3365" s="6" t="str">
        <x:v>上</x:v>
      </x:c>
      <x:c r="C3365" s="6" t="str">
        <x:f>IF(B3365="","Needs decision","Ready")</x:f>
        <x:v>Ready</x:v>
      </x:c>
      <x:c r="D3365" s="6" t="str">
        <x:v>上</x:v>
      </x:c>
      <x:c r="E3365" s="6" t="str">
        <x:v>bjomX (B)</x:v>
      </x:c>
      <x:c r="F3365" s="6" t="str">
        <x:v>1</x:v>
      </x:c>
      <x:c r="G3365" s="6" t="str"/>
      <x:c r="H3365" s="6" t="str">
        <x:f>IF(B3365="平","平",IF(B3365="","","仄"))</x:f>
        <x:v>仄</x:v>
      </x:c>
      <x:c r="I3365" s="6" t="str">
        <x:f>IF(D3351="","",IF(AND(ISNUMBER(SEARCH("平",D3351)),OR(ISNUMBER(SEARCH("上",D3351)),ISNUMBER(SEARCH("去",D3351)),ISNUMBER(SEARCH("入",D3351)))),"Ambiguous",IF(ISNUMBER(SEARCH("平",D3351)),"平","仄")))</x:f>
        <x:v>平</x:v>
      </x:c>
      <x:c r="J3365" s="7" t="str"/>
    </x:row>
    <x:row r="3366">
      <x:c r="A3366" s="5" t="str">
        <x:v>茅</x:v>
      </x:c>
      <x:c r="B3366" s="6" t="str">
        <x:v>平</x:v>
      </x:c>
      <x:c r="C3366" s="6" t="str">
        <x:f>IF(B3366="","Needs decision","Ready")</x:f>
        <x:v>Ready</x:v>
      </x:c>
      <x:c r="D3366" s="6" t="str">
        <x:v>平</x:v>
      </x:c>
      <x:c r="E3366" s="6" t="str">
        <x:v>maew (A)</x:v>
      </x:c>
      <x:c r="F3366" s="6" t="str">
        <x:v>1</x:v>
      </x:c>
      <x:c r="G3366" s="6" t="str"/>
      <x:c r="H3366" s="6" t="str">
        <x:f>IF(B3366="平","平",IF(B3366="","","仄"))</x:f>
        <x:v>平</x:v>
      </x:c>
      <x:c r="I3366" s="6" t="str">
        <x:f>IF(D3352="","",IF(AND(ISNUMBER(SEARCH("平",D3352)),OR(ISNUMBER(SEARCH("上",D3352)),ISNUMBER(SEARCH("去",D3352)),ISNUMBER(SEARCH("入",D3352)))),"Ambiguous",IF(ISNUMBER(SEARCH("平",D3352)),"平","仄")))</x:f>
        <x:v>平</x:v>
      </x:c>
      <x:c r="J3366" s="7" t="str"/>
    </x:row>
    <x:row r="3367">
      <x:c r="A3367" s="5" t="str">
        <x:v>茆</x:v>
      </x:c>
      <x:c r="B3367" s="6" t="str">
        <x:v>上</x:v>
      </x:c>
      <x:c r="C3367" s="6" t="str">
        <x:f>IF(B3367="","Needs decision","Ready")</x:f>
        <x:v>Ready</x:v>
      </x:c>
      <x:c r="D3367" s="6" t="str">
        <x:v>上</x:v>
      </x:c>
      <x:c r="E3367" s="6" t="str">
        <x:v>maewX (B)</x:v>
      </x:c>
      <x:c r="F3367" s="6" t="str">
        <x:v>1</x:v>
      </x:c>
      <x:c r="G3367" s="6" t="str"/>
      <x:c r="H3367" s="6" t="str">
        <x:f>IF(B3367="平","平",IF(B3367="","","仄"))</x:f>
        <x:v>仄</x:v>
      </x:c>
      <x:c r="I3367" s="6" t="str">
        <x:f>IF(D3353="","",IF(AND(ISNUMBER(SEARCH("平",D3353)),OR(ISNUMBER(SEARCH("上",D3353)),ISNUMBER(SEARCH("去",D3353)),ISNUMBER(SEARCH("入",D3353)))),"Ambiguous",IF(ISNUMBER(SEARCH("平",D3353)),"平","仄")))</x:f>
        <x:v>平</x:v>
      </x:c>
      <x:c r="J3367" s="7" t="str"/>
    </x:row>
    <x:row r="3368">
      <x:c r="A3368" s="5" t="str">
        <x:v>茇</x:v>
      </x:c>
      <x:c r="B3368" s="6" t="str">
        <x:v>入</x:v>
      </x:c>
      <x:c r="C3368" s="6" t="str">
        <x:f>IF(B3368="","Needs decision","Ready")</x:f>
        <x:v>Ready</x:v>
      </x:c>
      <x:c r="D3368" s="6" t="str">
        <x:v>入</x:v>
      </x:c>
      <x:c r="E3368" s="6" t="str">
        <x:v>bat (D); pat (D)</x:v>
      </x:c>
      <x:c r="F3368" s="6" t="str">
        <x:v>2</x:v>
      </x:c>
      <x:c r="G3368" s="6" t="str"/>
      <x:c r="H3368" s="6" t="str">
        <x:f>IF(B3368="平","平",IF(B3368="","","仄"))</x:f>
        <x:v>仄</x:v>
      </x:c>
      <x:c r="I3368" s="6" t="str">
        <x:f>IF(D3354="","",IF(AND(ISNUMBER(SEARCH("平",D3354)),OR(ISNUMBER(SEARCH("上",D3354)),ISNUMBER(SEARCH("去",D3354)),ISNUMBER(SEARCH("入",D3354)))),"Ambiguous",IF(ISNUMBER(SEARCH("平",D3354)),"平","仄")))</x:f>
        <x:v>仄</x:v>
      </x:c>
      <x:c r="J3368" s="7" t="str"/>
    </x:row>
    <x:row r="3369">
      <x:c r="A3369" s="5" t="str">
        <x:v>茖</x:v>
      </x:c>
      <x:c r="B3369" s="6" t="str">
        <x:v>入</x:v>
      </x:c>
      <x:c r="C3369" s="6" t="str">
        <x:f>IF(B3369="","Needs decision","Ready")</x:f>
        <x:v>Ready</x:v>
      </x:c>
      <x:c r="D3369" s="6" t="str">
        <x:v>入</x:v>
      </x:c>
      <x:c r="E3369" s="6" t="str">
        <x:v>kaek [qaˤk] (入)</x:v>
      </x:c>
      <x:c r="F3369" s="6" t="str">
        <x:v>1</x:v>
      </x:c>
      <x:c r="G3369" s="6" t="str">
        <x:v>Tang 300 gap; frequency 1; provisional from Xun Gong</x:v>
      </x:c>
      <x:c r="H3369" s="6" t="str">
        <x:f>IF(B3369="平","平",IF(B3369="","","仄"))</x:f>
        <x:v>仄</x:v>
      </x:c>
      <x:c r="I3369" s="6" t="str">
        <x:f>IF(D3355="","",IF(AND(ISNUMBER(SEARCH("平",D3355)),OR(ISNUMBER(SEARCH("上",D3355)),ISNUMBER(SEARCH("去",D3355)),ISNUMBER(SEARCH("入",D3355)))),"Ambiguous",IF(ISNUMBER(SEARCH("平",D3355)),"平","仄")))</x:f>
        <x:v>仄</x:v>
      </x:c>
      <x:c r="J3369" s="7" t="str">
        <x:v>Xun Gong, Tang 300 gap fill</x:v>
      </x:c>
    </x:row>
    <x:row r="3370">
      <x:c r="A3370" s="5" t="str">
        <x:v>茙</x:v>
      </x:c>
      <x:c r="B3370" s="6" t="str">
        <x:v>平</x:v>
      </x:c>
      <x:c r="C3370" s="6" t="str">
        <x:f>IF(B3370="","Needs decision","Ready")</x:f>
        <x:v>Ready</x:v>
      </x:c>
      <x:c r="D3370" s="6" t="str">
        <x:v>平</x:v>
      </x:c>
      <x:c r="E3370" s="6" t="str">
        <x:v>nyuwng (A)</x:v>
      </x:c>
      <x:c r="F3370" s="6" t="str">
        <x:v>1</x:v>
      </x:c>
      <x:c r="G3370" s="6" t="str"/>
      <x:c r="H3370" s="6" t="str">
        <x:f>IF(B3370="平","平",IF(B3370="","","仄"))</x:f>
        <x:v>平</x:v>
      </x:c>
      <x:c r="I3370" s="6" t="str">
        <x:f>IF(D3356="","",IF(AND(ISNUMBER(SEARCH("平",D3356)),OR(ISNUMBER(SEARCH("上",D3356)),ISNUMBER(SEARCH("去",D3356)),ISNUMBER(SEARCH("入",D3356)))),"Ambiguous",IF(ISNUMBER(SEARCH("平",D3356)),"平","仄")))</x:f>
        <x:v>仄</x:v>
      </x:c>
      <x:c r="J3370" s="7" t="str"/>
    </x:row>
    <x:row r="3371">
      <x:c r="A3371" s="5" t="str">
        <x:v>茝</x:v>
      </x:c>
      <x:c r="B3371" s="6" t="str">
        <x:v>上</x:v>
      </x:c>
      <x:c r="C3371" s="6" t="str">
        <x:f>IF(B3371="","Needs decision","Ready")</x:f>
        <x:v>Ready</x:v>
      </x:c>
      <x:c r="D3371" s="6" t="str">
        <x:v>上</x:v>
      </x:c>
      <x:c r="E3371" s="6" t="str">
        <x:v>tsyiX (B)</x:v>
      </x:c>
      <x:c r="F3371" s="6" t="str">
        <x:v>1</x:v>
      </x:c>
      <x:c r="G3371" s="6" t="str"/>
      <x:c r="H3371" s="6" t="str">
        <x:f>IF(B3371="平","平",IF(B3371="","","仄"))</x:f>
        <x:v>仄</x:v>
      </x:c>
      <x:c r="I3371" s="6" t="str">
        <x:f>IF(D3357="","",IF(AND(ISNUMBER(SEARCH("平",D3357)),OR(ISNUMBER(SEARCH("上",D3357)),ISNUMBER(SEARCH("去",D3357)),ISNUMBER(SEARCH("入",D3357)))),"Ambiguous",IF(ISNUMBER(SEARCH("平",D3357)),"平","仄")))</x:f>
        <x:v>仄</x:v>
      </x:c>
      <x:c r="J3371" s="7" t="str"/>
    </x:row>
    <x:row r="3372">
      <x:c r="A3372" s="5" t="str">
        <x:v>茠</x:v>
      </x:c>
      <x:c r="B3372" s="6" t="str">
        <x:v>平</x:v>
      </x:c>
      <x:c r="C3372" s="6" t="str">
        <x:f>IF(B3372="","Needs decision","Ready")</x:f>
        <x:v>Ready</x:v>
      </x:c>
      <x:c r="D3372" s="6" t="str">
        <x:v>平</x:v>
      </x:c>
      <x:c r="E3372" s="6" t="str">
        <x:v>xaw (A)</x:v>
      </x:c>
      <x:c r="F3372" s="6" t="str">
        <x:v>1</x:v>
      </x:c>
      <x:c r="G3372" s="6" t="str"/>
      <x:c r="H3372" s="6" t="str">
        <x:f>IF(B3372="平","平",IF(B3372="","","仄"))</x:f>
        <x:v>平</x:v>
      </x:c>
      <x:c r="I3372" s="6" t="str">
        <x:f>IF(D3358="","",IF(AND(ISNUMBER(SEARCH("平",D3358)),OR(ISNUMBER(SEARCH("上",D3358)),ISNUMBER(SEARCH("去",D3358)),ISNUMBER(SEARCH("入",D3358)))),"Ambiguous",IF(ISNUMBER(SEARCH("平",D3358)),"平","仄")))</x:f>
        <x:v>Ambiguous</x:v>
      </x:c>
      <x:c r="J3372" s="7" t="str"/>
    </x:row>
    <x:row r="3373">
      <x:c r="A3373" s="5" t="str">
        <x:v>茨</x:v>
      </x:c>
      <x:c r="B3373" s="6" t="str">
        <x:v>平</x:v>
      </x:c>
      <x:c r="C3373" s="6" t="str">
        <x:f>IF(B3373="","Needs decision","Ready")</x:f>
        <x:v>Ready</x:v>
      </x:c>
      <x:c r="D3373" s="6" t="str">
        <x:v>平</x:v>
      </x:c>
      <x:c r="E3373" s="6" t="str">
        <x:v>dzij [dzi] (平)</x:v>
      </x:c>
      <x:c r="F3373" s="6" t="str">
        <x:v>1</x:v>
      </x:c>
      <x:c r="G3373" s="6" t="str">
        <x:v>Tang 300 gap; frequency 2; provisional from Xun Gong</x:v>
      </x:c>
      <x:c r="H3373" s="6" t="str">
        <x:f>IF(B3373="平","平",IF(B3373="","","仄"))</x:f>
        <x:v>平</x:v>
      </x:c>
      <x:c r="I3373" s="6" t="str">
        <x:f>IF(D3359="","",IF(AND(ISNUMBER(SEARCH("平",D3359)),OR(ISNUMBER(SEARCH("上",D3359)),ISNUMBER(SEARCH("去",D3359)),ISNUMBER(SEARCH("入",D3359)))),"Ambiguous",IF(ISNUMBER(SEARCH("平",D3359)),"平","仄")))</x:f>
        <x:v>平</x:v>
      </x:c>
      <x:c r="J3373" s="7" t="str">
        <x:v>Xun Gong, Tang 300 gap fill</x:v>
      </x:c>
    </x:row>
    <x:row r="3374">
      <x:c r="A3374" s="5" t="str">
        <x:v>茫</x:v>
      </x:c>
      <x:c r="B3374" s="6" t="str">
        <x:v>平</x:v>
      </x:c>
      <x:c r="C3374" s="6" t="str">
        <x:f>IF(B3374="","Needs decision","Ready")</x:f>
        <x:v>Ready</x:v>
      </x:c>
      <x:c r="D3374" s="6" t="str">
        <x:v>平</x:v>
      </x:c>
      <x:c r="E3374" s="6" t="str">
        <x:v>mang [m̙ɑŋ] (平)</x:v>
      </x:c>
      <x:c r="F3374" s="6" t="str">
        <x:v>1</x:v>
      </x:c>
      <x:c r="G3374" s="6" t="str">
        <x:v>Tang 300 gap; frequency 23; provisional from Xun Gong</x:v>
      </x:c>
      <x:c r="H3374" s="6" t="str">
        <x:f>IF(B3374="平","平",IF(B3374="","","仄"))</x:f>
        <x:v>平</x:v>
      </x:c>
      <x:c r="I3374" s="6" t="str">
        <x:f>IF(D3360="","",IF(AND(ISNUMBER(SEARCH("平",D3360)),OR(ISNUMBER(SEARCH("上",D3360)),ISNUMBER(SEARCH("去",D3360)),ISNUMBER(SEARCH("入",D3360)))),"Ambiguous",IF(ISNUMBER(SEARCH("平",D3360)),"平","仄")))</x:f>
        <x:v>平</x:v>
      </x:c>
      <x:c r="J3374" s="7" t="str">
        <x:v>Xun Gong, Tang 300 gap fill</x:v>
      </x:c>
    </x:row>
    <x:row r="3375">
      <x:c r="A3375" s="5" t="str">
        <x:v>茭</x:v>
      </x:c>
      <x:c r="B3375" s="6" t="str">
        <x:v>平</x:v>
      </x:c>
      <x:c r="C3375" s="6" t="str">
        <x:f>IF(B3375="","Needs decision","Ready")</x:f>
        <x:v>Ready</x:v>
      </x:c>
      <x:c r="D3375" s="6" t="str">
        <x:v>平</x:v>
      </x:c>
      <x:c r="E3375" s="6" t="str">
        <x:v>kaew (A)</x:v>
      </x:c>
      <x:c r="F3375" s="6" t="str">
        <x:v>1</x:v>
      </x:c>
      <x:c r="G3375" s="6" t="str"/>
      <x:c r="H3375" s="6" t="str">
        <x:f>IF(B3375="平","平",IF(B3375="","","仄"))</x:f>
        <x:v>平</x:v>
      </x:c>
      <x:c r="I3375" s="6" t="str">
        <x:f>IF(D3361="","",IF(AND(ISNUMBER(SEARCH("平",D3361)),OR(ISNUMBER(SEARCH("上",D3361)),ISNUMBER(SEARCH("去",D3361)),ISNUMBER(SEARCH("入",D3361)))),"Ambiguous",IF(ISNUMBER(SEARCH("平",D3361)),"平","仄")))</x:f>
        <x:v>仄</x:v>
      </x:c>
      <x:c r="J3375" s="7" t="str"/>
    </x:row>
    <x:row r="3376">
      <x:c r="A3376" s="5" t="str">
        <x:v>茱</x:v>
      </x:c>
      <x:c r="B3376" s="6" t="str">
        <x:v>平</x:v>
      </x:c>
      <x:c r="C3376" s="6" t="str">
        <x:f>IF(B3376="","Needs decision","Ready")</x:f>
        <x:v>Ready</x:v>
      </x:c>
      <x:c r="D3376" s="6" t="str">
        <x:v>平</x:v>
      </x:c>
      <x:c r="E3376" s="6" t="str">
        <x:v>dzyu [dʑo] (平)</x:v>
      </x:c>
      <x:c r="F3376" s="6" t="str">
        <x:v>1</x:v>
      </x:c>
      <x:c r="G3376" s="6" t="str">
        <x:v>Tang 300 gap; frequency 1; provisional from Xun Gong</x:v>
      </x:c>
      <x:c r="H3376" s="6" t="str">
        <x:f>IF(B3376="平","平",IF(B3376="","","仄"))</x:f>
        <x:v>平</x:v>
      </x:c>
      <x:c r="I3376" s="6" t="str">
        <x:f>IF(D3362="","",IF(AND(ISNUMBER(SEARCH("平",D3362)),OR(ISNUMBER(SEARCH("上",D3362)),ISNUMBER(SEARCH("去",D3362)),ISNUMBER(SEARCH("入",D3362)))),"Ambiguous",IF(ISNUMBER(SEARCH("平",D3362)),"平","仄")))</x:f>
        <x:v>仄</x:v>
      </x:c>
      <x:c r="J3376" s="7" t="str">
        <x:v>Xun Gong, Tang 300 gap fill</x:v>
      </x:c>
    </x:row>
    <x:row r="3377">
      <x:c r="A3377" s="5" t="str">
        <x:v>茲</x:v>
      </x:c>
      <x:c r="B3377" s="6" t="str">
        <x:v>平</x:v>
      </x:c>
      <x:c r="C3377" s="6" t="str">
        <x:f>IF(B3377="","Needs decision","Ready")</x:f>
        <x:v>Ready</x:v>
      </x:c>
      <x:c r="D3377" s="6" t="str">
        <x:v>平</x:v>
      </x:c>
      <x:c r="E3377" s="6" t="str"/>
      <x:c r="F3377" s="6" t="str"/>
      <x:c r="G3377" s="6" t="str">
        <x:v>Manual user correction</x:v>
      </x:c>
      <x:c r="H3377" s="6" t="str">
        <x:f>IF(B3377="平","平",IF(B3377="","","仄"))</x:f>
        <x:v>平</x:v>
      </x:c>
      <x:c r="I3377" s="6" t="str">
        <x:f>IF(D3363="","",IF(AND(ISNUMBER(SEARCH("平",D3363)),OR(ISNUMBER(SEARCH("上",D3363)),ISNUMBER(SEARCH("去",D3363)),ISNUMBER(SEARCH("入",D3363)))),"Ambiguous",IF(ISNUMBER(SEARCH("平",D3363)),"平","仄")))</x:f>
        <x:v>仄</x:v>
      </x:c>
      <x:c r="J3377" s="7" t="str">
        <x:v>manual user correction</x:v>
      </x:c>
    </x:row>
    <x:row r="3378">
      <x:c r="A3378" s="5" t="str">
        <x:v>茵</x:v>
      </x:c>
      <x:c r="B3378" s="6" t="str">
        <x:v>平</x:v>
      </x:c>
      <x:c r="C3378" s="6" t="str">
        <x:f>IF(B3378="","Needs decision","Ready")</x:f>
        <x:v>Ready</x:v>
      </x:c>
      <x:c r="D3378" s="6" t="str">
        <x:v>平</x:v>
      </x:c>
      <x:c r="E3378" s="6" t="str">
        <x:v>'jin [ʔjin] (平)</x:v>
      </x:c>
      <x:c r="F3378" s="6" t="str">
        <x:v>1</x:v>
      </x:c>
      <x:c r="G3378" s="6" t="str">
        <x:v>Tang 300 gap; frequency 1; provisional from Xun Gong</x:v>
      </x:c>
      <x:c r="H3378" s="6" t="str">
        <x:f>IF(B3378="平","平",IF(B3378="","","仄"))</x:f>
        <x:v>平</x:v>
      </x:c>
      <x:c r="I3378" s="6" t="str">
        <x:f>IF(D3364="","",IF(AND(ISNUMBER(SEARCH("平",D3364)),OR(ISNUMBER(SEARCH("上",D3364)),ISNUMBER(SEARCH("去",D3364)),ISNUMBER(SEARCH("入",D3364)))),"Ambiguous",IF(ISNUMBER(SEARCH("平",D3364)),"平","仄")))</x:f>
        <x:v>仄</x:v>
      </x:c>
      <x:c r="J3378" s="7" t="str">
        <x:v>Xun Gong, Tang 300 gap fill</x:v>
      </x:c>
    </x:row>
    <x:row r="3379">
      <x:c r="A3379" s="5" t="str">
        <x:v>茶</x:v>
      </x:c>
      <x:c r="B3379" s="6" t="str">
        <x:v>平</x:v>
      </x:c>
      <x:c r="C3379" s="6" t="str">
        <x:f>IF(B3379="","Needs decision","Ready")</x:f>
        <x:v>Ready</x:v>
      </x:c>
      <x:c r="D3379" s="6" t="str">
        <x:v>平</x:v>
      </x:c>
      <x:c r="E3379" s="6" t="str">
        <x:v>drae [ɖaˤ] (平)</x:v>
      </x:c>
      <x:c r="F3379" s="6" t="str">
        <x:v>1</x:v>
      </x:c>
      <x:c r="G3379" s="6" t="str">
        <x:v>Tang 300 gap; frequency 1; provisional from Xun Gong</x:v>
      </x:c>
      <x:c r="H3379" s="6" t="str">
        <x:f>IF(B3379="平","平",IF(B3379="","","仄"))</x:f>
        <x:v>平</x:v>
      </x:c>
      <x:c r="I3379" s="6" t="str">
        <x:f>IF(D3365="","",IF(AND(ISNUMBER(SEARCH("平",D3365)),OR(ISNUMBER(SEARCH("上",D3365)),ISNUMBER(SEARCH("去",D3365)),ISNUMBER(SEARCH("入",D3365)))),"Ambiguous",IF(ISNUMBER(SEARCH("平",D3365)),"平","仄")))</x:f>
        <x:v>仄</x:v>
      </x:c>
      <x:c r="J3379" s="7" t="str">
        <x:v>Xun Gong, Tang 300 gap fill</x:v>
      </x:c>
    </x:row>
    <x:row r="3380">
      <x:c r="A3380" s="5" t="str">
        <x:v>茷</x:v>
      </x:c>
      <x:c r="B3380" s="6" t="str">
        <x:v>去</x:v>
      </x:c>
      <x:c r="C3380" s="6" t="str">
        <x:f>IF(B3380="","Needs decision","Ready")</x:f>
        <x:v>Ready</x:v>
      </x:c>
      <x:c r="D3380" s="6" t="str">
        <x:v>去</x:v>
      </x:c>
      <x:c r="E3380" s="6" t="str">
        <x:v>bajH (C)</x:v>
      </x:c>
      <x:c r="F3380" s="6" t="str">
        <x:v>1</x:v>
      </x:c>
      <x:c r="G3380" s="6" t="str"/>
      <x:c r="H3380" s="6" t="str">
        <x:f>IF(B3380="平","平",IF(B3380="","","仄"))</x:f>
        <x:v>仄</x:v>
      </x:c>
      <x:c r="I3380" s="6" t="str">
        <x:f>IF(D3366="","",IF(AND(ISNUMBER(SEARCH("平",D3366)),OR(ISNUMBER(SEARCH("上",D3366)),ISNUMBER(SEARCH("去",D3366)),ISNUMBER(SEARCH("入",D3366)))),"Ambiguous",IF(ISNUMBER(SEARCH("平",D3366)),"平","仄")))</x:f>
        <x:v>平</x:v>
      </x:c>
      <x:c r="J3380" s="7" t="str"/>
    </x:row>
    <x:row r="3381">
      <x:c r="A3381" s="5" t="str">
        <x:v>茹</x:v>
      </x:c>
      <x:c r="B3381" s="6" t="str">
        <x:v>平</x:v>
      </x:c>
      <x:c r="C3381" s="6" t="str">
        <x:f>IF(B3381="","Needs decision","Ready")</x:f>
        <x:v>Ready</x:v>
      </x:c>
      <x:c r="D3381" s="6" t="str">
        <x:v>上/去</x:v>
      </x:c>
      <x:c r="E3381" s="6" t="str">
        <x:v>nyoX (B); nyoH (C)</x:v>
      </x:c>
      <x:c r="F3381" s="6" t="str">
        <x:v>2</x:v>
      </x:c>
      <x:c r="G3381" s="6" t="str"/>
      <x:c r="H3381" s="6" t="str">
        <x:f>IF(B3381="平","平",IF(B3381="","","仄"))</x:f>
        <x:v>平</x:v>
      </x:c>
      <x:c r="I3381" s="6" t="str">
        <x:f>IF(D3367="","",IF(AND(ISNUMBER(SEARCH("平",D3367)),OR(ISNUMBER(SEARCH("上",D3367)),ISNUMBER(SEARCH("去",D3367)),ISNUMBER(SEARCH("入",D3367)))),"Ambiguous",IF(ISNUMBER(SEARCH("平",D3367)),"平","仄")))</x:f>
        <x:v>仄</x:v>
      </x:c>
      <x:c r="J3381" s="7" t="str"/>
    </x:row>
    <x:row r="3382">
      <x:c r="A3382" s="5" t="str">
        <x:v>荀</x:v>
      </x:c>
      <x:c r="B3382" s="6" t="str">
        <x:v>平</x:v>
      </x:c>
      <x:c r="C3382" s="6" t="str">
        <x:f>IF(B3382="","Needs decision","Ready")</x:f>
        <x:v>Ready</x:v>
      </x:c>
      <x:c r="D3382" s="6" t="str">
        <x:v>平</x:v>
      </x:c>
      <x:c r="E3382" s="6" t="str">
        <x:v>swin (A)</x:v>
      </x:c>
      <x:c r="F3382" s="6" t="str">
        <x:v>1</x:v>
      </x:c>
      <x:c r="G3382" s="6" t="str"/>
      <x:c r="H3382" s="6" t="str">
        <x:f>IF(B3382="平","平",IF(B3382="","","仄"))</x:f>
        <x:v>平</x:v>
      </x:c>
      <x:c r="I3382" s="6" t="str">
        <x:f>IF(D3368="","",IF(AND(ISNUMBER(SEARCH("平",D3368)),OR(ISNUMBER(SEARCH("上",D3368)),ISNUMBER(SEARCH("去",D3368)),ISNUMBER(SEARCH("入",D3368)))),"Ambiguous",IF(ISNUMBER(SEARCH("平",D3368)),"平","仄")))</x:f>
        <x:v>仄</x:v>
      </x:c>
      <x:c r="J3382" s="7" t="str"/>
    </x:row>
    <x:row r="3383">
      <x:c r="A3383" s="5" t="str">
        <x:v>荂</x:v>
      </x:c>
      <x:c r="B3383" s="6" t="str">
        <x:v>平</x:v>
      </x:c>
      <x:c r="C3383" s="6" t="str">
        <x:f>IF(B3383="","Needs decision","Ready")</x:f>
        <x:v>Ready</x:v>
      </x:c>
      <x:c r="D3383" s="6" t="str">
        <x:v>平</x:v>
      </x:c>
      <x:c r="E3383" s="6" t="str">
        <x:v>xju (A)</x:v>
      </x:c>
      <x:c r="F3383" s="6" t="str">
        <x:v>1</x:v>
      </x:c>
      <x:c r="G3383" s="6" t="str"/>
      <x:c r="H3383" s="6" t="str">
        <x:f>IF(B3383="平","平",IF(B3383="","","仄"))</x:f>
        <x:v>平</x:v>
      </x:c>
      <x:c r="I3383" s="6" t="str">
        <x:f>IF(D3369="","",IF(AND(ISNUMBER(SEARCH("平",D3369)),OR(ISNUMBER(SEARCH("上",D3369)),ISNUMBER(SEARCH("去",D3369)),ISNUMBER(SEARCH("入",D3369)))),"Ambiguous",IF(ISNUMBER(SEARCH("平",D3369)),"平","仄")))</x:f>
        <x:v>仄</x:v>
      </x:c>
      <x:c r="J3383" s="7" t="str"/>
    </x:row>
    <x:row r="3384">
      <x:c r="A3384" s="5" t="str">
        <x:v>荃</x:v>
      </x:c>
      <x:c r="B3384" s="6" t="str">
        <x:v>平</x:v>
      </x:c>
      <x:c r="C3384" s="6" t="str">
        <x:f>IF(B3384="","Needs decision","Ready")</x:f>
        <x:v>Ready</x:v>
      </x:c>
      <x:c r="D3384" s="6" t="str">
        <x:v>平</x:v>
      </x:c>
      <x:c r="E3384" s="6" t="str"/>
      <x:c r="F3384" s="6" t="str"/>
      <x:c r="G3384" s="6" t="str">
        <x:v>Manual user correction/addition</x:v>
      </x:c>
      <x:c r="H3384" s="6" t="str">
        <x:f>IF(B3384="平","平",IF(B3384="","","仄"))</x:f>
        <x:v>平</x:v>
      </x:c>
      <x:c r="I3384" s="6" t="str">
        <x:f>IF(D3370="","",IF(AND(ISNUMBER(SEARCH("平",D3370)),OR(ISNUMBER(SEARCH("上",D3370)),ISNUMBER(SEARCH("去",D3370)),ISNUMBER(SEARCH("入",D3370)))),"Ambiguous",IF(ISNUMBER(SEARCH("平",D3370)),"平","仄")))</x:f>
        <x:v>平</x:v>
      </x:c>
      <x:c r="J3384" s="7" t="str">
        <x:v>manual user correction</x:v>
      </x:c>
    </x:row>
    <x:row r="3385">
      <x:c r="A3385" s="5" t="str">
        <x:v>荅</x:v>
      </x:c>
      <x:c r="B3385" s="6" t="str">
        <x:v>入</x:v>
      </x:c>
      <x:c r="C3385" s="6" t="str">
        <x:f>IF(B3385="","Needs decision","Ready")</x:f>
        <x:v>Ready</x:v>
      </x:c>
      <x:c r="D3385" s="6" t="str">
        <x:v>入</x:v>
      </x:c>
      <x:c r="E3385" s="6" t="str">
        <x:v>top (D)</x:v>
      </x:c>
      <x:c r="F3385" s="6" t="str">
        <x:v>1</x:v>
      </x:c>
      <x:c r="G3385" s="6" t="str"/>
      <x:c r="H3385" s="6" t="str">
        <x:f>IF(B3385="平","平",IF(B3385="","","仄"))</x:f>
        <x:v>仄</x:v>
      </x:c>
      <x:c r="I3385" s="6" t="str">
        <x:f>IF(D3371="","",IF(AND(ISNUMBER(SEARCH("平",D3371)),OR(ISNUMBER(SEARCH("上",D3371)),ISNUMBER(SEARCH("去",D3371)),ISNUMBER(SEARCH("入",D3371)))),"Ambiguous",IF(ISNUMBER(SEARCH("平",D3371)),"平","仄")))</x:f>
        <x:v>仄</x:v>
      </x:c>
      <x:c r="J3385" s="7" t="str"/>
    </x:row>
    <x:row r="3386">
      <x:c r="A3386" s="5" t="str">
        <x:v>荇</x:v>
      </x:c>
      <x:c r="B3386" s="6" t="str">
        <x:v>上</x:v>
      </x:c>
      <x:c r="C3386" s="6" t="str">
        <x:f>IF(B3386="","Needs decision","Ready")</x:f>
        <x:v>Ready</x:v>
      </x:c>
      <x:c r="D3386" s="6" t="str">
        <x:v>上</x:v>
      </x:c>
      <x:c r="E3386" s="6" t="str">
        <x:v>haengX (B)</x:v>
      </x:c>
      <x:c r="F3386" s="6" t="str">
        <x:v>1</x:v>
      </x:c>
      <x:c r="G3386" s="6" t="str"/>
      <x:c r="H3386" s="6" t="str">
        <x:f>IF(B3386="平","平",IF(B3386="","","仄"))</x:f>
        <x:v>仄</x:v>
      </x:c>
      <x:c r="I3386" s="6" t="str">
        <x:f>IF(D3372="","",IF(AND(ISNUMBER(SEARCH("平",D3372)),OR(ISNUMBER(SEARCH("上",D3372)),ISNUMBER(SEARCH("去",D3372)),ISNUMBER(SEARCH("入",D3372)))),"Ambiguous",IF(ISNUMBER(SEARCH("平",D3372)),"平","仄")))</x:f>
        <x:v>平</x:v>
      </x:c>
      <x:c r="J3386" s="7" t="str"/>
    </x:row>
    <x:row r="3387">
      <x:c r="A3387" s="5" t="str">
        <x:v>草</x:v>
      </x:c>
      <x:c r="B3387" s="6" t="str">
        <x:v>上</x:v>
      </x:c>
      <x:c r="C3387" s="6" t="str">
        <x:f>IF(B3387="","Needs decision","Ready")</x:f>
        <x:v>Ready</x:v>
      </x:c>
      <x:c r="D3387" s="6" t="str">
        <x:v>上</x:v>
      </x:c>
      <x:c r="E3387" s="6" t="str">
        <x:v>tshawX (B)</x:v>
      </x:c>
      <x:c r="F3387" s="6" t="str">
        <x:v>1</x:v>
      </x:c>
      <x:c r="G3387" s="6" t="str"/>
      <x:c r="H3387" s="6" t="str">
        <x:f>IF(B3387="平","平",IF(B3387="","","仄"))</x:f>
        <x:v>仄</x:v>
      </x:c>
      <x:c r="I3387" s="6" t="str">
        <x:f>IF(D3373="","",IF(AND(ISNUMBER(SEARCH("平",D3373)),OR(ISNUMBER(SEARCH("上",D3373)),ISNUMBER(SEARCH("去",D3373)),ISNUMBER(SEARCH("入",D3373)))),"Ambiguous",IF(ISNUMBER(SEARCH("平",D3373)),"平","仄")))</x:f>
        <x:v>平</x:v>
      </x:c>
      <x:c r="J3387" s="7" t="str"/>
    </x:row>
    <x:row r="3388">
      <x:c r="A3388" s="5" t="str">
        <x:v>荊</x:v>
      </x:c>
      <x:c r="B3388" s="6" t="str">
        <x:v>平</x:v>
      </x:c>
      <x:c r="C3388" s="6" t="str">
        <x:f>IF(B3388="","Needs decision","Ready")</x:f>
        <x:v>Ready</x:v>
      </x:c>
      <x:c r="D3388" s="6" t="str">
        <x:v>平</x:v>
      </x:c>
      <x:c r="E3388" s="6" t="str">
        <x:v>kjaeng (A)</x:v>
      </x:c>
      <x:c r="F3388" s="6" t="str">
        <x:v>1</x:v>
      </x:c>
      <x:c r="G3388" s="6" t="str"/>
      <x:c r="H3388" s="6" t="str">
        <x:f>IF(B3388="平","平",IF(B3388="","","仄"))</x:f>
        <x:v>平</x:v>
      </x:c>
      <x:c r="I3388" s="6" t="str">
        <x:f>IF(D3374="","",IF(AND(ISNUMBER(SEARCH("平",D3374)),OR(ISNUMBER(SEARCH("上",D3374)),ISNUMBER(SEARCH("去",D3374)),ISNUMBER(SEARCH("入",D3374)))),"Ambiguous",IF(ISNUMBER(SEARCH("平",D3374)),"平","仄")))</x:f>
        <x:v>平</x:v>
      </x:c>
      <x:c r="J3388" s="7" t="str"/>
    </x:row>
    <x:row r="3389">
      <x:c r="A3389" s="5" t="str">
        <x:v>荏</x:v>
      </x:c>
      <x:c r="B3389" s="6" t="str">
        <x:v>上</x:v>
      </x:c>
      <x:c r="C3389" s="6" t="str">
        <x:f>IF(B3389="","Needs decision","Ready")</x:f>
        <x:v>Ready</x:v>
      </x:c>
      <x:c r="D3389" s="6" t="str">
        <x:v>上</x:v>
      </x:c>
      <x:c r="E3389" s="6" t="str">
        <x:v>nyimX (B)</x:v>
      </x:c>
      <x:c r="F3389" s="6" t="str">
        <x:v>1</x:v>
      </x:c>
      <x:c r="G3389" s="6" t="str"/>
      <x:c r="H3389" s="6" t="str">
        <x:f>IF(B3389="平","平",IF(B3389="","","仄"))</x:f>
        <x:v>仄</x:v>
      </x:c>
      <x:c r="I3389" s="6" t="str">
        <x:f>IF(D3375="","",IF(AND(ISNUMBER(SEARCH("平",D3375)),OR(ISNUMBER(SEARCH("上",D3375)),ISNUMBER(SEARCH("去",D3375)),ISNUMBER(SEARCH("入",D3375)))),"Ambiguous",IF(ISNUMBER(SEARCH("平",D3375)),"平","仄")))</x:f>
        <x:v>平</x:v>
      </x:c>
      <x:c r="J3389" s="7" t="str"/>
    </x:row>
    <x:row r="3390">
      <x:c r="A3390" s="5" t="str">
        <x:v>荐</x:v>
      </x:c>
      <x:c r="B3390" s="6" t="str">
        <x:v>去</x:v>
      </x:c>
      <x:c r="C3390" s="6" t="str">
        <x:f>IF(B3390="","Needs decision","Ready")</x:f>
        <x:v>Ready</x:v>
      </x:c>
      <x:c r="D3390" s="6" t="str">
        <x:v>去</x:v>
      </x:c>
      <x:c r="E3390" s="6" t="str">
        <x:v>dzenH (C)</x:v>
      </x:c>
      <x:c r="F3390" s="6" t="str">
        <x:v>1</x:v>
      </x:c>
      <x:c r="G3390" s="6" t="str"/>
      <x:c r="H3390" s="6" t="str">
        <x:f>IF(B3390="平","平",IF(B3390="","","仄"))</x:f>
        <x:v>仄</x:v>
      </x:c>
      <x:c r="I3390" s="6" t="str">
        <x:f>IF(D3376="","",IF(AND(ISNUMBER(SEARCH("平",D3376)),OR(ISNUMBER(SEARCH("上",D3376)),ISNUMBER(SEARCH("去",D3376)),ISNUMBER(SEARCH("入",D3376)))),"Ambiguous",IF(ISNUMBER(SEARCH("平",D3376)),"平","仄")))</x:f>
        <x:v>平</x:v>
      </x:c>
      <x:c r="J3390" s="7" t="str"/>
    </x:row>
    <x:row r="3391">
      <x:c r="A3391" s="5" t="str">
        <x:v>荑</x:v>
      </x:c>
      <x:c r="B3391" s="6" t="str">
        <x:v>平</x:v>
      </x:c>
      <x:c r="C3391" s="6" t="str">
        <x:f>IF(B3391="","Needs decision","Ready")</x:f>
        <x:v>Ready</x:v>
      </x:c>
      <x:c r="D3391" s="6" t="str">
        <x:v>平</x:v>
      </x:c>
      <x:c r="E3391" s="6" t="str">
        <x:v>dej (A)</x:v>
      </x:c>
      <x:c r="F3391" s="6" t="str">
        <x:v>1</x:v>
      </x:c>
      <x:c r="G3391" s="6" t="str"/>
      <x:c r="H3391" s="6" t="str">
        <x:f>IF(B3391="平","平",IF(B3391="","","仄"))</x:f>
        <x:v>平</x:v>
      </x:c>
      <x:c r="I3391" s="6" t="str">
        <x:f>IF(D3377="","",IF(AND(ISNUMBER(SEARCH("平",D3377)),OR(ISNUMBER(SEARCH("上",D3377)),ISNUMBER(SEARCH("去",D3377)),ISNUMBER(SEARCH("入",D3377)))),"Ambiguous",IF(ISNUMBER(SEARCH("平",D3377)),"平","仄")))</x:f>
        <x:v>平</x:v>
      </x:c>
      <x:c r="J3391" s="7" t="str"/>
    </x:row>
    <x:row r="3392">
      <x:c r="A3392" s="5" t="str">
        <x:v>荒</x:v>
      </x:c>
      <x:c r="B3392" s="6" t="str">
        <x:v>平</x:v>
      </x:c>
      <x:c r="C3392" s="6" t="str">
        <x:f>IF(B3392="","Needs decision","Ready")</x:f>
        <x:v>Ready</x:v>
      </x:c>
      <x:c r="D3392" s="6" t="str">
        <x:v>平</x:v>
      </x:c>
      <x:c r="E3392" s="6" t="str">
        <x:v>xwang (A)</x:v>
      </x:c>
      <x:c r="F3392" s="6" t="str">
        <x:v>1</x:v>
      </x:c>
      <x:c r="G3392" s="6" t="str"/>
      <x:c r="H3392" s="6" t="str">
        <x:f>IF(B3392="平","平",IF(B3392="","","仄"))</x:f>
        <x:v>平</x:v>
      </x:c>
      <x:c r="I3392" s="6" t="str">
        <x:f>IF(D3378="","",IF(AND(ISNUMBER(SEARCH("平",D3378)),OR(ISNUMBER(SEARCH("上",D3378)),ISNUMBER(SEARCH("去",D3378)),ISNUMBER(SEARCH("入",D3378)))),"Ambiguous",IF(ISNUMBER(SEARCH("平",D3378)),"平","仄")))</x:f>
        <x:v>平</x:v>
      </x:c>
      <x:c r="J3392" s="7" t="str"/>
    </x:row>
    <x:row r="3393">
      <x:c r="A3393" s="5" t="str">
        <x:v>荔</x:v>
      </x:c>
      <x:c r="B3393" s="6" t="str">
        <x:v>去</x:v>
      </x:c>
      <x:c r="C3393" s="6" t="str">
        <x:f>IF(B3393="","Needs decision","Ready")</x:f>
        <x:v>Ready</x:v>
      </x:c>
      <x:c r="D3393" s="6" t="str">
        <x:v>去</x:v>
      </x:c>
      <x:c r="E3393" s="6" t="str">
        <x:v>lejH (C)</x:v>
      </x:c>
      <x:c r="F3393" s="6" t="str">
        <x:v>1</x:v>
      </x:c>
      <x:c r="G3393" s="6" t="str"/>
      <x:c r="H3393" s="6" t="str">
        <x:f>IF(B3393="平","平",IF(B3393="","","仄"))</x:f>
        <x:v>仄</x:v>
      </x:c>
      <x:c r="I3393" s="6" t="str">
        <x:f>IF(D3379="","",IF(AND(ISNUMBER(SEARCH("平",D3379)),OR(ISNUMBER(SEARCH("上",D3379)),ISNUMBER(SEARCH("去",D3379)),ISNUMBER(SEARCH("入",D3379)))),"Ambiguous",IF(ISNUMBER(SEARCH("平",D3379)),"平","仄")))</x:f>
        <x:v>平</x:v>
      </x:c>
      <x:c r="J3393" s="7" t="str"/>
    </x:row>
    <x:row r="3394">
      <x:c r="A3394" s="5" t="str">
        <x:v>荷</x:v>
      </x:c>
      <x:c r="B3394" s="6" t="str"/>
      <x:c r="C3394" s="6" t="str">
        <x:f>IF(B3394="","Needs decision","Ready")</x:f>
        <x:v>Needs decision</x:v>
      </x:c>
      <x:c r="D3394" s="6" t="str">
        <x:v>平/上</x:v>
      </x:c>
      <x:c r="E3394" s="6" t="str">
        <x:v>ha (A); haX (B)</x:v>
      </x:c>
      <x:c r="F3394" s="6" t="str">
        <x:v>2</x:v>
      </x:c>
      <x:c r="G3394" s="6" t="str"/>
      <x:c r="H3394" s="6" t="str">
        <x:f>IF(B3394="平","平",IF(B3394="","","仄"))</x:f>
      </x:c>
      <x:c r="I3394" s="6" t="str">
        <x:f>IF(D3380="","",IF(AND(ISNUMBER(SEARCH("平",D3380)),OR(ISNUMBER(SEARCH("上",D3380)),ISNUMBER(SEARCH("去",D3380)),ISNUMBER(SEARCH("入",D3380)))),"Ambiguous",IF(ISNUMBER(SEARCH("平",D3380)),"平","仄")))</x:f>
        <x:v>仄</x:v>
      </x:c>
      <x:c r="J3394" s="7" t="str"/>
    </x:row>
    <x:row r="3395">
      <x:c r="A3395" s="5" t="str">
        <x:v>荻</x:v>
      </x:c>
      <x:c r="B3395" s="6" t="str">
        <x:v>入</x:v>
      </x:c>
      <x:c r="C3395" s="6" t="str">
        <x:f>IF(B3395="","Needs decision","Ready")</x:f>
        <x:v>Ready</x:v>
      </x:c>
      <x:c r="D3395" s="6" t="str">
        <x:v>入</x:v>
      </x:c>
      <x:c r="E3395" s="6" t="str">
        <x:v>dek [d̙ek] (入)</x:v>
      </x:c>
      <x:c r="F3395" s="6" t="str">
        <x:v>1</x:v>
      </x:c>
      <x:c r="G3395" s="6" t="str">
        <x:v>Tang 300 gap; frequency 2; provisional from Xun Gong</x:v>
      </x:c>
      <x:c r="H3395" s="6" t="str">
        <x:f>IF(B3395="平","平",IF(B3395="","","仄"))</x:f>
        <x:v>仄</x:v>
      </x:c>
      <x:c r="I3395" s="6" t="str">
        <x:f>IF(D3381="","",IF(AND(ISNUMBER(SEARCH("平",D3381)),OR(ISNUMBER(SEARCH("上",D3381)),ISNUMBER(SEARCH("去",D3381)),ISNUMBER(SEARCH("入",D3381)))),"Ambiguous",IF(ISNUMBER(SEARCH("平",D3381)),"平","仄")))</x:f>
        <x:v>仄</x:v>
      </x:c>
      <x:c r="J3395" s="7" t="str">
        <x:v>Xun Gong, Tang 300 gap fill</x:v>
      </x:c>
    </x:row>
    <x:row r="3396">
      <x:c r="A3396" s="5" t="str">
        <x:v>荼</x:v>
      </x:c>
      <x:c r="B3396" s="6" t="str">
        <x:v>平</x:v>
      </x:c>
      <x:c r="C3396" s="6" t="str">
        <x:f>IF(B3396="","Needs decision","Ready")</x:f>
        <x:v>Ready</x:v>
      </x:c>
      <x:c r="D3396" s="6" t="str">
        <x:v>平</x:v>
      </x:c>
      <x:c r="E3396" s="6" t="str">
        <x:v>drae (A)</x:v>
      </x:c>
      <x:c r="F3396" s="6" t="str">
        <x:v>1</x:v>
      </x:c>
      <x:c r="G3396" s="6" t="str"/>
      <x:c r="H3396" s="6" t="str">
        <x:f>IF(B3396="平","平",IF(B3396="","","仄"))</x:f>
        <x:v>平</x:v>
      </x:c>
      <x:c r="I3396" s="6" t="str">
        <x:f>IF(D3382="","",IF(AND(ISNUMBER(SEARCH("平",D3382)),OR(ISNUMBER(SEARCH("上",D3382)),ISNUMBER(SEARCH("去",D3382)),ISNUMBER(SEARCH("入",D3382)))),"Ambiguous",IF(ISNUMBER(SEARCH("平",D3382)),"平","仄")))</x:f>
        <x:v>平</x:v>
      </x:c>
      <x:c r="J3396" s="7" t="str"/>
    </x:row>
    <x:row r="3397">
      <x:c r="A3397" s="5" t="str">
        <x:v>莅</x:v>
      </x:c>
      <x:c r="B3397" s="6" t="str">
        <x:v>去</x:v>
      </x:c>
      <x:c r="C3397" s="6" t="str">
        <x:f>IF(B3397="","Needs decision","Ready")</x:f>
        <x:v>Ready</x:v>
      </x:c>
      <x:c r="D3397" s="6" t="str">
        <x:v>去</x:v>
      </x:c>
      <x:c r="E3397" s="6" t="str">
        <x:v>lijH [來開三脂去] lih</x:v>
      </x:c>
      <x:c r="F3397" s="6" t="str">
        <x:v>1</x:v>
      </x:c>
      <x:c r="G3397" s="6" t="str">
        <x:v>Targeted preliminary fill from Xun Gong; review if uncertain</x:v>
      </x:c>
      <x:c r="H3397" s="6" t="str">
        <x:f>IF(B3397="平","平",IF(B3397="","","仄"))</x:f>
        <x:v>仄</x:v>
      </x:c>
      <x:c r="I3397" s="6" t="str">
        <x:f>IF(D3383="","",IF(AND(ISNUMBER(SEARCH("平",D3383)),OR(ISNUMBER(SEARCH("上",D3383)),ISNUMBER(SEARCH("去",D3383)),ISNUMBER(SEARCH("入",D3383)))),"Ambiguous",IF(ISNUMBER(SEARCH("平",D3383)),"平","仄")))</x:f>
        <x:v>平</x:v>
      </x:c>
      <x:c r="J3397" s="7" t="str">
        <x:v>Xun Gong character-readings.csv</x:v>
      </x:c>
    </x:row>
    <x:row r="3398">
      <x:c r="A3398" s="5" t="str">
        <x:v>莊</x:v>
      </x:c>
      <x:c r="B3398" s="6" t="str">
        <x:v>平</x:v>
      </x:c>
      <x:c r="C3398" s="6" t="str">
        <x:f>IF(B3398="","Needs decision","Ready")</x:f>
        <x:v>Ready</x:v>
      </x:c>
      <x:c r="D3398" s="6" t="str">
        <x:v>平</x:v>
      </x:c>
      <x:c r="E3398" s="6" t="str">
        <x:v>tsrjang (A)</x:v>
      </x:c>
      <x:c r="F3398" s="6" t="str">
        <x:v>1</x:v>
      </x:c>
      <x:c r="G3398" s="6" t="str"/>
      <x:c r="H3398" s="6" t="str">
        <x:f>IF(B3398="平","平",IF(B3398="","","仄"))</x:f>
        <x:v>平</x:v>
      </x:c>
      <x:c r="I3398" s="6" t="str">
        <x:f>IF(D3384="","",IF(AND(ISNUMBER(SEARCH("平",D3384)),OR(ISNUMBER(SEARCH("上",D3384)),ISNUMBER(SEARCH("去",D3384)),ISNUMBER(SEARCH("入",D3384)))),"Ambiguous",IF(ISNUMBER(SEARCH("平",D3384)),"平","仄")))</x:f>
        <x:v>平</x:v>
      </x:c>
      <x:c r="J3398" s="7" t="str"/>
    </x:row>
    <x:row r="3399">
      <x:c r="A3399" s="5" t="str">
        <x:v>莒</x:v>
      </x:c>
      <x:c r="B3399" s="6" t="str">
        <x:v>上</x:v>
      </x:c>
      <x:c r="C3399" s="6" t="str">
        <x:f>IF(B3399="","Needs decision","Ready")</x:f>
        <x:v>Ready</x:v>
      </x:c>
      <x:c r="D3399" s="6" t="str">
        <x:v>上</x:v>
      </x:c>
      <x:c r="E3399" s="6" t="str">
        <x:v>kjoX (B)</x:v>
      </x:c>
      <x:c r="F3399" s="6" t="str">
        <x:v>1</x:v>
      </x:c>
      <x:c r="G3399" s="6" t="str"/>
      <x:c r="H3399" s="6" t="str">
        <x:f>IF(B3399="平","平",IF(B3399="","","仄"))</x:f>
        <x:v>仄</x:v>
      </x:c>
      <x:c r="I3399" s="6" t="str">
        <x:f>IF(D3385="","",IF(AND(ISNUMBER(SEARCH("平",D3385)),OR(ISNUMBER(SEARCH("上",D3385)),ISNUMBER(SEARCH("去",D3385)),ISNUMBER(SEARCH("入",D3385)))),"Ambiguous",IF(ISNUMBER(SEARCH("平",D3385)),"平","仄")))</x:f>
        <x:v>仄</x:v>
      </x:c>
      <x:c r="J3399" s="7" t="str"/>
    </x:row>
    <x:row r="3400">
      <x:c r="A3400" s="5" t="str">
        <x:v>莓</x:v>
      </x:c>
      <x:c r="B3400" s="6" t="str">
        <x:v>平</x:v>
      </x:c>
      <x:c r="C3400" s="6" t="str">
        <x:f>IF(B3400="","Needs decision","Ready")</x:f>
        <x:v>Ready</x:v>
      </x:c>
      <x:c r="D3400" s="6" t="str">
        <x:v>平/去</x:v>
      </x:c>
      <x:c r="E3400" s="6" t="str">
        <x:v>mjuwH [mɨ̯uh] (去); mwoj [m̙wəj] (平); mwojH [m̙wəjh] (去)</x:v>
      </x:c>
      <x:c r="F3400" s="6" t="str">
        <x:v>3</x:v>
      </x:c>
      <x:c r="G3400" s="6" t="str">
        <x:v>Tang 300 gap; frequency 1; ambiguous in Xun Gong</x:v>
      </x:c>
      <x:c r="H3400" s="6" t="str">
        <x:f>IF(B3400="平","平",IF(B3400="","","仄"))</x:f>
        <x:v>平</x:v>
      </x:c>
      <x:c r="I3400" s="6" t="str">
        <x:f>IF(D3386="","",IF(AND(ISNUMBER(SEARCH("平",D3386)),OR(ISNUMBER(SEARCH("上",D3386)),ISNUMBER(SEARCH("去",D3386)),ISNUMBER(SEARCH("入",D3386)))),"Ambiguous",IF(ISNUMBER(SEARCH("平",D3386)),"平","仄")))</x:f>
        <x:v>仄</x:v>
      </x:c>
      <x:c r="J3400" s="7" t="str">
        <x:v>Xun Gong, Tang 300 gap fill</x:v>
      </x:c>
    </x:row>
    <x:row r="3401">
      <x:c r="A3401" s="5" t="str">
        <x:v>莖</x:v>
      </x:c>
      <x:c r="B3401" s="6" t="str">
        <x:v>平</x:v>
      </x:c>
      <x:c r="C3401" s="6" t="str">
        <x:f>IF(B3401="","Needs decision","Ready")</x:f>
        <x:v>Ready</x:v>
      </x:c>
      <x:c r="D3401" s="6" t="str">
        <x:v>平</x:v>
      </x:c>
      <x:c r="E3401" s="6" t="str">
        <x:v>heang (A)</x:v>
      </x:c>
      <x:c r="F3401" s="6" t="str">
        <x:v>1</x:v>
      </x:c>
      <x:c r="G3401" s="6" t="str"/>
      <x:c r="H3401" s="6" t="str">
        <x:f>IF(B3401="平","平",IF(B3401="","","仄"))</x:f>
        <x:v>平</x:v>
      </x:c>
      <x:c r="I3401" s="6" t="str">
        <x:f>IF(D3387="","",IF(AND(ISNUMBER(SEARCH("平",D3387)),OR(ISNUMBER(SEARCH("上",D3387)),ISNUMBER(SEARCH("去",D3387)),ISNUMBER(SEARCH("入",D3387)))),"Ambiguous",IF(ISNUMBER(SEARCH("平",D3387)),"平","仄")))</x:f>
        <x:v>仄</x:v>
      </x:c>
      <x:c r="J3401" s="7" t="str"/>
    </x:row>
    <x:row r="3402">
      <x:c r="A3402" s="5" t="str">
        <x:v>莘</x:v>
      </x:c>
      <x:c r="B3402" s="6" t="str">
        <x:v>平</x:v>
      </x:c>
      <x:c r="C3402" s="6" t="str">
        <x:f>IF(B3402="","Needs decision","Ready")</x:f>
        <x:v>Ready</x:v>
      </x:c>
      <x:c r="D3402" s="6" t="str">
        <x:v>平</x:v>
      </x:c>
      <x:c r="E3402" s="6" t="str">
        <x:v>srin (A)</x:v>
      </x:c>
      <x:c r="F3402" s="6" t="str">
        <x:v>1</x:v>
      </x:c>
      <x:c r="G3402" s="6" t="str"/>
      <x:c r="H3402" s="6" t="str">
        <x:f>IF(B3402="平","平",IF(B3402="","","仄"))</x:f>
        <x:v>平</x:v>
      </x:c>
      <x:c r="I3402" s="6" t="str">
        <x:f>IF(D3388="","",IF(AND(ISNUMBER(SEARCH("平",D3388)),OR(ISNUMBER(SEARCH("上",D3388)),ISNUMBER(SEARCH("去",D3388)),ISNUMBER(SEARCH("入",D3388)))),"Ambiguous",IF(ISNUMBER(SEARCH("平",D3388)),"平","仄")))</x:f>
        <x:v>平</x:v>
      </x:c>
      <x:c r="J3402" s="7" t="str"/>
    </x:row>
    <x:row r="3403">
      <x:c r="A3403" s="5" t="str">
        <x:v>莠</x:v>
      </x:c>
      <x:c r="B3403" s="6" t="str">
        <x:v>上</x:v>
      </x:c>
      <x:c r="C3403" s="6" t="str">
        <x:f>IF(B3403="","Needs decision","Ready")</x:f>
        <x:v>Ready</x:v>
      </x:c>
      <x:c r="D3403" s="6" t="str">
        <x:v>上</x:v>
      </x:c>
      <x:c r="E3403" s="6" t="str">
        <x:v>yuwX (B)</x:v>
      </x:c>
      <x:c r="F3403" s="6" t="str">
        <x:v>1</x:v>
      </x:c>
      <x:c r="G3403" s="6" t="str"/>
      <x:c r="H3403" s="6" t="str">
        <x:f>IF(B3403="平","平",IF(B3403="","","仄"))</x:f>
        <x:v>仄</x:v>
      </x:c>
      <x:c r="I3403" s="6" t="str">
        <x:f>IF(D3389="","",IF(AND(ISNUMBER(SEARCH("平",D3389)),OR(ISNUMBER(SEARCH("上",D3389)),ISNUMBER(SEARCH("去",D3389)),ISNUMBER(SEARCH("入",D3389)))),"Ambiguous",IF(ISNUMBER(SEARCH("平",D3389)),"平","仄")))</x:f>
        <x:v>仄</x:v>
      </x:c>
      <x:c r="J3403" s="7" t="str"/>
    </x:row>
    <x:row r="3404">
      <x:c r="A3404" s="5" t="str">
        <x:v>莫</x:v>
      </x:c>
      <x:c r="B3404" s="6" t="str">
        <x:v>入</x:v>
      </x:c>
      <x:c r="C3404" s="6" t="str">
        <x:f>IF(B3404="","Needs decision","Ready")</x:f>
        <x:v>Ready</x:v>
      </x:c>
      <x:c r="D3404" s="6" t="str">
        <x:v>入</x:v>
      </x:c>
      <x:c r="E3404" s="6" t="str">
        <x:v>mak (D)</x:v>
      </x:c>
      <x:c r="F3404" s="6" t="str">
        <x:v>1</x:v>
      </x:c>
      <x:c r="G3404" s="6" t="str"/>
      <x:c r="H3404" s="6" t="str">
        <x:f>IF(B3404="平","平",IF(B3404="","","仄"))</x:f>
        <x:v>仄</x:v>
      </x:c>
      <x:c r="I3404" s="6" t="str">
        <x:f>IF(D3390="","",IF(AND(ISNUMBER(SEARCH("平",D3390)),OR(ISNUMBER(SEARCH("上",D3390)),ISNUMBER(SEARCH("去",D3390)),ISNUMBER(SEARCH("入",D3390)))),"Ambiguous",IF(ISNUMBER(SEARCH("平",D3390)),"平","仄")))</x:f>
        <x:v>仄</x:v>
      </x:c>
      <x:c r="J3404" s="7" t="str"/>
    </x:row>
    <x:row r="3405">
      <x:c r="A3405" s="5" t="str">
        <x:v>莽</x:v>
      </x:c>
      <x:c r="B3405" s="6" t="str">
        <x:v>去</x:v>
      </x:c>
      <x:c r="C3405" s="6" t="str">
        <x:f>IF(B3405="","Needs decision","Ready")</x:f>
        <x:v>Ready</x:v>
      </x:c>
      <x:c r="D3405" s="6" t="str">
        <x:v>去</x:v>
      </x:c>
      <x:c r="E3405" s="6" t="str"/>
      <x:c r="F3405" s="6" t="str"/>
      <x:c r="G3405" s="6" t="str">
        <x:v>Manual user correction/addition</x:v>
      </x:c>
      <x:c r="H3405" s="6" t="str">
        <x:f>IF(B3405="平","平",IF(B3405="","","仄"))</x:f>
        <x:v>仄</x:v>
      </x:c>
      <x:c r="I3405" s="6" t="str">
        <x:f>IF(D3391="","",IF(AND(ISNUMBER(SEARCH("平",D3391)),OR(ISNUMBER(SEARCH("上",D3391)),ISNUMBER(SEARCH("去",D3391)),ISNUMBER(SEARCH("入",D3391)))),"Ambiguous",IF(ISNUMBER(SEARCH("平",D3391)),"平","仄")))</x:f>
        <x:v>平</x:v>
      </x:c>
      <x:c r="J3405" s="7" t="str">
        <x:v>manual user correction</x:v>
      </x:c>
    </x:row>
    <x:row r="3406">
      <x:c r="A3406" s="5" t="str">
        <x:v>菇</x:v>
      </x:c>
      <x:c r="B3406" s="6" t="str">
        <x:v>平</x:v>
      </x:c>
      <x:c r="C3406" s="6" t="str">
        <x:f>IF(B3406="","Needs decision","Ready")</x:f>
        <x:v>Ready</x:v>
      </x:c>
      <x:c r="D3406" s="6" t="str">
        <x:v>平</x:v>
      </x:c>
      <x:c r="E3406" s="6" t="str">
        <x:v>ku (A)</x:v>
      </x:c>
      <x:c r="F3406" s="6" t="str">
        <x:v>1</x:v>
      </x:c>
      <x:c r="G3406" s="6" t="str"/>
      <x:c r="H3406" s="6" t="str">
        <x:f>IF(B3406="平","平",IF(B3406="","","仄"))</x:f>
        <x:v>平</x:v>
      </x:c>
      <x:c r="I3406" s="6" t="str">
        <x:f>IF(D3392="","",IF(AND(ISNUMBER(SEARCH("平",D3392)),OR(ISNUMBER(SEARCH("上",D3392)),ISNUMBER(SEARCH("去",D3392)),ISNUMBER(SEARCH("入",D3392)))),"Ambiguous",IF(ISNUMBER(SEARCH("平",D3392)),"平","仄")))</x:f>
        <x:v>平</x:v>
      </x:c>
      <x:c r="J3406" s="7" t="str"/>
    </x:row>
    <x:row r="3407">
      <x:c r="A3407" s="5" t="str">
        <x:v>菉</x:v>
      </x:c>
      <x:c r="B3407" s="6" t="str">
        <x:v>入</x:v>
      </x:c>
      <x:c r="C3407" s="6" t="str">
        <x:f>IF(B3407="","Needs decision","Ready")</x:f>
        <x:v>Ready</x:v>
      </x:c>
      <x:c r="D3407" s="6" t="str">
        <x:v>入</x:v>
      </x:c>
      <x:c r="E3407" s="6" t="str">
        <x:v>ljowk (D)</x:v>
      </x:c>
      <x:c r="F3407" s="6" t="str">
        <x:v>1</x:v>
      </x:c>
      <x:c r="G3407" s="6" t="str"/>
      <x:c r="H3407" s="6" t="str">
        <x:f>IF(B3407="平","平",IF(B3407="","","仄"))</x:f>
        <x:v>仄</x:v>
      </x:c>
      <x:c r="I3407" s="6" t="str">
        <x:f>IF(D3393="","",IF(AND(ISNUMBER(SEARCH("平",D3393)),OR(ISNUMBER(SEARCH("上",D3393)),ISNUMBER(SEARCH("去",D3393)),ISNUMBER(SEARCH("入",D3393)))),"Ambiguous",IF(ISNUMBER(SEARCH("平",D3393)),"平","仄")))</x:f>
        <x:v>仄</x:v>
      </x:c>
      <x:c r="J3407" s="7" t="str"/>
    </x:row>
    <x:row r="3408">
      <x:c r="A3408" s="5" t="str">
        <x:v>菊</x:v>
      </x:c>
      <x:c r="B3408" s="6" t="str">
        <x:v>入</x:v>
      </x:c>
      <x:c r="C3408" s="6" t="str">
        <x:f>IF(B3408="","Needs decision","Ready")</x:f>
        <x:v>Ready</x:v>
      </x:c>
      <x:c r="D3408" s="6" t="str">
        <x:v>入</x:v>
      </x:c>
      <x:c r="E3408" s="6" t="str">
        <x:v>kjuwk [kɨ̯uk] (入)</x:v>
      </x:c>
      <x:c r="F3408" s="6" t="str">
        <x:v>1</x:v>
      </x:c>
      <x:c r="G3408" s="6" t="str">
        <x:v>Tang 300 gap; frequency 3; provisional from Xun Gong</x:v>
      </x:c>
      <x:c r="H3408" s="6" t="str">
        <x:f>IF(B3408="平","平",IF(B3408="","","仄"))</x:f>
        <x:v>仄</x:v>
      </x:c>
      <x:c r="I3408" s="6" t="str">
        <x:f>IF(D3394="","",IF(AND(ISNUMBER(SEARCH("平",D3394)),OR(ISNUMBER(SEARCH("上",D3394)),ISNUMBER(SEARCH("去",D3394)),ISNUMBER(SEARCH("入",D3394)))),"Ambiguous",IF(ISNUMBER(SEARCH("平",D3394)),"平","仄")))</x:f>
        <x:v>Ambiguous</x:v>
      </x:c>
      <x:c r="J3408" s="7" t="str">
        <x:v>Xun Gong, Tang 300 gap fill</x:v>
      </x:c>
    </x:row>
    <x:row r="3409">
      <x:c r="A3409" s="5" t="str">
        <x:v>菌</x:v>
      </x:c>
      <x:c r="B3409" s="6" t="str">
        <x:v>上</x:v>
      </x:c>
      <x:c r="C3409" s="6" t="str">
        <x:f>IF(B3409="","Needs decision","Ready")</x:f>
        <x:v>Ready</x:v>
      </x:c>
      <x:c r="D3409" s="6" t="str">
        <x:v>上</x:v>
      </x:c>
      <x:c r="E3409" s="6" t="str">
        <x:v>gwinX (B)</x:v>
      </x:c>
      <x:c r="F3409" s="6" t="str">
        <x:v>1</x:v>
      </x:c>
      <x:c r="G3409" s="6" t="str"/>
      <x:c r="H3409" s="6" t="str">
        <x:f>IF(B3409="平","平",IF(B3409="","","仄"))</x:f>
        <x:v>仄</x:v>
      </x:c>
      <x:c r="I3409" s="6" t="str">
        <x:f>IF(D3395="","",IF(AND(ISNUMBER(SEARCH("平",D3395)),OR(ISNUMBER(SEARCH("上",D3395)),ISNUMBER(SEARCH("去",D3395)),ISNUMBER(SEARCH("入",D3395)))),"Ambiguous",IF(ISNUMBER(SEARCH("平",D3395)),"平","仄")))</x:f>
        <x:v>仄</x:v>
      </x:c>
      <x:c r="J3409" s="7" t="str"/>
    </x:row>
    <x:row r="3410">
      <x:c r="A3410" s="5" t="str">
        <x:v>菑</x:v>
      </x:c>
      <x:c r="B3410" s="6" t="str">
        <x:v>平</x:v>
      </x:c>
      <x:c r="C3410" s="6" t="str">
        <x:f>IF(B3410="","Needs decision","Ready")</x:f>
        <x:v>Ready</x:v>
      </x:c>
      <x:c r="D3410" s="6" t="str">
        <x:v>平</x:v>
      </x:c>
      <x:c r="E3410" s="6" t="str">
        <x:v>tsoj [t̙s̙əj] (平); tsri [tʂɨ] (平)</x:v>
      </x:c>
      <x:c r="F3410" s="6" t="str">
        <x:v>2</x:v>
      </x:c>
      <x:c r="G3410" s="6" t="str">
        <x:v>Tang 300 gap; frequency 1; provisional from Xun Gong</x:v>
      </x:c>
      <x:c r="H3410" s="6" t="str">
        <x:f>IF(B3410="平","平",IF(B3410="","","仄"))</x:f>
        <x:v>平</x:v>
      </x:c>
      <x:c r="I3410" s="6" t="str">
        <x:f>IF(D3396="","",IF(AND(ISNUMBER(SEARCH("平",D3396)),OR(ISNUMBER(SEARCH("上",D3396)),ISNUMBER(SEARCH("去",D3396)),ISNUMBER(SEARCH("入",D3396)))),"Ambiguous",IF(ISNUMBER(SEARCH("平",D3396)),"平","仄")))</x:f>
        <x:v>平</x:v>
      </x:c>
      <x:c r="J3410" s="7" t="str">
        <x:v>Xun Gong, Tang 300 gap fill</x:v>
      </x:c>
    </x:row>
    <x:row r="3411">
      <x:c r="A3411" s="5" t="str">
        <x:v>菖</x:v>
      </x:c>
      <x:c r="B3411" s="6" t="str">
        <x:v>平</x:v>
      </x:c>
      <x:c r="C3411" s="6" t="str">
        <x:f>IF(B3411="","Needs decision","Ready")</x:f>
        <x:v>Ready</x:v>
      </x:c>
      <x:c r="D3411" s="6" t="str">
        <x:v>平</x:v>
      </x:c>
      <x:c r="E3411" s="6" t="str"/>
      <x:c r="F3411" s="6" t="str"/>
      <x:c r="G3411" s="6" t="str">
        <x:v>Manual user correction/addition</x:v>
      </x:c>
      <x:c r="H3411" s="6" t="str">
        <x:f>IF(B3411="平","平",IF(B3411="","","仄"))</x:f>
        <x:v>平</x:v>
      </x:c>
      <x:c r="I3411" s="6" t="str">
        <x:f>IF(D3397="","",IF(AND(ISNUMBER(SEARCH("平",D3397)),OR(ISNUMBER(SEARCH("上",D3397)),ISNUMBER(SEARCH("去",D3397)),ISNUMBER(SEARCH("入",D3397)))),"Ambiguous",IF(ISNUMBER(SEARCH("平",D3397)),"平","仄")))</x:f>
        <x:v>仄</x:v>
      </x:c>
      <x:c r="J3411" s="7" t="str">
        <x:v>manual user correction</x:v>
      </x:c>
    </x:row>
    <x:row r="3412">
      <x:c r="A3412" s="5" t="str">
        <x:v>菜</x:v>
      </x:c>
      <x:c r="B3412" s="6" t="str">
        <x:v>去</x:v>
      </x:c>
      <x:c r="C3412" s="6" t="str">
        <x:f>IF(B3412="","Needs decision","Ready")</x:f>
        <x:v>Ready</x:v>
      </x:c>
      <x:c r="D3412" s="6" t="str">
        <x:v>去</x:v>
      </x:c>
      <x:c r="E3412" s="6" t="str">
        <x:v>tshojH (C)</x:v>
      </x:c>
      <x:c r="F3412" s="6" t="str">
        <x:v>1</x:v>
      </x:c>
      <x:c r="G3412" s="6" t="str"/>
      <x:c r="H3412" s="6" t="str">
        <x:f>IF(B3412="平","平",IF(B3412="","","仄"))</x:f>
        <x:v>仄</x:v>
      </x:c>
      <x:c r="I3412" s="6" t="str">
        <x:f>IF(D3398="","",IF(AND(ISNUMBER(SEARCH("平",D3398)),OR(ISNUMBER(SEARCH("上",D3398)),ISNUMBER(SEARCH("去",D3398)),ISNUMBER(SEARCH("入",D3398)))),"Ambiguous",IF(ISNUMBER(SEARCH("平",D3398)),"平","仄")))</x:f>
        <x:v>平</x:v>
      </x:c>
      <x:c r="J3412" s="7" t="str"/>
    </x:row>
    <x:row r="3413">
      <x:c r="A3413" s="5" t="str">
        <x:v>菡</x:v>
      </x:c>
      <x:c r="B3413" s="6" t="str">
        <x:v>上</x:v>
      </x:c>
      <x:c r="C3413" s="6" t="str">
        <x:f>IF(B3413="","Needs decision","Ready")</x:f>
        <x:v>Ready</x:v>
      </x:c>
      <x:c r="D3413" s="6" t="str">
        <x:v>上</x:v>
      </x:c>
      <x:c r="E3413" s="6" t="str">
        <x:v>homX [ʁəmʔ] (上)</x:v>
      </x:c>
      <x:c r="F3413" s="6" t="str">
        <x:v>1</x:v>
      </x:c>
      <x:c r="G3413" s="6" t="str">
        <x:v>Tang 300 gap; frequency 1; provisional from Xun Gong</x:v>
      </x:c>
      <x:c r="H3413" s="6" t="str">
        <x:f>IF(B3413="平","平",IF(B3413="","","仄"))</x:f>
        <x:v>仄</x:v>
      </x:c>
      <x:c r="I3413" s="6" t="str">
        <x:f>IF(D3399="","",IF(AND(ISNUMBER(SEARCH("平",D3399)),OR(ISNUMBER(SEARCH("上",D3399)),ISNUMBER(SEARCH("去",D3399)),ISNUMBER(SEARCH("入",D3399)))),"Ambiguous",IF(ISNUMBER(SEARCH("平",D3399)),"平","仄")))</x:f>
        <x:v>仄</x:v>
      </x:c>
      <x:c r="J3413" s="7" t="str">
        <x:v>Xun Gong, Tang 300 gap fill</x:v>
      </x:c>
    </x:row>
    <x:row r="3414">
      <x:c r="A3414" s="5" t="str">
        <x:v>菩</x:v>
      </x:c>
      <x:c r="B3414" s="6" t="str"/>
      <x:c r="C3414" s="6" t="str">
        <x:f>IF(B3414="","Needs decision","Ready")</x:f>
        <x:v>Needs decision</x:v>
      </x:c>
      <x:c r="D3414" s="6" t="str">
        <x:v>上/入/平</x:v>
      </x:c>
      <x:c r="E3414" s="6" t="str">
        <x:v>bwojX [並一灰上] b̙wəjʔ; bok [並一登入] b̙ək; bu [並一模平] b̙o; bjuwX [並三C尤上] bɨ̯uʔ</x:v>
      </x:c>
      <x:c r="F3414" s="6" t="str">
        <x:v>4</x:v>
      </x:c>
      <x:c r="G3414" s="6" t="str">
        <x:v>Targeted preliminary fill from Xun Gong; review if uncertain</x:v>
      </x:c>
      <x:c r="H3414" s="6" t="str">
        <x:f>IF(B3414="平","平",IF(B3414="","","仄"))</x:f>
      </x:c>
      <x:c r="I3414" s="6" t="str">
        <x:f>IF(D3400="","",IF(AND(ISNUMBER(SEARCH("平",D3400)),OR(ISNUMBER(SEARCH("上",D3400)),ISNUMBER(SEARCH("去",D3400)),ISNUMBER(SEARCH("入",D3400)))),"Ambiguous",IF(ISNUMBER(SEARCH("平",D3400)),"平","仄")))</x:f>
        <x:v>Ambiguous</x:v>
      </x:c>
      <x:c r="J3414" s="7" t="str">
        <x:v>Xun Gong character-readings.csv</x:v>
      </x:c>
    </x:row>
    <x:row r="3415">
      <x:c r="A3415" s="5" t="str">
        <x:v>華</x:v>
      </x:c>
      <x:c r="B3415" s="6" t="str">
        <x:v>平</x:v>
      </x:c>
      <x:c r="C3415" s="6" t="str">
        <x:f>IF(B3415="","Needs decision","Ready")</x:f>
        <x:v>Ready</x:v>
      </x:c>
      <x:c r="D3415" s="6" t="str">
        <x:v>平/去</x:v>
      </x:c>
      <x:c r="E3415" s="6" t="str">
        <x:v>xwae (A); hwae (A); hwaeH (C)</x:v>
      </x:c>
      <x:c r="F3415" s="6" t="str">
        <x:v>3</x:v>
      </x:c>
      <x:c r="G3415" s="6" t="str">
        <x:v>User workbook edit 2026-09-03</x:v>
      </x:c>
      <x:c r="H3415" s="6" t="str">
        <x:f>IF(B3415="平","平",IF(B3415="","","仄"))</x:f>
        <x:v>平</x:v>
      </x:c>
      <x:c r="I3415" s="6" t="str">
        <x:f>IF(D3401="","",IF(AND(ISNUMBER(SEARCH("平",D3401)),OR(ISNUMBER(SEARCH("上",D3401)),ISNUMBER(SEARCH("去",D3401)),ISNUMBER(SEARCH("入",D3401)))),"Ambiguous",IF(ISNUMBER(SEARCH("平",D3401)),"平","仄")))</x:f>
        <x:v>平</x:v>
      </x:c>
      <x:c r="J3415" s="7" t="str">
        <x:v>manual user correction</x:v>
      </x:c>
    </x:row>
    <x:row r="3416">
      <x:c r="A3416" s="5" t="str">
        <x:v>菱</x:v>
      </x:c>
      <x:c r="B3416" s="6" t="str">
        <x:v>平</x:v>
      </x:c>
      <x:c r="C3416" s="6" t="str">
        <x:f>IF(B3416="","Needs decision","Ready")</x:f>
        <x:v>Ready</x:v>
      </x:c>
      <x:c r="D3416" s="6" t="str">
        <x:v>平</x:v>
      </x:c>
      <x:c r="E3416" s="6" t="str">
        <x:v>ling [ljɨŋ] (平)</x:v>
      </x:c>
      <x:c r="F3416" s="6" t="str">
        <x:v>1</x:v>
      </x:c>
      <x:c r="G3416" s="6" t="str">
        <x:v>Tang 300 gap; frequency 2; provisional from Xun Gong</x:v>
      </x:c>
      <x:c r="H3416" s="6" t="str">
        <x:f>IF(B3416="平","平",IF(B3416="","","仄"))</x:f>
        <x:v>平</x:v>
      </x:c>
      <x:c r="I3416" s="6" t="str">
        <x:f>IF(D3402="","",IF(AND(ISNUMBER(SEARCH("平",D3402)),OR(ISNUMBER(SEARCH("上",D3402)),ISNUMBER(SEARCH("去",D3402)),ISNUMBER(SEARCH("入",D3402)))),"Ambiguous",IF(ISNUMBER(SEARCH("平",D3402)),"平","仄")))</x:f>
        <x:v>平</x:v>
      </x:c>
      <x:c r="J3416" s="7" t="str">
        <x:v>Xun Gong, Tang 300 gap fill</x:v>
      </x:c>
    </x:row>
    <x:row r="3417">
      <x:c r="A3417" s="5" t="str">
        <x:v>菲</x:v>
      </x:c>
      <x:c r="B3417" s="6" t="str"/>
      <x:c r="C3417" s="6" t="str">
        <x:f>IF(B3417="","Needs decision","Ready")</x:f>
        <x:v>Needs decision</x:v>
      </x:c>
      <x:c r="D3417" s="6" t="str">
        <x:v>去/上/平</x:v>
      </x:c>
      <x:c r="E3417" s="6" t="str">
        <x:v>bj+jH [並三C微去] bwɨjh; phj+jX [滂三C微上] pʰwɨjʔ; phj+j [滂三C微平] pʰwɨj</x:v>
      </x:c>
      <x:c r="F3417" s="6" t="str">
        <x:v>3</x:v>
      </x:c>
      <x:c r="G3417" s="6" t="str">
        <x:v>Targeted preliminary fill from Xun Gong; review if uncertain</x:v>
      </x:c>
      <x:c r="H3417" s="6" t="str">
        <x:f>IF(B3417="平","平",IF(B3417="","","仄"))</x:f>
      </x:c>
      <x:c r="I3417" s="6" t="str">
        <x:f>IF(D3403="","",IF(AND(ISNUMBER(SEARCH("平",D3403)),OR(ISNUMBER(SEARCH("上",D3403)),ISNUMBER(SEARCH("去",D3403)),ISNUMBER(SEARCH("入",D3403)))),"Ambiguous",IF(ISNUMBER(SEARCH("平",D3403)),"平","仄")))</x:f>
        <x:v>仄</x:v>
      </x:c>
      <x:c r="J3417" s="7" t="str">
        <x:v>Xun Gong character-readings.csv</x:v>
      </x:c>
    </x:row>
    <x:row r="3418">
      <x:c r="A3418" s="5" t="str">
        <x:v>菽</x:v>
      </x:c>
      <x:c r="B3418" s="6" t="str">
        <x:v>入</x:v>
      </x:c>
      <x:c r="C3418" s="6" t="str">
        <x:f>IF(B3418="","Needs decision","Ready")</x:f>
        <x:v>Ready</x:v>
      </x:c>
      <x:c r="D3418" s="6" t="str">
        <x:v>入</x:v>
      </x:c>
      <x:c r="E3418" s="6" t="str">
        <x:v>syuwk (D)</x:v>
      </x:c>
      <x:c r="F3418" s="6" t="str">
        <x:v>1</x:v>
      </x:c>
      <x:c r="G3418" s="6" t="str"/>
      <x:c r="H3418" s="6" t="str">
        <x:f>IF(B3418="平","平",IF(B3418="","","仄"))</x:f>
        <x:v>仄</x:v>
      </x:c>
      <x:c r="I3418" s="6" t="str">
        <x:f>IF(D3404="","",IF(AND(ISNUMBER(SEARCH("平",D3404)),OR(ISNUMBER(SEARCH("上",D3404)),ISNUMBER(SEARCH("去",D3404)),ISNUMBER(SEARCH("入",D3404)))),"Ambiguous",IF(ISNUMBER(SEARCH("平",D3404)),"平","仄")))</x:f>
        <x:v>仄</x:v>
      </x:c>
      <x:c r="J3418" s="7" t="str"/>
    </x:row>
    <x:row r="3419">
      <x:c r="A3419" s="5" t="str">
        <x:v>萃</x:v>
      </x:c>
      <x:c r="B3419" s="6" t="str">
        <x:v>去</x:v>
      </x:c>
      <x:c r="C3419" s="6" t="str">
        <x:f>IF(B3419="","Needs decision","Ready")</x:f>
        <x:v>Ready</x:v>
      </x:c>
      <x:c r="D3419" s="6" t="str">
        <x:v>去</x:v>
      </x:c>
      <x:c r="E3419" s="6" t="str">
        <x:v>dzwijH (C)</x:v>
      </x:c>
      <x:c r="F3419" s="6" t="str">
        <x:v>1</x:v>
      </x:c>
      <x:c r="G3419" s="6" t="str"/>
      <x:c r="H3419" s="6" t="str">
        <x:f>IF(B3419="平","平",IF(B3419="","","仄"))</x:f>
        <x:v>仄</x:v>
      </x:c>
      <x:c r="I3419" s="6" t="str">
        <x:f>IF(D3405="","",IF(AND(ISNUMBER(SEARCH("平",D3405)),OR(ISNUMBER(SEARCH("上",D3405)),ISNUMBER(SEARCH("去",D3405)),ISNUMBER(SEARCH("入",D3405)))),"Ambiguous",IF(ISNUMBER(SEARCH("平",D3405)),"平","仄")))</x:f>
        <x:v>仄</x:v>
      </x:c>
      <x:c r="J3419" s="7" t="str"/>
    </x:row>
    <x:row r="3420">
      <x:c r="A3420" s="5" t="str">
        <x:v>萄</x:v>
      </x:c>
      <x:c r="B3420" s="6" t="str">
        <x:v>平</x:v>
      </x:c>
      <x:c r="C3420" s="6" t="str">
        <x:f>IF(B3420="","Needs decision","Ready")</x:f>
        <x:v>Ready</x:v>
      </x:c>
      <x:c r="D3420" s="6" t="str">
        <x:v>平</x:v>
      </x:c>
      <x:c r="E3420" s="6" t="str">
        <x:v>daw [d̙əw] (平)</x:v>
      </x:c>
      <x:c r="F3420" s="6" t="str">
        <x:v>1</x:v>
      </x:c>
      <x:c r="G3420" s="6" t="str">
        <x:v>Tang 300 gap; frequency 2; provisional from Xun Gong</x:v>
      </x:c>
      <x:c r="H3420" s="6" t="str">
        <x:f>IF(B3420="平","平",IF(B3420="","","仄"))</x:f>
        <x:v>平</x:v>
      </x:c>
      <x:c r="I3420" s="6" t="str">
        <x:f>IF(D3406="","",IF(AND(ISNUMBER(SEARCH("平",D3406)),OR(ISNUMBER(SEARCH("上",D3406)),ISNUMBER(SEARCH("去",D3406)),ISNUMBER(SEARCH("入",D3406)))),"Ambiguous",IF(ISNUMBER(SEARCH("平",D3406)),"平","仄")))</x:f>
        <x:v>平</x:v>
      </x:c>
      <x:c r="J3420" s="7" t="str">
        <x:v>Xun Gong, Tang 300 gap fill</x:v>
      </x:c>
    </x:row>
    <x:row r="3421">
      <x:c r="A3421" s="5" t="str">
        <x:v>萊</x:v>
      </x:c>
      <x:c r="B3421" s="6" t="str">
        <x:v>平</x:v>
      </x:c>
      <x:c r="C3421" s="6" t="str">
        <x:f>IF(B3421="","Needs decision","Ready")</x:f>
        <x:v>Ready</x:v>
      </x:c>
      <x:c r="D3421" s="6" t="str">
        <x:v>平/去</x:v>
      </x:c>
      <x:c r="E3421" s="6" t="str">
        <x:v>loj [l̙əj] (平); lojH [l̙əjh] (去)</x:v>
      </x:c>
      <x:c r="F3421" s="6" t="str">
        <x:v>2</x:v>
      </x:c>
      <x:c r="G3421" s="6" t="str">
        <x:v>Tang 300 gap; frequency 3; ambiguous in Xun Gong</x:v>
      </x:c>
      <x:c r="H3421" s="6" t="str">
        <x:f>IF(B3421="平","平",IF(B3421="","","仄"))</x:f>
        <x:v>平</x:v>
      </x:c>
      <x:c r="I3421" s="6" t="str">
        <x:f>IF(D3407="","",IF(AND(ISNUMBER(SEARCH("平",D3407)),OR(ISNUMBER(SEARCH("上",D3407)),ISNUMBER(SEARCH("去",D3407)),ISNUMBER(SEARCH("入",D3407)))),"Ambiguous",IF(ISNUMBER(SEARCH("平",D3407)),"平","仄")))</x:f>
        <x:v>仄</x:v>
      </x:c>
      <x:c r="J3421" s="7" t="str">
        <x:v>Xun Gong, Tang 300 gap fill</x:v>
      </x:c>
    </x:row>
    <x:row r="3422">
      <x:c r="A3422" s="5" t="str">
        <x:v>萋</x:v>
      </x:c>
      <x:c r="B3422" s="6" t="str">
        <x:v>平</x:v>
      </x:c>
      <x:c r="C3422" s="6" t="str">
        <x:f>IF(B3422="","Needs decision","Ready")</x:f>
        <x:v>Ready</x:v>
      </x:c>
      <x:c r="D3422" s="6" t="str">
        <x:v>平</x:v>
      </x:c>
      <x:c r="E3422" s="6" t="str">
        <x:v>tshej (A)</x:v>
      </x:c>
      <x:c r="F3422" s="6" t="str">
        <x:v>1</x:v>
      </x:c>
      <x:c r="G3422" s="6" t="str"/>
      <x:c r="H3422" s="6" t="str">
        <x:f>IF(B3422="平","平",IF(B3422="","","仄"))</x:f>
        <x:v>平</x:v>
      </x:c>
      <x:c r="I3422" s="6" t="str">
        <x:f>IF(D3408="","",IF(AND(ISNUMBER(SEARCH("平",D3408)),OR(ISNUMBER(SEARCH("上",D3408)),ISNUMBER(SEARCH("去",D3408)),ISNUMBER(SEARCH("入",D3408)))),"Ambiguous",IF(ISNUMBER(SEARCH("平",D3408)),"平","仄")))</x:f>
        <x:v>仄</x:v>
      </x:c>
      <x:c r="J3422" s="7" t="str"/>
    </x:row>
    <x:row r="3423">
      <x:c r="A3423" s="5" t="str">
        <x:v>萍</x:v>
      </x:c>
      <x:c r="B3423" s="6" t="str">
        <x:v>平</x:v>
      </x:c>
      <x:c r="C3423" s="6" t="str">
        <x:f>IF(B3423="","Needs decision","Ready")</x:f>
        <x:v>Ready</x:v>
      </x:c>
      <x:c r="D3423" s="6" t="str">
        <x:v>平</x:v>
      </x:c>
      <x:c r="E3423" s="6" t="str"/>
      <x:c r="F3423" s="6" t="str"/>
      <x:c r="G3423" s="6" t="str">
        <x:v>Manual user correction/addition</x:v>
      </x:c>
      <x:c r="H3423" s="6" t="str">
        <x:f>IF(B3423="平","平",IF(B3423="","","仄"))</x:f>
        <x:v>平</x:v>
      </x:c>
      <x:c r="I3423" s="6" t="str">
        <x:f>IF(D3409="","",IF(AND(ISNUMBER(SEARCH("平",D3409)),OR(ISNUMBER(SEARCH("上",D3409)),ISNUMBER(SEARCH("去",D3409)),ISNUMBER(SEARCH("入",D3409)))),"Ambiguous",IF(ISNUMBER(SEARCH("平",D3409)),"平","仄")))</x:f>
        <x:v>仄</x:v>
      </x:c>
      <x:c r="J3423" s="7" t="str">
        <x:v>manual user correction</x:v>
      </x:c>
    </x:row>
    <x:row r="3424">
      <x:c r="A3424" s="5" t="str">
        <x:v>萏</x:v>
      </x:c>
      <x:c r="B3424" s="6" t="str">
        <x:v>上</x:v>
      </x:c>
      <x:c r="C3424" s="6" t="str">
        <x:f>IF(B3424="","Needs decision","Ready")</x:f>
        <x:v>Ready</x:v>
      </x:c>
      <x:c r="D3424" s="6" t="str">
        <x:v>上</x:v>
      </x:c>
      <x:c r="E3424" s="6" t="str">
        <x:v>domX (B)</x:v>
      </x:c>
      <x:c r="F3424" s="6" t="str">
        <x:v>1</x:v>
      </x:c>
      <x:c r="G3424" s="6" t="str"/>
      <x:c r="H3424" s="6" t="str">
        <x:f>IF(B3424="平","平",IF(B3424="","","仄"))</x:f>
        <x:v>仄</x:v>
      </x:c>
      <x:c r="I3424" s="6" t="str">
        <x:f>IF(D3410="","",IF(AND(ISNUMBER(SEARCH("平",D3410)),OR(ISNUMBER(SEARCH("上",D3410)),ISNUMBER(SEARCH("去",D3410)),ISNUMBER(SEARCH("入",D3410)))),"Ambiguous",IF(ISNUMBER(SEARCH("平",D3410)),"平","仄")))</x:f>
        <x:v>平</x:v>
      </x:c>
      <x:c r="J3424" s="7" t="str"/>
    </x:row>
    <x:row r="3425">
      <x:c r="A3425" s="5" t="str">
        <x:v>萬</x:v>
      </x:c>
      <x:c r="B3425" s="6" t="str">
        <x:v>去</x:v>
      </x:c>
      <x:c r="C3425" s="6" t="str">
        <x:f>IF(B3425="","Needs decision","Ready")</x:f>
        <x:v>Ready</x:v>
      </x:c>
      <x:c r="D3425" s="6" t="str">
        <x:v>去</x:v>
      </x:c>
      <x:c r="E3425" s="6" t="str">
        <x:v>mjonH (C)</x:v>
      </x:c>
      <x:c r="F3425" s="6" t="str">
        <x:v>1</x:v>
      </x:c>
      <x:c r="G3425" s="6" t="str"/>
      <x:c r="H3425" s="6" t="str">
        <x:f>IF(B3425="平","平",IF(B3425="","","仄"))</x:f>
        <x:v>仄</x:v>
      </x:c>
      <x:c r="I3425" s="6" t="str">
        <x:f>IF(D3411="","",IF(AND(ISNUMBER(SEARCH("平",D3411)),OR(ISNUMBER(SEARCH("上",D3411)),ISNUMBER(SEARCH("去",D3411)),ISNUMBER(SEARCH("入",D3411)))),"Ambiguous",IF(ISNUMBER(SEARCH("平",D3411)),"平","仄")))</x:f>
        <x:v>平</x:v>
      </x:c>
      <x:c r="J3425" s="7" t="str"/>
    </x:row>
    <x:row r="3426">
      <x:c r="A3426" s="5" t="str">
        <x:v>萸</x:v>
      </x:c>
      <x:c r="B3426" s="6" t="str">
        <x:v>平</x:v>
      </x:c>
      <x:c r="C3426" s="6" t="str">
        <x:f>IF(B3426="","Needs decision","Ready")</x:f>
        <x:v>Ready</x:v>
      </x:c>
      <x:c r="D3426" s="6" t="str">
        <x:v>平</x:v>
      </x:c>
      <x:c r="E3426" s="6" t="str">
        <x:v>yu [jo] (平)</x:v>
      </x:c>
      <x:c r="F3426" s="6" t="str">
        <x:v>1</x:v>
      </x:c>
      <x:c r="G3426" s="6" t="str">
        <x:v>Tang 300 gap; frequency 1; provisional from Xun Gong</x:v>
      </x:c>
      <x:c r="H3426" s="6" t="str">
        <x:f>IF(B3426="平","平",IF(B3426="","","仄"))</x:f>
        <x:v>平</x:v>
      </x:c>
      <x:c r="I3426" s="6" t="str">
        <x:f>IF(D3412="","",IF(AND(ISNUMBER(SEARCH("平",D3412)),OR(ISNUMBER(SEARCH("上",D3412)),ISNUMBER(SEARCH("去",D3412)),ISNUMBER(SEARCH("入",D3412)))),"Ambiguous",IF(ISNUMBER(SEARCH("平",D3412)),"平","仄")))</x:f>
        <x:v>仄</x:v>
      </x:c>
      <x:c r="J3426" s="7" t="str">
        <x:v>Xun Gong, Tang 300 gap fill</x:v>
      </x:c>
    </x:row>
    <x:row r="3427">
      <x:c r="A3427" s="5" t="str">
        <x:v>萼</x:v>
      </x:c>
      <x:c r="B3427" s="6" t="str">
        <x:v>入</x:v>
      </x:c>
      <x:c r="C3427" s="6" t="str">
        <x:f>IF(B3427="","Needs decision","Ready")</x:f>
        <x:v>Ready</x:v>
      </x:c>
      <x:c r="D3427" s="6" t="str">
        <x:v>入</x:v>
      </x:c>
      <x:c r="E3427" s="6" t="str">
        <x:v>ngak [疑開一唐入] ɴɑk</x:v>
      </x:c>
      <x:c r="F3427" s="6" t="str">
        <x:v>1</x:v>
      </x:c>
      <x:c r="G3427" s="6" t="str">
        <x:v>Targeted preliminary fill from Xun Gong; review if uncertain</x:v>
      </x:c>
      <x:c r="H3427" s="6" t="str">
        <x:f>IF(B3427="平","平",IF(B3427="","","仄"))</x:f>
        <x:v>仄</x:v>
      </x:c>
      <x:c r="I3427" s="6" t="str">
        <x:f>IF(D3413="","",IF(AND(ISNUMBER(SEARCH("平",D3413)),OR(ISNUMBER(SEARCH("上",D3413)),ISNUMBER(SEARCH("去",D3413)),ISNUMBER(SEARCH("入",D3413)))),"Ambiguous",IF(ISNUMBER(SEARCH("平",D3413)),"平","仄")))</x:f>
        <x:v>仄</x:v>
      </x:c>
      <x:c r="J3427" s="7" t="str">
        <x:v>Xun Gong character-readings.csv</x:v>
      </x:c>
    </x:row>
    <x:row r="3428">
      <x:c r="A3428" s="5" t="str">
        <x:v>落</x:v>
      </x:c>
      <x:c r="B3428" s="6" t="str">
        <x:v>入</x:v>
      </x:c>
      <x:c r="C3428" s="6" t="str">
        <x:f>IF(B3428="","Needs decision","Ready")</x:f>
        <x:v>Ready</x:v>
      </x:c>
      <x:c r="D3428" s="6" t="str">
        <x:v>入</x:v>
      </x:c>
      <x:c r="E3428" s="6" t="str">
        <x:v>lak (D)</x:v>
      </x:c>
      <x:c r="F3428" s="6" t="str">
        <x:v>1</x:v>
      </x:c>
      <x:c r="G3428" s="6" t="str"/>
      <x:c r="H3428" s="6" t="str">
        <x:f>IF(B3428="平","平",IF(B3428="","","仄"))</x:f>
        <x:v>仄</x:v>
      </x:c>
      <x:c r="I3428" s="6" t="str">
        <x:f>IF(D3414="","",IF(AND(ISNUMBER(SEARCH("平",D3414)),OR(ISNUMBER(SEARCH("上",D3414)),ISNUMBER(SEARCH("去",D3414)),ISNUMBER(SEARCH("入",D3414)))),"Ambiguous",IF(ISNUMBER(SEARCH("平",D3414)),"平","仄")))</x:f>
        <x:v>Ambiguous</x:v>
      </x:c>
      <x:c r="J3428" s="7" t="str"/>
    </x:row>
    <x:row r="3429">
      <x:c r="A3429" s="5" t="str">
        <x:v>葉</x:v>
      </x:c>
      <x:c r="B3429" s="6" t="str">
        <x:v>入</x:v>
      </x:c>
      <x:c r="C3429" s="6" t="str">
        <x:f>IF(B3429="","Needs decision","Ready")</x:f>
        <x:v>Ready</x:v>
      </x:c>
      <x:c r="D3429" s="6" t="str">
        <x:v>入</x:v>
      </x:c>
      <x:c r="E3429" s="6" t="str">
        <x:v>yep (D)</x:v>
      </x:c>
      <x:c r="F3429" s="6" t="str">
        <x:v>1</x:v>
      </x:c>
      <x:c r="G3429" s="6" t="str"/>
      <x:c r="H3429" s="6" t="str">
        <x:f>IF(B3429="平","平",IF(B3429="","","仄"))</x:f>
        <x:v>仄</x:v>
      </x:c>
      <x:c r="I3429" s="6" t="str">
        <x:f>IF(D3415="","",IF(AND(ISNUMBER(SEARCH("平",D3415)),OR(ISNUMBER(SEARCH("上",D3415)),ISNUMBER(SEARCH("去",D3415)),ISNUMBER(SEARCH("入",D3415)))),"Ambiguous",IF(ISNUMBER(SEARCH("平",D3415)),"平","仄")))</x:f>
        <x:v>Ambiguous</x:v>
      </x:c>
      <x:c r="J3429" s="7" t="str"/>
    </x:row>
    <x:row r="3430">
      <x:c r="A3430" s="5" t="str">
        <x:v>著</x:v>
      </x:c>
      <x:c r="B3430" s="6" t="str"/>
      <x:c r="C3430" s="6" t="str">
        <x:f>IF(B3430="","Needs decision","Ready")</x:f>
        <x:v>Needs decision</x:v>
      </x:c>
      <x:c r="D3430" s="6" t="str">
        <x:v>去/入</x:v>
      </x:c>
      <x:c r="E3430" s="6" t="str">
        <x:v>trjoH (C); drjak (D); trjak (D)</x:v>
      </x:c>
      <x:c r="F3430" s="6" t="str">
        <x:v>3</x:v>
      </x:c>
      <x:c r="G3430" s="6" t="str"/>
      <x:c r="H3430" s="6" t="str">
        <x:f>IF(B3430="平","平",IF(B3430="","","仄"))</x:f>
      </x:c>
      <x:c r="I3430" s="6" t="str">
        <x:f>IF(D3416="","",IF(AND(ISNUMBER(SEARCH("平",D3416)),OR(ISNUMBER(SEARCH("上",D3416)),ISNUMBER(SEARCH("去",D3416)),ISNUMBER(SEARCH("入",D3416)))),"Ambiguous",IF(ISNUMBER(SEARCH("平",D3416)),"平","仄")))</x:f>
        <x:v>平</x:v>
      </x:c>
      <x:c r="J3430" s="7" t="str"/>
    </x:row>
    <x:row r="3431">
      <x:c r="A3431" s="5" t="str">
        <x:v>葚</x:v>
      </x:c>
      <x:c r="B3431" s="6" t="str">
        <x:v>上</x:v>
      </x:c>
      <x:c r="C3431" s="6" t="str">
        <x:f>IF(B3431="","Needs decision","Ready")</x:f>
        <x:v>Ready</x:v>
      </x:c>
      <x:c r="D3431" s="6" t="str">
        <x:v>上</x:v>
      </x:c>
      <x:c r="E3431" s="6" t="str">
        <x:v>zyimX (B)</x:v>
      </x:c>
      <x:c r="F3431" s="6" t="str">
        <x:v>1</x:v>
      </x:c>
      <x:c r="G3431" s="6" t="str"/>
      <x:c r="H3431" s="6" t="str">
        <x:f>IF(B3431="平","平",IF(B3431="","","仄"))</x:f>
        <x:v>仄</x:v>
      </x:c>
      <x:c r="I3431" s="6" t="str">
        <x:f>IF(D3417="","",IF(AND(ISNUMBER(SEARCH("平",D3417)),OR(ISNUMBER(SEARCH("上",D3417)),ISNUMBER(SEARCH("去",D3417)),ISNUMBER(SEARCH("入",D3417)))),"Ambiguous",IF(ISNUMBER(SEARCH("平",D3417)),"平","仄")))</x:f>
        <x:v>Ambiguous</x:v>
      </x:c>
      <x:c r="J3431" s="7" t="str"/>
    </x:row>
    <x:row r="3432">
      <x:c r="A3432" s="5" t="str">
        <x:v>葛</x:v>
      </x:c>
      <x:c r="B3432" s="6" t="str">
        <x:v>入</x:v>
      </x:c>
      <x:c r="C3432" s="6" t="str">
        <x:f>IF(B3432="","Needs decision","Ready")</x:f>
        <x:v>Ready</x:v>
      </x:c>
      <x:c r="D3432" s="6" t="str">
        <x:v>入</x:v>
      </x:c>
      <x:c r="E3432" s="6" t="str">
        <x:v>kat (D)</x:v>
      </x:c>
      <x:c r="F3432" s="6" t="str">
        <x:v>1</x:v>
      </x:c>
      <x:c r="G3432" s="6" t="str"/>
      <x:c r="H3432" s="6" t="str">
        <x:f>IF(B3432="平","平",IF(B3432="","","仄"))</x:f>
        <x:v>仄</x:v>
      </x:c>
      <x:c r="I3432" s="6" t="str">
        <x:f>IF(D3418="","",IF(AND(ISNUMBER(SEARCH("平",D3418)),OR(ISNUMBER(SEARCH("上",D3418)),ISNUMBER(SEARCH("去",D3418)),ISNUMBER(SEARCH("入",D3418)))),"Ambiguous",IF(ISNUMBER(SEARCH("平",D3418)),"平","仄")))</x:f>
        <x:v>仄</x:v>
      </x:c>
      <x:c r="J3432" s="7" t="str"/>
    </x:row>
    <x:row r="3433">
      <x:c r="A3433" s="5" t="str">
        <x:v>葢</x:v>
      </x:c>
      <x:c r="B3433" s="6" t="str">
        <x:v>入</x:v>
      </x:c>
      <x:c r="C3433" s="6" t="str">
        <x:f>IF(B3433="","Needs decision","Ready")</x:f>
        <x:v>Ready</x:v>
      </x:c>
      <x:c r="D3433" s="6" t="str">
        <x:v>入</x:v>
      </x:c>
      <x:c r="E3433" s="6" t="str"/>
      <x:c r="F3433" s="6" t="str"/>
      <x:c r="G3433" s="6" t="str">
        <x:v>Manual user correction/addition</x:v>
      </x:c>
      <x:c r="H3433" s="6" t="str">
        <x:f>IF(B3433="平","平",IF(B3433="","","仄"))</x:f>
        <x:v>仄</x:v>
      </x:c>
      <x:c r="I3433" s="6" t="str">
        <x:f>IF(D3419="","",IF(AND(ISNUMBER(SEARCH("平",D3419)),OR(ISNUMBER(SEARCH("上",D3419)),ISNUMBER(SEARCH("去",D3419)),ISNUMBER(SEARCH("入",D3419)))),"Ambiguous",IF(ISNUMBER(SEARCH("平",D3419)),"平","仄")))</x:f>
        <x:v>仄</x:v>
      </x:c>
      <x:c r="J3433" s="7" t="str">
        <x:v>manual user correction</x:v>
      </x:c>
    </x:row>
    <x:row r="3434">
      <x:c r="A3434" s="5" t="str">
        <x:v>董</x:v>
      </x:c>
      <x:c r="B3434" s="6" t="str">
        <x:v>上</x:v>
      </x:c>
      <x:c r="C3434" s="6" t="str">
        <x:f>IF(B3434="","Needs decision","Ready")</x:f>
        <x:v>Ready</x:v>
      </x:c>
      <x:c r="D3434" s="6" t="str">
        <x:v>上</x:v>
      </x:c>
      <x:c r="E3434" s="6" t="str">
        <x:v>tuwngX [t̙uŋʔ] (上)</x:v>
      </x:c>
      <x:c r="F3434" s="6" t="str">
        <x:v>1</x:v>
      </x:c>
      <x:c r="G3434" s="6" t="str">
        <x:v>Tang 300 gap; frequency 1; provisional from Xun Gong</x:v>
      </x:c>
      <x:c r="H3434" s="6" t="str">
        <x:f>IF(B3434="平","平",IF(B3434="","","仄"))</x:f>
        <x:v>仄</x:v>
      </x:c>
      <x:c r="I3434" s="6" t="str">
        <x:f>IF(D3420="","",IF(AND(ISNUMBER(SEARCH("平",D3420)),OR(ISNUMBER(SEARCH("上",D3420)),ISNUMBER(SEARCH("去",D3420)),ISNUMBER(SEARCH("入",D3420)))),"Ambiguous",IF(ISNUMBER(SEARCH("平",D3420)),"平","仄")))</x:f>
        <x:v>平</x:v>
      </x:c>
      <x:c r="J3434" s="7" t="str">
        <x:v>Xun Gong, Tang 300 gap fill</x:v>
      </x:c>
    </x:row>
    <x:row r="3435">
      <x:c r="A3435" s="5" t="str">
        <x:v>葦</x:v>
      </x:c>
      <x:c r="B3435" s="6" t="str">
        <x:v>上</x:v>
      </x:c>
      <x:c r="C3435" s="6" t="str">
        <x:f>IF(B3435="","Needs decision","Ready")</x:f>
        <x:v>Ready</x:v>
      </x:c>
      <x:c r="D3435" s="6" t="str">
        <x:v>上</x:v>
      </x:c>
      <x:c r="E3435" s="6" t="str">
        <x:v>hjw+jX [wɨjʔ] (上)</x:v>
      </x:c>
      <x:c r="F3435" s="6" t="str">
        <x:v>1</x:v>
      </x:c>
      <x:c r="G3435" s="6" t="str">
        <x:v>Tang 300 gap; frequency 1; provisional from Xun Gong</x:v>
      </x:c>
      <x:c r="H3435" s="6" t="str">
        <x:f>IF(B3435="平","平",IF(B3435="","","仄"))</x:f>
        <x:v>仄</x:v>
      </x:c>
      <x:c r="I3435" s="6" t="str">
        <x:f>IF(D3421="","",IF(AND(ISNUMBER(SEARCH("平",D3421)),OR(ISNUMBER(SEARCH("上",D3421)),ISNUMBER(SEARCH("去",D3421)),ISNUMBER(SEARCH("入",D3421)))),"Ambiguous",IF(ISNUMBER(SEARCH("平",D3421)),"平","仄")))</x:f>
        <x:v>Ambiguous</x:v>
      </x:c>
      <x:c r="J3435" s="7" t="str">
        <x:v>Xun Gong, Tang 300 gap fill</x:v>
      </x:c>
    </x:row>
    <x:row r="3436">
      <x:c r="A3436" s="5" t="str">
        <x:v>葫</x:v>
      </x:c>
      <x:c r="B3436" s="6" t="str">
        <x:v>平</x:v>
      </x:c>
      <x:c r="C3436" s="6" t="str">
        <x:f>IF(B3436="","Needs decision","Ready")</x:f>
        <x:v>Ready</x:v>
      </x:c>
      <x:c r="D3436" s="6" t="str">
        <x:v>平</x:v>
      </x:c>
      <x:c r="E3436" s="6" t="str">
        <x:v>hu (A)</x:v>
      </x:c>
      <x:c r="F3436" s="6" t="str">
        <x:v>1</x:v>
      </x:c>
      <x:c r="G3436" s="6" t="str"/>
      <x:c r="H3436" s="6" t="str">
        <x:f>IF(B3436="平","平",IF(B3436="","","仄"))</x:f>
        <x:v>平</x:v>
      </x:c>
      <x:c r="I3436" s="6" t="str">
        <x:f>IF(D3422="","",IF(AND(ISNUMBER(SEARCH("平",D3422)),OR(ISNUMBER(SEARCH("上",D3422)),ISNUMBER(SEARCH("去",D3422)),ISNUMBER(SEARCH("入",D3422)))),"Ambiguous",IF(ISNUMBER(SEARCH("平",D3422)),"平","仄")))</x:f>
        <x:v>平</x:v>
      </x:c>
      <x:c r="J3436" s="7" t="str"/>
    </x:row>
    <x:row r="3437">
      <x:c r="A3437" s="5" t="str">
        <x:v>葬</x:v>
      </x:c>
      <x:c r="B3437" s="6" t="str">
        <x:v>去</x:v>
      </x:c>
      <x:c r="C3437" s="6" t="str">
        <x:f>IF(B3437="","Needs decision","Ready")</x:f>
        <x:v>Ready</x:v>
      </x:c>
      <x:c r="D3437" s="6" t="str">
        <x:v>去</x:v>
      </x:c>
      <x:c r="E3437" s="6" t="str">
        <x:v>tsangH (C)</x:v>
      </x:c>
      <x:c r="F3437" s="6" t="str">
        <x:v>1</x:v>
      </x:c>
      <x:c r="G3437" s="6" t="str"/>
      <x:c r="H3437" s="6" t="str">
        <x:f>IF(B3437="平","平",IF(B3437="","","仄"))</x:f>
        <x:v>仄</x:v>
      </x:c>
      <x:c r="I3437" s="6" t="str">
        <x:f>IF(D3423="","",IF(AND(ISNUMBER(SEARCH("平",D3423)),OR(ISNUMBER(SEARCH("上",D3423)),ISNUMBER(SEARCH("去",D3423)),ISNUMBER(SEARCH("入",D3423)))),"Ambiguous",IF(ISNUMBER(SEARCH("平",D3423)),"平","仄")))</x:f>
        <x:v>平</x:v>
      </x:c>
      <x:c r="J3437" s="7" t="str"/>
    </x:row>
    <x:row r="3438">
      <x:c r="A3438" s="5" t="str">
        <x:v>葭</x:v>
      </x:c>
      <x:c r="B3438" s="6" t="str">
        <x:v>平</x:v>
      </x:c>
      <x:c r="C3438" s="6" t="str">
        <x:f>IF(B3438="","Needs decision","Ready")</x:f>
        <x:v>Ready</x:v>
      </x:c>
      <x:c r="D3438" s="6" t="str">
        <x:v>平</x:v>
      </x:c>
      <x:c r="E3438" s="6" t="str">
        <x:v>kae [qaˤ] (平)</x:v>
      </x:c>
      <x:c r="F3438" s="6" t="str">
        <x:v>1</x:v>
      </x:c>
      <x:c r="G3438" s="6" t="str">
        <x:v>Tang 300 gap; frequency 1; provisional from Xun Gong</x:v>
      </x:c>
      <x:c r="H3438" s="6" t="str">
        <x:f>IF(B3438="平","平",IF(B3438="","","仄"))</x:f>
        <x:v>平</x:v>
      </x:c>
      <x:c r="I3438" s="6" t="str">
        <x:f>IF(D3424="","",IF(AND(ISNUMBER(SEARCH("平",D3424)),OR(ISNUMBER(SEARCH("上",D3424)),ISNUMBER(SEARCH("去",D3424)),ISNUMBER(SEARCH("入",D3424)))),"Ambiguous",IF(ISNUMBER(SEARCH("平",D3424)),"平","仄")))</x:f>
        <x:v>仄</x:v>
      </x:c>
      <x:c r="J3438" s="7" t="str">
        <x:v>Xun Gong, Tang 300 gap fill</x:v>
      </x:c>
    </x:row>
    <x:row r="3439">
      <x:c r="A3439" s="5" t="str">
        <x:v>葯</x:v>
      </x:c>
      <x:c r="B3439" s="6" t="str">
        <x:v>入</x:v>
      </x:c>
      <x:c r="C3439" s="6" t="str">
        <x:f>IF(B3439="","Needs decision","Ready")</x:f>
        <x:v>Ready</x:v>
      </x:c>
      <x:c r="D3439" s="6" t="str">
        <x:v>入</x:v>
      </x:c>
      <x:c r="E3439" s="6" t="str">
        <x:v>'aewk (D); 'jak (D)</x:v>
      </x:c>
      <x:c r="F3439" s="6" t="str">
        <x:v>2</x:v>
      </x:c>
      <x:c r="G3439" s="6" t="str"/>
      <x:c r="H3439" s="6" t="str">
        <x:f>IF(B3439="平","平",IF(B3439="","","仄"))</x:f>
        <x:v>仄</x:v>
      </x:c>
      <x:c r="I3439" s="6" t="str">
        <x:f>IF(D3425="","",IF(AND(ISNUMBER(SEARCH("平",D3425)),OR(ISNUMBER(SEARCH("上",D3425)),ISNUMBER(SEARCH("去",D3425)),ISNUMBER(SEARCH("入",D3425)))),"Ambiguous",IF(ISNUMBER(SEARCH("平",D3425)),"平","仄")))</x:f>
        <x:v>仄</x:v>
      </x:c>
      <x:c r="J3439" s="7" t="str"/>
    </x:row>
    <x:row r="3440">
      <x:c r="A3440" s="5" t="str">
        <x:v>葳</x:v>
      </x:c>
      <x:c r="B3440" s="6" t="str">
        <x:v>平</x:v>
      </x:c>
      <x:c r="C3440" s="6" t="str">
        <x:f>IF(B3440="","Needs decision","Ready")</x:f>
        <x:v>Ready</x:v>
      </x:c>
      <x:c r="D3440" s="6" t="str">
        <x:v>平</x:v>
      </x:c>
      <x:c r="E3440" s="6" t="str">
        <x:v>'jw+j [ʔwɨj] (平)</x:v>
      </x:c>
      <x:c r="F3440" s="6" t="str">
        <x:v>1</x:v>
      </x:c>
      <x:c r="G3440" s="6" t="str">
        <x:v>Tang 300 gap; frequency 1; provisional from Xun Gong</x:v>
      </x:c>
      <x:c r="H3440" s="6" t="str">
        <x:f>IF(B3440="平","平",IF(B3440="","","仄"))</x:f>
        <x:v>平</x:v>
      </x:c>
      <x:c r="I3440" s="6" t="str">
        <x:f>IF(D3426="","",IF(AND(ISNUMBER(SEARCH("平",D3426)),OR(ISNUMBER(SEARCH("上",D3426)),ISNUMBER(SEARCH("去",D3426)),ISNUMBER(SEARCH("入",D3426)))),"Ambiguous",IF(ISNUMBER(SEARCH("平",D3426)),"平","仄")))</x:f>
        <x:v>平</x:v>
      </x:c>
      <x:c r="J3440" s="7" t="str">
        <x:v>Xun Gong, Tang 300 gap fill</x:v>
      </x:c>
    </x:row>
    <x:row r="3441">
      <x:c r="A3441" s="5" t="str">
        <x:v>葵</x:v>
      </x:c>
      <x:c r="B3441" s="6" t="str">
        <x:v>平</x:v>
      </x:c>
      <x:c r="C3441" s="6" t="str">
        <x:f>IF(B3441="","Needs decision","Ready")</x:f>
        <x:v>Ready</x:v>
      </x:c>
      <x:c r="D3441" s="6" t="str">
        <x:v>平</x:v>
      </x:c>
      <x:c r="E3441" s="6" t="str">
        <x:v>gjwij (A)</x:v>
      </x:c>
      <x:c r="F3441" s="6" t="str">
        <x:v>1</x:v>
      </x:c>
      <x:c r="G3441" s="6" t="str"/>
      <x:c r="H3441" s="6" t="str">
        <x:f>IF(B3441="平","平",IF(B3441="","","仄"))</x:f>
        <x:v>平</x:v>
      </x:c>
      <x:c r="I3441" s="6" t="str">
        <x:f>IF(D3427="","",IF(AND(ISNUMBER(SEARCH("平",D3427)),OR(ISNUMBER(SEARCH("上",D3427)),ISNUMBER(SEARCH("去",D3427)),ISNUMBER(SEARCH("入",D3427)))),"Ambiguous",IF(ISNUMBER(SEARCH("平",D3427)),"平","仄")))</x:f>
        <x:v>仄</x:v>
      </x:c>
      <x:c r="J3441" s="7" t="str"/>
    </x:row>
    <x:row r="3442">
      <x:c r="A3442" s="5" t="str">
        <x:v>葷</x:v>
      </x:c>
      <x:c r="B3442" s="6" t="str">
        <x:v>平</x:v>
      </x:c>
      <x:c r="C3442" s="6" t="str">
        <x:f>IF(B3442="","Needs decision","Ready")</x:f>
        <x:v>Ready</x:v>
      </x:c>
      <x:c r="D3442" s="6" t="str">
        <x:v>平</x:v>
      </x:c>
      <x:c r="E3442" s="6" t="str">
        <x:v>xjun (A)</x:v>
      </x:c>
      <x:c r="F3442" s="6" t="str">
        <x:v>1</x:v>
      </x:c>
      <x:c r="G3442" s="6" t="str"/>
      <x:c r="H3442" s="6" t="str">
        <x:f>IF(B3442="平","平",IF(B3442="","","仄"))</x:f>
        <x:v>平</x:v>
      </x:c>
      <x:c r="I3442" s="6" t="str">
        <x:f>IF(D3428="","",IF(AND(ISNUMBER(SEARCH("平",D3428)),OR(ISNUMBER(SEARCH("上",D3428)),ISNUMBER(SEARCH("去",D3428)),ISNUMBER(SEARCH("入",D3428)))),"Ambiguous",IF(ISNUMBER(SEARCH("平",D3428)),"平","仄")))</x:f>
        <x:v>仄</x:v>
      </x:c>
      <x:c r="J3442" s="7" t="str"/>
    </x:row>
    <x:row r="3443">
      <x:c r="A3443" s="5" t="str">
        <x:v>蒐</x:v>
      </x:c>
      <x:c r="B3443" s="6" t="str">
        <x:v>平</x:v>
      </x:c>
      <x:c r="C3443" s="6" t="str">
        <x:f>IF(B3443="","Needs decision","Ready")</x:f>
        <x:v>Ready</x:v>
      </x:c>
      <x:c r="D3443" s="6" t="str">
        <x:v>平</x:v>
      </x:c>
      <x:c r="E3443" s="6" t="str">
        <x:v>srjuw [ʂɨ̯u] (平)</x:v>
      </x:c>
      <x:c r="F3443" s="6" t="str">
        <x:v>1</x:v>
      </x:c>
      <x:c r="G3443" s="6" t="str">
        <x:v>Tang 300 gap; frequency 1; provisional from Xun Gong</x:v>
      </x:c>
      <x:c r="H3443" s="6" t="str">
        <x:f>IF(B3443="平","平",IF(B3443="","","仄"))</x:f>
        <x:v>平</x:v>
      </x:c>
      <x:c r="I3443" s="6" t="str">
        <x:f>IF(D3429="","",IF(AND(ISNUMBER(SEARCH("平",D3429)),OR(ISNUMBER(SEARCH("上",D3429)),ISNUMBER(SEARCH("去",D3429)),ISNUMBER(SEARCH("入",D3429)))),"Ambiguous",IF(ISNUMBER(SEARCH("平",D3429)),"平","仄")))</x:f>
        <x:v>仄</x:v>
      </x:c>
      <x:c r="J3443" s="7" t="str">
        <x:v>Xun Gong, Tang 300 gap fill</x:v>
      </x:c>
    </x:row>
    <x:row r="3444">
      <x:c r="A3444" s="5" t="str">
        <x:v>蒙</x:v>
      </x:c>
      <x:c r="B3444" s="6" t="str">
        <x:v>平</x:v>
      </x:c>
      <x:c r="C3444" s="6" t="str">
        <x:f>IF(B3444="","Needs decision","Ready")</x:f>
        <x:v>Ready</x:v>
      </x:c>
      <x:c r="D3444" s="6" t="str">
        <x:v>平</x:v>
      </x:c>
      <x:c r="E3444" s="6" t="str">
        <x:v>muwng (A)</x:v>
      </x:c>
      <x:c r="F3444" s="6" t="str">
        <x:v>1</x:v>
      </x:c>
      <x:c r="G3444" s="6" t="str"/>
      <x:c r="H3444" s="6" t="str">
        <x:f>IF(B3444="平","平",IF(B3444="","","仄"))</x:f>
        <x:v>平</x:v>
      </x:c>
      <x:c r="I3444" s="6" t="str">
        <x:f>IF(D3430="","",IF(AND(ISNUMBER(SEARCH("平",D3430)),OR(ISNUMBER(SEARCH("上",D3430)),ISNUMBER(SEARCH("去",D3430)),ISNUMBER(SEARCH("入",D3430)))),"Ambiguous",IF(ISNUMBER(SEARCH("平",D3430)),"平","仄")))</x:f>
        <x:v>仄</x:v>
      </x:c>
      <x:c r="J3444" s="7" t="str"/>
    </x:row>
    <x:row r="3445">
      <x:c r="A3445" s="5" t="str">
        <x:v>蒜</x:v>
      </x:c>
      <x:c r="B3445" s="6" t="str">
        <x:v>去</x:v>
      </x:c>
      <x:c r="C3445" s="6" t="str">
        <x:f>IF(B3445="","Needs decision","Ready")</x:f>
        <x:v>Ready</x:v>
      </x:c>
      <x:c r="D3445" s="6" t="str">
        <x:v>去</x:v>
      </x:c>
      <x:c r="E3445" s="6" t="str">
        <x:v>swanH (C)</x:v>
      </x:c>
      <x:c r="F3445" s="6" t="str">
        <x:v>1</x:v>
      </x:c>
      <x:c r="G3445" s="6" t="str"/>
      <x:c r="H3445" s="6" t="str">
        <x:f>IF(B3445="平","平",IF(B3445="","","仄"))</x:f>
        <x:v>仄</x:v>
      </x:c>
      <x:c r="I3445" s="6" t="str">
        <x:f>IF(D3431="","",IF(AND(ISNUMBER(SEARCH("平",D3431)),OR(ISNUMBER(SEARCH("上",D3431)),ISNUMBER(SEARCH("去",D3431)),ISNUMBER(SEARCH("入",D3431)))),"Ambiguous",IF(ISNUMBER(SEARCH("平",D3431)),"平","仄")))</x:f>
        <x:v>仄</x:v>
      </x:c>
      <x:c r="J3445" s="7" t="str"/>
    </x:row>
    <x:row r="3446">
      <x:c r="A3446" s="5" t="str">
        <x:v>蒡</x:v>
      </x:c>
      <x:c r="B3446" s="6" t="str">
        <x:v>平</x:v>
      </x:c>
      <x:c r="C3446" s="6" t="str">
        <x:f>IF(B3446="","Needs decision","Ready")</x:f>
        <x:v>Ready</x:v>
      </x:c>
      <x:c r="D3446" s="6" t="str">
        <x:v>平</x:v>
      </x:c>
      <x:c r="E3446" s="6" t="str">
        <x:v>bang (A)</x:v>
      </x:c>
      <x:c r="F3446" s="6" t="str">
        <x:v>1</x:v>
      </x:c>
      <x:c r="G3446" s="6" t="str"/>
      <x:c r="H3446" s="6" t="str">
        <x:f>IF(B3446="平","平",IF(B3446="","","仄"))</x:f>
        <x:v>平</x:v>
      </x:c>
      <x:c r="I3446" s="6" t="str">
        <x:f>IF(D3432="","",IF(AND(ISNUMBER(SEARCH("平",D3432)),OR(ISNUMBER(SEARCH("上",D3432)),ISNUMBER(SEARCH("去",D3432)),ISNUMBER(SEARCH("入",D3432)))),"Ambiguous",IF(ISNUMBER(SEARCH("平",D3432)),"平","仄")))</x:f>
        <x:v>仄</x:v>
      </x:c>
      <x:c r="J3446" s="7" t="str"/>
    </x:row>
    <x:row r="3447">
      <x:c r="A3447" s="5" t="str">
        <x:v>蒦</x:v>
      </x:c>
      <x:c r="B3447" s="6" t="str">
        <x:v>入</x:v>
      </x:c>
      <x:c r="C3447" s="6" t="str">
        <x:f>IF(B3447="","Needs decision","Ready")</x:f>
        <x:v>Ready</x:v>
      </x:c>
      <x:c r="D3447" s="6" t="str">
        <x:v>入</x:v>
      </x:c>
      <x:c r="E3447" s="6" t="str">
        <x:v>hweak (D)</x:v>
      </x:c>
      <x:c r="F3447" s="6" t="str">
        <x:v>1</x:v>
      </x:c>
      <x:c r="G3447" s="6" t="str"/>
      <x:c r="H3447" s="6" t="str">
        <x:f>IF(B3447="平","平",IF(B3447="","","仄"))</x:f>
        <x:v>仄</x:v>
      </x:c>
      <x:c r="I3447" s="6" t="str">
        <x:f>IF(D3433="","",IF(AND(ISNUMBER(SEARCH("平",D3433)),OR(ISNUMBER(SEARCH("上",D3433)),ISNUMBER(SEARCH("去",D3433)),ISNUMBER(SEARCH("入",D3433)))),"Ambiguous",IF(ISNUMBER(SEARCH("平",D3433)),"平","仄")))</x:f>
        <x:v>仄</x:v>
      </x:c>
      <x:c r="J3447" s="7" t="str"/>
    </x:row>
    <x:row r="3448">
      <x:c r="A3448" s="5" t="str">
        <x:v>蒨</x:v>
      </x:c>
      <x:c r="B3448" s="6" t="str">
        <x:v>去</x:v>
      </x:c>
      <x:c r="C3448" s="6" t="str">
        <x:f>IF(B3448="","Needs decision","Ready")</x:f>
        <x:v>Ready</x:v>
      </x:c>
      <x:c r="D3448" s="6" t="str">
        <x:v>去</x:v>
      </x:c>
      <x:c r="E3448" s="6" t="str">
        <x:v>tshenH [清開四先去] t̙s̙ʰenh</x:v>
      </x:c>
      <x:c r="F3448" s="6" t="str">
        <x:v>1</x:v>
      </x:c>
      <x:c r="G3448" s="6" t="str">
        <x:v>Targeted preliminary fill from Xun Gong; review if uncertain</x:v>
      </x:c>
      <x:c r="H3448" s="6" t="str">
        <x:f>IF(B3448="平","平",IF(B3448="","","仄"))</x:f>
        <x:v>仄</x:v>
      </x:c>
      <x:c r="I3448" s="6" t="str">
        <x:f>IF(D3434="","",IF(AND(ISNUMBER(SEARCH("平",D3434)),OR(ISNUMBER(SEARCH("上",D3434)),ISNUMBER(SEARCH("去",D3434)),ISNUMBER(SEARCH("入",D3434)))),"Ambiguous",IF(ISNUMBER(SEARCH("平",D3434)),"平","仄")))</x:f>
        <x:v>仄</x:v>
      </x:c>
      <x:c r="J3448" s="7" t="str">
        <x:v>Xun Gong character-readings.csv</x:v>
      </x:c>
    </x:row>
    <x:row r="3449">
      <x:c r="A3449" s="5" t="str">
        <x:v>蒯</x:v>
      </x:c>
      <x:c r="B3449" s="6" t="str">
        <x:v>去</x:v>
      </x:c>
      <x:c r="C3449" s="6" t="str">
        <x:f>IF(B3449="","Needs decision","Ready")</x:f>
        <x:v>Ready</x:v>
      </x:c>
      <x:c r="D3449" s="6" t="str">
        <x:v>去</x:v>
      </x:c>
      <x:c r="E3449" s="6" t="str">
        <x:v>khweajH (C)</x:v>
      </x:c>
      <x:c r="F3449" s="6" t="str">
        <x:v>1</x:v>
      </x:c>
      <x:c r="G3449" s="6" t="str"/>
      <x:c r="H3449" s="6" t="str">
        <x:f>IF(B3449="平","平",IF(B3449="","","仄"))</x:f>
        <x:v>仄</x:v>
      </x:c>
      <x:c r="I3449" s="6" t="str">
        <x:f>IF(D3435="","",IF(AND(ISNUMBER(SEARCH("平",D3435)),OR(ISNUMBER(SEARCH("上",D3435)),ISNUMBER(SEARCH("去",D3435)),ISNUMBER(SEARCH("入",D3435)))),"Ambiguous",IF(ISNUMBER(SEARCH("平",D3435)),"平","仄")))</x:f>
        <x:v>仄</x:v>
      </x:c>
      <x:c r="J3449" s="7" t="str"/>
    </x:row>
    <x:row r="3450">
      <x:c r="A3450" s="5" t="str">
        <x:v>蒲</x:v>
      </x:c>
      <x:c r="B3450" s="6" t="str">
        <x:v>平</x:v>
      </x:c>
      <x:c r="C3450" s="6" t="str">
        <x:f>IF(B3450="","Needs decision","Ready")</x:f>
        <x:v>Ready</x:v>
      </x:c>
      <x:c r="D3450" s="6" t="str">
        <x:v>平</x:v>
      </x:c>
      <x:c r="E3450" s="6" t="str">
        <x:v>bu (A)</x:v>
      </x:c>
      <x:c r="F3450" s="6" t="str">
        <x:v>1</x:v>
      </x:c>
      <x:c r="G3450" s="6" t="str"/>
      <x:c r="H3450" s="6" t="str">
        <x:f>IF(B3450="平","平",IF(B3450="","","仄"))</x:f>
        <x:v>平</x:v>
      </x:c>
      <x:c r="I3450" s="6" t="str">
        <x:f>IF(D3436="","",IF(AND(ISNUMBER(SEARCH("平",D3436)),OR(ISNUMBER(SEARCH("上",D3436)),ISNUMBER(SEARCH("去",D3436)),ISNUMBER(SEARCH("入",D3436)))),"Ambiguous",IF(ISNUMBER(SEARCH("平",D3436)),"平","仄")))</x:f>
        <x:v>平</x:v>
      </x:c>
      <x:c r="J3450" s="7" t="str"/>
    </x:row>
    <x:row r="3451">
      <x:c r="A3451" s="5" t="str">
        <x:v>蒸</x:v>
      </x:c>
      <x:c r="B3451" s="6" t="str">
        <x:v>平</x:v>
      </x:c>
      <x:c r="C3451" s="6" t="str">
        <x:f>IF(B3451="","Needs decision","Ready")</x:f>
        <x:v>Ready</x:v>
      </x:c>
      <x:c r="D3451" s="6" t="str">
        <x:v>平</x:v>
      </x:c>
      <x:c r="E3451" s="6" t="str">
        <x:v>tsying (A)</x:v>
      </x:c>
      <x:c r="F3451" s="6" t="str">
        <x:v>1</x:v>
      </x:c>
      <x:c r="G3451" s="6" t="str"/>
      <x:c r="H3451" s="6" t="str">
        <x:f>IF(B3451="平","平",IF(B3451="","","仄"))</x:f>
        <x:v>平</x:v>
      </x:c>
      <x:c r="I3451" s="6" t="str">
        <x:f>IF(D3437="","",IF(AND(ISNUMBER(SEARCH("平",D3437)),OR(ISNUMBER(SEARCH("上",D3437)),ISNUMBER(SEARCH("去",D3437)),ISNUMBER(SEARCH("入",D3437)))),"Ambiguous",IF(ISNUMBER(SEARCH("平",D3437)),"平","仄")))</x:f>
        <x:v>仄</x:v>
      </x:c>
      <x:c r="J3451" s="7" t="str"/>
    </x:row>
    <x:row r="3452">
      <x:c r="A3452" s="5" t="str">
        <x:v>蒹</x:v>
      </x:c>
      <x:c r="B3452" s="6" t="str">
        <x:v>平</x:v>
      </x:c>
      <x:c r="C3452" s="6" t="str">
        <x:f>IF(B3452="","Needs decision","Ready")</x:f>
        <x:v>Ready</x:v>
      </x:c>
      <x:c r="D3452" s="6" t="str">
        <x:v>平</x:v>
      </x:c>
      <x:c r="E3452" s="6" t="str">
        <x:v>kem (A)</x:v>
      </x:c>
      <x:c r="F3452" s="6" t="str">
        <x:v>1</x:v>
      </x:c>
      <x:c r="G3452" s="6" t="str"/>
      <x:c r="H3452" s="6" t="str">
        <x:f>IF(B3452="平","平",IF(B3452="","","仄"))</x:f>
        <x:v>平</x:v>
      </x:c>
      <x:c r="I3452" s="6" t="str">
        <x:f>IF(D3438="","",IF(AND(ISNUMBER(SEARCH("平",D3438)),OR(ISNUMBER(SEARCH("上",D3438)),ISNUMBER(SEARCH("去",D3438)),ISNUMBER(SEARCH("入",D3438)))),"Ambiguous",IF(ISNUMBER(SEARCH("平",D3438)),"平","仄")))</x:f>
        <x:v>平</x:v>
      </x:c>
      <x:c r="J3452" s="7" t="str"/>
    </x:row>
    <x:row r="3453">
      <x:c r="A3453" s="5" t="str">
        <x:v>蒺</x:v>
      </x:c>
      <x:c r="B3453" s="6" t="str">
        <x:v>入</x:v>
      </x:c>
      <x:c r="C3453" s="6" t="str">
        <x:f>IF(B3453="","Needs decision","Ready")</x:f>
        <x:v>Ready</x:v>
      </x:c>
      <x:c r="D3453" s="6" t="str">
        <x:v>入</x:v>
      </x:c>
      <x:c r="E3453" s="6" t="str">
        <x:v>dzit [dzit] (入)</x:v>
      </x:c>
      <x:c r="F3453" s="6" t="str">
        <x:v>1</x:v>
      </x:c>
      <x:c r="G3453" s="6" t="str">
        <x:v>Tang 300 gap; frequency 1; provisional from Xun Gong</x:v>
      </x:c>
      <x:c r="H3453" s="6" t="str">
        <x:f>IF(B3453="平","平",IF(B3453="","","仄"))</x:f>
        <x:v>仄</x:v>
      </x:c>
      <x:c r="I3453" s="6" t="str">
        <x:f>IF(D3439="","",IF(AND(ISNUMBER(SEARCH("平",D3439)),OR(ISNUMBER(SEARCH("上",D3439)),ISNUMBER(SEARCH("去",D3439)),ISNUMBER(SEARCH("入",D3439)))),"Ambiguous",IF(ISNUMBER(SEARCH("平",D3439)),"平","仄")))</x:f>
        <x:v>仄</x:v>
      </x:c>
      <x:c r="J3453" s="7" t="str">
        <x:v>Xun Gong, Tang 300 gap fill</x:v>
      </x:c>
    </x:row>
    <x:row r="3454">
      <x:c r="A3454" s="5" t="str">
        <x:v>蒼</x:v>
      </x:c>
      <x:c r="B3454" s="6" t="str">
        <x:v>平</x:v>
      </x:c>
      <x:c r="C3454" s="6" t="str">
        <x:f>IF(B3454="","Needs decision","Ready")</x:f>
        <x:v>Ready</x:v>
      </x:c>
      <x:c r="D3454" s="6" t="str">
        <x:v>平</x:v>
      </x:c>
      <x:c r="E3454" s="6" t="str">
        <x:v>tshang (A)</x:v>
      </x:c>
      <x:c r="F3454" s="6" t="str">
        <x:v>1</x:v>
      </x:c>
      <x:c r="G3454" s="6" t="str"/>
      <x:c r="H3454" s="6" t="str">
        <x:f>IF(B3454="平","平",IF(B3454="","","仄"))</x:f>
        <x:v>平</x:v>
      </x:c>
      <x:c r="I3454" s="6" t="str">
        <x:f>IF(D3440="","",IF(AND(ISNUMBER(SEARCH("平",D3440)),OR(ISNUMBER(SEARCH("上",D3440)),ISNUMBER(SEARCH("去",D3440)),ISNUMBER(SEARCH("入",D3440)))),"Ambiguous",IF(ISNUMBER(SEARCH("平",D3440)),"平","仄")))</x:f>
        <x:v>平</x:v>
      </x:c>
      <x:c r="J3454" s="7" t="str"/>
    </x:row>
    <x:row r="3455">
      <x:c r="A3455" s="5" t="str">
        <x:v>蒿</x:v>
      </x:c>
      <x:c r="B3455" s="6" t="str">
        <x:v>平</x:v>
      </x:c>
      <x:c r="C3455" s="6" t="str">
        <x:f>IF(B3455="","Needs decision","Ready")</x:f>
        <x:v>Ready</x:v>
      </x:c>
      <x:c r="D3455" s="6" t="str">
        <x:v>平</x:v>
      </x:c>
      <x:c r="E3455" s="6" t="str">
        <x:v>xaw (A)</x:v>
      </x:c>
      <x:c r="F3455" s="6" t="str">
        <x:v>1</x:v>
      </x:c>
      <x:c r="G3455" s="6" t="str"/>
      <x:c r="H3455" s="6" t="str">
        <x:f>IF(B3455="平","平",IF(B3455="","","仄"))</x:f>
        <x:v>平</x:v>
      </x:c>
      <x:c r="I3455" s="6" t="str">
        <x:f>IF(D3441="","",IF(AND(ISNUMBER(SEARCH("平",D3441)),OR(ISNUMBER(SEARCH("上",D3441)),ISNUMBER(SEARCH("去",D3441)),ISNUMBER(SEARCH("入",D3441)))),"Ambiguous",IF(ISNUMBER(SEARCH("平",D3441)),"平","仄")))</x:f>
        <x:v>平</x:v>
      </x:c>
      <x:c r="J3455" s="7" t="str"/>
    </x:row>
    <x:row r="3456">
      <x:c r="A3456" s="5" t="str">
        <x:v>蓁</x:v>
      </x:c>
      <x:c r="B3456" s="6" t="str">
        <x:v>平</x:v>
      </x:c>
      <x:c r="C3456" s="6" t="str">
        <x:f>IF(B3456="","Needs decision","Ready")</x:f>
        <x:v>Ready</x:v>
      </x:c>
      <x:c r="D3456" s="6" t="str">
        <x:v>平</x:v>
      </x:c>
      <x:c r="E3456" s="6" t="str">
        <x:v>tsrin (A)</x:v>
      </x:c>
      <x:c r="F3456" s="6" t="str">
        <x:v>1</x:v>
      </x:c>
      <x:c r="G3456" s="6" t="str"/>
      <x:c r="H3456" s="6" t="str">
        <x:f>IF(B3456="平","平",IF(B3456="","","仄"))</x:f>
        <x:v>平</x:v>
      </x:c>
      <x:c r="I3456" s="6" t="str">
        <x:f>IF(D3442="","",IF(AND(ISNUMBER(SEARCH("平",D3442)),OR(ISNUMBER(SEARCH("上",D3442)),ISNUMBER(SEARCH("去",D3442)),ISNUMBER(SEARCH("入",D3442)))),"Ambiguous",IF(ISNUMBER(SEARCH("平",D3442)),"平","仄")))</x:f>
        <x:v>平</x:v>
      </x:c>
      <x:c r="J3456" s="7" t="str"/>
    </x:row>
    <x:row r="3457">
      <x:c r="A3457" s="5" t="str">
        <x:v>蓄</x:v>
      </x:c>
      <x:c r="B3457" s="6" t="str">
        <x:v>入</x:v>
      </x:c>
      <x:c r="C3457" s="6" t="str">
        <x:f>IF(B3457="","Needs decision","Ready")</x:f>
        <x:v>Ready</x:v>
      </x:c>
      <x:c r="D3457" s="6" t="str">
        <x:v>入</x:v>
      </x:c>
      <x:c r="E3457" s="6" t="str">
        <x:v>trhjuwk (D); xjuwk (D)</x:v>
      </x:c>
      <x:c r="F3457" s="6" t="str">
        <x:v>2</x:v>
      </x:c>
      <x:c r="G3457" s="6" t="str"/>
      <x:c r="H3457" s="6" t="str">
        <x:f>IF(B3457="平","平",IF(B3457="","","仄"))</x:f>
        <x:v>仄</x:v>
      </x:c>
      <x:c r="I3457" s="6" t="str">
        <x:f>IF(D3443="","",IF(AND(ISNUMBER(SEARCH("平",D3443)),OR(ISNUMBER(SEARCH("上",D3443)),ISNUMBER(SEARCH("去",D3443)),ISNUMBER(SEARCH("入",D3443)))),"Ambiguous",IF(ISNUMBER(SEARCH("平",D3443)),"平","仄")))</x:f>
        <x:v>平</x:v>
      </x:c>
      <x:c r="J3457" s="7" t="str"/>
    </x:row>
    <x:row r="3458">
      <x:c r="A3458" s="5" t="str">
        <x:v>蓉</x:v>
      </x:c>
      <x:c r="B3458" s="6" t="str">
        <x:v>平</x:v>
      </x:c>
      <x:c r="C3458" s="6" t="str">
        <x:f>IF(B3458="","Needs decision","Ready")</x:f>
        <x:v>Ready</x:v>
      </x:c>
      <x:c r="D3458" s="6" t="str">
        <x:v>平</x:v>
      </x:c>
      <x:c r="E3458" s="6" t="str"/>
      <x:c r="F3458" s="6" t="str"/>
      <x:c r="G3458" s="6" t="str">
        <x:v>Manual user correction/addition</x:v>
      </x:c>
      <x:c r="H3458" s="6" t="str">
        <x:f>IF(B3458="平","平",IF(B3458="","","仄"))</x:f>
        <x:v>平</x:v>
      </x:c>
      <x:c r="I3458" s="6" t="str">
        <x:f>IF(D3444="","",IF(AND(ISNUMBER(SEARCH("平",D3444)),OR(ISNUMBER(SEARCH("上",D3444)),ISNUMBER(SEARCH("去",D3444)),ISNUMBER(SEARCH("入",D3444)))),"Ambiguous",IF(ISNUMBER(SEARCH("平",D3444)),"平","仄")))</x:f>
        <x:v>平</x:v>
      </x:c>
      <x:c r="J3458" s="7" t="str">
        <x:v>manual user correction</x:v>
      </x:c>
    </x:row>
    <x:row r="3459">
      <x:c r="A3459" s="5" t="str">
        <x:v>蓋</x:v>
      </x:c>
      <x:c r="B3459" s="6" t="str">
        <x:v>去</x:v>
      </x:c>
      <x:c r="C3459" s="6" t="str">
        <x:f>IF(B3459="","Needs decision","Ready")</x:f>
        <x:v>Ready</x:v>
      </x:c>
      <x:c r="D3459" s="6" t="str">
        <x:v>去/入</x:v>
      </x:c>
      <x:c r="E3459" s="6" t="str">
        <x:v>kajH (C); hap (D)</x:v>
      </x:c>
      <x:c r="F3459" s="6" t="str">
        <x:v>2</x:v>
      </x:c>
      <x:c r="G3459" s="6" t="str">
        <x:v>Manual user correction/addition</x:v>
      </x:c>
      <x:c r="H3459" s="6" t="str">
        <x:f>IF(B3459="平","平",IF(B3459="","","仄"))</x:f>
        <x:v>仄</x:v>
      </x:c>
      <x:c r="I3459" s="6" t="str">
        <x:f>IF(D3445="","",IF(AND(ISNUMBER(SEARCH("平",D3445)),OR(ISNUMBER(SEARCH("上",D3445)),ISNUMBER(SEARCH("去",D3445)),ISNUMBER(SEARCH("入",D3445)))),"Ambiguous",IF(ISNUMBER(SEARCH("平",D3445)),"平","仄")))</x:f>
        <x:v>仄</x:v>
      </x:c>
      <x:c r="J3459" s="7" t="str">
        <x:v>manual user correction</x:v>
      </x:c>
    </x:row>
    <x:row r="3460">
      <x:c r="A3460" s="5" t="str">
        <x:v>蓍</x:v>
      </x:c>
      <x:c r="B3460" s="6" t="str">
        <x:v>平</x:v>
      </x:c>
      <x:c r="C3460" s="6" t="str">
        <x:f>IF(B3460="","Needs decision","Ready")</x:f>
        <x:v>Ready</x:v>
      </x:c>
      <x:c r="D3460" s="6" t="str">
        <x:v>平</x:v>
      </x:c>
      <x:c r="E3460" s="6" t="str">
        <x:v>syij (A)</x:v>
      </x:c>
      <x:c r="F3460" s="6" t="str">
        <x:v>1</x:v>
      </x:c>
      <x:c r="G3460" s="6" t="str"/>
      <x:c r="H3460" s="6" t="str">
        <x:f>IF(B3460="平","平",IF(B3460="","","仄"))</x:f>
        <x:v>平</x:v>
      </x:c>
      <x:c r="I3460" s="6" t="str">
        <x:f>IF(D3446="","",IF(AND(ISNUMBER(SEARCH("平",D3446)),OR(ISNUMBER(SEARCH("上",D3446)),ISNUMBER(SEARCH("去",D3446)),ISNUMBER(SEARCH("入",D3446)))),"Ambiguous",IF(ISNUMBER(SEARCH("平",D3446)),"平","仄")))</x:f>
        <x:v>平</x:v>
      </x:c>
      <x:c r="J3460" s="7" t="str"/>
    </x:row>
    <x:row r="3461">
      <x:c r="A3461" s="5" t="str">
        <x:v>蓐</x:v>
      </x:c>
      <x:c r="B3461" s="6" t="str">
        <x:v>入</x:v>
      </x:c>
      <x:c r="C3461" s="6" t="str">
        <x:f>IF(B3461="","Needs decision","Ready")</x:f>
        <x:v>Ready</x:v>
      </x:c>
      <x:c r="D3461" s="6" t="str">
        <x:v>入</x:v>
      </x:c>
      <x:c r="E3461" s="6" t="str">
        <x:v>nyowk (D)</x:v>
      </x:c>
      <x:c r="F3461" s="6" t="str">
        <x:v>1</x:v>
      </x:c>
      <x:c r="G3461" s="6" t="str"/>
      <x:c r="H3461" s="6" t="str">
        <x:f>IF(B3461="平","平",IF(B3461="","","仄"))</x:f>
        <x:v>仄</x:v>
      </x:c>
      <x:c r="I3461" s="6" t="str">
        <x:f>IF(D3447="","",IF(AND(ISNUMBER(SEARCH("平",D3447)),OR(ISNUMBER(SEARCH("上",D3447)),ISNUMBER(SEARCH("去",D3447)),ISNUMBER(SEARCH("入",D3447)))),"Ambiguous",IF(ISNUMBER(SEARCH("平",D3447)),"平","仄")))</x:f>
        <x:v>仄</x:v>
      </x:c>
      <x:c r="J3461" s="7" t="str"/>
    </x:row>
    <x:row r="3462">
      <x:c r="A3462" s="5" t="str">
        <x:v>蓑</x:v>
      </x:c>
      <x:c r="B3462" s="6" t="str">
        <x:v>平</x:v>
      </x:c>
      <x:c r="C3462" s="6" t="str">
        <x:f>IF(B3462="","Needs decision","Ready")</x:f>
        <x:v>Ready</x:v>
      </x:c>
      <x:c r="D3462" s="6" t="str">
        <x:v>平</x:v>
      </x:c>
      <x:c r="E3462" s="6" t="str">
        <x:v>swa (A)</x:v>
      </x:c>
      <x:c r="F3462" s="6" t="str">
        <x:v>1</x:v>
      </x:c>
      <x:c r="G3462" s="6" t="str"/>
      <x:c r="H3462" s="6" t="str">
        <x:f>IF(B3462="平","平",IF(B3462="","","仄"))</x:f>
        <x:v>平</x:v>
      </x:c>
      <x:c r="I3462" s="6" t="str">
        <x:f>IF(D3448="","",IF(AND(ISNUMBER(SEARCH("平",D3448)),OR(ISNUMBER(SEARCH("上",D3448)),ISNUMBER(SEARCH("去",D3448)),ISNUMBER(SEARCH("入",D3448)))),"Ambiguous",IF(ISNUMBER(SEARCH("平",D3448)),"平","仄")))</x:f>
        <x:v>仄</x:v>
      </x:c>
      <x:c r="J3462" s="7" t="str"/>
    </x:row>
    <x:row r="3463">
      <x:c r="A3463" s="5" t="str">
        <x:v>蓬</x:v>
      </x:c>
      <x:c r="B3463" s="6" t="str">
        <x:v>平</x:v>
      </x:c>
      <x:c r="C3463" s="6" t="str">
        <x:f>IF(B3463="","Needs decision","Ready")</x:f>
        <x:v>Ready</x:v>
      </x:c>
      <x:c r="D3463" s="6" t="str">
        <x:v>平</x:v>
      </x:c>
      <x:c r="E3463" s="6" t="str">
        <x:v>buwng [並一東平] b̙uŋ</x:v>
      </x:c>
      <x:c r="F3463" s="6" t="str">
        <x:v>1</x:v>
      </x:c>
      <x:c r="G3463" s="6" t="str">
        <x:v>Targeted preliminary fill from Xun Gong; review if uncertain</x:v>
      </x:c>
      <x:c r="H3463" s="6" t="str">
        <x:f>IF(B3463="平","平",IF(B3463="","","仄"))</x:f>
        <x:v>平</x:v>
      </x:c>
      <x:c r="I3463" s="6" t="str">
        <x:f>IF(D3449="","",IF(AND(ISNUMBER(SEARCH("平",D3449)),OR(ISNUMBER(SEARCH("上",D3449)),ISNUMBER(SEARCH("去",D3449)),ISNUMBER(SEARCH("入",D3449)))),"Ambiguous",IF(ISNUMBER(SEARCH("平",D3449)),"平","仄")))</x:f>
        <x:v>仄</x:v>
      </x:c>
      <x:c r="J3463" s="7" t="str">
        <x:v>Xun Gong character-readings.csv</x:v>
      </x:c>
    </x:row>
    <x:row r="3464">
      <x:c r="A3464" s="5" t="str">
        <x:v>蓮</x:v>
      </x:c>
      <x:c r="B3464" s="6" t="str">
        <x:v>平</x:v>
      </x:c>
      <x:c r="C3464" s="6" t="str">
        <x:f>IF(B3464="","Needs decision","Ready")</x:f>
        <x:v>Ready</x:v>
      </x:c>
      <x:c r="D3464" s="6" t="str">
        <x:v>平</x:v>
      </x:c>
      <x:c r="E3464" s="6" t="str">
        <x:v>len (A)</x:v>
      </x:c>
      <x:c r="F3464" s="6" t="str">
        <x:v>1</x:v>
      </x:c>
      <x:c r="G3464" s="6" t="str"/>
      <x:c r="H3464" s="6" t="str">
        <x:f>IF(B3464="平","平",IF(B3464="","","仄"))</x:f>
        <x:v>平</x:v>
      </x:c>
      <x:c r="I3464" s="6" t="str">
        <x:f>IF(D3450="","",IF(AND(ISNUMBER(SEARCH("平",D3450)),OR(ISNUMBER(SEARCH("上",D3450)),ISNUMBER(SEARCH("去",D3450)),ISNUMBER(SEARCH("入",D3450)))),"Ambiguous",IF(ISNUMBER(SEARCH("平",D3450)),"平","仄")))</x:f>
        <x:v>平</x:v>
      </x:c>
      <x:c r="J3464" s="7" t="str"/>
    </x:row>
    <x:row r="3465">
      <x:c r="A3465" s="5" t="str">
        <x:v>蓳</x:v>
      </x:c>
      <x:c r="B3465" s="6" t="str">
        <x:v>上</x:v>
      </x:c>
      <x:c r="C3465" s="6" t="str">
        <x:f>IF(B3465="","Needs decision","Ready")</x:f>
        <x:v>Ready</x:v>
      </x:c>
      <x:c r="D3465" s="6" t="str">
        <x:v>上/去</x:v>
      </x:c>
      <x:c r="E3465" s="6" t="str">
        <x:v>kj+nX (B); kj+nH (C)</x:v>
      </x:c>
      <x:c r="F3465" s="6" t="str">
        <x:v>2</x:v>
      </x:c>
      <x:c r="G3465" s="6" t="str"/>
      <x:c r="H3465" s="6" t="str">
        <x:f>IF(B3465="平","平",IF(B3465="","","仄"))</x:f>
        <x:v>仄</x:v>
      </x:c>
      <x:c r="I3465" s="6" t="str">
        <x:f>IF(D3451="","",IF(AND(ISNUMBER(SEARCH("平",D3451)),OR(ISNUMBER(SEARCH("上",D3451)),ISNUMBER(SEARCH("去",D3451)),ISNUMBER(SEARCH("入",D3451)))),"Ambiguous",IF(ISNUMBER(SEARCH("平",D3451)),"平","仄")))</x:f>
        <x:v>平</x:v>
      </x:c>
      <x:c r="J3465" s="7" t="str"/>
    </x:row>
    <x:row r="3466">
      <x:c r="A3466" s="5" t="str">
        <x:v>蓺</x:v>
      </x:c>
      <x:c r="B3466" s="6" t="str">
        <x:v>去</x:v>
      </x:c>
      <x:c r="C3466" s="6" t="str">
        <x:f>IF(B3466="","Needs decision","Ready")</x:f>
        <x:v>Ready</x:v>
      </x:c>
      <x:c r="D3466" s="6" t="str">
        <x:v>去</x:v>
      </x:c>
      <x:c r="E3466" s="6" t="str">
        <x:v>ngjiejH (C)</x:v>
      </x:c>
      <x:c r="F3466" s="6" t="str">
        <x:v>1</x:v>
      </x:c>
      <x:c r="G3466" s="6" t="str"/>
      <x:c r="H3466" s="6" t="str">
        <x:f>IF(B3466="平","平",IF(B3466="","","仄"))</x:f>
        <x:v>仄</x:v>
      </x:c>
      <x:c r="I3466" s="6" t="str">
        <x:f>IF(D3452="","",IF(AND(ISNUMBER(SEARCH("平",D3452)),OR(ISNUMBER(SEARCH("上",D3452)),ISNUMBER(SEARCH("去",D3452)),ISNUMBER(SEARCH("入",D3452)))),"Ambiguous",IF(ISNUMBER(SEARCH("平",D3452)),"平","仄")))</x:f>
        <x:v>平</x:v>
      </x:c>
      <x:c r="J3466" s="7" t="str"/>
    </x:row>
    <x:row r="3467">
      <x:c r="A3467" s="5" t="str">
        <x:v>蔑</x:v>
      </x:c>
      <x:c r="B3467" s="6" t="str">
        <x:v>入</x:v>
      </x:c>
      <x:c r="C3467" s="6" t="str">
        <x:f>IF(B3467="","Needs decision","Ready")</x:f>
        <x:v>Ready</x:v>
      </x:c>
      <x:c r="D3467" s="6" t="str">
        <x:v>入</x:v>
      </x:c>
      <x:c r="E3467" s="6" t="str">
        <x:v>met (D)</x:v>
      </x:c>
      <x:c r="F3467" s="6" t="str">
        <x:v>1</x:v>
      </x:c>
      <x:c r="G3467" s="6" t="str"/>
      <x:c r="H3467" s="6" t="str">
        <x:f>IF(B3467="平","平",IF(B3467="","","仄"))</x:f>
        <x:v>仄</x:v>
      </x:c>
      <x:c r="I3467" s="6" t="str">
        <x:f>IF(D3453="","",IF(AND(ISNUMBER(SEARCH("平",D3453)),OR(ISNUMBER(SEARCH("上",D3453)),ISNUMBER(SEARCH("去",D3453)),ISNUMBER(SEARCH("入",D3453)))),"Ambiguous",IF(ISNUMBER(SEARCH("平",D3453)),"平","仄")))</x:f>
        <x:v>仄</x:v>
      </x:c>
      <x:c r="J3467" s="7" t="str"/>
    </x:row>
    <x:row r="3468">
      <x:c r="A3468" s="5" t="str">
        <x:v>蔓</x:v>
      </x:c>
      <x:c r="B3468" s="6" t="str">
        <x:v>去</x:v>
      </x:c>
      <x:c r="C3468" s="6" t="str">
        <x:f>IF(B3468="","Needs decision","Ready")</x:f>
        <x:v>Ready</x:v>
      </x:c>
      <x:c r="D3468" s="6" t="str">
        <x:v>去</x:v>
      </x:c>
      <x:c r="E3468" s="6" t="str">
        <x:v>mjonH (C)</x:v>
      </x:c>
      <x:c r="F3468" s="6" t="str">
        <x:v>1</x:v>
      </x:c>
      <x:c r="G3468" s="6" t="str"/>
      <x:c r="H3468" s="6" t="str">
        <x:f>IF(B3468="平","平",IF(B3468="","","仄"))</x:f>
        <x:v>仄</x:v>
      </x:c>
      <x:c r="I3468" s="6" t="str">
        <x:f>IF(D3454="","",IF(AND(ISNUMBER(SEARCH("平",D3454)),OR(ISNUMBER(SEARCH("上",D3454)),ISNUMBER(SEARCH("去",D3454)),ISNUMBER(SEARCH("入",D3454)))),"Ambiguous",IF(ISNUMBER(SEARCH("平",D3454)),"平","仄")))</x:f>
        <x:v>平</x:v>
      </x:c>
      <x:c r="J3468" s="7" t="str"/>
    </x:row>
    <x:row r="3469">
      <x:c r="A3469" s="5" t="str">
        <x:v>蔗</x:v>
      </x:c>
      <x:c r="B3469" s="6" t="str">
        <x:v>去</x:v>
      </x:c>
      <x:c r="C3469" s="6" t="str">
        <x:f>IF(B3469="","Needs decision","Ready")</x:f>
        <x:v>Ready</x:v>
      </x:c>
      <x:c r="D3469" s="6" t="str">
        <x:v>去</x:v>
      </x:c>
      <x:c r="E3469" s="6" t="str">
        <x:v>tsyaeH (C)</x:v>
      </x:c>
      <x:c r="F3469" s="6" t="str">
        <x:v>1</x:v>
      </x:c>
      <x:c r="G3469" s="6" t="str"/>
      <x:c r="H3469" s="6" t="str">
        <x:f>IF(B3469="平","平",IF(B3469="","","仄"))</x:f>
        <x:v>仄</x:v>
      </x:c>
      <x:c r="I3469" s="6" t="str">
        <x:f>IF(D3455="","",IF(AND(ISNUMBER(SEARCH("平",D3455)),OR(ISNUMBER(SEARCH("上",D3455)),ISNUMBER(SEARCH("去",D3455)),ISNUMBER(SEARCH("入",D3455)))),"Ambiguous",IF(ISNUMBER(SEARCH("平",D3455)),"平","仄")))</x:f>
        <x:v>平</x:v>
      </x:c>
      <x:c r="J3469" s="7" t="str"/>
    </x:row>
    <x:row r="3470">
      <x:c r="A3470" s="5" t="str">
        <x:v>蔚</x:v>
      </x:c>
      <x:c r="B3470" s="6" t="str">
        <x:v>去</x:v>
      </x:c>
      <x:c r="C3470" s="6" t="str">
        <x:f>IF(B3470="","Needs decision","Ready")</x:f>
        <x:v>Ready</x:v>
      </x:c>
      <x:c r="D3470" s="6" t="str">
        <x:v>去/入</x:v>
      </x:c>
      <x:c r="E3470" s="6" t="str">
        <x:v>'jw+jH (C); 'jut (D)</x:v>
      </x:c>
      <x:c r="F3470" s="6" t="str">
        <x:v>2</x:v>
      </x:c>
      <x:c r="G3470" s="6" t="str">
        <x:v>Manual user correction/addition</x:v>
      </x:c>
      <x:c r="H3470" s="6" t="str">
        <x:f>IF(B3470="平","平",IF(B3470="","","仄"))</x:f>
        <x:v>仄</x:v>
      </x:c>
      <x:c r="I3470" s="6" t="str">
        <x:f>IF(D3456="","",IF(AND(ISNUMBER(SEARCH("平",D3456)),OR(ISNUMBER(SEARCH("上",D3456)),ISNUMBER(SEARCH("去",D3456)),ISNUMBER(SEARCH("入",D3456)))),"Ambiguous",IF(ISNUMBER(SEARCH("平",D3456)),"平","仄")))</x:f>
        <x:v>平</x:v>
      </x:c>
      <x:c r="J3470" s="7" t="str">
        <x:v>manual user correction</x:v>
      </x:c>
    </x:row>
    <x:row r="3471">
      <x:c r="A3471" s="5" t="str">
        <x:v>蔡</x:v>
      </x:c>
      <x:c r="B3471" s="6" t="str">
        <x:v>去</x:v>
      </x:c>
      <x:c r="C3471" s="6" t="str">
        <x:f>IF(B3471="","Needs decision","Ready")</x:f>
        <x:v>Ready</x:v>
      </x:c>
      <x:c r="D3471" s="6" t="str">
        <x:v>去</x:v>
      </x:c>
      <x:c r="E3471" s="6" t="str">
        <x:v>tshajH (C)</x:v>
      </x:c>
      <x:c r="F3471" s="6" t="str">
        <x:v>1</x:v>
      </x:c>
      <x:c r="G3471" s="6" t="str"/>
      <x:c r="H3471" s="6" t="str">
        <x:f>IF(B3471="平","平",IF(B3471="","","仄"))</x:f>
        <x:v>仄</x:v>
      </x:c>
      <x:c r="I3471" s="6" t="str">
        <x:f>IF(D3457="","",IF(AND(ISNUMBER(SEARCH("平",D3457)),OR(ISNUMBER(SEARCH("上",D3457)),ISNUMBER(SEARCH("去",D3457)),ISNUMBER(SEARCH("入",D3457)))),"Ambiguous",IF(ISNUMBER(SEARCH("平",D3457)),"平","仄")))</x:f>
        <x:v>仄</x:v>
      </x:c>
      <x:c r="J3471" s="7" t="str"/>
    </x:row>
    <x:row r="3472">
      <x:c r="A3472" s="5" t="str">
        <x:v>蔥</x:v>
      </x:c>
      <x:c r="B3472" s="6" t="str">
        <x:v>平</x:v>
      </x:c>
      <x:c r="C3472" s="6" t="str">
        <x:f>IF(B3472="","Needs decision","Ready")</x:f>
        <x:v>Ready</x:v>
      </x:c>
      <x:c r="D3472" s="6" t="str">
        <x:v>平</x:v>
      </x:c>
      <x:c r="E3472" s="6" t="str">
        <x:v>tshuwng (A)</x:v>
      </x:c>
      <x:c r="F3472" s="6" t="str">
        <x:v>1</x:v>
      </x:c>
      <x:c r="G3472" s="6" t="str"/>
      <x:c r="H3472" s="6" t="str">
        <x:f>IF(B3472="平","平",IF(B3472="","","仄"))</x:f>
        <x:v>平</x:v>
      </x:c>
      <x:c r="I3472" s="6" t="str">
        <x:f>IF(D3458="","",IF(AND(ISNUMBER(SEARCH("平",D3458)),OR(ISNUMBER(SEARCH("上",D3458)),ISNUMBER(SEARCH("去",D3458)),ISNUMBER(SEARCH("入",D3458)))),"Ambiguous",IF(ISNUMBER(SEARCH("平",D3458)),"平","仄")))</x:f>
        <x:v>平</x:v>
      </x:c>
      <x:c r="J3472" s="7" t="str"/>
    </x:row>
    <x:row r="3473">
      <x:c r="A3473" s="5" t="str">
        <x:v>蔬</x:v>
      </x:c>
      <x:c r="B3473" s="6" t="str">
        <x:v>平</x:v>
      </x:c>
      <x:c r="C3473" s="6" t="str">
        <x:f>IF(B3473="","Needs decision","Ready")</x:f>
        <x:v>Ready</x:v>
      </x:c>
      <x:c r="D3473" s="6" t="str">
        <x:v>平</x:v>
      </x:c>
      <x:c r="E3473" s="6" t="str">
        <x:v>srjo (A)</x:v>
      </x:c>
      <x:c r="F3473" s="6" t="str">
        <x:v>1</x:v>
      </x:c>
      <x:c r="G3473" s="6" t="str"/>
      <x:c r="H3473" s="6" t="str">
        <x:f>IF(B3473="平","平",IF(B3473="","","仄"))</x:f>
        <x:v>平</x:v>
      </x:c>
      <x:c r="I3473" s="6" t="str">
        <x:f>IF(D3459="","",IF(AND(ISNUMBER(SEARCH("平",D3459)),OR(ISNUMBER(SEARCH("上",D3459)),ISNUMBER(SEARCH("去",D3459)),ISNUMBER(SEARCH("入",D3459)))),"Ambiguous",IF(ISNUMBER(SEARCH("平",D3459)),"平","仄")))</x:f>
        <x:v>仄</x:v>
      </x:c>
      <x:c r="J3473" s="7" t="str"/>
    </x:row>
    <x:row r="3474">
      <x:c r="A3474" s="5" t="str">
        <x:v>蔭</x:v>
      </x:c>
      <x:c r="B3474" s="6" t="str">
        <x:v>去</x:v>
      </x:c>
      <x:c r="C3474" s="6" t="str">
        <x:f>IF(B3474="","Needs decision","Ready")</x:f>
        <x:v>Ready</x:v>
      </x:c>
      <x:c r="D3474" s="6" t="str">
        <x:v>去</x:v>
      </x:c>
      <x:c r="E3474" s="6" t="str">
        <x:v>'imH (C)</x:v>
      </x:c>
      <x:c r="F3474" s="6" t="str">
        <x:v>1</x:v>
      </x:c>
      <x:c r="G3474" s="6" t="str"/>
      <x:c r="H3474" s="6" t="str">
        <x:f>IF(B3474="平","平",IF(B3474="","","仄"))</x:f>
        <x:v>仄</x:v>
      </x:c>
      <x:c r="I3474" s="6" t="str">
        <x:f>IF(D3460="","",IF(AND(ISNUMBER(SEARCH("平",D3460)),OR(ISNUMBER(SEARCH("上",D3460)),ISNUMBER(SEARCH("去",D3460)),ISNUMBER(SEARCH("入",D3460)))),"Ambiguous",IF(ISNUMBER(SEARCH("平",D3460)),"平","仄")))</x:f>
        <x:v>平</x:v>
      </x:c>
      <x:c r="J3474" s="7" t="str"/>
    </x:row>
    <x:row r="3475">
      <x:c r="A3475" s="5" t="str">
        <x:v>蔻</x:v>
      </x:c>
      <x:c r="B3475" s="6" t="str">
        <x:v>去</x:v>
      </x:c>
      <x:c r="C3475" s="6" t="str">
        <x:f>IF(B3475="","Needs decision","Ready")</x:f>
        <x:v>Ready</x:v>
      </x:c>
      <x:c r="D3475" s="6" t="str">
        <x:v>去</x:v>
      </x:c>
      <x:c r="E3475" s="6" t="str">
        <x:v>xuwH [χuh] (去)</x:v>
      </x:c>
      <x:c r="F3475" s="6" t="str">
        <x:v>1</x:v>
      </x:c>
      <x:c r="G3475" s="6" t="str">
        <x:v>Tang 300 gap; frequency 1; provisional from Xun Gong</x:v>
      </x:c>
      <x:c r="H3475" s="6" t="str">
        <x:f>IF(B3475="平","平",IF(B3475="","","仄"))</x:f>
        <x:v>仄</x:v>
      </x:c>
      <x:c r="I3475" s="6" t="str">
        <x:f>IF(D3461="","",IF(AND(ISNUMBER(SEARCH("平",D3461)),OR(ISNUMBER(SEARCH("上",D3461)),ISNUMBER(SEARCH("去",D3461)),ISNUMBER(SEARCH("入",D3461)))),"Ambiguous",IF(ISNUMBER(SEARCH("平",D3461)),"平","仄")))</x:f>
        <x:v>仄</x:v>
      </x:c>
      <x:c r="J3475" s="7" t="str">
        <x:v>Xun Gong, Tang 300 gap fill</x:v>
      </x:c>
    </x:row>
    <x:row r="3476">
      <x:c r="A3476" s="5" t="str">
        <x:v>蔽</x:v>
      </x:c>
      <x:c r="B3476" s="6" t="str">
        <x:v>去</x:v>
      </x:c>
      <x:c r="C3476" s="6" t="str">
        <x:f>IF(B3476="","Needs decision","Ready")</x:f>
        <x:v>Ready</x:v>
      </x:c>
      <x:c r="D3476" s="6" t="str">
        <x:v>去</x:v>
      </x:c>
      <x:c r="E3476" s="6" t="str">
        <x:v>pjiejH (C)</x:v>
      </x:c>
      <x:c r="F3476" s="6" t="str">
        <x:v>1</x:v>
      </x:c>
      <x:c r="G3476" s="6" t="str"/>
      <x:c r="H3476" s="6" t="str">
        <x:f>IF(B3476="平","平",IF(B3476="","","仄"))</x:f>
        <x:v>仄</x:v>
      </x:c>
      <x:c r="I3476" s="6" t="str">
        <x:f>IF(D3462="","",IF(AND(ISNUMBER(SEARCH("平",D3462)),OR(ISNUMBER(SEARCH("上",D3462)),ISNUMBER(SEARCH("去",D3462)),ISNUMBER(SEARCH("入",D3462)))),"Ambiguous",IF(ISNUMBER(SEARCH("平",D3462)),"平","仄")))</x:f>
        <x:v>平</x:v>
      </x:c>
      <x:c r="J3476" s="7" t="str"/>
    </x:row>
    <x:row r="3477">
      <x:c r="A3477" s="5" t="str">
        <x:v>蕃</x:v>
      </x:c>
      <x:c r="B3477" s="6" t="str">
        <x:v>平</x:v>
      </x:c>
      <x:c r="C3477" s="6" t="str">
        <x:f>IF(B3477="","Needs decision","Ready")</x:f>
        <x:v>Ready</x:v>
      </x:c>
      <x:c r="D3477" s="6" t="str">
        <x:v>平</x:v>
      </x:c>
      <x:c r="E3477" s="6" t="str">
        <x:v>pjon (A); bjon (A)</x:v>
      </x:c>
      <x:c r="F3477" s="6" t="str">
        <x:v>2</x:v>
      </x:c>
      <x:c r="G3477" s="6" t="str"/>
      <x:c r="H3477" s="6" t="str">
        <x:f>IF(B3477="平","平",IF(B3477="","","仄"))</x:f>
        <x:v>平</x:v>
      </x:c>
      <x:c r="I3477" s="6" t="str">
        <x:f>IF(D3463="","",IF(AND(ISNUMBER(SEARCH("平",D3463)),OR(ISNUMBER(SEARCH("上",D3463)),ISNUMBER(SEARCH("去",D3463)),ISNUMBER(SEARCH("入",D3463)))),"Ambiguous",IF(ISNUMBER(SEARCH("平",D3463)),"平","仄")))</x:f>
        <x:v>平</x:v>
      </x:c>
      <x:c r="J3477" s="7" t="str"/>
    </x:row>
    <x:row r="3478">
      <x:c r="A3478" s="5" t="str">
        <x:v>蕉</x:v>
      </x:c>
      <x:c r="B3478" s="6" t="str">
        <x:v>平</x:v>
      </x:c>
      <x:c r="C3478" s="6" t="str">
        <x:f>IF(B3478="","Needs decision","Ready")</x:f>
        <x:v>Ready</x:v>
      </x:c>
      <x:c r="D3478" s="6" t="str">
        <x:v>平</x:v>
      </x:c>
      <x:c r="E3478" s="6" t="str"/>
      <x:c r="F3478" s="6" t="str"/>
      <x:c r="G3478" s="6" t="str">
        <x:v>Manual user correction/addition</x:v>
      </x:c>
      <x:c r="H3478" s="6" t="str">
        <x:f>IF(B3478="平","平",IF(B3478="","","仄"))</x:f>
        <x:v>平</x:v>
      </x:c>
      <x:c r="I3478" s="6" t="str">
        <x:f>IF(D3464="","",IF(AND(ISNUMBER(SEARCH("平",D3464)),OR(ISNUMBER(SEARCH("上",D3464)),ISNUMBER(SEARCH("去",D3464)),ISNUMBER(SEARCH("入",D3464)))),"Ambiguous",IF(ISNUMBER(SEARCH("平",D3464)),"平","仄")))</x:f>
        <x:v>平</x:v>
      </x:c>
      <x:c r="J3478" s="7" t="str">
        <x:v>manual user correction</x:v>
      </x:c>
    </x:row>
    <x:row r="3479">
      <x:c r="A3479" s="5" t="str">
        <x:v>蕎</x:v>
      </x:c>
      <x:c r="B3479" s="6" t="str">
        <x:v>平</x:v>
      </x:c>
      <x:c r="C3479" s="6" t="str">
        <x:f>IF(B3479="","Needs decision","Ready")</x:f>
        <x:v>Ready</x:v>
      </x:c>
      <x:c r="D3479" s="6" t="str">
        <x:v>平</x:v>
      </x:c>
      <x:c r="E3479" s="6" t="str">
        <x:v>gjew (A)</x:v>
      </x:c>
      <x:c r="F3479" s="6" t="str">
        <x:v>1</x:v>
      </x:c>
      <x:c r="G3479" s="6" t="str"/>
      <x:c r="H3479" s="6" t="str">
        <x:f>IF(B3479="平","平",IF(B3479="","","仄"))</x:f>
        <x:v>平</x:v>
      </x:c>
      <x:c r="I3479" s="6" t="str">
        <x:f>IF(D3465="","",IF(AND(ISNUMBER(SEARCH("平",D3465)),OR(ISNUMBER(SEARCH("上",D3465)),ISNUMBER(SEARCH("去",D3465)),ISNUMBER(SEARCH("入",D3465)))),"Ambiguous",IF(ISNUMBER(SEARCH("平",D3465)),"平","仄")))</x:f>
        <x:v>仄</x:v>
      </x:c>
      <x:c r="J3479" s="7" t="str"/>
    </x:row>
    <x:row r="3480">
      <x:c r="A3480" s="5" t="str">
        <x:v>蕑</x:v>
      </x:c>
      <x:c r="B3480" s="6" t="str">
        <x:v>平</x:v>
      </x:c>
      <x:c r="C3480" s="6" t="str">
        <x:f>IF(B3480="","Needs decision","Ready")</x:f>
        <x:v>Ready</x:v>
      </x:c>
      <x:c r="D3480" s="6" t="str">
        <x:v>平</x:v>
      </x:c>
      <x:c r="E3480" s="6" t="str">
        <x:v>kean (A)</x:v>
      </x:c>
      <x:c r="F3480" s="6" t="str">
        <x:v>1</x:v>
      </x:c>
      <x:c r="G3480" s="6" t="str"/>
      <x:c r="H3480" s="6" t="str">
        <x:f>IF(B3480="平","平",IF(B3480="","","仄"))</x:f>
        <x:v>平</x:v>
      </x:c>
      <x:c r="I3480" s="6" t="str">
        <x:f>IF(D3466="","",IF(AND(ISNUMBER(SEARCH("平",D3466)),OR(ISNUMBER(SEARCH("上",D3466)),ISNUMBER(SEARCH("去",D3466)),ISNUMBER(SEARCH("入",D3466)))),"Ambiguous",IF(ISNUMBER(SEARCH("平",D3466)),"平","仄")))</x:f>
        <x:v>仄</x:v>
      </x:c>
      <x:c r="J3480" s="7" t="str"/>
    </x:row>
    <x:row r="3481">
      <x:c r="A3481" s="5" t="str">
        <x:v>蕙</x:v>
      </x:c>
      <x:c r="B3481" s="6" t="str">
        <x:v>去</x:v>
      </x:c>
      <x:c r="C3481" s="6" t="str">
        <x:f>IF(B3481="","Needs decision","Ready")</x:f>
        <x:v>Ready</x:v>
      </x:c>
      <x:c r="D3481" s="6" t="str">
        <x:v>去</x:v>
      </x:c>
      <x:c r="E3481" s="6" t="str"/>
      <x:c r="F3481" s="6" t="str"/>
      <x:c r="G3481" s="6" t="str">
        <x:v>Manual user correction/addition</x:v>
      </x:c>
      <x:c r="H3481" s="6" t="str">
        <x:f>IF(B3481="平","平",IF(B3481="","","仄"))</x:f>
        <x:v>仄</x:v>
      </x:c>
      <x:c r="I3481" s="6" t="str">
        <x:f>IF(D3467="","",IF(AND(ISNUMBER(SEARCH("平",D3467)),OR(ISNUMBER(SEARCH("上",D3467)),ISNUMBER(SEARCH("去",D3467)),ISNUMBER(SEARCH("入",D3467)))),"Ambiguous",IF(ISNUMBER(SEARCH("平",D3467)),"平","仄")))</x:f>
        <x:v>仄</x:v>
      </x:c>
      <x:c r="J3481" s="7" t="str">
        <x:v>manual user correction</x:v>
      </x:c>
    </x:row>
    <x:row r="3482">
      <x:c r="A3482" s="5" t="str">
        <x:v>蕡</x:v>
      </x:c>
      <x:c r="B3482" s="6" t="str">
        <x:v>平</x:v>
      </x:c>
      <x:c r="C3482" s="6" t="str">
        <x:f>IF(B3482="","Needs decision","Ready")</x:f>
        <x:v>Ready</x:v>
      </x:c>
      <x:c r="D3482" s="6" t="str">
        <x:v>平</x:v>
      </x:c>
      <x:c r="E3482" s="6" t="str"/>
      <x:c r="F3482" s="6" t="str"/>
      <x:c r="G3482" s="6" t="str">
        <x:v>Manual user correction/addition</x:v>
      </x:c>
      <x:c r="H3482" s="6" t="str">
        <x:f>IF(B3482="平","平",IF(B3482="","","仄"))</x:f>
        <x:v>平</x:v>
      </x:c>
      <x:c r="I3482" s="6" t="str">
        <x:f>IF(D3468="","",IF(AND(ISNUMBER(SEARCH("平",D3468)),OR(ISNUMBER(SEARCH("上",D3468)),ISNUMBER(SEARCH("去",D3468)),ISNUMBER(SEARCH("入",D3468)))),"Ambiguous",IF(ISNUMBER(SEARCH("平",D3468)),"平","仄")))</x:f>
        <x:v>仄</x:v>
      </x:c>
      <x:c r="J3482" s="7" t="str">
        <x:v>manual user correction</x:v>
      </x:c>
    </x:row>
    <x:row r="3483">
      <x:c r="A3483" s="5" t="str">
        <x:v>蕢</x:v>
      </x:c>
      <x:c r="B3483" s="6" t="str">
        <x:v>去</x:v>
      </x:c>
      <x:c r="C3483" s="6" t="str">
        <x:f>IF(B3483="","Needs decision","Ready")</x:f>
        <x:v>Ready</x:v>
      </x:c>
      <x:c r="D3483" s="6" t="str">
        <x:v>去</x:v>
      </x:c>
      <x:c r="E3483" s="6" t="str">
        <x:v>gwijH (C)</x:v>
      </x:c>
      <x:c r="F3483" s="6" t="str">
        <x:v>1</x:v>
      </x:c>
      <x:c r="G3483" s="6" t="str"/>
      <x:c r="H3483" s="6" t="str">
        <x:f>IF(B3483="平","平",IF(B3483="","","仄"))</x:f>
        <x:v>仄</x:v>
      </x:c>
      <x:c r="I3483" s="6" t="str">
        <x:f>IF(D3469="","",IF(AND(ISNUMBER(SEARCH("平",D3469)),OR(ISNUMBER(SEARCH("上",D3469)),ISNUMBER(SEARCH("去",D3469)),ISNUMBER(SEARCH("入",D3469)))),"Ambiguous",IF(ISNUMBER(SEARCH("平",D3469)),"平","仄")))</x:f>
        <x:v>仄</x:v>
      </x:c>
      <x:c r="J3483" s="7" t="str"/>
    </x:row>
    <x:row r="3484">
      <x:c r="A3484" s="5" t="str">
        <x:v>蕤</x:v>
      </x:c>
      <x:c r="B3484" s="6" t="str">
        <x:v>平</x:v>
      </x:c>
      <x:c r="C3484" s="6" t="str">
        <x:f>IF(B3484="","Needs decision","Ready")</x:f>
        <x:v>Ready</x:v>
      </x:c>
      <x:c r="D3484" s="6" t="str">
        <x:v>平</x:v>
      </x:c>
      <x:c r="E3484" s="6" t="str">
        <x:v>nywij [ɲwi] (平)</x:v>
      </x:c>
      <x:c r="F3484" s="6" t="str">
        <x:v>1</x:v>
      </x:c>
      <x:c r="G3484" s="6" t="str">
        <x:v>Tang 300 gap; frequency 1; provisional from Xun Gong</x:v>
      </x:c>
      <x:c r="H3484" s="6" t="str">
        <x:f>IF(B3484="平","平",IF(B3484="","","仄"))</x:f>
        <x:v>平</x:v>
      </x:c>
      <x:c r="I3484" s="6" t="str">
        <x:f>IF(D3470="","",IF(AND(ISNUMBER(SEARCH("平",D3470)),OR(ISNUMBER(SEARCH("上",D3470)),ISNUMBER(SEARCH("去",D3470)),ISNUMBER(SEARCH("入",D3470)))),"Ambiguous",IF(ISNUMBER(SEARCH("平",D3470)),"平","仄")))</x:f>
        <x:v>仄</x:v>
      </x:c>
      <x:c r="J3484" s="7" t="str">
        <x:v>Xun Gong, Tang 300 gap fill</x:v>
      </x:c>
    </x:row>
    <x:row r="3485">
      <x:c r="A3485" s="5" t="str">
        <x:v>蕨</x:v>
      </x:c>
      <x:c r="B3485" s="6" t="str">
        <x:v>入</x:v>
      </x:c>
      <x:c r="C3485" s="6" t="str">
        <x:f>IF(B3485="","Needs decision","Ready")</x:f>
        <x:v>Ready</x:v>
      </x:c>
      <x:c r="D3485" s="6" t="str">
        <x:v>入</x:v>
      </x:c>
      <x:c r="E3485" s="6" t="str">
        <x:v>kjwot (D)</x:v>
      </x:c>
      <x:c r="F3485" s="6" t="str">
        <x:v>1</x:v>
      </x:c>
      <x:c r="G3485" s="6" t="str"/>
      <x:c r="H3485" s="6" t="str">
        <x:f>IF(B3485="平","平",IF(B3485="","","仄"))</x:f>
        <x:v>仄</x:v>
      </x:c>
      <x:c r="I3485" s="6" t="str">
        <x:f>IF(D3471="","",IF(AND(ISNUMBER(SEARCH("平",D3471)),OR(ISNUMBER(SEARCH("上",D3471)),ISNUMBER(SEARCH("去",D3471)),ISNUMBER(SEARCH("入",D3471)))),"Ambiguous",IF(ISNUMBER(SEARCH("平",D3471)),"平","仄")))</x:f>
        <x:v>仄</x:v>
      </x:c>
      <x:c r="J3485" s="7" t="str"/>
    </x:row>
    <x:row r="3486">
      <x:c r="A3486" s="5" t="str">
        <x:v>蕩</x:v>
      </x:c>
      <x:c r="B3486" s="6" t="str">
        <x:v>上</x:v>
      </x:c>
      <x:c r="C3486" s="6" t="str">
        <x:f>IF(B3486="","Needs decision","Ready")</x:f>
        <x:v>Ready</x:v>
      </x:c>
      <x:c r="D3486" s="6" t="str">
        <x:v>上/去</x:v>
      </x:c>
      <x:c r="E3486" s="6" t="str">
        <x:v>dangX (B); dangH (C)</x:v>
      </x:c>
      <x:c r="F3486" s="6" t="str">
        <x:v>2</x:v>
      </x:c>
      <x:c r="G3486" s="6" t="str"/>
      <x:c r="H3486" s="6" t="str">
        <x:f>IF(B3486="平","平",IF(B3486="","","仄"))</x:f>
        <x:v>仄</x:v>
      </x:c>
      <x:c r="I3486" s="6" t="str">
        <x:f>IF(D3472="","",IF(AND(ISNUMBER(SEARCH("平",D3472)),OR(ISNUMBER(SEARCH("上",D3472)),ISNUMBER(SEARCH("去",D3472)),ISNUMBER(SEARCH("入",D3472)))),"Ambiguous",IF(ISNUMBER(SEARCH("平",D3472)),"平","仄")))</x:f>
        <x:v>平</x:v>
      </x:c>
      <x:c r="J3486" s="7" t="str"/>
    </x:row>
    <x:row r="3487">
      <x:c r="A3487" s="5" t="str">
        <x:v>蕪</x:v>
      </x:c>
      <x:c r="B3487" s="6" t="str">
        <x:v>平</x:v>
      </x:c>
      <x:c r="C3487" s="6" t="str">
        <x:f>IF(B3487="","Needs decision","Ready")</x:f>
        <x:v>Ready</x:v>
      </x:c>
      <x:c r="D3487" s="6" t="str">
        <x:v>平</x:v>
      </x:c>
      <x:c r="E3487" s="6" t="str">
        <x:v>mju (A)</x:v>
      </x:c>
      <x:c r="F3487" s="6" t="str">
        <x:v>1</x:v>
      </x:c>
      <x:c r="G3487" s="6" t="str"/>
      <x:c r="H3487" s="6" t="str">
        <x:f>IF(B3487="平","平",IF(B3487="","","仄"))</x:f>
        <x:v>平</x:v>
      </x:c>
      <x:c r="I3487" s="6" t="str">
        <x:f>IF(D3473="","",IF(AND(ISNUMBER(SEARCH("平",D3473)),OR(ISNUMBER(SEARCH("上",D3473)),ISNUMBER(SEARCH("去",D3473)),ISNUMBER(SEARCH("入",D3473)))),"Ambiguous",IF(ISNUMBER(SEARCH("平",D3473)),"平","仄")))</x:f>
        <x:v>平</x:v>
      </x:c>
      <x:c r="J3487" s="7" t="str"/>
    </x:row>
    <x:row r="3488">
      <x:c r="A3488" s="5" t="str">
        <x:v>蕭</x:v>
      </x:c>
      <x:c r="B3488" s="6" t="str">
        <x:v>平</x:v>
      </x:c>
      <x:c r="C3488" s="6" t="str">
        <x:f>IF(B3488="","Needs decision","Ready")</x:f>
        <x:v>Ready</x:v>
      </x:c>
      <x:c r="D3488" s="6" t="str">
        <x:v>平</x:v>
      </x:c>
      <x:c r="E3488" s="6" t="str">
        <x:v>sew (A)</x:v>
      </x:c>
      <x:c r="F3488" s="6" t="str">
        <x:v>1</x:v>
      </x:c>
      <x:c r="G3488" s="6" t="str"/>
      <x:c r="H3488" s="6" t="str">
        <x:f>IF(B3488="平","平",IF(B3488="","","仄"))</x:f>
        <x:v>平</x:v>
      </x:c>
      <x:c r="I3488" s="6" t="str">
        <x:f>IF(D3474="","",IF(AND(ISNUMBER(SEARCH("平",D3474)),OR(ISNUMBER(SEARCH("上",D3474)),ISNUMBER(SEARCH("去",D3474)),ISNUMBER(SEARCH("入",D3474)))),"Ambiguous",IF(ISNUMBER(SEARCH("平",D3474)),"平","仄")))</x:f>
        <x:v>仄</x:v>
      </x:c>
      <x:c r="J3488" s="7" t="str"/>
    </x:row>
    <x:row r="3489">
      <x:c r="A3489" s="5" t="str">
        <x:v>薁</x:v>
      </x:c>
      <x:c r="B3489" s="6" t="str">
        <x:v>入</x:v>
      </x:c>
      <x:c r="C3489" s="6" t="str">
        <x:f>IF(B3489="","Needs decision","Ready")</x:f>
        <x:v>Ready</x:v>
      </x:c>
      <x:c r="D3489" s="6" t="str">
        <x:v>入</x:v>
      </x:c>
      <x:c r="E3489" s="6" t="str">
        <x:v>'juwk (D)</x:v>
      </x:c>
      <x:c r="F3489" s="6" t="str">
        <x:v>1</x:v>
      </x:c>
      <x:c r="G3489" s="6" t="str"/>
      <x:c r="H3489" s="6" t="str">
        <x:f>IF(B3489="平","平",IF(B3489="","","仄"))</x:f>
        <x:v>仄</x:v>
      </x:c>
      <x:c r="I3489" s="6" t="str">
        <x:f>IF(D3475="","",IF(AND(ISNUMBER(SEARCH("平",D3475)),OR(ISNUMBER(SEARCH("上",D3475)),ISNUMBER(SEARCH("去",D3475)),ISNUMBER(SEARCH("入",D3475)))),"Ambiguous",IF(ISNUMBER(SEARCH("平",D3475)),"平","仄")))</x:f>
        <x:v>仄</x:v>
      </x:c>
      <x:c r="J3489" s="7" t="str"/>
    </x:row>
    <x:row r="3490">
      <x:c r="A3490" s="5" t="str">
        <x:v>薄</x:v>
      </x:c>
      <x:c r="B3490" s="6" t="str">
        <x:v>入</x:v>
      </x:c>
      <x:c r="C3490" s="6" t="str">
        <x:f>IF(B3490="","Needs decision","Ready")</x:f>
        <x:v>Ready</x:v>
      </x:c>
      <x:c r="D3490" s="6" t="str">
        <x:v>入</x:v>
      </x:c>
      <x:c r="E3490" s="6" t="str">
        <x:v>bak (D)</x:v>
      </x:c>
      <x:c r="F3490" s="6" t="str">
        <x:v>1</x:v>
      </x:c>
      <x:c r="G3490" s="6" t="str"/>
      <x:c r="H3490" s="6" t="str">
        <x:f>IF(B3490="平","平",IF(B3490="","","仄"))</x:f>
        <x:v>仄</x:v>
      </x:c>
      <x:c r="I3490" s="6" t="str">
        <x:f>IF(D3476="","",IF(AND(ISNUMBER(SEARCH("平",D3476)),OR(ISNUMBER(SEARCH("上",D3476)),ISNUMBER(SEARCH("去",D3476)),ISNUMBER(SEARCH("入",D3476)))),"Ambiguous",IF(ISNUMBER(SEARCH("平",D3476)),"平","仄")))</x:f>
        <x:v>仄</x:v>
      </x:c>
      <x:c r="J3490" s="7" t="str"/>
    </x:row>
    <x:row r="3491">
      <x:c r="A3491" s="5" t="str">
        <x:v>薅</x:v>
      </x:c>
      <x:c r="B3491" s="6" t="str">
        <x:v>平</x:v>
      </x:c>
      <x:c r="C3491" s="6" t="str">
        <x:f>IF(B3491="","Needs decision","Ready")</x:f>
        <x:v>Ready</x:v>
      </x:c>
      <x:c r="D3491" s="6" t="str">
        <x:v>平</x:v>
      </x:c>
      <x:c r="E3491" s="6" t="str">
        <x:v>xaw (A)</x:v>
      </x:c>
      <x:c r="F3491" s="6" t="str">
        <x:v>1</x:v>
      </x:c>
      <x:c r="G3491" s="6" t="str"/>
      <x:c r="H3491" s="6" t="str">
        <x:f>IF(B3491="平","平",IF(B3491="","","仄"))</x:f>
        <x:v>平</x:v>
      </x:c>
      <x:c r="I3491" s="6" t="str">
        <x:f>IF(D3477="","",IF(AND(ISNUMBER(SEARCH("平",D3477)),OR(ISNUMBER(SEARCH("上",D3477)),ISNUMBER(SEARCH("去",D3477)),ISNUMBER(SEARCH("入",D3477)))),"Ambiguous",IF(ISNUMBER(SEARCH("平",D3477)),"平","仄")))</x:f>
        <x:v>平</x:v>
      </x:c>
      <x:c r="J3491" s="7" t="str"/>
    </x:row>
    <x:row r="3492">
      <x:c r="A3492" s="5" t="str">
        <x:v>薇</x:v>
      </x:c>
      <x:c r="B3492" s="6" t="str">
        <x:v>平</x:v>
      </x:c>
      <x:c r="C3492" s="6" t="str">
        <x:f>IF(B3492="","Needs decision","Ready")</x:f>
        <x:v>Ready</x:v>
      </x:c>
      <x:c r="D3492" s="6" t="str">
        <x:v>平</x:v>
      </x:c>
      <x:c r="E3492" s="6" t="str">
        <x:v>mij [mɨ̯i] (平); mj+j [mwɨj] (平)</x:v>
      </x:c>
      <x:c r="F3492" s="6" t="str">
        <x:v>2</x:v>
      </x:c>
      <x:c r="G3492" s="6" t="str">
        <x:v>Tang 300 gap; frequency 1; provisional from Xun Gong</x:v>
      </x:c>
      <x:c r="H3492" s="6" t="str">
        <x:f>IF(B3492="平","平",IF(B3492="","","仄"))</x:f>
        <x:v>平</x:v>
      </x:c>
      <x:c r="I3492" s="6" t="str">
        <x:f>IF(D3478="","",IF(AND(ISNUMBER(SEARCH("平",D3478)),OR(ISNUMBER(SEARCH("上",D3478)),ISNUMBER(SEARCH("去",D3478)),ISNUMBER(SEARCH("入",D3478)))),"Ambiguous",IF(ISNUMBER(SEARCH("平",D3478)),"平","仄")))</x:f>
        <x:v>平</x:v>
      </x:c>
      <x:c r="J3492" s="7" t="str">
        <x:v>Xun Gong, Tang 300 gap fill</x:v>
      </x:c>
    </x:row>
    <x:row r="3493">
      <x:c r="A3493" s="5" t="str">
        <x:v>薊</x:v>
      </x:c>
      <x:c r="B3493" s="6" t="str">
        <x:v>去</x:v>
      </x:c>
      <x:c r="C3493" s="6" t="str">
        <x:f>IF(B3493="","Needs decision","Ready")</x:f>
        <x:v>Ready</x:v>
      </x:c>
      <x:c r="D3493" s="6" t="str">
        <x:v>去</x:v>
      </x:c>
      <x:c r="E3493" s="6" t="str">
        <x:v>kejH [qejh] (去)</x:v>
      </x:c>
      <x:c r="F3493" s="6" t="str">
        <x:v>1</x:v>
      </x:c>
      <x:c r="G3493" s="6" t="str">
        <x:v>Tang 300 gap; frequency 3; provisional from Xun Gong</x:v>
      </x:c>
      <x:c r="H3493" s="6" t="str">
        <x:f>IF(B3493="平","平",IF(B3493="","","仄"))</x:f>
        <x:v>仄</x:v>
      </x:c>
      <x:c r="I3493" s="6" t="str">
        <x:f>IF(D3479="","",IF(AND(ISNUMBER(SEARCH("平",D3479)),OR(ISNUMBER(SEARCH("上",D3479)),ISNUMBER(SEARCH("去",D3479)),ISNUMBER(SEARCH("入",D3479)))),"Ambiguous",IF(ISNUMBER(SEARCH("平",D3479)),"平","仄")))</x:f>
        <x:v>平</x:v>
      </x:c>
      <x:c r="J3493" s="7" t="str">
        <x:v>Xun Gong, Tang 300 gap fill</x:v>
      </x:c>
    </x:row>
    <x:row r="3494">
      <x:c r="A3494" s="5" t="str">
        <x:v>薌</x:v>
      </x:c>
      <x:c r="B3494" s="6" t="str">
        <x:v>平</x:v>
      </x:c>
      <x:c r="C3494" s="6" t="str">
        <x:f>IF(B3494="","Needs decision","Ready")</x:f>
        <x:v>Ready</x:v>
      </x:c>
      <x:c r="D3494" s="6" t="str">
        <x:v>平</x:v>
      </x:c>
      <x:c r="E3494" s="6" t="str">
        <x:v>xjang (A)</x:v>
      </x:c>
      <x:c r="F3494" s="6" t="str">
        <x:v>1</x:v>
      </x:c>
      <x:c r="G3494" s="6" t="str"/>
      <x:c r="H3494" s="6" t="str">
        <x:f>IF(B3494="平","平",IF(B3494="","","仄"))</x:f>
        <x:v>平</x:v>
      </x:c>
      <x:c r="I3494" s="6" t="str">
        <x:f>IF(D3480="","",IF(AND(ISNUMBER(SEARCH("平",D3480)),OR(ISNUMBER(SEARCH("上",D3480)),ISNUMBER(SEARCH("去",D3480)),ISNUMBER(SEARCH("入",D3480)))),"Ambiguous",IF(ISNUMBER(SEARCH("平",D3480)),"平","仄")))</x:f>
        <x:v>平</x:v>
      </x:c>
      <x:c r="J3494" s="7" t="str"/>
    </x:row>
    <x:row r="3495">
      <x:c r="A3495" s="5" t="str">
        <x:v>薑</x:v>
      </x:c>
      <x:c r="B3495" s="6" t="str">
        <x:v>平</x:v>
      </x:c>
      <x:c r="C3495" s="6" t="str">
        <x:f>IF(B3495="","Needs decision","Ready")</x:f>
        <x:v>Ready</x:v>
      </x:c>
      <x:c r="D3495" s="6" t="str">
        <x:v>平</x:v>
      </x:c>
      <x:c r="E3495" s="6" t="str">
        <x:v>kjang (A)</x:v>
      </x:c>
      <x:c r="F3495" s="6" t="str">
        <x:v>1</x:v>
      </x:c>
      <x:c r="G3495" s="6" t="str"/>
      <x:c r="H3495" s="6" t="str">
        <x:f>IF(B3495="平","平",IF(B3495="","","仄"))</x:f>
        <x:v>平</x:v>
      </x:c>
      <x:c r="I3495" s="6" t="str">
        <x:f>IF(D3481="","",IF(AND(ISNUMBER(SEARCH("平",D3481)),OR(ISNUMBER(SEARCH("上",D3481)),ISNUMBER(SEARCH("去",D3481)),ISNUMBER(SEARCH("入",D3481)))),"Ambiguous",IF(ISNUMBER(SEARCH("平",D3481)),"平","仄")))</x:f>
        <x:v>仄</x:v>
      </x:c>
      <x:c r="J3495" s="7" t="str"/>
    </x:row>
    <x:row r="3496">
      <x:c r="A3496" s="5" t="str">
        <x:v>薖</x:v>
      </x:c>
      <x:c r="B3496" s="6" t="str">
        <x:v>平</x:v>
      </x:c>
      <x:c r="C3496" s="6" t="str">
        <x:f>IF(B3496="","Needs decision","Ready")</x:f>
        <x:v>Ready</x:v>
      </x:c>
      <x:c r="D3496" s="6" t="str">
        <x:v>平</x:v>
      </x:c>
      <x:c r="E3496" s="6" t="str">
        <x:v>khwa (A)</x:v>
      </x:c>
      <x:c r="F3496" s="6" t="str">
        <x:v>1</x:v>
      </x:c>
      <x:c r="G3496" s="6" t="str"/>
      <x:c r="H3496" s="6" t="str">
        <x:f>IF(B3496="平","平",IF(B3496="","","仄"))</x:f>
        <x:v>平</x:v>
      </x:c>
      <x:c r="I3496" s="6" t="str">
        <x:f>IF(D3482="","",IF(AND(ISNUMBER(SEARCH("平",D3482)),OR(ISNUMBER(SEARCH("上",D3482)),ISNUMBER(SEARCH("去",D3482)),ISNUMBER(SEARCH("入",D3482)))),"Ambiguous",IF(ISNUMBER(SEARCH("平",D3482)),"平","仄")))</x:f>
        <x:v>平</x:v>
      </x:c>
      <x:c r="J3496" s="7" t="str"/>
    </x:row>
    <x:row r="3497">
      <x:c r="A3497" s="5" t="str">
        <x:v>薙</x:v>
      </x:c>
      <x:c r="B3497" s="6" t="str">
        <x:v>去</x:v>
      </x:c>
      <x:c r="C3497" s="6" t="str">
        <x:f>IF(B3497="","Needs decision","Ready")</x:f>
        <x:v>Ready</x:v>
      </x:c>
      <x:c r="D3497" s="6" t="str">
        <x:v>去</x:v>
      </x:c>
      <x:c r="E3497" s="6" t="str">
        <x:v>thejH (C)</x:v>
      </x:c>
      <x:c r="F3497" s="6" t="str">
        <x:v>1</x:v>
      </x:c>
      <x:c r="G3497" s="6" t="str"/>
      <x:c r="H3497" s="6" t="str">
        <x:f>IF(B3497="平","平",IF(B3497="","","仄"))</x:f>
        <x:v>仄</x:v>
      </x:c>
      <x:c r="I3497" s="6" t="str">
        <x:f>IF(D3483="","",IF(AND(ISNUMBER(SEARCH("平",D3483)),OR(ISNUMBER(SEARCH("上",D3483)),ISNUMBER(SEARCH("去",D3483)),ISNUMBER(SEARCH("入",D3483)))),"Ambiguous",IF(ISNUMBER(SEARCH("平",D3483)),"平","仄")))</x:f>
        <x:v>仄</x:v>
      </x:c>
      <x:c r="J3497" s="7" t="str"/>
    </x:row>
    <x:row r="3498">
      <x:c r="A3498" s="5" t="str">
        <x:v>薛</x:v>
      </x:c>
      <x:c r="B3498" s="6" t="str">
        <x:v>入</x:v>
      </x:c>
      <x:c r="C3498" s="6" t="str">
        <x:f>IF(B3498="","Needs decision","Ready")</x:f>
        <x:v>Ready</x:v>
      </x:c>
      <x:c r="D3498" s="6" t="str">
        <x:v>入</x:v>
      </x:c>
      <x:c r="E3498" s="6" t="str">
        <x:v>sjet (D)</x:v>
      </x:c>
      <x:c r="F3498" s="6" t="str">
        <x:v>1</x:v>
      </x:c>
      <x:c r="G3498" s="6" t="str"/>
      <x:c r="H3498" s="6" t="str">
        <x:f>IF(B3498="平","平",IF(B3498="","","仄"))</x:f>
        <x:v>仄</x:v>
      </x:c>
      <x:c r="I3498" s="6" t="str">
        <x:f>IF(D3484="","",IF(AND(ISNUMBER(SEARCH("平",D3484)),OR(ISNUMBER(SEARCH("上",D3484)),ISNUMBER(SEARCH("去",D3484)),ISNUMBER(SEARCH("入",D3484)))),"Ambiguous",IF(ISNUMBER(SEARCH("平",D3484)),"平","仄")))</x:f>
        <x:v>平</x:v>
      </x:c>
      <x:c r="J3498" s="7" t="str"/>
    </x:row>
    <x:row r="3499">
      <x:c r="A3499" s="5" t="str">
        <x:v>薜</x:v>
      </x:c>
      <x:c r="B3499" s="6" t="str"/>
      <x:c r="C3499" s="6" t="str">
        <x:f>IF(B3499="","Needs decision","Ready")</x:f>
        <x:v>Needs decision</x:v>
      </x:c>
      <x:c r="D3499" s="6" t="str">
        <x:v>去/入</x:v>
      </x:c>
      <x:c r="E3499" s="6" t="str">
        <x:v>bejH [b̙ejh] (去); peak [p̙eˤk] (入)</x:v>
      </x:c>
      <x:c r="F3499" s="6" t="str">
        <x:v>2</x:v>
      </x:c>
      <x:c r="G3499" s="6" t="str">
        <x:v>Tang 300 gap; frequency 2; ambiguous in Xun Gong</x:v>
      </x:c>
      <x:c r="H3499" s="6" t="str">
        <x:f>IF(B3499="平","平",IF(B3499="","","仄"))</x:f>
      </x:c>
      <x:c r="I3499" s="6" t="str">
        <x:f>IF(D3485="","",IF(AND(ISNUMBER(SEARCH("平",D3485)),OR(ISNUMBER(SEARCH("上",D3485)),ISNUMBER(SEARCH("去",D3485)),ISNUMBER(SEARCH("入",D3485)))),"Ambiguous",IF(ISNUMBER(SEARCH("平",D3485)),"平","仄")))</x:f>
        <x:v>仄</x:v>
      </x:c>
      <x:c r="J3499" s="7" t="str">
        <x:v>Xun Gong, Tang 300 gap fill</x:v>
      </x:c>
    </x:row>
    <x:row r="3500">
      <x:c r="A3500" s="5" t="str">
        <x:v>薦</x:v>
      </x:c>
      <x:c r="B3500" s="6" t="str">
        <x:v>去</x:v>
      </x:c>
      <x:c r="C3500" s="6" t="str">
        <x:f>IF(B3500="","Needs decision","Ready")</x:f>
        <x:v>Ready</x:v>
      </x:c>
      <x:c r="D3500" s="6" t="str">
        <x:v>去</x:v>
      </x:c>
      <x:c r="E3500" s="6" t="str">
        <x:v>tsenH (C)</x:v>
      </x:c>
      <x:c r="F3500" s="6" t="str">
        <x:v>1</x:v>
      </x:c>
      <x:c r="G3500" s="6" t="str"/>
      <x:c r="H3500" s="6" t="str">
        <x:f>IF(B3500="平","平",IF(B3500="","","仄"))</x:f>
        <x:v>仄</x:v>
      </x:c>
      <x:c r="I3500" s="6" t="str">
        <x:f>IF(D3486="","",IF(AND(ISNUMBER(SEARCH("平",D3486)),OR(ISNUMBER(SEARCH("上",D3486)),ISNUMBER(SEARCH("去",D3486)),ISNUMBER(SEARCH("入",D3486)))),"Ambiguous",IF(ISNUMBER(SEARCH("平",D3486)),"平","仄")))</x:f>
        <x:v>仄</x:v>
      </x:c>
      <x:c r="J3500" s="7" t="str"/>
    </x:row>
    <x:row r="3501">
      <x:c r="A3501" s="5" t="str">
        <x:v>薨</x:v>
      </x:c>
      <x:c r="B3501" s="6" t="str">
        <x:v>平</x:v>
      </x:c>
      <x:c r="C3501" s="6" t="str">
        <x:f>IF(B3501="","Needs decision","Ready")</x:f>
        <x:v>Ready</x:v>
      </x:c>
      <x:c r="D3501" s="6" t="str">
        <x:v>平</x:v>
      </x:c>
      <x:c r="E3501" s="6" t="str">
        <x:v>xwong (A)</x:v>
      </x:c>
      <x:c r="F3501" s="6" t="str">
        <x:v>1</x:v>
      </x:c>
      <x:c r="G3501" s="6" t="str"/>
      <x:c r="H3501" s="6" t="str">
        <x:f>IF(B3501="平","平",IF(B3501="","","仄"))</x:f>
        <x:v>平</x:v>
      </x:c>
      <x:c r="I3501" s="6" t="str">
        <x:f>IF(D3487="","",IF(AND(ISNUMBER(SEARCH("平",D3487)),OR(ISNUMBER(SEARCH("上",D3487)),ISNUMBER(SEARCH("去",D3487)),ISNUMBER(SEARCH("入",D3487)))),"Ambiguous",IF(ISNUMBER(SEARCH("平",D3487)),"平","仄")))</x:f>
        <x:v>平</x:v>
      </x:c>
      <x:c r="J3501" s="7" t="str"/>
    </x:row>
    <x:row r="3502">
      <x:c r="A3502" s="5" t="str">
        <x:v>薩</x:v>
      </x:c>
      <x:c r="B3502" s="6" t="str">
        <x:v>入</x:v>
      </x:c>
      <x:c r="C3502" s="6" t="str">
        <x:f>IF(B3502="","Needs decision","Ready")</x:f>
        <x:v>Ready</x:v>
      </x:c>
      <x:c r="D3502" s="6" t="str">
        <x:v>入</x:v>
      </x:c>
      <x:c r="E3502" s="6" t="str"/>
      <x:c r="F3502" s="6" t="str"/>
      <x:c r="G3502" s="6" t="str">
        <x:v>Manual user correction/addition</x:v>
      </x:c>
      <x:c r="H3502" s="6" t="str">
        <x:f>IF(B3502="平","平",IF(B3502="","","仄"))</x:f>
        <x:v>仄</x:v>
      </x:c>
      <x:c r="I3502" s="6" t="str">
        <x:v>仄</x:v>
      </x:c>
      <x:c r="J3502" s="7" t="str">
        <x:v>manual user correction</x:v>
      </x:c>
    </x:row>
    <x:row r="3503">
      <x:c r="A3503" s="5" t="str">
        <x:v>薪</x:v>
      </x:c>
      <x:c r="B3503" s="6" t="str">
        <x:v>平</x:v>
      </x:c>
      <x:c r="C3503" s="6" t="str">
        <x:f>IF(B3503="","Needs decision","Ready")</x:f>
        <x:v>Ready</x:v>
      </x:c>
      <x:c r="D3503" s="6" t="str">
        <x:v>平</x:v>
      </x:c>
      <x:c r="E3503" s="6" t="str">
        <x:v>sin (A)</x:v>
      </x:c>
      <x:c r="F3503" s="6" t="str">
        <x:v>1</x:v>
      </x:c>
      <x:c r="G3503" s="6" t="str"/>
      <x:c r="H3503" s="6" t="str">
        <x:f>IF(B3503="平","平",IF(B3503="","","仄"))</x:f>
        <x:v>平</x:v>
      </x:c>
      <x:c r="I3503" s="6" t="str">
        <x:f>IF(D3488="","",IF(AND(ISNUMBER(SEARCH("平",D3488)),OR(ISNUMBER(SEARCH("上",D3488)),ISNUMBER(SEARCH("去",D3488)),ISNUMBER(SEARCH("入",D3488)))),"Ambiguous",IF(ISNUMBER(SEARCH("平",D3488)),"平","仄")))</x:f>
        <x:v>平</x:v>
      </x:c>
      <x:c r="J3503" s="7" t="str"/>
    </x:row>
    <x:row r="3504">
      <x:c r="A3504" s="5" t="str">
        <x:v>薰</x:v>
      </x:c>
      <x:c r="B3504" s="6" t="str">
        <x:v>平</x:v>
      </x:c>
      <x:c r="C3504" s="6" t="str">
        <x:f>IF(B3504="","Needs decision","Ready")</x:f>
        <x:v>Ready</x:v>
      </x:c>
      <x:c r="D3504" s="6" t="str">
        <x:v>平</x:v>
      </x:c>
      <x:c r="E3504" s="6" t="str">
        <x:v>xjun (A)</x:v>
      </x:c>
      <x:c r="F3504" s="6" t="str">
        <x:v>1</x:v>
      </x:c>
      <x:c r="G3504" s="6" t="str"/>
      <x:c r="H3504" s="6" t="str">
        <x:f>IF(B3504="平","平",IF(B3504="","","仄"))</x:f>
        <x:v>平</x:v>
      </x:c>
      <x:c r="I3504" s="6" t="str">
        <x:f>IF(D3489="","",IF(AND(ISNUMBER(SEARCH("平",D3489)),OR(ISNUMBER(SEARCH("上",D3489)),ISNUMBER(SEARCH("去",D3489)),ISNUMBER(SEARCH("入",D3489)))),"Ambiguous",IF(ISNUMBER(SEARCH("平",D3489)),"平","仄")))</x:f>
        <x:v>仄</x:v>
      </x:c>
      <x:c r="J3504" s="7" t="str"/>
    </x:row>
    <x:row r="3505">
      <x:c r="A3505" s="5" t="str">
        <x:v>薶</x:v>
      </x:c>
      <x:c r="B3505" s="6" t="str">
        <x:v>平</x:v>
      </x:c>
      <x:c r="C3505" s="6" t="str">
        <x:f>IF(B3505="","Needs decision","Ready")</x:f>
        <x:v>Ready</x:v>
      </x:c>
      <x:c r="D3505" s="6" t="str">
        <x:v>平</x:v>
      </x:c>
      <x:c r="E3505" s="6" t="str">
        <x:v>meaj (A)</x:v>
      </x:c>
      <x:c r="F3505" s="6" t="str">
        <x:v>1</x:v>
      </x:c>
      <x:c r="G3505" s="6" t="str"/>
      <x:c r="H3505" s="6" t="str">
        <x:f>IF(B3505="平","平",IF(B3505="","","仄"))</x:f>
        <x:v>平</x:v>
      </x:c>
      <x:c r="I3505" s="6" t="str">
        <x:f>IF(D3490="","",IF(AND(ISNUMBER(SEARCH("平",D3490)),OR(ISNUMBER(SEARCH("上",D3490)),ISNUMBER(SEARCH("去",D3490)),ISNUMBER(SEARCH("入",D3490)))),"Ambiguous",IF(ISNUMBER(SEARCH("平",D3490)),"平","仄")))</x:f>
        <x:v>仄</x:v>
      </x:c>
      <x:c r="J3505" s="7" t="str"/>
    </x:row>
    <x:row r="3506">
      <x:c r="A3506" s="5" t="str">
        <x:v>薸</x:v>
      </x:c>
      <x:c r="B3506" s="6" t="str">
        <x:v>平</x:v>
      </x:c>
      <x:c r="C3506" s="6" t="str">
        <x:f>IF(B3506="","Needs decision","Ready")</x:f>
        <x:v>Ready</x:v>
      </x:c>
      <x:c r="D3506" s="6" t="str">
        <x:v>平</x:v>
      </x:c>
      <x:c r="E3506" s="6" t="str">
        <x:v>bjiew (A)</x:v>
      </x:c>
      <x:c r="F3506" s="6" t="str">
        <x:v>1</x:v>
      </x:c>
      <x:c r="G3506" s="6" t="str"/>
      <x:c r="H3506" s="6" t="str">
        <x:f>IF(B3506="平","平",IF(B3506="","","仄"))</x:f>
        <x:v>平</x:v>
      </x:c>
      <x:c r="I3506" s="6" t="str">
        <x:f>IF(D3491="","",IF(AND(ISNUMBER(SEARCH("平",D3491)),OR(ISNUMBER(SEARCH("上",D3491)),ISNUMBER(SEARCH("去",D3491)),ISNUMBER(SEARCH("入",D3491)))),"Ambiguous",IF(ISNUMBER(SEARCH("平",D3491)),"平","仄")))</x:f>
        <x:v>平</x:v>
      </x:c>
      <x:c r="J3506" s="7" t="str"/>
    </x:row>
    <x:row r="3507">
      <x:c r="A3507" s="5" t="str">
        <x:v>薺</x:v>
      </x:c>
      <x:c r="B3507" s="6" t="str">
        <x:v>上</x:v>
      </x:c>
      <x:c r="C3507" s="6" t="str">
        <x:f>IF(B3507="","Needs decision","Ready")</x:f>
        <x:v>Ready</x:v>
      </x:c>
      <x:c r="D3507" s="6" t="str">
        <x:v>上</x:v>
      </x:c>
      <x:c r="E3507" s="6" t="str">
        <x:v>dzejX (B)</x:v>
      </x:c>
      <x:c r="F3507" s="6" t="str">
        <x:v>1</x:v>
      </x:c>
      <x:c r="G3507" s="6" t="str"/>
      <x:c r="H3507" s="6" t="str">
        <x:f>IF(B3507="平","平",IF(B3507="","","仄"))</x:f>
        <x:v>仄</x:v>
      </x:c>
      <x:c r="I3507" s="6" t="str">
        <x:f>IF(D3492="","",IF(AND(ISNUMBER(SEARCH("平",D3492)),OR(ISNUMBER(SEARCH("上",D3492)),ISNUMBER(SEARCH("去",D3492)),ISNUMBER(SEARCH("入",D3492)))),"Ambiguous",IF(ISNUMBER(SEARCH("平",D3492)),"平","仄")))</x:f>
        <x:v>平</x:v>
      </x:c>
      <x:c r="J3507" s="7" t="str"/>
    </x:row>
    <x:row r="3508">
      <x:c r="A3508" s="5" t="str">
        <x:v>藁</x:v>
      </x:c>
      <x:c r="B3508" s="6" t="str">
        <x:v>上</x:v>
      </x:c>
      <x:c r="C3508" s="6" t="str">
        <x:f>IF(B3508="","Needs decision","Ready")</x:f>
        <x:v>Ready</x:v>
      </x:c>
      <x:c r="D3508" s="6" t="str">
        <x:v>上</x:v>
      </x:c>
      <x:c r="E3508" s="6" t="str">
        <x:v>kawX [qəwʔ] (上)</x:v>
      </x:c>
      <x:c r="F3508" s="6" t="str">
        <x:v>1</x:v>
      </x:c>
      <x:c r="G3508" s="6" t="str">
        <x:v>Tang 300 gap; frequency 1; provisional from Xun Gong</x:v>
      </x:c>
      <x:c r="H3508" s="6" t="str">
        <x:f>IF(B3508="平","平",IF(B3508="","","仄"))</x:f>
        <x:v>仄</x:v>
      </x:c>
      <x:c r="I3508" s="6" t="str">
        <x:f>IF(D3493="","",IF(AND(ISNUMBER(SEARCH("平",D3493)),OR(ISNUMBER(SEARCH("上",D3493)),ISNUMBER(SEARCH("去",D3493)),ISNUMBER(SEARCH("入",D3493)))),"Ambiguous",IF(ISNUMBER(SEARCH("平",D3493)),"平","仄")))</x:f>
        <x:v>仄</x:v>
      </x:c>
      <x:c r="J3508" s="7" t="str">
        <x:v>Xun Gong, Tang 300 gap fill</x:v>
      </x:c>
    </x:row>
    <x:row r="3509">
      <x:c r="A3509" s="5" t="str">
        <x:v>藃</x:v>
      </x:c>
      <x:c r="B3509" s="6" t="str">
        <x:v>去</x:v>
      </x:c>
      <x:c r="C3509" s="6" t="str">
        <x:f>IF(B3509="","Needs decision","Ready")</x:f>
        <x:v>Ready</x:v>
      </x:c>
      <x:c r="D3509" s="6" t="str">
        <x:v>去</x:v>
      </x:c>
      <x:c r="E3509" s="6" t="str">
        <x:v>xawH (C)</x:v>
      </x:c>
      <x:c r="F3509" s="6" t="str">
        <x:v>1</x:v>
      </x:c>
      <x:c r="G3509" s="6" t="str"/>
      <x:c r="H3509" s="6" t="str">
        <x:f>IF(B3509="平","平",IF(B3509="","","仄"))</x:f>
        <x:v>仄</x:v>
      </x:c>
      <x:c r="I3509" s="6" t="str">
        <x:f>IF(D3494="","",IF(AND(ISNUMBER(SEARCH("平",D3494)),OR(ISNUMBER(SEARCH("上",D3494)),ISNUMBER(SEARCH("去",D3494)),ISNUMBER(SEARCH("入",D3494)))),"Ambiguous",IF(ISNUMBER(SEARCH("平",D3494)),"平","仄")))</x:f>
        <x:v>平</x:v>
      </x:c>
      <x:c r="J3509" s="7" t="str"/>
    </x:row>
    <x:row r="3510">
      <x:c r="A3510" s="5" t="str">
        <x:v>藉</x:v>
      </x:c>
      <x:c r="B3510" s="6" t="str">
        <x:v>入</x:v>
      </x:c>
      <x:c r="C3510" s="6" t="str">
        <x:f>IF(B3510="","Needs decision","Ready")</x:f>
        <x:v>Ready</x:v>
      </x:c>
      <x:c r="D3510" s="6" t="str">
        <x:v>入/去</x:v>
      </x:c>
      <x:c r="E3510" s="6" t="str">
        <x:v>dzjek (D); dzjaeH (C)</x:v>
      </x:c>
      <x:c r="F3510" s="6" t="str">
        <x:v>2</x:v>
      </x:c>
      <x:c r="G3510" s="6" t="str"/>
      <x:c r="H3510" s="6" t="str">
        <x:f>IF(B3510="平","平",IF(B3510="","","仄"))</x:f>
        <x:v>仄</x:v>
      </x:c>
      <x:c r="I3510" s="6" t="str">
        <x:f>IF(D3495="","",IF(AND(ISNUMBER(SEARCH("平",D3495)),OR(ISNUMBER(SEARCH("上",D3495)),ISNUMBER(SEARCH("去",D3495)),ISNUMBER(SEARCH("入",D3495)))),"Ambiguous",IF(ISNUMBER(SEARCH("平",D3495)),"平","仄")))</x:f>
        <x:v>平</x:v>
      </x:c>
      <x:c r="J3510" s="7" t="str"/>
    </x:row>
    <x:row r="3511">
      <x:c r="A3511" s="5" t="str">
        <x:v>藍</x:v>
      </x:c>
      <x:c r="B3511" s="6" t="str">
        <x:v>平</x:v>
      </x:c>
      <x:c r="C3511" s="6" t="str">
        <x:f>IF(B3511="","Needs decision","Ready")</x:f>
        <x:v>Ready</x:v>
      </x:c>
      <x:c r="D3511" s="6" t="str">
        <x:v>平</x:v>
      </x:c>
      <x:c r="E3511" s="6" t="str">
        <x:v>lam (A)</x:v>
      </x:c>
      <x:c r="F3511" s="6" t="str">
        <x:v>1</x:v>
      </x:c>
      <x:c r="G3511" s="6" t="str"/>
      <x:c r="H3511" s="6" t="str">
        <x:f>IF(B3511="平","平",IF(B3511="","","仄"))</x:f>
        <x:v>平</x:v>
      </x:c>
      <x:c r="I3511" s="6" t="str">
        <x:f>IF(D3496="","",IF(AND(ISNUMBER(SEARCH("平",D3496)),OR(ISNUMBER(SEARCH("上",D3496)),ISNUMBER(SEARCH("去",D3496)),ISNUMBER(SEARCH("入",D3496)))),"Ambiguous",IF(ISNUMBER(SEARCH("平",D3496)),"平","仄")))</x:f>
        <x:v>平</x:v>
      </x:c>
      <x:c r="J3511" s="7" t="str"/>
    </x:row>
    <x:row r="3512">
      <x:c r="A3512" s="5" t="str">
        <x:v>藎</x:v>
      </x:c>
      <x:c r="B3512" s="6" t="str">
        <x:v>去</x:v>
      </x:c>
      <x:c r="C3512" s="6" t="str">
        <x:f>IF(B3512="","Needs decision","Ready")</x:f>
        <x:v>Ready</x:v>
      </x:c>
      <x:c r="D3512" s="6" t="str">
        <x:v>去</x:v>
      </x:c>
      <x:c r="E3512" s="6" t="str">
        <x:v>dzinH [dzinh] (去)</x:v>
      </x:c>
      <x:c r="F3512" s="6" t="str">
        <x:v>1</x:v>
      </x:c>
      <x:c r="G3512" s="6" t="str">
        <x:v>Tang 300 gap; frequency 1; provisional from Xun Gong</x:v>
      </x:c>
      <x:c r="H3512" s="6" t="str">
        <x:f>IF(B3512="平","平",IF(B3512="","","仄"))</x:f>
        <x:v>仄</x:v>
      </x:c>
      <x:c r="I3512" s="6" t="str">
        <x:f>IF(D3497="","",IF(AND(ISNUMBER(SEARCH("平",D3497)),OR(ISNUMBER(SEARCH("上",D3497)),ISNUMBER(SEARCH("去",D3497)),ISNUMBER(SEARCH("入",D3497)))),"Ambiguous",IF(ISNUMBER(SEARCH("平",D3497)),"平","仄")))</x:f>
        <x:v>仄</x:v>
      </x:c>
      <x:c r="J3512" s="7" t="str">
        <x:v>Xun Gong, Tang 300 gap fill</x:v>
      </x:c>
    </x:row>
    <x:row r="3513">
      <x:c r="A3513" s="5" t="str">
        <x:v>藏</x:v>
      </x:c>
      <x:c r="B3513" s="6" t="str">
        <x:v>平</x:v>
      </x:c>
      <x:c r="C3513" s="6" t="str">
        <x:f>IF(B3513="","Needs decision","Ready")</x:f>
        <x:v>Ready</x:v>
      </x:c>
      <x:c r="D3513" s="6" t="str">
        <x:v>平/去</x:v>
      </x:c>
      <x:c r="E3513" s="6" t="str">
        <x:v>dzang (A); dzangH (C)</x:v>
      </x:c>
      <x:c r="F3513" s="6" t="str">
        <x:v>2</x:v>
      </x:c>
      <x:c r="G3513" s="6" t="str"/>
      <x:c r="H3513" s="6" t="str">
        <x:f>IF(B3513="平","平",IF(B3513="","","仄"))</x:f>
        <x:v>平</x:v>
      </x:c>
      <x:c r="I3513" s="6" t="str">
        <x:f>IF(D3498="","",IF(AND(ISNUMBER(SEARCH("平",D3498)),OR(ISNUMBER(SEARCH("上",D3498)),ISNUMBER(SEARCH("去",D3498)),ISNUMBER(SEARCH("入",D3498)))),"Ambiguous",IF(ISNUMBER(SEARCH("平",D3498)),"平","仄")))</x:f>
        <x:v>仄</x:v>
      </x:c>
      <x:c r="J3513" s="7" t="str"/>
    </x:row>
    <x:row r="3514">
      <x:c r="A3514" s="5" t="str">
        <x:v>藕</x:v>
      </x:c>
      <x:c r="B3514" s="6" t="str">
        <x:v>上</x:v>
      </x:c>
      <x:c r="C3514" s="6" t="str">
        <x:f>IF(B3514="","Needs decision","Ready")</x:f>
        <x:v>Ready</x:v>
      </x:c>
      <x:c r="D3514" s="6" t="str">
        <x:v>上</x:v>
      </x:c>
      <x:c r="E3514" s="6" t="str">
        <x:v>nguwX (B)</x:v>
      </x:c>
      <x:c r="F3514" s="6" t="str">
        <x:v>1</x:v>
      </x:c>
      <x:c r="G3514" s="6" t="str"/>
      <x:c r="H3514" s="6" t="str">
        <x:f>IF(B3514="平","平",IF(B3514="","","仄"))</x:f>
        <x:v>仄</x:v>
      </x:c>
      <x:c r="I3514" s="6" t="str">
        <x:f>IF(D3499="","",IF(AND(ISNUMBER(SEARCH("平",D3499)),OR(ISNUMBER(SEARCH("上",D3499)),ISNUMBER(SEARCH("去",D3499)),ISNUMBER(SEARCH("入",D3499)))),"Ambiguous",IF(ISNUMBER(SEARCH("平",D3499)),"平","仄")))</x:f>
        <x:v>仄</x:v>
      </x:c>
      <x:c r="J3514" s="7" t="str"/>
    </x:row>
    <x:row r="3515">
      <x:c r="A3515" s="5" t="str">
        <x:v>藘</x:v>
      </x:c>
      <x:c r="B3515" s="6" t="str">
        <x:v>平</x:v>
      </x:c>
      <x:c r="C3515" s="6" t="str">
        <x:f>IF(B3515="","Needs decision","Ready")</x:f>
        <x:v>Ready</x:v>
      </x:c>
      <x:c r="D3515" s="6" t="str">
        <x:v>平</x:v>
      </x:c>
      <x:c r="E3515" s="6" t="str">
        <x:v>ljo (A)</x:v>
      </x:c>
      <x:c r="F3515" s="6" t="str">
        <x:v>1</x:v>
      </x:c>
      <x:c r="G3515" s="6" t="str"/>
      <x:c r="H3515" s="6" t="str">
        <x:f>IF(B3515="平","平",IF(B3515="","","仄"))</x:f>
        <x:v>平</x:v>
      </x:c>
      <x:c r="I3515" s="6" t="str">
        <x:f>IF(D3500="","",IF(AND(ISNUMBER(SEARCH("平",D3500)),OR(ISNUMBER(SEARCH("上",D3500)),ISNUMBER(SEARCH("去",D3500)),ISNUMBER(SEARCH("入",D3500)))),"Ambiguous",IF(ISNUMBER(SEARCH("平",D3500)),"平","仄")))</x:f>
        <x:v>仄</x:v>
      </x:c>
      <x:c r="J3515" s="7" t="str"/>
    </x:row>
    <x:row r="3516">
      <x:c r="A3516" s="5" t="str">
        <x:v>藙</x:v>
      </x:c>
      <x:c r="B3516" s="6" t="str">
        <x:v>去</x:v>
      </x:c>
      <x:c r="C3516" s="6" t="str">
        <x:f>IF(B3516="","Needs decision","Ready")</x:f>
        <x:v>Ready</x:v>
      </x:c>
      <x:c r="D3516" s="6" t="str">
        <x:v>去</x:v>
      </x:c>
      <x:c r="E3516" s="6" t="str">
        <x:v>ngj+jH (C)</x:v>
      </x:c>
      <x:c r="F3516" s="6" t="str">
        <x:v>1</x:v>
      </x:c>
      <x:c r="G3516" s="6" t="str"/>
      <x:c r="H3516" s="6" t="str">
        <x:f>IF(B3516="平","平",IF(B3516="","","仄"))</x:f>
        <x:v>仄</x:v>
      </x:c>
      <x:c r="I3516" s="6" t="str">
        <x:f>IF(D3501="","",IF(AND(ISNUMBER(SEARCH("平",D3501)),OR(ISNUMBER(SEARCH("上",D3501)),ISNUMBER(SEARCH("去",D3501)),ISNUMBER(SEARCH("入",D3501)))),"Ambiguous",IF(ISNUMBER(SEARCH("平",D3501)),"平","仄")))</x:f>
        <x:v>平</x:v>
      </x:c>
      <x:c r="J3516" s="7" t="str"/>
    </x:row>
    <x:row r="3517">
      <x:c r="A3517" s="5" t="str">
        <x:v>藚</x:v>
      </x:c>
      <x:c r="B3517" s="6" t="str">
        <x:v>入</x:v>
      </x:c>
      <x:c r="C3517" s="6" t="str">
        <x:f>IF(B3517="","Needs decision","Ready")</x:f>
        <x:v>Ready</x:v>
      </x:c>
      <x:c r="D3517" s="6" t="str">
        <x:v>入</x:v>
      </x:c>
      <x:c r="E3517" s="6" t="str">
        <x:v>zjowk (D)</x:v>
      </x:c>
      <x:c r="F3517" s="6" t="str">
        <x:v>1</x:v>
      </x:c>
      <x:c r="G3517" s="6" t="str"/>
      <x:c r="H3517" s="6" t="str">
        <x:f>IF(B3517="平","平",IF(B3517="","","仄"))</x:f>
        <x:v>仄</x:v>
      </x:c>
      <x:c r="I3517" s="6" t="str">
        <x:f>IF(D3502="","",IF(AND(ISNUMBER(SEARCH("平",D3502)),OR(ISNUMBER(SEARCH("上",D3502)),ISNUMBER(SEARCH("去",D3502)),ISNUMBER(SEARCH("入",D3502)))),"Ambiguous",IF(ISNUMBER(SEARCH("平",D3502)),"平","仄")))</x:f>
        <x:v>仄</x:v>
      </x:c>
      <x:c r="J3517" s="7" t="str"/>
    </x:row>
    <x:row r="3518">
      <x:c r="A3518" s="5" t="str">
        <x:v>藜</x:v>
      </x:c>
      <x:c r="B3518" s="6" t="str">
        <x:v>平</x:v>
      </x:c>
      <x:c r="C3518" s="6" t="str">
        <x:f>IF(B3518="","Needs decision","Ready")</x:f>
        <x:v>Ready</x:v>
      </x:c>
      <x:c r="D3518" s="6" t="str">
        <x:v>平</x:v>
      </x:c>
      <x:c r="E3518" s="6" t="str">
        <x:v>lej [l̙ej] (平)</x:v>
      </x:c>
      <x:c r="F3518" s="6" t="str">
        <x:v>1</x:v>
      </x:c>
      <x:c r="G3518" s="6" t="str">
        <x:v>Tang 300 gap; frequency 2; provisional from Xun Gong</x:v>
      </x:c>
      <x:c r="H3518" s="6" t="str">
        <x:f>IF(B3518="平","平",IF(B3518="","","仄"))</x:f>
        <x:v>平</x:v>
      </x:c>
      <x:c r="I3518" s="6" t="str">
        <x:f>IF(D3503="","",IF(AND(ISNUMBER(SEARCH("平",D3503)),OR(ISNUMBER(SEARCH("上",D3503)),ISNUMBER(SEARCH("去",D3503)),ISNUMBER(SEARCH("入",D3503)))),"Ambiguous",IF(ISNUMBER(SEARCH("平",D3503)),"平","仄")))</x:f>
        <x:v>平</x:v>
      </x:c>
      <x:c r="J3518" s="7" t="str">
        <x:v>Xun Gong, Tang 300 gap fill</x:v>
      </x:c>
    </x:row>
    <x:row r="3519">
      <x:c r="A3519" s="5" t="str">
        <x:v>藝</x:v>
      </x:c>
      <x:c r="B3519" s="6" t="str">
        <x:v>去</x:v>
      </x:c>
      <x:c r="C3519" s="6" t="str">
        <x:f>IF(B3519="","Needs decision","Ready")</x:f>
        <x:v>Ready</x:v>
      </x:c>
      <x:c r="D3519" s="6" t="str">
        <x:v>去</x:v>
      </x:c>
      <x:c r="E3519" s="6" t="str">
        <x:v>ngjiejH (C)</x:v>
      </x:c>
      <x:c r="F3519" s="6" t="str">
        <x:v>1</x:v>
      </x:c>
      <x:c r="G3519" s="6" t="str"/>
      <x:c r="H3519" s="6" t="str">
        <x:f>IF(B3519="平","平",IF(B3519="","","仄"))</x:f>
        <x:v>仄</x:v>
      </x:c>
      <x:c r="I3519" s="6" t="str">
        <x:f>IF(D3504="","",IF(AND(ISNUMBER(SEARCH("平",D3504)),OR(ISNUMBER(SEARCH("上",D3504)),ISNUMBER(SEARCH("去",D3504)),ISNUMBER(SEARCH("入",D3504)))),"Ambiguous",IF(ISNUMBER(SEARCH("平",D3504)),"平","仄")))</x:f>
        <x:v>平</x:v>
      </x:c>
      <x:c r="J3519" s="7" t="str"/>
    </x:row>
    <x:row r="3520">
      <x:c r="A3520" s="5" t="str">
        <x:v>藤</x:v>
      </x:c>
      <x:c r="B3520" s="6" t="str">
        <x:v>平</x:v>
      </x:c>
      <x:c r="C3520" s="6" t="str">
        <x:f>IF(B3520="","Needs decision","Ready")</x:f>
        <x:v>Ready</x:v>
      </x:c>
      <x:c r="D3520" s="6" t="str">
        <x:v>平</x:v>
      </x:c>
      <x:c r="E3520" s="6" t="str">
        <x:v>dong [d̙əŋ] (平)</x:v>
      </x:c>
      <x:c r="F3520" s="6" t="str">
        <x:v>1</x:v>
      </x:c>
      <x:c r="G3520" s="6" t="str">
        <x:v>Tang 300 gap; frequency 1; provisional from Xun Gong</x:v>
      </x:c>
      <x:c r="H3520" s="6" t="str">
        <x:f>IF(B3520="平","平",IF(B3520="","","仄"))</x:f>
        <x:v>平</x:v>
      </x:c>
      <x:c r="I3520" s="6" t="str">
        <x:f>IF(D3505="","",IF(AND(ISNUMBER(SEARCH("平",D3505)),OR(ISNUMBER(SEARCH("上",D3505)),ISNUMBER(SEARCH("去",D3505)),ISNUMBER(SEARCH("入",D3505)))),"Ambiguous",IF(ISNUMBER(SEARCH("平",D3505)),"平","仄")))</x:f>
        <x:v>平</x:v>
      </x:c>
      <x:c r="J3520" s="7" t="str">
        <x:v>Xun Gong, Tang 300 gap fill</x:v>
      </x:c>
    </x:row>
    <x:row r="3521">
      <x:c r="A3521" s="5" t="str">
        <x:v>藥</x:v>
      </x:c>
      <x:c r="B3521" s="6" t="str">
        <x:v>入</x:v>
      </x:c>
      <x:c r="C3521" s="6" t="str">
        <x:f>IF(B3521="","Needs decision","Ready")</x:f>
        <x:v>Ready</x:v>
      </x:c>
      <x:c r="D3521" s="6" t="str">
        <x:v>入</x:v>
      </x:c>
      <x:c r="E3521" s="6" t="str">
        <x:v>yak (D)</x:v>
      </x:c>
      <x:c r="F3521" s="6" t="str">
        <x:v>1</x:v>
      </x:c>
      <x:c r="G3521" s="6" t="str"/>
      <x:c r="H3521" s="6" t="str">
        <x:f>IF(B3521="平","平",IF(B3521="","","仄"))</x:f>
        <x:v>仄</x:v>
      </x:c>
      <x:c r="I3521" s="6" t="str">
        <x:f>IF(D3506="","",IF(AND(ISNUMBER(SEARCH("平",D3506)),OR(ISNUMBER(SEARCH("上",D3506)),ISNUMBER(SEARCH("去",D3506)),ISNUMBER(SEARCH("入",D3506)))),"Ambiguous",IF(ISNUMBER(SEARCH("平",D3506)),"平","仄")))</x:f>
        <x:v>平</x:v>
      </x:c>
      <x:c r="J3521" s="7" t="str"/>
    </x:row>
    <x:row r="3522">
      <x:c r="A3522" s="5" t="str">
        <x:v>藩</x:v>
      </x:c>
      <x:c r="B3522" s="6" t="str">
        <x:v>平</x:v>
      </x:c>
      <x:c r="C3522" s="6" t="str">
        <x:f>IF(B3522="","Needs decision","Ready")</x:f>
        <x:v>Ready</x:v>
      </x:c>
      <x:c r="D3522" s="6" t="str">
        <x:v>平</x:v>
      </x:c>
      <x:c r="E3522" s="6" t="str">
        <x:v>pjon (A)</x:v>
      </x:c>
      <x:c r="F3522" s="6" t="str">
        <x:v>1</x:v>
      </x:c>
      <x:c r="G3522" s="6" t="str"/>
      <x:c r="H3522" s="6" t="str">
        <x:f>IF(B3522="平","平",IF(B3522="","","仄"))</x:f>
        <x:v>平</x:v>
      </x:c>
      <x:c r="I3522" s="6" t="str">
        <x:f>IF(D3507="","",IF(AND(ISNUMBER(SEARCH("平",D3507)),OR(ISNUMBER(SEARCH("上",D3507)),ISNUMBER(SEARCH("去",D3507)),ISNUMBER(SEARCH("入",D3507)))),"Ambiguous",IF(ISNUMBER(SEARCH("平",D3507)),"平","仄")))</x:f>
        <x:v>仄</x:v>
      </x:c>
      <x:c r="J3522" s="7" t="str"/>
    </x:row>
    <x:row r="3523">
      <x:c r="A3523" s="5" t="str">
        <x:v>藴</x:v>
      </x:c>
      <x:c r="B3523" s="6" t="str">
        <x:v>去</x:v>
      </x:c>
      <x:c r="C3523" s="6" t="str">
        <x:f>IF(B3523="","Needs decision","Ready")</x:f>
        <x:v>Ready</x:v>
      </x:c>
      <x:c r="D3523" s="6" t="str">
        <x:v>上/去</x:v>
      </x:c>
      <x:c r="E3523" s="6" t="str">
        <x:v>'junX (B); 'junH (C)</x:v>
      </x:c>
      <x:c r="F3523" s="6" t="str">
        <x:v>2</x:v>
      </x:c>
      <x:c r="G3523" s="6" t="str"/>
      <x:c r="H3523" s="6" t="str">
        <x:f>IF(B3523="平","平",IF(B3523="","","仄"))</x:f>
        <x:v>仄</x:v>
      </x:c>
      <x:c r="I3523" s="6" t="str">
        <x:f>IF(D3508="","",IF(AND(ISNUMBER(SEARCH("平",D3508)),OR(ISNUMBER(SEARCH("上",D3508)),ISNUMBER(SEARCH("去",D3508)),ISNUMBER(SEARCH("入",D3508)))),"Ambiguous",IF(ISNUMBER(SEARCH("平",D3508)),"平","仄")))</x:f>
        <x:v>仄</x:v>
      </x:c>
      <x:c r="J3523" s="7" t="str"/>
    </x:row>
    <x:row r="3524">
      <x:c r="A3524" s="5" t="str">
        <x:v>藹</x:v>
      </x:c>
      <x:c r="B3524" s="6" t="str">
        <x:v>去</x:v>
      </x:c>
      <x:c r="C3524" s="6" t="str">
        <x:f>IF(B3524="","Needs decision","Ready")</x:f>
        <x:v>Ready</x:v>
      </x:c>
      <x:c r="D3524" s="6" t="str">
        <x:v>去</x:v>
      </x:c>
      <x:c r="E3524" s="6" t="str">
        <x:v>'ajH (C)</x:v>
      </x:c>
      <x:c r="F3524" s="6" t="str">
        <x:v>1</x:v>
      </x:c>
      <x:c r="G3524" s="6" t="str"/>
      <x:c r="H3524" s="6" t="str">
        <x:f>IF(B3524="平","平",IF(B3524="","","仄"))</x:f>
        <x:v>仄</x:v>
      </x:c>
      <x:c r="I3524" s="6" t="str">
        <x:f>IF(D3509="","",IF(AND(ISNUMBER(SEARCH("平",D3509)),OR(ISNUMBER(SEARCH("上",D3509)),ISNUMBER(SEARCH("去",D3509)),ISNUMBER(SEARCH("入",D3509)))),"Ambiguous",IF(ISNUMBER(SEARCH("平",D3509)),"平","仄")))</x:f>
        <x:v>仄</x:v>
      </x:c>
      <x:c r="J3524" s="7" t="str"/>
    </x:row>
    <x:row r="3525">
      <x:c r="A3525" s="5" t="str">
        <x:v>藻</x:v>
      </x:c>
      <x:c r="B3525" s="6" t="str">
        <x:v>上</x:v>
      </x:c>
      <x:c r="C3525" s="6" t="str">
        <x:f>IF(B3525="","Needs decision","Ready")</x:f>
        <x:v>Ready</x:v>
      </x:c>
      <x:c r="D3525" s="6" t="str">
        <x:v>上</x:v>
      </x:c>
      <x:c r="E3525" s="6" t="str">
        <x:v>tsawX (B)</x:v>
      </x:c>
      <x:c r="F3525" s="6" t="str">
        <x:v>1</x:v>
      </x:c>
      <x:c r="G3525" s="6" t="str"/>
      <x:c r="H3525" s="6" t="str">
        <x:f>IF(B3525="平","平",IF(B3525="","","仄"))</x:f>
        <x:v>仄</x:v>
      </x:c>
      <x:c r="I3525" s="6" t="str">
        <x:f>IF(D3510="","",IF(AND(ISNUMBER(SEARCH("平",D3510)),OR(ISNUMBER(SEARCH("上",D3510)),ISNUMBER(SEARCH("去",D3510)),ISNUMBER(SEARCH("入",D3510)))),"Ambiguous",IF(ISNUMBER(SEARCH("平",D3510)),"平","仄")))</x:f>
        <x:v>仄</x:v>
      </x:c>
      <x:c r="J3525" s="7" t="str"/>
    </x:row>
    <x:row r="3526">
      <x:c r="A3526" s="5" t="str">
        <x:v>藿</x:v>
      </x:c>
      <x:c r="B3526" s="6" t="str">
        <x:v>入</x:v>
      </x:c>
      <x:c r="C3526" s="6" t="str">
        <x:f>IF(B3526="","Needs decision","Ready")</x:f>
        <x:v>Ready</x:v>
      </x:c>
      <x:c r="D3526" s="6" t="str">
        <x:v>入</x:v>
      </x:c>
      <x:c r="E3526" s="6" t="str">
        <x:v>xwak [χwɑk] (入)</x:v>
      </x:c>
      <x:c r="F3526" s="6" t="str">
        <x:v>1</x:v>
      </x:c>
      <x:c r="G3526" s="6" t="str">
        <x:v>Tang 300 gap; frequency 1; provisional from Xun Gong</x:v>
      </x:c>
      <x:c r="H3526" s="6" t="str">
        <x:f>IF(B3526="平","平",IF(B3526="","","仄"))</x:f>
        <x:v>仄</x:v>
      </x:c>
      <x:c r="I3526" s="6" t="str">
        <x:f>IF(D3511="","",IF(AND(ISNUMBER(SEARCH("平",D3511)),OR(ISNUMBER(SEARCH("上",D3511)),ISNUMBER(SEARCH("去",D3511)),ISNUMBER(SEARCH("入",D3511)))),"Ambiguous",IF(ISNUMBER(SEARCH("平",D3511)),"平","仄")))</x:f>
        <x:v>平</x:v>
      </x:c>
      <x:c r="J3526" s="7" t="str">
        <x:v>Xun Gong, Tang 300 gap fill</x:v>
      </x:c>
    </x:row>
    <x:row r="3527">
      <x:c r="A3527" s="5" t="str">
        <x:v>蘄</x:v>
      </x:c>
      <x:c r="B3527" s="6" t="str">
        <x:v>平</x:v>
      </x:c>
      <x:c r="C3527" s="6" t="str">
        <x:f>IF(B3527="","Needs decision","Ready")</x:f>
        <x:v>Ready</x:v>
      </x:c>
      <x:c r="D3527" s="6" t="str">
        <x:v>平</x:v>
      </x:c>
      <x:c r="E3527" s="6" t="str">
        <x:v>gj+j (A)</x:v>
      </x:c>
      <x:c r="F3527" s="6" t="str">
        <x:v>1</x:v>
      </x:c>
      <x:c r="G3527" s="6" t="str"/>
      <x:c r="H3527" s="6" t="str">
        <x:f>IF(B3527="平","平",IF(B3527="","","仄"))</x:f>
        <x:v>平</x:v>
      </x:c>
      <x:c r="I3527" s="6" t="str">
        <x:f>IF(D3512="","",IF(AND(ISNUMBER(SEARCH("平",D3512)),OR(ISNUMBER(SEARCH("上",D3512)),ISNUMBER(SEARCH("去",D3512)),ISNUMBER(SEARCH("入",D3512)))),"Ambiguous",IF(ISNUMBER(SEARCH("平",D3512)),"平","仄")))</x:f>
        <x:v>仄</x:v>
      </x:c>
      <x:c r="J3527" s="7" t="str"/>
    </x:row>
    <x:row r="3528">
      <x:c r="A3528" s="5" t="str">
        <x:v>蘆</x:v>
      </x:c>
      <x:c r="B3528" s="6" t="str">
        <x:v>平</x:v>
      </x:c>
      <x:c r="C3528" s="6" t="str">
        <x:f>IF(B3528="","Needs decision","Ready")</x:f>
        <x:v>Ready</x:v>
      </x:c>
      <x:c r="D3528" s="6" t="str">
        <x:v>平</x:v>
      </x:c>
      <x:c r="E3528" s="6" t="str">
        <x:v>lu (A)</x:v>
      </x:c>
      <x:c r="F3528" s="6" t="str">
        <x:v>1</x:v>
      </x:c>
      <x:c r="G3528" s="6" t="str"/>
      <x:c r="H3528" s="6" t="str">
        <x:f>IF(B3528="平","平",IF(B3528="","","仄"))</x:f>
        <x:v>平</x:v>
      </x:c>
      <x:c r="I3528" s="6" t="str">
        <x:f>IF(D3513="","",IF(AND(ISNUMBER(SEARCH("平",D3513)),OR(ISNUMBER(SEARCH("上",D3513)),ISNUMBER(SEARCH("去",D3513)),ISNUMBER(SEARCH("入",D3513)))),"Ambiguous",IF(ISNUMBER(SEARCH("平",D3513)),"平","仄")))</x:f>
        <x:v>Ambiguous</x:v>
      </x:c>
      <x:c r="J3528" s="7" t="str"/>
    </x:row>
    <x:row r="3529">
      <x:c r="A3529" s="5" t="str">
        <x:v>蘇</x:v>
      </x:c>
      <x:c r="B3529" s="6" t="str">
        <x:v>平</x:v>
      </x:c>
      <x:c r="C3529" s="6" t="str">
        <x:f>IF(B3529="","Needs decision","Ready")</x:f>
        <x:v>Ready</x:v>
      </x:c>
      <x:c r="D3529" s="6" t="str">
        <x:v>平</x:v>
      </x:c>
      <x:c r="E3529" s="6" t="str">
        <x:v>su (A)</x:v>
      </x:c>
      <x:c r="F3529" s="6" t="str">
        <x:v>1</x:v>
      </x:c>
      <x:c r="G3529" s="6" t="str"/>
      <x:c r="H3529" s="6" t="str">
        <x:f>IF(B3529="平","平",IF(B3529="","","仄"))</x:f>
        <x:v>平</x:v>
      </x:c>
      <x:c r="I3529" s="6" t="str">
        <x:f>IF(D3514="","",IF(AND(ISNUMBER(SEARCH("平",D3514)),OR(ISNUMBER(SEARCH("上",D3514)),ISNUMBER(SEARCH("去",D3514)),ISNUMBER(SEARCH("入",D3514)))),"Ambiguous",IF(ISNUMBER(SEARCH("平",D3514)),"平","仄")))</x:f>
        <x:v>仄</x:v>
      </x:c>
      <x:c r="J3529" s="7" t="str"/>
    </x:row>
    <x:row r="3530">
      <x:c r="A3530" s="5" t="str">
        <x:v>蘋</x:v>
      </x:c>
      <x:c r="B3530" s="6" t="str">
        <x:v>平</x:v>
      </x:c>
      <x:c r="C3530" s="6" t="str">
        <x:f>IF(B3530="","Needs decision","Ready")</x:f>
        <x:v>Ready</x:v>
      </x:c>
      <x:c r="D3530" s="6" t="str">
        <x:v>平</x:v>
      </x:c>
      <x:c r="E3530" s="6" t="str"/>
      <x:c r="F3530" s="6" t="str"/>
      <x:c r="G3530" s="6" t="str">
        <x:v>Manual user correction/addition</x:v>
      </x:c>
      <x:c r="H3530" s="6" t="str">
        <x:f>IF(B3530="平","平",IF(B3530="","","仄"))</x:f>
        <x:v>平</x:v>
      </x:c>
      <x:c r="I3530" s="6" t="str">
        <x:f>IF(D3515="","",IF(AND(ISNUMBER(SEARCH("平",D3515)),OR(ISNUMBER(SEARCH("上",D3515)),ISNUMBER(SEARCH("去",D3515)),ISNUMBER(SEARCH("入",D3515)))),"Ambiguous",IF(ISNUMBER(SEARCH("平",D3515)),"平","仄")))</x:f>
        <x:v>平</x:v>
      </x:c>
      <x:c r="J3530" s="7" t="str">
        <x:v>manual user correction</x:v>
      </x:c>
    </x:row>
    <x:row r="3531">
      <x:c r="A3531" s="5" t="str">
        <x:v>蘚</x:v>
      </x:c>
      <x:c r="B3531" s="6" t="str">
        <x:v>上</x:v>
      </x:c>
      <x:c r="C3531" s="6" t="str">
        <x:f>IF(B3531="","Needs decision","Ready")</x:f>
        <x:v>Ready</x:v>
      </x:c>
      <x:c r="D3531" s="6" t="str">
        <x:v>上</x:v>
      </x:c>
      <x:c r="E3531" s="6" t="str">
        <x:v>sjenX [sjenʔ] (上)</x:v>
      </x:c>
      <x:c r="F3531" s="6" t="str">
        <x:v>1</x:v>
      </x:c>
      <x:c r="G3531" s="6" t="str">
        <x:v>Tang 300 gap; frequency 1; provisional from Xun Gong</x:v>
      </x:c>
      <x:c r="H3531" s="6" t="str">
        <x:f>IF(B3531="平","平",IF(B3531="","","仄"))</x:f>
        <x:v>仄</x:v>
      </x:c>
      <x:c r="I3531" s="6" t="str">
        <x:f>IF(D3516="","",IF(AND(ISNUMBER(SEARCH("平",D3516)),OR(ISNUMBER(SEARCH("上",D3516)),ISNUMBER(SEARCH("去",D3516)),ISNUMBER(SEARCH("入",D3516)))),"Ambiguous",IF(ISNUMBER(SEARCH("平",D3516)),"平","仄")))</x:f>
        <x:v>仄</x:v>
      </x:c>
      <x:c r="J3531" s="7" t="str">
        <x:v>Xun Gong, Tang 300 gap fill</x:v>
      </x:c>
    </x:row>
    <x:row r="3532">
      <x:c r="A3532" s="5" t="str">
        <x:v>蘞</x:v>
      </x:c>
      <x:c r="B3532" s="6" t="str">
        <x:v>平</x:v>
      </x:c>
      <x:c r="C3532" s="6" t="str">
        <x:f>IF(B3532="","Needs decision","Ready")</x:f>
        <x:v>Ready</x:v>
      </x:c>
      <x:c r="D3532" s="6" t="str">
        <x:v>平</x:v>
      </x:c>
      <x:c r="E3532" s="6" t="str">
        <x:v>ljem (A)</x:v>
      </x:c>
      <x:c r="F3532" s="6" t="str">
        <x:v>1</x:v>
      </x:c>
      <x:c r="G3532" s="6" t="str"/>
      <x:c r="H3532" s="6" t="str">
        <x:f>IF(B3532="平","平",IF(B3532="","","仄"))</x:f>
        <x:v>平</x:v>
      </x:c>
      <x:c r="I3532" s="6" t="str">
        <x:f>IF(D3517="","",IF(AND(ISNUMBER(SEARCH("平",D3517)),OR(ISNUMBER(SEARCH("上",D3517)),ISNUMBER(SEARCH("去",D3517)),ISNUMBER(SEARCH("入",D3517)))),"Ambiguous",IF(ISNUMBER(SEARCH("平",D3517)),"平","仄")))</x:f>
        <x:v>仄</x:v>
      </x:c>
      <x:c r="J3532" s="7" t="str"/>
    </x:row>
    <x:row r="3533">
      <x:c r="A3533" s="5" t="str">
        <x:v>蘭</x:v>
      </x:c>
      <x:c r="B3533" s="6" t="str">
        <x:v>平</x:v>
      </x:c>
      <x:c r="C3533" s="6" t="str">
        <x:f>IF(B3533="","Needs decision","Ready")</x:f>
        <x:v>Ready</x:v>
      </x:c>
      <x:c r="D3533" s="6" t="str">
        <x:v>平</x:v>
      </x:c>
      <x:c r="E3533" s="6" t="str">
        <x:v>lan (A)</x:v>
      </x:c>
      <x:c r="F3533" s="6" t="str">
        <x:v>1</x:v>
      </x:c>
      <x:c r="G3533" s="6" t="str"/>
      <x:c r="H3533" s="6" t="str">
        <x:f>IF(B3533="平","平",IF(B3533="","","仄"))</x:f>
        <x:v>平</x:v>
      </x:c>
      <x:c r="I3533" s="6" t="str">
        <x:f>IF(D3518="","",IF(AND(ISNUMBER(SEARCH("平",D3518)),OR(ISNUMBER(SEARCH("上",D3518)),ISNUMBER(SEARCH("去",D3518)),ISNUMBER(SEARCH("入",D3518)))),"Ambiguous",IF(ISNUMBER(SEARCH("平",D3518)),"平","仄")))</x:f>
        <x:v>平</x:v>
      </x:c>
      <x:c r="J3533" s="7" t="str"/>
    </x:row>
    <x:row r="3534">
      <x:c r="A3534" s="5" t="str">
        <x:v>蘿</x:v>
      </x:c>
      <x:c r="B3534" s="6" t="str">
        <x:v>平</x:v>
      </x:c>
      <x:c r="C3534" s="6" t="str">
        <x:f>IF(B3534="","Needs decision","Ready")</x:f>
        <x:v>Ready</x:v>
      </x:c>
      <x:c r="D3534" s="6" t="str">
        <x:v>平</x:v>
      </x:c>
      <x:c r="E3534" s="6" t="str"/>
      <x:c r="F3534" s="6" t="str"/>
      <x:c r="G3534" s="6" t="str">
        <x:v>Manual user correction/addition</x:v>
      </x:c>
      <x:c r="H3534" s="6" t="str">
        <x:f>IF(B3534="平","平",IF(B3534="","","仄"))</x:f>
        <x:v>平</x:v>
      </x:c>
      <x:c r="I3534" s="6" t="str">
        <x:f>IF(D3519="","",IF(AND(ISNUMBER(SEARCH("平",D3519)),OR(ISNUMBER(SEARCH("上",D3519)),ISNUMBER(SEARCH("去",D3519)),ISNUMBER(SEARCH("入",D3519)))),"Ambiguous",IF(ISNUMBER(SEARCH("平",D3519)),"平","仄")))</x:f>
        <x:v>仄</x:v>
      </x:c>
      <x:c r="J3534" s="7" t="str">
        <x:v>manual user correction</x:v>
      </x:c>
    </x:row>
    <x:row r="3535">
      <x:c r="A3535" s="5" t="str">
        <x:v>虍</x:v>
      </x:c>
      <x:c r="B3535" s="6" t="str">
        <x:v>平</x:v>
      </x:c>
      <x:c r="C3535" s="6" t="str">
        <x:f>IF(B3535="","Needs decision","Ready")</x:f>
        <x:v>Ready</x:v>
      </x:c>
      <x:c r="D3535" s="6" t="str">
        <x:v>平</x:v>
      </x:c>
      <x:c r="E3535" s="6" t="str">
        <x:v>xu (A)</x:v>
      </x:c>
      <x:c r="F3535" s="6" t="str">
        <x:v>1</x:v>
      </x:c>
      <x:c r="G3535" s="6" t="str"/>
      <x:c r="H3535" s="6" t="str">
        <x:f>IF(B3535="平","平",IF(B3535="","","仄"))</x:f>
        <x:v>平</x:v>
      </x:c>
      <x:c r="I3535" s="6" t="str">
        <x:f>IF(D3520="","",IF(AND(ISNUMBER(SEARCH("平",D3520)),OR(ISNUMBER(SEARCH("上",D3520)),ISNUMBER(SEARCH("去",D3520)),ISNUMBER(SEARCH("入",D3520)))),"Ambiguous",IF(ISNUMBER(SEARCH("平",D3520)),"平","仄")))</x:f>
        <x:v>平</x:v>
      </x:c>
      <x:c r="J3535" s="7" t="str"/>
    </x:row>
    <x:row r="3536">
      <x:c r="A3536" s="5" t="str">
        <x:v>虎</x:v>
      </x:c>
      <x:c r="B3536" s="6" t="str">
        <x:v>上</x:v>
      </x:c>
      <x:c r="C3536" s="6" t="str">
        <x:f>IF(B3536="","Needs decision","Ready")</x:f>
        <x:v>Ready</x:v>
      </x:c>
      <x:c r="D3536" s="6" t="str">
        <x:v>上</x:v>
      </x:c>
      <x:c r="E3536" s="6" t="str">
        <x:v>xuX (B)</x:v>
      </x:c>
      <x:c r="F3536" s="6" t="str">
        <x:v>1</x:v>
      </x:c>
      <x:c r="G3536" s="6" t="str"/>
      <x:c r="H3536" s="6" t="str">
        <x:f>IF(B3536="平","平",IF(B3536="","","仄"))</x:f>
        <x:v>仄</x:v>
      </x:c>
      <x:c r="I3536" s="6" t="str">
        <x:f>IF(D3521="","",IF(AND(ISNUMBER(SEARCH("平",D3521)),OR(ISNUMBER(SEARCH("上",D3521)),ISNUMBER(SEARCH("去",D3521)),ISNUMBER(SEARCH("入",D3521)))),"Ambiguous",IF(ISNUMBER(SEARCH("平",D3521)),"平","仄")))</x:f>
        <x:v>仄</x:v>
      </x:c>
      <x:c r="J3536" s="7" t="str"/>
    </x:row>
    <x:row r="3537">
      <x:c r="A3537" s="5" t="str">
        <x:v>虐</x:v>
      </x:c>
      <x:c r="B3537" s="6" t="str">
        <x:v>入</x:v>
      </x:c>
      <x:c r="C3537" s="6" t="str">
        <x:f>IF(B3537="","Needs decision","Ready")</x:f>
        <x:v>Ready</x:v>
      </x:c>
      <x:c r="D3537" s="6" t="str">
        <x:v>入</x:v>
      </x:c>
      <x:c r="E3537" s="6" t="str">
        <x:v>ngjak (D)</x:v>
      </x:c>
      <x:c r="F3537" s="6" t="str">
        <x:v>1</x:v>
      </x:c>
      <x:c r="G3537" s="6" t="str"/>
      <x:c r="H3537" s="6" t="str">
        <x:f>IF(B3537="平","平",IF(B3537="","","仄"))</x:f>
        <x:v>仄</x:v>
      </x:c>
      <x:c r="I3537" s="6" t="str">
        <x:f>IF(D3522="","",IF(AND(ISNUMBER(SEARCH("平",D3522)),OR(ISNUMBER(SEARCH("上",D3522)),ISNUMBER(SEARCH("去",D3522)),ISNUMBER(SEARCH("入",D3522)))),"Ambiguous",IF(ISNUMBER(SEARCH("平",D3522)),"平","仄")))</x:f>
        <x:v>平</x:v>
      </x:c>
      <x:c r="J3537" s="7" t="str"/>
    </x:row>
    <x:row r="3538">
      <x:c r="A3538" s="5" t="str">
        <x:v>虒</x:v>
      </x:c>
      <x:c r="B3538" s="6" t="str">
        <x:v>平</x:v>
      </x:c>
      <x:c r="C3538" s="6" t="str">
        <x:f>IF(B3538="","Needs decision","Ready")</x:f>
        <x:v>Ready</x:v>
      </x:c>
      <x:c r="D3538" s="6" t="str">
        <x:v>平</x:v>
      </x:c>
      <x:c r="E3538" s="6" t="str">
        <x:v>sje (A)</x:v>
      </x:c>
      <x:c r="F3538" s="6" t="str">
        <x:v>1</x:v>
      </x:c>
      <x:c r="G3538" s="6" t="str"/>
      <x:c r="H3538" s="6" t="str">
        <x:f>IF(B3538="平","平",IF(B3538="","","仄"))</x:f>
        <x:v>平</x:v>
      </x:c>
      <x:c r="I3538" s="6" t="str">
        <x:f>IF(D3523="","",IF(AND(ISNUMBER(SEARCH("平",D3523)),OR(ISNUMBER(SEARCH("上",D3523)),ISNUMBER(SEARCH("去",D3523)),ISNUMBER(SEARCH("入",D3523)))),"Ambiguous",IF(ISNUMBER(SEARCH("平",D3523)),"平","仄")))</x:f>
        <x:v>仄</x:v>
      </x:c>
      <x:c r="J3538" s="7" t="str"/>
    </x:row>
    <x:row r="3539">
      <x:c r="A3539" s="5" t="str">
        <x:v>虔</x:v>
      </x:c>
      <x:c r="B3539" s="6" t="str">
        <x:v>平</x:v>
      </x:c>
      <x:c r="C3539" s="6" t="str">
        <x:f>IF(B3539="","Needs decision","Ready")</x:f>
        <x:v>Ready</x:v>
      </x:c>
      <x:c r="D3539" s="6" t="str">
        <x:v>平</x:v>
      </x:c>
      <x:c r="E3539" s="6" t="str">
        <x:v>gjen (A)</x:v>
      </x:c>
      <x:c r="F3539" s="6" t="str">
        <x:v>1</x:v>
      </x:c>
      <x:c r="G3539" s="6" t="str"/>
      <x:c r="H3539" s="6" t="str">
        <x:f>IF(B3539="平","平",IF(B3539="","","仄"))</x:f>
        <x:v>平</x:v>
      </x:c>
      <x:c r="I3539" s="6" t="str">
        <x:f>IF(D3524="","",IF(AND(ISNUMBER(SEARCH("平",D3524)),OR(ISNUMBER(SEARCH("上",D3524)),ISNUMBER(SEARCH("去",D3524)),ISNUMBER(SEARCH("入",D3524)))),"Ambiguous",IF(ISNUMBER(SEARCH("平",D3524)),"平","仄")))</x:f>
        <x:v>仄</x:v>
      </x:c>
      <x:c r="J3539" s="7" t="str"/>
    </x:row>
    <x:row r="3540">
      <x:c r="A3540" s="5" t="str">
        <x:v>處</x:v>
      </x:c>
      <x:c r="B3540" s="6" t="str">
        <x:v>去</x:v>
      </x:c>
      <x:c r="C3540" s="6" t="str">
        <x:f>IF(B3540="","Needs decision","Ready")</x:f>
        <x:v>Ready</x:v>
      </x:c>
      <x:c r="D3540" s="6" t="str">
        <x:v>上/去</x:v>
      </x:c>
      <x:c r="E3540" s="6" t="str">
        <x:v>tsyhoX (B); tsyhoH (C)</x:v>
      </x:c>
      <x:c r="F3540" s="6" t="str">
        <x:v>2</x:v>
      </x:c>
      <x:c r="G3540" s="6" t="str">
        <x:v>User workbook edit 2026-09-03</x:v>
      </x:c>
      <x:c r="H3540" s="6" t="str">
        <x:f>IF(B3540="平","平",IF(B3540="","","仄"))</x:f>
        <x:v>仄</x:v>
      </x:c>
      <x:c r="I3540" s="6" t="str">
        <x:f>IF(D3525="","",IF(AND(ISNUMBER(SEARCH("平",D3525)),OR(ISNUMBER(SEARCH("上",D3525)),ISNUMBER(SEARCH("去",D3525)),ISNUMBER(SEARCH("入",D3525)))),"Ambiguous",IF(ISNUMBER(SEARCH("平",D3525)),"平","仄")))</x:f>
        <x:v>仄</x:v>
      </x:c>
      <x:c r="J3540" s="7" t="str">
        <x:v>manual user correction</x:v>
      </x:c>
    </x:row>
    <x:row r="3541">
      <x:c r="A3541" s="5" t="str">
        <x:v>虛</x:v>
      </x:c>
      <x:c r="B3541" s="6" t="str">
        <x:v>平</x:v>
      </x:c>
      <x:c r="C3541" s="6" t="str">
        <x:f>IF(B3541="","Needs decision","Ready")</x:f>
        <x:v>Ready</x:v>
      </x:c>
      <x:c r="D3541" s="6" t="str">
        <x:v>平</x:v>
      </x:c>
      <x:c r="E3541" s="6" t="str">
        <x:v>khjo (A); xjo (A)</x:v>
      </x:c>
      <x:c r="F3541" s="6" t="str">
        <x:v>2</x:v>
      </x:c>
      <x:c r="G3541" s="6" t="str"/>
      <x:c r="H3541" s="6" t="str">
        <x:f>IF(B3541="平","平",IF(B3541="","","仄"))</x:f>
        <x:v>平</x:v>
      </x:c>
      <x:c r="I3541" s="6" t="str">
        <x:f>IF(D3526="","",IF(AND(ISNUMBER(SEARCH("平",D3526)),OR(ISNUMBER(SEARCH("上",D3526)),ISNUMBER(SEARCH("去",D3526)),ISNUMBER(SEARCH("入",D3526)))),"Ambiguous",IF(ISNUMBER(SEARCH("平",D3526)),"平","仄")))</x:f>
        <x:v>仄</x:v>
      </x:c>
      <x:c r="J3541" s="7" t="str"/>
    </x:row>
    <x:row r="3542">
      <x:c r="A3542" s="5" t="str">
        <x:v>虜</x:v>
      </x:c>
      <x:c r="B3542" s="6" t="str">
        <x:v>上</x:v>
      </x:c>
      <x:c r="C3542" s="6" t="str">
        <x:f>IF(B3542="","Needs decision","Ready")</x:f>
        <x:v>Ready</x:v>
      </x:c>
      <x:c r="D3542" s="6" t="str">
        <x:v>上</x:v>
      </x:c>
      <x:c r="E3542" s="6" t="str">
        <x:v>luX (B)</x:v>
      </x:c>
      <x:c r="F3542" s="6" t="str">
        <x:v>1</x:v>
      </x:c>
      <x:c r="G3542" s="6" t="str"/>
      <x:c r="H3542" s="6" t="str">
        <x:f>IF(B3542="平","平",IF(B3542="","","仄"))</x:f>
        <x:v>仄</x:v>
      </x:c>
      <x:c r="I3542" s="6" t="str">
        <x:f>IF(D3527="","",IF(AND(ISNUMBER(SEARCH("平",D3527)),OR(ISNUMBER(SEARCH("上",D3527)),ISNUMBER(SEARCH("去",D3527)),ISNUMBER(SEARCH("入",D3527)))),"Ambiguous",IF(ISNUMBER(SEARCH("平",D3527)),"平","仄")))</x:f>
        <x:v>平</x:v>
      </x:c>
      <x:c r="J3542" s="7" t="str"/>
    </x:row>
    <x:row r="3543">
      <x:c r="A3543" s="5" t="str">
        <x:v>虞</x:v>
      </x:c>
      <x:c r="B3543" s="6" t="str">
        <x:v>平</x:v>
      </x:c>
      <x:c r="C3543" s="6" t="str">
        <x:f>IF(B3543="","Needs decision","Ready")</x:f>
        <x:v>Ready</x:v>
      </x:c>
      <x:c r="D3543" s="6" t="str">
        <x:v>平</x:v>
      </x:c>
      <x:c r="E3543" s="6" t="str">
        <x:v>ngju (A)</x:v>
      </x:c>
      <x:c r="F3543" s="6" t="str">
        <x:v>1</x:v>
      </x:c>
      <x:c r="G3543" s="6" t="str"/>
      <x:c r="H3543" s="6" t="str">
        <x:f>IF(B3543="平","平",IF(B3543="","","仄"))</x:f>
        <x:v>平</x:v>
      </x:c>
      <x:c r="I3543" s="6" t="str">
        <x:f>IF(D3528="","",IF(AND(ISNUMBER(SEARCH("平",D3528)),OR(ISNUMBER(SEARCH("上",D3528)),ISNUMBER(SEARCH("去",D3528)),ISNUMBER(SEARCH("入",D3528)))),"Ambiguous",IF(ISNUMBER(SEARCH("平",D3528)),"平","仄")))</x:f>
        <x:v>平</x:v>
      </x:c>
      <x:c r="J3543" s="7" t="str"/>
    </x:row>
    <x:row r="3544">
      <x:c r="A3544" s="5" t="str">
        <x:v>號</x:v>
      </x:c>
      <x:c r="B3544" s="6" t="str">
        <x:v>去</x:v>
      </x:c>
      <x:c r="C3544" s="6" t="str">
        <x:f>IF(B3544="","Needs decision","Ready")</x:f>
        <x:v>Ready</x:v>
      </x:c>
      <x:c r="D3544" s="6" t="str">
        <x:v>平/去</x:v>
      </x:c>
      <x:c r="E3544" s="6" t="str">
        <x:v>haw (A); hawH (C)</x:v>
      </x:c>
      <x:c r="F3544" s="6" t="str">
        <x:v>2</x:v>
      </x:c>
      <x:c r="G3544" s="6" t="str">
        <x:v>User workbook edit 2026-09-03</x:v>
      </x:c>
      <x:c r="H3544" s="6" t="str">
        <x:f>IF(B3544="平","平",IF(B3544="","","仄"))</x:f>
        <x:v>仄</x:v>
      </x:c>
      <x:c r="I3544" s="6" t="str">
        <x:f>IF(D3529="","",IF(AND(ISNUMBER(SEARCH("平",D3529)),OR(ISNUMBER(SEARCH("上",D3529)),ISNUMBER(SEARCH("去",D3529)),ISNUMBER(SEARCH("入",D3529)))),"Ambiguous",IF(ISNUMBER(SEARCH("平",D3529)),"平","仄")))</x:f>
        <x:v>平</x:v>
      </x:c>
      <x:c r="J3544" s="7" t="str">
        <x:v>manual user correction</x:v>
      </x:c>
    </x:row>
    <x:row r="3545">
      <x:c r="A3545" s="5" t="str">
        <x:v>虢</x:v>
      </x:c>
      <x:c r="B3545" s="6" t="str">
        <x:v>入</x:v>
      </x:c>
      <x:c r="C3545" s="6" t="str">
        <x:f>IF(B3545="","Needs decision","Ready")</x:f>
        <x:v>Ready</x:v>
      </x:c>
      <x:c r="D3545" s="6" t="str">
        <x:v>入</x:v>
      </x:c>
      <x:c r="E3545" s="6" t="str">
        <x:v>kwaek (D)</x:v>
      </x:c>
      <x:c r="F3545" s="6" t="str">
        <x:v>1</x:v>
      </x:c>
      <x:c r="G3545" s="6" t="str"/>
      <x:c r="H3545" s="6" t="str">
        <x:f>IF(B3545="平","平",IF(B3545="","","仄"))</x:f>
        <x:v>仄</x:v>
      </x:c>
      <x:c r="I3545" s="6" t="str">
        <x:f>IF(D3530="","",IF(AND(ISNUMBER(SEARCH("平",D3530)),OR(ISNUMBER(SEARCH("上",D3530)),ISNUMBER(SEARCH("去",D3530)),ISNUMBER(SEARCH("入",D3530)))),"Ambiguous",IF(ISNUMBER(SEARCH("平",D3530)),"平","仄")))</x:f>
        <x:v>平</x:v>
      </x:c>
      <x:c r="J3545" s="7" t="str"/>
    </x:row>
    <x:row r="3546">
      <x:c r="A3546" s="5" t="str">
        <x:v>虧</x:v>
      </x:c>
      <x:c r="B3546" s="6" t="str">
        <x:v>平</x:v>
      </x:c>
      <x:c r="C3546" s="6" t="str">
        <x:f>IF(B3546="","Needs decision","Ready")</x:f>
        <x:v>Ready</x:v>
      </x:c>
      <x:c r="D3546" s="6" t="str">
        <x:v>平</x:v>
      </x:c>
      <x:c r="E3546" s="6" t="str">
        <x:v>khjwe (A)</x:v>
      </x:c>
      <x:c r="F3546" s="6" t="str">
        <x:v>1</x:v>
      </x:c>
      <x:c r="G3546" s="6" t="str"/>
      <x:c r="H3546" s="6" t="str">
        <x:f>IF(B3546="平","平",IF(B3546="","","仄"))</x:f>
        <x:v>平</x:v>
      </x:c>
      <x:c r="I3546" s="6" t="str">
        <x:f>IF(D3531="","",IF(AND(ISNUMBER(SEARCH("平",D3531)),OR(ISNUMBER(SEARCH("上",D3531)),ISNUMBER(SEARCH("去",D3531)),ISNUMBER(SEARCH("入",D3531)))),"Ambiguous",IF(ISNUMBER(SEARCH("平",D3531)),"平","仄")))</x:f>
        <x:v>仄</x:v>
      </x:c>
      <x:c r="J3546" s="7" t="str"/>
    </x:row>
    <x:row r="3547">
      <x:c r="A3547" s="5" t="str">
        <x:v>虩</x:v>
      </x:c>
      <x:c r="B3547" s="6" t="str">
        <x:v>入</x:v>
      </x:c>
      <x:c r="C3547" s="6" t="str">
        <x:f>IF(B3547="","Needs decision","Ready")</x:f>
        <x:v>Ready</x:v>
      </x:c>
      <x:c r="D3547" s="6" t="str">
        <x:v>入</x:v>
      </x:c>
      <x:c r="E3547" s="6" t="str">
        <x:v>xjaek (D)</x:v>
      </x:c>
      <x:c r="F3547" s="6" t="str">
        <x:v>1</x:v>
      </x:c>
      <x:c r="G3547" s="6" t="str"/>
      <x:c r="H3547" s="6" t="str">
        <x:f>IF(B3547="平","平",IF(B3547="","","仄"))</x:f>
        <x:v>仄</x:v>
      </x:c>
      <x:c r="I3547" s="6" t="str">
        <x:f>IF(D3532="","",IF(AND(ISNUMBER(SEARCH("平",D3532)),OR(ISNUMBER(SEARCH("上",D3532)),ISNUMBER(SEARCH("去",D3532)),ISNUMBER(SEARCH("入",D3532)))),"Ambiguous",IF(ISNUMBER(SEARCH("平",D3532)),"平","仄")))</x:f>
        <x:v>平</x:v>
      </x:c>
      <x:c r="J3547" s="7" t="str"/>
    </x:row>
    <x:row r="3548">
      <x:c r="A3548" s="5" t="str">
        <x:v>虯</x:v>
      </x:c>
      <x:c r="B3548" s="6" t="str">
        <x:v>平</x:v>
      </x:c>
      <x:c r="C3548" s="6" t="str">
        <x:f>IF(B3548="","Needs decision","Ready")</x:f>
        <x:v>Ready</x:v>
      </x:c>
      <x:c r="D3548" s="6" t="str">
        <x:v>平</x:v>
      </x:c>
      <x:c r="E3548" s="6" t="str">
        <x:v>gjiw [ɡjiw] (平)</x:v>
      </x:c>
      <x:c r="F3548" s="6" t="str">
        <x:v>1</x:v>
      </x:c>
      <x:c r="G3548" s="6" t="str">
        <x:v>Tang 300 gap; frequency 1; provisional from Xun Gong</x:v>
      </x:c>
      <x:c r="H3548" s="6" t="str">
        <x:f>IF(B3548="平","平",IF(B3548="","","仄"))</x:f>
        <x:v>平</x:v>
      </x:c>
      <x:c r="I3548" s="6" t="str">
        <x:f>IF(D3533="","",IF(AND(ISNUMBER(SEARCH("平",D3533)),OR(ISNUMBER(SEARCH("上",D3533)),ISNUMBER(SEARCH("去",D3533)),ISNUMBER(SEARCH("入",D3533)))),"Ambiguous",IF(ISNUMBER(SEARCH("平",D3533)),"平","仄")))</x:f>
        <x:v>平</x:v>
      </x:c>
      <x:c r="J3548" s="7" t="str">
        <x:v>Xun Gong, Tang 300 gap fill</x:v>
      </x:c>
    </x:row>
    <x:row r="3549">
      <x:c r="A3549" s="5" t="str">
        <x:v>虹</x:v>
      </x:c>
      <x:c r="B3549" s="6" t="str">
        <x:v>平</x:v>
      </x:c>
      <x:c r="C3549" s="6" t="str">
        <x:f>IF(B3549="","Needs decision","Ready")</x:f>
        <x:v>Ready</x:v>
      </x:c>
      <x:c r="D3549" s="6" t="str">
        <x:v>平/去</x:v>
      </x:c>
      <x:c r="E3549" s="6" t="str">
        <x:v>huwng (A); kaewngH (C)</x:v>
      </x:c>
      <x:c r="F3549" s="6" t="str">
        <x:v>2</x:v>
      </x:c>
      <x:c r="G3549" s="6" t="str">
        <x:v>User workbook edit 2026-09-03</x:v>
      </x:c>
      <x:c r="H3549" s="6" t="str">
        <x:f>IF(B3549="平","平",IF(B3549="","","仄"))</x:f>
        <x:v>平</x:v>
      </x:c>
      <x:c r="I3549" s="6" t="str">
        <x:f>IF(D3534="","",IF(AND(ISNUMBER(SEARCH("平",D3534)),OR(ISNUMBER(SEARCH("上",D3534)),ISNUMBER(SEARCH("去",D3534)),ISNUMBER(SEARCH("入",D3534)))),"Ambiguous",IF(ISNUMBER(SEARCH("平",D3534)),"平","仄")))</x:f>
        <x:v>平</x:v>
      </x:c>
      <x:c r="J3549" s="7" t="str">
        <x:v>manual user correction</x:v>
      </x:c>
    </x:row>
    <x:row r="3550">
      <x:c r="A3550" s="5" t="str">
        <x:v>虺</x:v>
      </x:c>
      <x:c r="B3550" s="6" t="str"/>
      <x:c r="C3550" s="6" t="str">
        <x:f>IF(B3550="","Needs decision","Ready")</x:f>
        <x:v>Needs decision</x:v>
      </x:c>
      <x:c r="D3550" s="6" t="str">
        <x:v>平/上</x:v>
      </x:c>
      <x:c r="E3550" s="6" t="str">
        <x:v>xwoj (A); xjw+jX (B)</x:v>
      </x:c>
      <x:c r="F3550" s="6" t="str">
        <x:v>2</x:v>
      </x:c>
      <x:c r="G3550" s="6" t="str"/>
      <x:c r="H3550" s="6" t="str">
        <x:f>IF(B3550="平","平",IF(B3550="","","仄"))</x:f>
      </x:c>
      <x:c r="I3550" s="6" t="str">
        <x:f>IF(D3535="","",IF(AND(ISNUMBER(SEARCH("平",D3535)),OR(ISNUMBER(SEARCH("上",D3535)),ISNUMBER(SEARCH("去",D3535)),ISNUMBER(SEARCH("入",D3535)))),"Ambiguous",IF(ISNUMBER(SEARCH("平",D3535)),"平","仄")))</x:f>
        <x:v>平</x:v>
      </x:c>
      <x:c r="J3550" s="7" t="str"/>
    </x:row>
    <x:row r="3551">
      <x:c r="A3551" s="5" t="str">
        <x:v>蚉</x:v>
      </x:c>
      <x:c r="B3551" s="6" t="str">
        <x:v>平</x:v>
      </x:c>
      <x:c r="C3551" s="6" t="str">
        <x:f>IF(B3551="","Needs decision","Ready")</x:f>
        <x:v>Ready</x:v>
      </x:c>
      <x:c r="D3551" s="6" t="str">
        <x:v>平</x:v>
      </x:c>
      <x:c r="E3551" s="6" t="str">
        <x:v>mjun (A)</x:v>
      </x:c>
      <x:c r="F3551" s="6" t="str">
        <x:v>1</x:v>
      </x:c>
      <x:c r="G3551" s="6" t="str"/>
      <x:c r="H3551" s="6" t="str">
        <x:f>IF(B3551="平","平",IF(B3551="","","仄"))</x:f>
        <x:v>平</x:v>
      </x:c>
      <x:c r="I3551" s="6" t="str">
        <x:f>IF(D3536="","",IF(AND(ISNUMBER(SEARCH("平",D3536)),OR(ISNUMBER(SEARCH("上",D3536)),ISNUMBER(SEARCH("去",D3536)),ISNUMBER(SEARCH("入",D3536)))),"Ambiguous",IF(ISNUMBER(SEARCH("平",D3536)),"平","仄")))</x:f>
        <x:v>仄</x:v>
      </x:c>
      <x:c r="J3551" s="7" t="str"/>
    </x:row>
    <x:row r="3552">
      <x:c r="A3552" s="5" t="str">
        <x:v>蚊</x:v>
      </x:c>
      <x:c r="B3552" s="6" t="str">
        <x:v>平</x:v>
      </x:c>
      <x:c r="C3552" s="6" t="str">
        <x:f>IF(B3552="","Needs decision","Ready")</x:f>
        <x:v>Ready</x:v>
      </x:c>
      <x:c r="D3552" s="6" t="str">
        <x:v>平</x:v>
      </x:c>
      <x:c r="E3552" s="6" t="str">
        <x:v>mjun (A)</x:v>
      </x:c>
      <x:c r="F3552" s="6" t="str">
        <x:v>1</x:v>
      </x:c>
      <x:c r="G3552" s="6" t="str"/>
      <x:c r="H3552" s="6" t="str">
        <x:f>IF(B3552="平","平",IF(B3552="","","仄"))</x:f>
        <x:v>平</x:v>
      </x:c>
      <x:c r="I3552" s="6" t="str">
        <x:f>IF(D3537="","",IF(AND(ISNUMBER(SEARCH("平",D3537)),OR(ISNUMBER(SEARCH("上",D3537)),ISNUMBER(SEARCH("去",D3537)),ISNUMBER(SEARCH("入",D3537)))),"Ambiguous",IF(ISNUMBER(SEARCH("平",D3537)),"平","仄")))</x:f>
        <x:v>仄</x:v>
      </x:c>
      <x:c r="J3552" s="7" t="str"/>
    </x:row>
    <x:row r="3553">
      <x:c r="A3553" s="5" t="str">
        <x:v>蚌</x:v>
      </x:c>
      <x:c r="B3553" s="6" t="str">
        <x:v>上</x:v>
      </x:c>
      <x:c r="C3553" s="6" t="str">
        <x:f>IF(B3553="","Needs decision","Ready")</x:f>
        <x:v>Ready</x:v>
      </x:c>
      <x:c r="D3553" s="6" t="str">
        <x:v>上</x:v>
      </x:c>
      <x:c r="E3553" s="6" t="str">
        <x:v>baewngX (B)</x:v>
      </x:c>
      <x:c r="F3553" s="6" t="str">
        <x:v>1</x:v>
      </x:c>
      <x:c r="G3553" s="6" t="str"/>
      <x:c r="H3553" s="6" t="str">
        <x:f>IF(B3553="平","平",IF(B3553="","","仄"))</x:f>
        <x:v>仄</x:v>
      </x:c>
      <x:c r="I3553" s="6" t="str">
        <x:f>IF(D3538="","",IF(AND(ISNUMBER(SEARCH("平",D3538)),OR(ISNUMBER(SEARCH("上",D3538)),ISNUMBER(SEARCH("去",D3538)),ISNUMBER(SEARCH("入",D3538)))),"Ambiguous",IF(ISNUMBER(SEARCH("平",D3538)),"平","仄")))</x:f>
        <x:v>平</x:v>
      </x:c>
      <x:c r="J3553" s="7" t="str"/>
    </x:row>
    <x:row r="3554">
      <x:c r="A3554" s="5" t="str">
        <x:v>蚓</x:v>
      </x:c>
      <x:c r="B3554" s="6" t="str">
        <x:v>上</x:v>
      </x:c>
      <x:c r="C3554" s="6" t="str">
        <x:f>IF(B3554="","Needs decision","Ready")</x:f>
        <x:v>Ready</x:v>
      </x:c>
      <x:c r="D3554" s="6" t="str">
        <x:v>上</x:v>
      </x:c>
      <x:c r="E3554" s="6" t="str">
        <x:v>yinX (B)</x:v>
      </x:c>
      <x:c r="F3554" s="6" t="str">
        <x:v>1</x:v>
      </x:c>
      <x:c r="G3554" s="6" t="str"/>
      <x:c r="H3554" s="6" t="str">
        <x:f>IF(B3554="平","平",IF(B3554="","","仄"))</x:f>
        <x:v>仄</x:v>
      </x:c>
      <x:c r="I3554" s="6" t="str">
        <x:f>IF(D3539="","",IF(AND(ISNUMBER(SEARCH("平",D3539)),OR(ISNUMBER(SEARCH("上",D3539)),ISNUMBER(SEARCH("去",D3539)),ISNUMBER(SEARCH("入",D3539)))),"Ambiguous",IF(ISNUMBER(SEARCH("平",D3539)),"平","仄")))</x:f>
        <x:v>平</x:v>
      </x:c>
      <x:c r="J3554" s="7" t="str"/>
    </x:row>
    <x:row r="3555">
      <x:c r="A3555" s="5" t="str">
        <x:v>蚤</x:v>
      </x:c>
      <x:c r="B3555" s="6" t="str">
        <x:v>上</x:v>
      </x:c>
      <x:c r="C3555" s="6" t="str">
        <x:f>IF(B3555="","Needs decision","Ready")</x:f>
        <x:v>Ready</x:v>
      </x:c>
      <x:c r="D3555" s="6" t="str">
        <x:v>上</x:v>
      </x:c>
      <x:c r="E3555" s="6" t="str">
        <x:v>tsawX (B)</x:v>
      </x:c>
      <x:c r="F3555" s="6" t="str">
        <x:v>1</x:v>
      </x:c>
      <x:c r="G3555" s="6" t="str"/>
      <x:c r="H3555" s="6" t="str">
        <x:f>IF(B3555="平","平",IF(B3555="","","仄"))</x:f>
        <x:v>仄</x:v>
      </x:c>
      <x:c r="I3555" s="6" t="str">
        <x:f>IF(D3540="","",IF(AND(ISNUMBER(SEARCH("平",D3540)),OR(ISNUMBER(SEARCH("上",D3540)),ISNUMBER(SEARCH("去",D3540)),ISNUMBER(SEARCH("入",D3540)))),"Ambiguous",IF(ISNUMBER(SEARCH("平",D3540)),"平","仄")))</x:f>
        <x:v>仄</x:v>
      </x:c>
      <x:c r="J3555" s="7" t="str"/>
    </x:row>
    <x:row r="3556">
      <x:c r="A3556" s="5" t="str">
        <x:v>蚩</x:v>
      </x:c>
      <x:c r="B3556" s="6" t="str">
        <x:v>平</x:v>
      </x:c>
      <x:c r="C3556" s="6" t="str">
        <x:f>IF(B3556="","Needs decision","Ready")</x:f>
        <x:v>Ready</x:v>
      </x:c>
      <x:c r="D3556" s="6" t="str">
        <x:v>平</x:v>
      </x:c>
      <x:c r="E3556" s="6" t="str">
        <x:v>tsyhi [昌開三之平] tɕʰɨ</x:v>
      </x:c>
      <x:c r="F3556" s="6" t="str">
        <x:v>1</x:v>
      </x:c>
      <x:c r="G3556" s="6" t="str">
        <x:v>Targeted preliminary fill from Xun Gong; review if uncertain</x:v>
      </x:c>
      <x:c r="H3556" s="6" t="str">
        <x:f>IF(B3556="平","平",IF(B3556="","","仄"))</x:f>
        <x:v>平</x:v>
      </x:c>
      <x:c r="I3556" s="6" t="str">
        <x:f>IF(D3541="","",IF(AND(ISNUMBER(SEARCH("平",D3541)),OR(ISNUMBER(SEARCH("上",D3541)),ISNUMBER(SEARCH("去",D3541)),ISNUMBER(SEARCH("入",D3541)))),"Ambiguous",IF(ISNUMBER(SEARCH("平",D3541)),"平","仄")))</x:f>
        <x:v>平</x:v>
      </x:c>
      <x:c r="J3556" s="7" t="str">
        <x:v>Xun Gong character-readings.csv</x:v>
      </x:c>
    </x:row>
    <x:row r="3557">
      <x:c r="A3557" s="5" t="str">
        <x:v>蚯</x:v>
      </x:c>
      <x:c r="B3557" s="6" t="str">
        <x:v>平</x:v>
      </x:c>
      <x:c r="C3557" s="6" t="str">
        <x:f>IF(B3557="","Needs decision","Ready")</x:f>
        <x:v>Ready</x:v>
      </x:c>
      <x:c r="D3557" s="6" t="str">
        <x:v>平</x:v>
      </x:c>
      <x:c r="E3557" s="6" t="str">
        <x:v>khjuw (A)</x:v>
      </x:c>
      <x:c r="F3557" s="6" t="str">
        <x:v>1</x:v>
      </x:c>
      <x:c r="G3557" s="6" t="str"/>
      <x:c r="H3557" s="6" t="str">
        <x:f>IF(B3557="平","平",IF(B3557="","","仄"))</x:f>
        <x:v>平</x:v>
      </x:c>
      <x:c r="I3557" s="6" t="str">
        <x:f>IF(D3542="","",IF(AND(ISNUMBER(SEARCH("平",D3542)),OR(ISNUMBER(SEARCH("上",D3542)),ISNUMBER(SEARCH("去",D3542)),ISNUMBER(SEARCH("入",D3542)))),"Ambiguous",IF(ISNUMBER(SEARCH("平",D3542)),"平","仄")))</x:f>
        <x:v>仄</x:v>
      </x:c>
      <x:c r="J3557" s="7" t="str"/>
    </x:row>
    <x:row r="3558">
      <x:c r="A3558" s="5" t="str">
        <x:v>蚳</x:v>
      </x:c>
      <x:c r="B3558" s="6" t="str">
        <x:v>平</x:v>
      </x:c>
      <x:c r="C3558" s="6" t="str">
        <x:f>IF(B3558="","Needs decision","Ready")</x:f>
        <x:v>Ready</x:v>
      </x:c>
      <x:c r="D3558" s="6" t="str">
        <x:v>平</x:v>
      </x:c>
      <x:c r="E3558" s="6" t="str">
        <x:v>drij (A)</x:v>
      </x:c>
      <x:c r="F3558" s="6" t="str">
        <x:v>1</x:v>
      </x:c>
      <x:c r="G3558" s="6" t="str"/>
      <x:c r="H3558" s="6" t="str">
        <x:f>IF(B3558="平","平",IF(B3558="","","仄"))</x:f>
        <x:v>平</x:v>
      </x:c>
      <x:c r="I3558" s="6" t="str">
        <x:f>IF(D3543="","",IF(AND(ISNUMBER(SEARCH("平",D3543)),OR(ISNUMBER(SEARCH("上",D3543)),ISNUMBER(SEARCH("去",D3543)),ISNUMBER(SEARCH("入",D3543)))),"Ambiguous",IF(ISNUMBER(SEARCH("平",D3543)),"平","仄")))</x:f>
        <x:v>平</x:v>
      </x:c>
      <x:c r="J3558" s="7" t="str"/>
    </x:row>
    <x:row r="3559">
      <x:c r="A3559" s="5" t="str">
        <x:v>蛇</x:v>
      </x:c>
      <x:c r="B3559" s="6" t="str">
        <x:v>平</x:v>
      </x:c>
      <x:c r="C3559" s="6" t="str">
        <x:f>IF(B3559="","Needs decision","Ready")</x:f>
        <x:v>Ready</x:v>
      </x:c>
      <x:c r="D3559" s="6" t="str">
        <x:v>平</x:v>
      </x:c>
      <x:c r="E3559" s="6" t="str">
        <x:v>zyae (A); ye (A)</x:v>
      </x:c>
      <x:c r="F3559" s="6" t="str">
        <x:v>2</x:v>
      </x:c>
      <x:c r="G3559" s="6" t="str"/>
      <x:c r="H3559" s="6" t="str">
        <x:f>IF(B3559="平","平",IF(B3559="","","仄"))</x:f>
        <x:v>平</x:v>
      </x:c>
      <x:c r="I3559" s="6" t="str">
        <x:f>IF(D3544="","",IF(AND(ISNUMBER(SEARCH("平",D3544)),OR(ISNUMBER(SEARCH("上",D3544)),ISNUMBER(SEARCH("去",D3544)),ISNUMBER(SEARCH("入",D3544)))),"Ambiguous",IF(ISNUMBER(SEARCH("平",D3544)),"平","仄")))</x:f>
        <x:v>Ambiguous</x:v>
      </x:c>
      <x:c r="J3559" s="7" t="str"/>
    </x:row>
    <x:row r="3560">
      <x:c r="A3560" s="5" t="str">
        <x:v>蛙</x:v>
      </x:c>
      <x:c r="B3560" s="6" t="str">
        <x:v>平</x:v>
      </x:c>
      <x:c r="C3560" s="6" t="str">
        <x:f>IF(B3560="","Needs decision","Ready")</x:f>
        <x:v>Ready</x:v>
      </x:c>
      <x:c r="D3560" s="6" t="str">
        <x:v>平</x:v>
      </x:c>
      <x:c r="E3560" s="6" t="str">
        <x:v>'wea (A)</x:v>
      </x:c>
      <x:c r="F3560" s="6" t="str">
        <x:v>1</x:v>
      </x:c>
      <x:c r="G3560" s="6" t="str"/>
      <x:c r="H3560" s="6" t="str">
        <x:f>IF(B3560="平","平",IF(B3560="","","仄"))</x:f>
        <x:v>平</x:v>
      </x:c>
      <x:c r="I3560" s="6" t="str">
        <x:f>IF(D3545="","",IF(AND(ISNUMBER(SEARCH("平",D3545)),OR(ISNUMBER(SEARCH("上",D3545)),ISNUMBER(SEARCH("去",D3545)),ISNUMBER(SEARCH("入",D3545)))),"Ambiguous",IF(ISNUMBER(SEARCH("平",D3545)),"平","仄")))</x:f>
        <x:v>仄</x:v>
      </x:c>
      <x:c r="J3560" s="7" t="str"/>
    </x:row>
    <x:row r="3561">
      <x:c r="A3561" s="5" t="str">
        <x:v>蛛</x:v>
      </x:c>
      <x:c r="B3561" s="6" t="str">
        <x:v>平</x:v>
      </x:c>
      <x:c r="C3561" s="6" t="str">
        <x:f>IF(B3561="","Needs decision","Ready")</x:f>
        <x:v>Ready</x:v>
      </x:c>
      <x:c r="D3561" s="6" t="str">
        <x:v>平</x:v>
      </x:c>
      <x:c r="E3561" s="6" t="str">
        <x:v>trju (A)</x:v>
      </x:c>
      <x:c r="F3561" s="6" t="str">
        <x:v>1</x:v>
      </x:c>
      <x:c r="G3561" s="6" t="str"/>
      <x:c r="H3561" s="6" t="str">
        <x:f>IF(B3561="平","平",IF(B3561="","","仄"))</x:f>
        <x:v>平</x:v>
      </x:c>
      <x:c r="I3561" s="6" t="str">
        <x:f>IF(D3546="","",IF(AND(ISNUMBER(SEARCH("平",D3546)),OR(ISNUMBER(SEARCH("上",D3546)),ISNUMBER(SEARCH("去",D3546)),ISNUMBER(SEARCH("入",D3546)))),"Ambiguous",IF(ISNUMBER(SEARCH("平",D3546)),"平","仄")))</x:f>
        <x:v>平</x:v>
      </x:c>
      <x:c r="J3561" s="7" t="str"/>
    </x:row>
    <x:row r="3562">
      <x:c r="A3562" s="5" t="str">
        <x:v>蛟</x:v>
      </x:c>
      <x:c r="B3562" s="6" t="str">
        <x:v>平</x:v>
      </x:c>
      <x:c r="C3562" s="6" t="str">
        <x:f>IF(B3562="","Needs decision","Ready")</x:f>
        <x:v>Ready</x:v>
      </x:c>
      <x:c r="D3562" s="6" t="str">
        <x:v>平</x:v>
      </x:c>
      <x:c r="E3562" s="6" t="str">
        <x:v>kaew [qaˤw] (平)</x:v>
      </x:c>
      <x:c r="F3562" s="6" t="str">
        <x:v>1</x:v>
      </x:c>
      <x:c r="G3562" s="6" t="str">
        <x:v>Tang 300 gap; frequency 4; provisional from Xun Gong</x:v>
      </x:c>
      <x:c r="H3562" s="6" t="str">
        <x:f>IF(B3562="平","平",IF(B3562="","","仄"))</x:f>
        <x:v>平</x:v>
      </x:c>
      <x:c r="I3562" s="6" t="str">
        <x:f>IF(D3547="","",IF(AND(ISNUMBER(SEARCH("平",D3547)),OR(ISNUMBER(SEARCH("上",D3547)),ISNUMBER(SEARCH("去",D3547)),ISNUMBER(SEARCH("入",D3547)))),"Ambiguous",IF(ISNUMBER(SEARCH("平",D3547)),"平","仄")))</x:f>
        <x:v>仄</x:v>
      </x:c>
      <x:c r="J3562" s="7" t="str">
        <x:v>Xun Gong, Tang 300 gap fill</x:v>
      </x:c>
    </x:row>
    <x:row r="3563">
      <x:c r="A3563" s="5" t="str">
        <x:v>蛾</x:v>
      </x:c>
      <x:c r="B3563" s="6" t="str"/>
      <x:c r="C3563" s="6" t="str">
        <x:f>IF(B3563="","Needs decision","Ready")</x:f>
        <x:v>Needs decision</x:v>
      </x:c>
      <x:c r="D3563" s="6" t="str">
        <x:v>平/上</x:v>
      </x:c>
      <x:c r="E3563" s="6" t="str">
        <x:v>nga (A); ngjeX (B)</x:v>
      </x:c>
      <x:c r="F3563" s="6" t="str">
        <x:v>2</x:v>
      </x:c>
      <x:c r="G3563" s="6" t="str"/>
      <x:c r="H3563" s="6" t="str">
        <x:f>IF(B3563="平","平",IF(B3563="","","仄"))</x:f>
      </x:c>
      <x:c r="I3563" s="6" t="str">
        <x:f>IF(D3548="","",IF(AND(ISNUMBER(SEARCH("平",D3548)),OR(ISNUMBER(SEARCH("上",D3548)),ISNUMBER(SEARCH("去",D3548)),ISNUMBER(SEARCH("入",D3548)))),"Ambiguous",IF(ISNUMBER(SEARCH("平",D3548)),"平","仄")))</x:f>
        <x:v>平</x:v>
      </x:c>
      <x:c r="J3563" s="7" t="str"/>
    </x:row>
    <x:row r="3564">
      <x:c r="A3564" s="5" t="str">
        <x:v>蜀</x:v>
      </x:c>
      <x:c r="B3564" s="6" t="str">
        <x:v>入</x:v>
      </x:c>
      <x:c r="C3564" s="6" t="str">
        <x:f>IF(B3564="","Needs decision","Ready")</x:f>
        <x:v>Ready</x:v>
      </x:c>
      <x:c r="D3564" s="6" t="str">
        <x:v>入</x:v>
      </x:c>
      <x:c r="E3564" s="6" t="str">
        <x:v>dzyowk (D)</x:v>
      </x:c>
      <x:c r="F3564" s="6" t="str">
        <x:v>1</x:v>
      </x:c>
      <x:c r="G3564" s="6" t="str"/>
      <x:c r="H3564" s="6" t="str">
        <x:f>IF(B3564="平","平",IF(B3564="","","仄"))</x:f>
        <x:v>仄</x:v>
      </x:c>
      <x:c r="I3564" s="6" t="str">
        <x:f>IF(D3549="","",IF(AND(ISNUMBER(SEARCH("平",D3549)),OR(ISNUMBER(SEARCH("上",D3549)),ISNUMBER(SEARCH("去",D3549)),ISNUMBER(SEARCH("入",D3549)))),"Ambiguous",IF(ISNUMBER(SEARCH("平",D3549)),"平","仄")))</x:f>
        <x:v>Ambiguous</x:v>
      </x:c>
      <x:c r="J3564" s="7" t="str"/>
    </x:row>
    <x:row r="3565">
      <x:c r="A3565" s="5" t="str">
        <x:v>蜂</x:v>
      </x:c>
      <x:c r="B3565" s="6" t="str">
        <x:v>平</x:v>
      </x:c>
      <x:c r="C3565" s="6" t="str">
        <x:f>IF(B3565="","Needs decision","Ready")</x:f>
        <x:v>Ready</x:v>
      </x:c>
      <x:c r="D3565" s="6" t="str">
        <x:v>平</x:v>
      </x:c>
      <x:c r="E3565" s="6" t="str">
        <x:v>phjowng (A)</x:v>
      </x:c>
      <x:c r="F3565" s="6" t="str">
        <x:v>1</x:v>
      </x:c>
      <x:c r="G3565" s="6" t="str"/>
      <x:c r="H3565" s="6" t="str">
        <x:f>IF(B3565="平","平",IF(B3565="","","仄"))</x:f>
        <x:v>平</x:v>
      </x:c>
      <x:c r="I3565" s="6" t="str">
        <x:f>IF(D3550="","",IF(AND(ISNUMBER(SEARCH("平",D3550)),OR(ISNUMBER(SEARCH("上",D3550)),ISNUMBER(SEARCH("去",D3550)),ISNUMBER(SEARCH("入",D3550)))),"Ambiguous",IF(ISNUMBER(SEARCH("平",D3550)),"平","仄")))</x:f>
        <x:v>Ambiguous</x:v>
      </x:c>
      <x:c r="J3565" s="7" t="str"/>
    </x:row>
    <x:row r="3566">
      <x:c r="A3566" s="5" t="str">
        <x:v>蜃</x:v>
      </x:c>
      <x:c r="B3566" s="6" t="str">
        <x:v>上</x:v>
      </x:c>
      <x:c r="C3566" s="6" t="str">
        <x:f>IF(B3566="","Needs decision","Ready")</x:f>
        <x:v>Ready</x:v>
      </x:c>
      <x:c r="D3566" s="6" t="str">
        <x:v>上</x:v>
      </x:c>
      <x:c r="E3566" s="6" t="str">
        <x:v>dzyinX (B)</x:v>
      </x:c>
      <x:c r="F3566" s="6" t="str">
        <x:v>1</x:v>
      </x:c>
      <x:c r="G3566" s="6" t="str"/>
      <x:c r="H3566" s="6" t="str">
        <x:f>IF(B3566="平","平",IF(B3566="","","仄"))</x:f>
        <x:v>仄</x:v>
      </x:c>
      <x:c r="I3566" s="6" t="str">
        <x:f>IF(D3551="","",IF(AND(ISNUMBER(SEARCH("平",D3551)),OR(ISNUMBER(SEARCH("上",D3551)),ISNUMBER(SEARCH("去",D3551)),ISNUMBER(SEARCH("入",D3551)))),"Ambiguous",IF(ISNUMBER(SEARCH("平",D3551)),"平","仄")))</x:f>
        <x:v>平</x:v>
      </x:c>
      <x:c r="J3566" s="7" t="str"/>
    </x:row>
    <x:row r="3567">
      <x:c r="A3567" s="5" t="str">
        <x:v>蜉</x:v>
      </x:c>
      <x:c r="B3567" s="6" t="str">
        <x:v>平</x:v>
      </x:c>
      <x:c r="C3567" s="6" t="str">
        <x:f>IF(B3567="","Needs decision","Ready")</x:f>
        <x:v>Ready</x:v>
      </x:c>
      <x:c r="D3567" s="6" t="str">
        <x:v>平</x:v>
      </x:c>
      <x:c r="E3567" s="6" t="str">
        <x:v>bjuw (A)</x:v>
      </x:c>
      <x:c r="F3567" s="6" t="str">
        <x:v>1</x:v>
      </x:c>
      <x:c r="G3567" s="6" t="str"/>
      <x:c r="H3567" s="6" t="str">
        <x:f>IF(B3567="平","平",IF(B3567="","","仄"))</x:f>
        <x:v>平</x:v>
      </x:c>
      <x:c r="I3567" s="6" t="str">
        <x:f>IF(D3552="","",IF(AND(ISNUMBER(SEARCH("平",D3552)),OR(ISNUMBER(SEARCH("上",D3552)),ISNUMBER(SEARCH("去",D3552)),ISNUMBER(SEARCH("入",D3552)))),"Ambiguous",IF(ISNUMBER(SEARCH("平",D3552)),"平","仄")))</x:f>
        <x:v>平</x:v>
      </x:c>
      <x:c r="J3567" s="7" t="str"/>
    </x:row>
    <x:row r="3568">
      <x:c r="A3568" s="5" t="str">
        <x:v>蜎</x:v>
      </x:c>
      <x:c r="B3568" s="6" t="str"/>
      <x:c r="C3568" s="6" t="str">
        <x:f>IF(B3568="","Needs decision","Ready")</x:f>
        <x:v>Needs decision</x:v>
      </x:c>
      <x:c r="D3568" s="6" t="str">
        <x:v>上/平</x:v>
      </x:c>
      <x:c r="E3568" s="6" t="str">
        <x:v>'jwienX (B); 'wen (A); gjwienX (B)</x:v>
      </x:c>
      <x:c r="F3568" s="6" t="str">
        <x:v>3</x:v>
      </x:c>
      <x:c r="G3568" s="6" t="str"/>
      <x:c r="H3568" s="6" t="str">
        <x:f>IF(B3568="平","平",IF(B3568="","","仄"))</x:f>
      </x:c>
      <x:c r="I3568" s="6" t="str">
        <x:f>IF(D3553="","",IF(AND(ISNUMBER(SEARCH("平",D3553)),OR(ISNUMBER(SEARCH("上",D3553)),ISNUMBER(SEARCH("去",D3553)),ISNUMBER(SEARCH("入",D3553)))),"Ambiguous",IF(ISNUMBER(SEARCH("平",D3553)),"平","仄")))</x:f>
        <x:v>仄</x:v>
      </x:c>
      <x:c r="J3568" s="7" t="str"/>
    </x:row>
    <x:row r="3569">
      <x:c r="A3569" s="5" t="str">
        <x:v>蜓</x:v>
      </x:c>
      <x:c r="B3569" s="6" t="str"/>
      <x:c r="C3569" s="6" t="str">
        <x:f>IF(B3569="","Needs decision","Ready")</x:f>
        <x:v>Needs decision</x:v>
      </x:c>
      <x:c r="D3569" s="6" t="str">
        <x:v>平/上</x:v>
      </x:c>
      <x:c r="E3569" s="6" t="str">
        <x:v>denX [d̙enʔ] (上); deng [d̙eŋ] (平); dengX [d̙eŋʔ] (上)</x:v>
      </x:c>
      <x:c r="F3569" s="6" t="str">
        <x:v>3</x:v>
      </x:c>
      <x:c r="G3569" s="6" t="str">
        <x:v>Tang 300 gap; frequency 1; ambiguous in Xun Gong</x:v>
      </x:c>
      <x:c r="H3569" s="6" t="str">
        <x:f>IF(B3569="平","平",IF(B3569="","","仄"))</x:f>
      </x:c>
      <x:c r="I3569" s="6" t="str">
        <x:f>IF(D3554="","",IF(AND(ISNUMBER(SEARCH("平",D3554)),OR(ISNUMBER(SEARCH("上",D3554)),ISNUMBER(SEARCH("去",D3554)),ISNUMBER(SEARCH("入",D3554)))),"Ambiguous",IF(ISNUMBER(SEARCH("平",D3554)),"平","仄")))</x:f>
        <x:v>仄</x:v>
      </x:c>
      <x:c r="J3569" s="7" t="str">
        <x:v>Xun Gong, Tang 300 gap fill</x:v>
      </x:c>
    </x:row>
    <x:row r="3570">
      <x:c r="A3570" s="5" t="str">
        <x:v>蜕</x:v>
      </x:c>
      <x:c r="B3570" s="6" t="str"/>
      <x:c r="C3570" s="6" t="str">
        <x:f>IF(B3570="","Needs decision","Ready")</x:f>
        <x:v>Needs decision</x:v>
      </x:c>
      <x:c r="D3570" s="6" t="str">
        <x:v>去/入</x:v>
      </x:c>
      <x:c r="E3570" s="6" t="str">
        <x:v>thwajH (C); ywet (D)</x:v>
      </x:c>
      <x:c r="F3570" s="6" t="str">
        <x:v>2</x:v>
      </x:c>
      <x:c r="G3570" s="6" t="str"/>
      <x:c r="H3570" s="6" t="str">
        <x:f>IF(B3570="平","平",IF(B3570="","","仄"))</x:f>
      </x:c>
      <x:c r="I3570" s="6" t="str">
        <x:f>IF(D3555="","",IF(AND(ISNUMBER(SEARCH("平",D3555)),OR(ISNUMBER(SEARCH("上",D3555)),ISNUMBER(SEARCH("去",D3555)),ISNUMBER(SEARCH("入",D3555)))),"Ambiguous",IF(ISNUMBER(SEARCH("平",D3555)),"平","仄")))</x:f>
        <x:v>仄</x:v>
      </x:c>
      <x:c r="J3570" s="7" t="str"/>
    </x:row>
    <x:row r="3571">
      <x:c r="A3571" s="5" t="str">
        <x:v>蜘</x:v>
      </x:c>
      <x:c r="B3571" s="6" t="str">
        <x:v>平</x:v>
      </x:c>
      <x:c r="C3571" s="6" t="str">
        <x:f>IF(B3571="","Needs decision","Ready")</x:f>
        <x:v>Ready</x:v>
      </x:c>
      <x:c r="D3571" s="6" t="str">
        <x:v>平</x:v>
      </x:c>
      <x:c r="E3571" s="6" t="str">
        <x:v>trje (A)</x:v>
      </x:c>
      <x:c r="F3571" s="6" t="str">
        <x:v>1</x:v>
      </x:c>
      <x:c r="G3571" s="6" t="str"/>
      <x:c r="H3571" s="6" t="str">
        <x:f>IF(B3571="平","平",IF(B3571="","","仄"))</x:f>
        <x:v>平</x:v>
      </x:c>
      <x:c r="I3571" s="6" t="str">
        <x:f>IF(D3556="","",IF(AND(ISNUMBER(SEARCH("平",D3556)),OR(ISNUMBER(SEARCH("上",D3556)),ISNUMBER(SEARCH("去",D3556)),ISNUMBER(SEARCH("入",D3556)))),"Ambiguous",IF(ISNUMBER(SEARCH("平",D3556)),"平","仄")))</x:f>
        <x:v>平</x:v>
      </x:c>
      <x:c r="J3571" s="7" t="str"/>
    </x:row>
    <x:row r="3572">
      <x:c r="A3572" s="5" t="str">
        <x:v>蜚</x:v>
      </x:c>
      <x:c r="B3572" s="6" t="str">
        <x:v>上</x:v>
      </x:c>
      <x:c r="C3572" s="6" t="str">
        <x:f>IF(B3572="","Needs decision","Ready")</x:f>
        <x:v>Ready</x:v>
      </x:c>
      <x:c r="D3572" s="6" t="str">
        <x:v>上</x:v>
      </x:c>
      <x:c r="E3572" s="6" t="str">
        <x:v>pj+jX (B)</x:v>
      </x:c>
      <x:c r="F3572" s="6" t="str">
        <x:v>1</x:v>
      </x:c>
      <x:c r="G3572" s="6" t="str"/>
      <x:c r="H3572" s="6" t="str">
        <x:f>IF(B3572="平","平",IF(B3572="","","仄"))</x:f>
        <x:v>仄</x:v>
      </x:c>
      <x:c r="I3572" s="6" t="str">
        <x:f>IF(D3557="","",IF(AND(ISNUMBER(SEARCH("平",D3557)),OR(ISNUMBER(SEARCH("上",D3557)),ISNUMBER(SEARCH("去",D3557)),ISNUMBER(SEARCH("入",D3557)))),"Ambiguous",IF(ISNUMBER(SEARCH("平",D3557)),"平","仄")))</x:f>
        <x:v>平</x:v>
      </x:c>
      <x:c r="J3572" s="7" t="str"/>
    </x:row>
    <x:row r="3573">
      <x:c r="A3573" s="5" t="str">
        <x:v>蜜</x:v>
      </x:c>
      <x:c r="B3573" s="6" t="str">
        <x:v>入</x:v>
      </x:c>
      <x:c r="C3573" s="6" t="str">
        <x:f>IF(B3573="","Needs decision","Ready")</x:f>
        <x:v>Ready</x:v>
      </x:c>
      <x:c r="D3573" s="6" t="str">
        <x:v>入</x:v>
      </x:c>
      <x:c r="E3573" s="6" t="str">
        <x:v>mjit (D)</x:v>
      </x:c>
      <x:c r="F3573" s="6" t="str">
        <x:v>1</x:v>
      </x:c>
      <x:c r="G3573" s="6" t="str"/>
      <x:c r="H3573" s="6" t="str">
        <x:f>IF(B3573="平","平",IF(B3573="","","仄"))</x:f>
        <x:v>仄</x:v>
      </x:c>
      <x:c r="I3573" s="6" t="str">
        <x:f>IF(D3558="","",IF(AND(ISNUMBER(SEARCH("平",D3558)),OR(ISNUMBER(SEARCH("上",D3558)),ISNUMBER(SEARCH("去",D3558)),ISNUMBER(SEARCH("入",D3558)))),"Ambiguous",IF(ISNUMBER(SEARCH("平",D3558)),"平","仄")))</x:f>
        <x:v>平</x:v>
      </x:c>
      <x:c r="J3573" s="7" t="str"/>
    </x:row>
    <x:row r="3574">
      <x:c r="A3574" s="5" t="str">
        <x:v>蜯</x:v>
      </x:c>
      <x:c r="B3574" s="6" t="str">
        <x:v>上</x:v>
      </x:c>
      <x:c r="C3574" s="6" t="str">
        <x:f>IF(B3574="","Needs decision","Ready")</x:f>
        <x:v>Ready</x:v>
      </x:c>
      <x:c r="D3574" s="6" t="str">
        <x:v>上</x:v>
      </x:c>
      <x:c r="E3574" s="6" t="str">
        <x:v>baewngX (B)</x:v>
      </x:c>
      <x:c r="F3574" s="6" t="str">
        <x:v>1</x:v>
      </x:c>
      <x:c r="G3574" s="6" t="str"/>
      <x:c r="H3574" s="6" t="str">
        <x:f>IF(B3574="平","平",IF(B3574="","","仄"))</x:f>
        <x:v>仄</x:v>
      </x:c>
      <x:c r="I3574" s="6" t="str">
        <x:f>IF(D3559="","",IF(AND(ISNUMBER(SEARCH("平",D3559)),OR(ISNUMBER(SEARCH("上",D3559)),ISNUMBER(SEARCH("去",D3559)),ISNUMBER(SEARCH("入",D3559)))),"Ambiguous",IF(ISNUMBER(SEARCH("平",D3559)),"平","仄")))</x:f>
        <x:v>平</x:v>
      </x:c>
      <x:c r="J3574" s="7" t="str"/>
    </x:row>
    <x:row r="3575">
      <x:c r="A3575" s="5" t="str">
        <x:v>蜴</x:v>
      </x:c>
      <x:c r="B3575" s="6" t="str">
        <x:v>入</x:v>
      </x:c>
      <x:c r="C3575" s="6" t="str">
        <x:f>IF(B3575="","Needs decision","Ready")</x:f>
        <x:v>Ready</x:v>
      </x:c>
      <x:c r="D3575" s="6" t="str">
        <x:v>入</x:v>
      </x:c>
      <x:c r="E3575" s="6" t="str">
        <x:v>yek (D)</x:v>
      </x:c>
      <x:c r="F3575" s="6" t="str">
        <x:v>1</x:v>
      </x:c>
      <x:c r="G3575" s="6" t="str"/>
      <x:c r="H3575" s="6" t="str">
        <x:f>IF(B3575="平","平",IF(B3575="","","仄"))</x:f>
        <x:v>仄</x:v>
      </x:c>
      <x:c r="I3575" s="6" t="str">
        <x:f>IF(D3560="","",IF(AND(ISNUMBER(SEARCH("平",D3560)),OR(ISNUMBER(SEARCH("上",D3560)),ISNUMBER(SEARCH("去",D3560)),ISNUMBER(SEARCH("入",D3560)))),"Ambiguous",IF(ISNUMBER(SEARCH("平",D3560)),"平","仄")))</x:f>
        <x:v>平</x:v>
      </x:c>
      <x:c r="J3575" s="7" t="str"/>
    </x:row>
    <x:row r="3576">
      <x:c r="A3576" s="5" t="str">
        <x:v>蜻</x:v>
      </x:c>
      <x:c r="B3576" s="6" t="str">
        <x:v>平</x:v>
      </x:c>
      <x:c r="C3576" s="6" t="str">
        <x:f>IF(B3576="","Needs decision","Ready")</x:f>
        <x:v>Ready</x:v>
      </x:c>
      <x:c r="D3576" s="6" t="str">
        <x:v>平</x:v>
      </x:c>
      <x:c r="E3576" s="6" t="str">
        <x:v>tsheng [t̙s̙ʰeŋ] (平); tsjeng [tsjaŋ] (平)</x:v>
      </x:c>
      <x:c r="F3576" s="6" t="str">
        <x:v>2</x:v>
      </x:c>
      <x:c r="G3576" s="6" t="str">
        <x:v>Tang 300 gap; frequency 1; provisional from Xun Gong</x:v>
      </x:c>
      <x:c r="H3576" s="6" t="str">
        <x:f>IF(B3576="平","平",IF(B3576="","","仄"))</x:f>
        <x:v>平</x:v>
      </x:c>
      <x:c r="I3576" s="6" t="str">
        <x:f>IF(D3561="","",IF(AND(ISNUMBER(SEARCH("平",D3561)),OR(ISNUMBER(SEARCH("上",D3561)),ISNUMBER(SEARCH("去",D3561)),ISNUMBER(SEARCH("入",D3561)))),"Ambiguous",IF(ISNUMBER(SEARCH("平",D3561)),"平","仄")))</x:f>
        <x:v>平</x:v>
      </x:c>
      <x:c r="J3576" s="7" t="str">
        <x:v>Xun Gong, Tang 300 gap fill</x:v>
      </x:c>
    </x:row>
    <x:row r="3577">
      <x:c r="A3577" s="5" t="str">
        <x:v>蜾</x:v>
      </x:c>
      <x:c r="B3577" s="6" t="str">
        <x:v>上</x:v>
      </x:c>
      <x:c r="C3577" s="6" t="str">
        <x:f>IF(B3577="","Needs decision","Ready")</x:f>
        <x:v>Ready</x:v>
      </x:c>
      <x:c r="D3577" s="6" t="str">
        <x:v>上</x:v>
      </x:c>
      <x:c r="E3577" s="6" t="str">
        <x:v>kwaX (B)</x:v>
      </x:c>
      <x:c r="F3577" s="6" t="str">
        <x:v>1</x:v>
      </x:c>
      <x:c r="G3577" s="6" t="str"/>
      <x:c r="H3577" s="6" t="str">
        <x:f>IF(B3577="平","平",IF(B3577="","","仄"))</x:f>
        <x:v>仄</x:v>
      </x:c>
      <x:c r="I3577" s="6" t="str">
        <x:f>IF(D3562="","",IF(AND(ISNUMBER(SEARCH("平",D3562)),OR(ISNUMBER(SEARCH("上",D3562)),ISNUMBER(SEARCH("去",D3562)),ISNUMBER(SEARCH("入",D3562)))),"Ambiguous",IF(ISNUMBER(SEARCH("平",D3562)),"平","仄")))</x:f>
        <x:v>平</x:v>
      </x:c>
      <x:c r="J3577" s="7" t="str"/>
    </x:row>
    <x:row r="3578">
      <x:c r="A3578" s="5" t="str">
        <x:v>蝌</x:v>
      </x:c>
      <x:c r="B3578" s="6" t="str">
        <x:v>平</x:v>
      </x:c>
      <x:c r="C3578" s="6" t="str">
        <x:f>IF(B3578="","Needs decision","Ready")</x:f>
        <x:v>Ready</x:v>
      </x:c>
      <x:c r="D3578" s="6" t="str">
        <x:v>平</x:v>
      </x:c>
      <x:c r="E3578" s="6" t="str">
        <x:v>khwa [qʰwɑ] (平)</x:v>
      </x:c>
      <x:c r="F3578" s="6" t="str">
        <x:v>1</x:v>
      </x:c>
      <x:c r="G3578" s="6" t="str">
        <x:v>Tang 300 gap; frequency 1; provisional from Xun Gong</x:v>
      </x:c>
      <x:c r="H3578" s="6" t="str">
        <x:f>IF(B3578="平","平",IF(B3578="","","仄"))</x:f>
        <x:v>平</x:v>
      </x:c>
      <x:c r="I3578" s="6" t="str">
        <x:f>IF(D3563="","",IF(AND(ISNUMBER(SEARCH("平",D3563)),OR(ISNUMBER(SEARCH("上",D3563)),ISNUMBER(SEARCH("去",D3563)),ISNUMBER(SEARCH("入",D3563)))),"Ambiguous",IF(ISNUMBER(SEARCH("平",D3563)),"平","仄")))</x:f>
        <x:v>Ambiguous</x:v>
      </x:c>
      <x:c r="J3578" s="7" t="str">
        <x:v>Xun Gong, Tang 300 gap fill</x:v>
      </x:c>
    </x:row>
    <x:row r="3579">
      <x:c r="A3579" s="5" t="str">
        <x:v>蝓</x:v>
      </x:c>
      <x:c r="B3579" s="6" t="str">
        <x:v>平</x:v>
      </x:c>
      <x:c r="C3579" s="6" t="str">
        <x:f>IF(B3579="","Needs decision","Ready")</x:f>
        <x:v>Ready</x:v>
      </x:c>
      <x:c r="D3579" s="6" t="str">
        <x:v>平</x:v>
      </x:c>
      <x:c r="E3579" s="6" t="str">
        <x:v>zyu (A)</x:v>
      </x:c>
      <x:c r="F3579" s="6" t="str">
        <x:v>1</x:v>
      </x:c>
      <x:c r="G3579" s="6" t="str"/>
      <x:c r="H3579" s="6" t="str">
        <x:f>IF(B3579="平","平",IF(B3579="","","仄"))</x:f>
        <x:v>平</x:v>
      </x:c>
      <x:c r="I3579" s="6" t="str">
        <x:f>IF(D3564="","",IF(AND(ISNUMBER(SEARCH("平",D3564)),OR(ISNUMBER(SEARCH("上",D3564)),ISNUMBER(SEARCH("去",D3564)),ISNUMBER(SEARCH("入",D3564)))),"Ambiguous",IF(ISNUMBER(SEARCH("平",D3564)),"平","仄")))</x:f>
        <x:v>仄</x:v>
      </x:c>
      <x:c r="J3579" s="7" t="str"/>
    </x:row>
    <x:row r="3580">
      <x:c r="A3580" s="5" t="str">
        <x:v>蝕</x:v>
      </x:c>
      <x:c r="B3580" s="6" t="str">
        <x:v>入</x:v>
      </x:c>
      <x:c r="C3580" s="6" t="str">
        <x:f>IF(B3580="","Needs decision","Ready")</x:f>
        <x:v>Ready</x:v>
      </x:c>
      <x:c r="D3580" s="6" t="str">
        <x:v>入</x:v>
      </x:c>
      <x:c r="E3580" s="6" t="str">
        <x:v>zyik (D)</x:v>
      </x:c>
      <x:c r="F3580" s="6" t="str">
        <x:v>1</x:v>
      </x:c>
      <x:c r="G3580" s="6" t="str"/>
      <x:c r="H3580" s="6" t="str">
        <x:f>IF(B3580="平","平",IF(B3580="","","仄"))</x:f>
        <x:v>仄</x:v>
      </x:c>
      <x:c r="I3580" s="6" t="str">
        <x:f>IF(D3565="","",IF(AND(ISNUMBER(SEARCH("平",D3565)),OR(ISNUMBER(SEARCH("上",D3565)),ISNUMBER(SEARCH("去",D3565)),ISNUMBER(SEARCH("入",D3565)))),"Ambiguous",IF(ISNUMBER(SEARCH("平",D3565)),"平","仄")))</x:f>
        <x:v>平</x:v>
      </x:c>
      <x:c r="J3580" s="7" t="str"/>
    </x:row>
    <x:row r="3581">
      <x:c r="A3581" s="5" t="str">
        <x:v>蝗</x:v>
      </x:c>
      <x:c r="B3581" s="6" t="str">
        <x:v>平</x:v>
      </x:c>
      <x:c r="C3581" s="6" t="str">
        <x:f>IF(B3581="","Needs decision","Ready")</x:f>
        <x:v>Ready</x:v>
      </x:c>
      <x:c r="D3581" s="6" t="str">
        <x:v>平</x:v>
      </x:c>
      <x:c r="E3581" s="6" t="str">
        <x:v>hwang (A)</x:v>
      </x:c>
      <x:c r="F3581" s="6" t="str">
        <x:v>1</x:v>
      </x:c>
      <x:c r="G3581" s="6" t="str"/>
      <x:c r="H3581" s="6" t="str">
        <x:f>IF(B3581="平","平",IF(B3581="","","仄"))</x:f>
        <x:v>平</x:v>
      </x:c>
      <x:c r="I3581" s="6" t="str">
        <x:f>IF(D3566="","",IF(AND(ISNUMBER(SEARCH("平",D3566)),OR(ISNUMBER(SEARCH("上",D3566)),ISNUMBER(SEARCH("去",D3566)),ISNUMBER(SEARCH("入",D3566)))),"Ambiguous",IF(ISNUMBER(SEARCH("平",D3566)),"平","仄")))</x:f>
        <x:v>仄</x:v>
      </x:c>
      <x:c r="J3581" s="7" t="str"/>
    </x:row>
    <x:row r="3582">
      <x:c r="A3582" s="5" t="str">
        <x:v>蝙</x:v>
      </x:c>
      <x:c r="B3582" s="6" t="str">
        <x:v>平</x:v>
      </x:c>
      <x:c r="C3582" s="6" t="str">
        <x:f>IF(B3582="","Needs decision","Ready")</x:f>
        <x:v>Ready</x:v>
      </x:c>
      <x:c r="D3582" s="6" t="str">
        <x:v>平</x:v>
      </x:c>
      <x:c r="E3582" s="6" t="str">
        <x:v>pen [p̙en] (平)</x:v>
      </x:c>
      <x:c r="F3582" s="6" t="str">
        <x:v>1</x:v>
      </x:c>
      <x:c r="G3582" s="6" t="str">
        <x:v>Tang 300 gap; frequency 1; provisional from Xun Gong</x:v>
      </x:c>
      <x:c r="H3582" s="6" t="str">
        <x:f>IF(B3582="平","平",IF(B3582="","","仄"))</x:f>
        <x:v>平</x:v>
      </x:c>
      <x:c r="I3582" s="6" t="str">
        <x:f>IF(D3567="","",IF(AND(ISNUMBER(SEARCH("平",D3567)),OR(ISNUMBER(SEARCH("上",D3567)),ISNUMBER(SEARCH("去",D3567)),ISNUMBER(SEARCH("入",D3567)))),"Ambiguous",IF(ISNUMBER(SEARCH("平",D3567)),"平","仄")))</x:f>
        <x:v>平</x:v>
      </x:c>
      <x:c r="J3582" s="7" t="str">
        <x:v>Xun Gong, Tang 300 gap fill</x:v>
      </x:c>
    </x:row>
    <x:row r="3583">
      <x:c r="A3583" s="5" t="str">
        <x:v>蝟</x:v>
      </x:c>
      <x:c r="B3583" s="6" t="str">
        <x:v>去</x:v>
      </x:c>
      <x:c r="C3583" s="6" t="str">
        <x:f>IF(B3583="","Needs decision","Ready")</x:f>
        <x:v>Ready</x:v>
      </x:c>
      <x:c r="D3583" s="6" t="str">
        <x:v>去</x:v>
      </x:c>
      <x:c r="E3583" s="6" t="str">
        <x:v>hjw+jH (C)</x:v>
      </x:c>
      <x:c r="F3583" s="6" t="str">
        <x:v>1</x:v>
      </x:c>
      <x:c r="G3583" s="6" t="str"/>
      <x:c r="H3583" s="6" t="str">
        <x:f>IF(B3583="平","平",IF(B3583="","","仄"))</x:f>
        <x:v>仄</x:v>
      </x:c>
      <x:c r="I3583" s="6" t="str">
        <x:f>IF(D3568="","",IF(AND(ISNUMBER(SEARCH("平",D3568)),OR(ISNUMBER(SEARCH("上",D3568)),ISNUMBER(SEARCH("去",D3568)),ISNUMBER(SEARCH("入",D3568)))),"Ambiguous",IF(ISNUMBER(SEARCH("平",D3568)),"平","仄")))</x:f>
        <x:v>Ambiguous</x:v>
      </x:c>
      <x:c r="J3583" s="7" t="str"/>
    </x:row>
    <x:row r="3584">
      <x:c r="A3584" s="5" t="str">
        <x:v>蝠</x:v>
      </x:c>
      <x:c r="B3584" s="6" t="str">
        <x:v>入</x:v>
      </x:c>
      <x:c r="C3584" s="6" t="str">
        <x:f>IF(B3584="","Needs decision","Ready")</x:f>
        <x:v>Ready</x:v>
      </x:c>
      <x:c r="D3584" s="6" t="str">
        <x:v>入</x:v>
      </x:c>
      <x:c r="E3584" s="6" t="str">
        <x:v>pjuwk [pɨ̯uk] (入)</x:v>
      </x:c>
      <x:c r="F3584" s="6" t="str">
        <x:v>1</x:v>
      </x:c>
      <x:c r="G3584" s="6" t="str">
        <x:v>Tang 300 gap; frequency 1; provisional from Xun Gong</x:v>
      </x:c>
      <x:c r="H3584" s="6" t="str">
        <x:f>IF(B3584="平","平",IF(B3584="","","仄"))</x:f>
        <x:v>仄</x:v>
      </x:c>
      <x:c r="I3584" s="6" t="str">
        <x:f>IF(D3569="","",IF(AND(ISNUMBER(SEARCH("平",D3569)),OR(ISNUMBER(SEARCH("上",D3569)),ISNUMBER(SEARCH("去",D3569)),ISNUMBER(SEARCH("入",D3569)))),"Ambiguous",IF(ISNUMBER(SEARCH("平",D3569)),"平","仄")))</x:f>
        <x:v>Ambiguous</x:v>
      </x:c>
      <x:c r="J3584" s="7" t="str">
        <x:v>Xun Gong, Tang 300 gap fill</x:v>
      </x:c>
    </x:row>
    <x:row r="3585">
      <x:c r="A3585" s="5" t="str">
        <x:v>蝤</x:v>
      </x:c>
      <x:c r="B3585" s="6" t="str">
        <x:v>平</x:v>
      </x:c>
      <x:c r="C3585" s="6" t="str">
        <x:f>IF(B3585="","Needs decision","Ready")</x:f>
        <x:v>Ready</x:v>
      </x:c>
      <x:c r="D3585" s="6" t="str">
        <x:v>平</x:v>
      </x:c>
      <x:c r="E3585" s="6" t="str">
        <x:v>dzjuw (A)</x:v>
      </x:c>
      <x:c r="F3585" s="6" t="str">
        <x:v>1</x:v>
      </x:c>
      <x:c r="G3585" s="6" t="str"/>
      <x:c r="H3585" s="6" t="str">
        <x:f>IF(B3585="平","平",IF(B3585="","","仄"))</x:f>
        <x:v>平</x:v>
      </x:c>
      <x:c r="I3585" s="6" t="str">
        <x:f>IF(D3570="","",IF(AND(ISNUMBER(SEARCH("平",D3570)),OR(ISNUMBER(SEARCH("上",D3570)),ISNUMBER(SEARCH("去",D3570)),ISNUMBER(SEARCH("入",D3570)))),"Ambiguous",IF(ISNUMBER(SEARCH("平",D3570)),"平","仄")))</x:f>
        <x:v>仄</x:v>
      </x:c>
      <x:c r="J3585" s="7" t="str"/>
    </x:row>
    <x:row r="3586">
      <x:c r="A3586" s="5" t="str">
        <x:v>蝥</x:v>
      </x:c>
      <x:c r="B3586" s="6" t="str"/>
      <x:c r="C3586" s="6" t="str">
        <x:f>IF(B3586="","Needs decision","Ready")</x:f>
        <x:v>Needs decision</x:v>
      </x:c>
      <x:c r="D3586" s="6" t="str">
        <x:v>平/去</x:v>
      </x:c>
      <x:c r="E3586" s="6" t="str">
        <x:v>maew [m̙aˤw] (平); mju [mɨ̯o] (平); mjuH [mɨ̯oh] (去); mjuw [mɨ̯u] (平)</x:v>
      </x:c>
      <x:c r="F3586" s="6" t="str">
        <x:v>4</x:v>
      </x:c>
      <x:c r="G3586" s="6" t="str">
        <x:v>Tang 300 gap; frequency 1; ambiguous in Xun Gong</x:v>
      </x:c>
      <x:c r="H3586" s="6" t="str">
        <x:f>IF(B3586="平","平",IF(B3586="","","仄"))</x:f>
      </x:c>
      <x:c r="I3586" s="6" t="str">
        <x:f>IF(D3571="","",IF(AND(ISNUMBER(SEARCH("平",D3571)),OR(ISNUMBER(SEARCH("上",D3571)),ISNUMBER(SEARCH("去",D3571)),ISNUMBER(SEARCH("入",D3571)))),"Ambiguous",IF(ISNUMBER(SEARCH("平",D3571)),"平","仄")))</x:f>
        <x:v>平</x:v>
      </x:c>
      <x:c r="J3586" s="7" t="str">
        <x:v>Xun Gong, Tang 300 gap fill</x:v>
      </x:c>
    </x:row>
    <x:row r="3587">
      <x:c r="A3587" s="5" t="str">
        <x:v>蝦</x:v>
      </x:c>
      <x:c r="B3587" s="6" t="str">
        <x:v>平</x:v>
      </x:c>
      <x:c r="C3587" s="6" t="str">
        <x:f>IF(B3587="","Needs decision","Ready")</x:f>
        <x:v>Ready</x:v>
      </x:c>
      <x:c r="D3587" s="6" t="str">
        <x:v>平</x:v>
      </x:c>
      <x:c r="E3587" s="6" t="str">
        <x:v>hae (A)</x:v>
      </x:c>
      <x:c r="F3587" s="6" t="str">
        <x:v>1</x:v>
      </x:c>
      <x:c r="G3587" s="6" t="str"/>
      <x:c r="H3587" s="6" t="str">
        <x:f>IF(B3587="平","平",IF(B3587="","","仄"))</x:f>
        <x:v>平</x:v>
      </x:c>
      <x:c r="I3587" s="6" t="str">
        <x:f>IF(D3572="","",IF(AND(ISNUMBER(SEARCH("平",D3572)),OR(ISNUMBER(SEARCH("上",D3572)),ISNUMBER(SEARCH("去",D3572)),ISNUMBER(SEARCH("入",D3572)))),"Ambiguous",IF(ISNUMBER(SEARCH("平",D3572)),"平","仄")))</x:f>
        <x:v>仄</x:v>
      </x:c>
      <x:c r="J3587" s="7" t="str"/>
    </x:row>
    <x:row r="3588">
      <x:c r="A3588" s="5" t="str">
        <x:v>蝨</x:v>
      </x:c>
      <x:c r="B3588" s="6" t="str">
        <x:v>入</x:v>
      </x:c>
      <x:c r="C3588" s="6" t="str">
        <x:f>IF(B3588="","Needs decision","Ready")</x:f>
        <x:v>Ready</x:v>
      </x:c>
      <x:c r="D3588" s="6" t="str">
        <x:v>入</x:v>
      </x:c>
      <x:c r="E3588" s="6" t="str">
        <x:v>srit (D)</x:v>
      </x:c>
      <x:c r="F3588" s="6" t="str">
        <x:v>1</x:v>
      </x:c>
      <x:c r="G3588" s="6" t="str"/>
      <x:c r="H3588" s="6" t="str">
        <x:f>IF(B3588="平","平",IF(B3588="","","仄"))</x:f>
        <x:v>仄</x:v>
      </x:c>
      <x:c r="I3588" s="6" t="str">
        <x:f>IF(D3573="","",IF(AND(ISNUMBER(SEARCH("平",D3573)),OR(ISNUMBER(SEARCH("上",D3573)),ISNUMBER(SEARCH("去",D3573)),ISNUMBER(SEARCH("入",D3573)))),"Ambiguous",IF(ISNUMBER(SEARCH("平",D3573)),"平","仄")))</x:f>
        <x:v>仄</x:v>
      </x:c>
      <x:c r="J3588" s="7" t="str"/>
    </x:row>
    <x:row r="3589">
      <x:c r="A3589" s="5" t="str">
        <x:v>蝶</x:v>
      </x:c>
      <x:c r="B3589" s="6" t="str">
        <x:v>入</x:v>
      </x:c>
      <x:c r="C3589" s="6" t="str">
        <x:f>IF(B3589="","Needs decision","Ready")</x:f>
        <x:v>Ready</x:v>
      </x:c>
      <x:c r="D3589" s="6" t="str">
        <x:v>入</x:v>
      </x:c>
      <x:c r="E3589" s="6" t="str">
        <x:v>dep (D)</x:v>
      </x:c>
      <x:c r="F3589" s="6" t="str">
        <x:v>1</x:v>
      </x:c>
      <x:c r="G3589" s="6" t="str"/>
      <x:c r="H3589" s="6" t="str">
        <x:f>IF(B3589="平","平",IF(B3589="","","仄"))</x:f>
        <x:v>仄</x:v>
      </x:c>
      <x:c r="I3589" s="6" t="str">
        <x:f>IF(D3574="","",IF(AND(ISNUMBER(SEARCH("平",D3574)),OR(ISNUMBER(SEARCH("上",D3574)),ISNUMBER(SEARCH("去",D3574)),ISNUMBER(SEARCH("入",D3574)))),"Ambiguous",IF(ISNUMBER(SEARCH("平",D3574)),"平","仄")))</x:f>
        <x:v>仄</x:v>
      </x:c>
      <x:c r="J3589" s="7" t="str"/>
    </x:row>
    <x:row r="3590">
      <x:c r="A3590" s="5" t="str">
        <x:v>蝸</x:v>
      </x:c>
      <x:c r="B3590" s="6" t="str">
        <x:v>平</x:v>
      </x:c>
      <x:c r="C3590" s="6" t="str">
        <x:f>IF(B3590="","Needs decision","Ready")</x:f>
        <x:v>Ready</x:v>
      </x:c>
      <x:c r="D3590" s="6" t="str">
        <x:v>平</x:v>
      </x:c>
      <x:c r="E3590" s="6" t="str">
        <x:v>kwae (A)</x:v>
      </x:c>
      <x:c r="F3590" s="6" t="str">
        <x:v>1</x:v>
      </x:c>
      <x:c r="G3590" s="6" t="str"/>
      <x:c r="H3590" s="6" t="str">
        <x:f>IF(B3590="平","平",IF(B3590="","","仄"))</x:f>
        <x:v>平</x:v>
      </x:c>
      <x:c r="I3590" s="6" t="str">
        <x:f>IF(D3575="","",IF(AND(ISNUMBER(SEARCH("平",D3575)),OR(ISNUMBER(SEARCH("上",D3575)),ISNUMBER(SEARCH("去",D3575)),ISNUMBER(SEARCH("入",D3575)))),"Ambiguous",IF(ISNUMBER(SEARCH("平",D3575)),"平","仄")))</x:f>
        <x:v>仄</x:v>
      </x:c>
      <x:c r="J3590" s="7" t="str"/>
    </x:row>
    <x:row r="3591">
      <x:c r="A3591" s="5" t="str">
        <x:v>融</x:v>
      </x:c>
      <x:c r="B3591" s="6" t="str">
        <x:v>平</x:v>
      </x:c>
      <x:c r="C3591" s="6" t="str">
        <x:f>IF(B3591="","Needs decision","Ready")</x:f>
        <x:v>Ready</x:v>
      </x:c>
      <x:c r="D3591" s="6" t="str">
        <x:v>平</x:v>
      </x:c>
      <x:c r="E3591" s="6" t="str">
        <x:v>yuwng (A)</x:v>
      </x:c>
      <x:c r="F3591" s="6" t="str">
        <x:v>1</x:v>
      </x:c>
      <x:c r="G3591" s="6" t="str"/>
      <x:c r="H3591" s="6" t="str">
        <x:f>IF(B3591="平","平",IF(B3591="","","仄"))</x:f>
        <x:v>平</x:v>
      </x:c>
      <x:c r="I3591" s="6" t="str">
        <x:f>IF(D3576="","",IF(AND(ISNUMBER(SEARCH("平",D3576)),OR(ISNUMBER(SEARCH("上",D3576)),ISNUMBER(SEARCH("去",D3576)),ISNUMBER(SEARCH("入",D3576)))),"Ambiguous",IF(ISNUMBER(SEARCH("平",D3576)),"平","仄")))</x:f>
        <x:v>平</x:v>
      </x:c>
      <x:c r="J3591" s="7" t="str"/>
    </x:row>
    <x:row r="3592">
      <x:c r="A3592" s="5" t="str">
        <x:v>螘</x:v>
      </x:c>
      <x:c r="B3592" s="6" t="str">
        <x:v>上</x:v>
      </x:c>
      <x:c r="C3592" s="6" t="str">
        <x:f>IF(B3592="","Needs decision","Ready")</x:f>
        <x:v>Ready</x:v>
      </x:c>
      <x:c r="D3592" s="6" t="str">
        <x:v>上</x:v>
      </x:c>
      <x:c r="E3592" s="6" t="str">
        <x:v>ngj+jX (B); ngjeX (B)</x:v>
      </x:c>
      <x:c r="F3592" s="6" t="str">
        <x:v>2</x:v>
      </x:c>
      <x:c r="G3592" s="6" t="str"/>
      <x:c r="H3592" s="6" t="str">
        <x:f>IF(B3592="平","平",IF(B3592="","","仄"))</x:f>
        <x:v>仄</x:v>
      </x:c>
      <x:c r="I3592" s="6" t="str">
        <x:f>IF(D3577="","",IF(AND(ISNUMBER(SEARCH("平",D3577)),OR(ISNUMBER(SEARCH("上",D3577)),ISNUMBER(SEARCH("去",D3577)),ISNUMBER(SEARCH("入",D3577)))),"Ambiguous",IF(ISNUMBER(SEARCH("平",D3577)),"平","仄")))</x:f>
        <x:v>仄</x:v>
      </x:c>
      <x:c r="J3592" s="7" t="str"/>
    </x:row>
    <x:row r="3593">
      <x:c r="A3593" s="5" t="str">
        <x:v>螢</x:v>
      </x:c>
      <x:c r="B3593" s="6" t="str">
        <x:v>平</x:v>
      </x:c>
      <x:c r="C3593" s="6" t="str">
        <x:f>IF(B3593="","Needs decision","Ready")</x:f>
        <x:v>Ready</x:v>
      </x:c>
      <x:c r="D3593" s="6" t="str">
        <x:v>平</x:v>
      </x:c>
      <x:c r="E3593" s="6" t="str">
        <x:v>hweng (A)</x:v>
      </x:c>
      <x:c r="F3593" s="6" t="str">
        <x:v>1</x:v>
      </x:c>
      <x:c r="G3593" s="6" t="str"/>
      <x:c r="H3593" s="6" t="str">
        <x:f>IF(B3593="平","平",IF(B3593="","","仄"))</x:f>
        <x:v>平</x:v>
      </x:c>
      <x:c r="I3593" s="6" t="str">
        <x:f>IF(D3578="","",IF(AND(ISNUMBER(SEARCH("平",D3578)),OR(ISNUMBER(SEARCH("上",D3578)),ISNUMBER(SEARCH("去",D3578)),ISNUMBER(SEARCH("入",D3578)))),"Ambiguous",IF(ISNUMBER(SEARCH("平",D3578)),"平","仄")))</x:f>
        <x:v>平</x:v>
      </x:c>
      <x:c r="J3593" s="7" t="str"/>
    </x:row>
    <x:row r="3594">
      <x:c r="A3594" s="5" t="str">
        <x:v>螫</x:v>
      </x:c>
      <x:c r="B3594" s="6" t="str">
        <x:v>入</x:v>
      </x:c>
      <x:c r="C3594" s="6" t="str">
        <x:f>IF(B3594="","Needs decision","Ready")</x:f>
        <x:v>Ready</x:v>
      </x:c>
      <x:c r="D3594" s="6" t="str">
        <x:v>入</x:v>
      </x:c>
      <x:c r="E3594" s="6" t="str">
        <x:v>syek (D)</x:v>
      </x:c>
      <x:c r="F3594" s="6" t="str">
        <x:v>1</x:v>
      </x:c>
      <x:c r="G3594" s="6" t="str"/>
      <x:c r="H3594" s="6" t="str">
        <x:f>IF(B3594="平","平",IF(B3594="","","仄"))</x:f>
        <x:v>仄</x:v>
      </x:c>
      <x:c r="I3594" s="6" t="str">
        <x:f>IF(D3579="","",IF(AND(ISNUMBER(SEARCH("平",D3579)),OR(ISNUMBER(SEARCH("上",D3579)),ISNUMBER(SEARCH("去",D3579)),ISNUMBER(SEARCH("入",D3579)))),"Ambiguous",IF(ISNUMBER(SEARCH("平",D3579)),"平","仄")))</x:f>
        <x:v>平</x:v>
      </x:c>
      <x:c r="J3594" s="7" t="str"/>
    </x:row>
    <x:row r="3595">
      <x:c r="A3595" s="5" t="str">
        <x:v>螭</x:v>
      </x:c>
      <x:c r="B3595" s="6" t="str">
        <x:v>平</x:v>
      </x:c>
      <x:c r="C3595" s="6" t="str">
        <x:f>IF(B3595="","Needs decision","Ready")</x:f>
        <x:v>Ready</x:v>
      </x:c>
      <x:c r="D3595" s="6" t="str">
        <x:v>平</x:v>
      </x:c>
      <x:c r="E3595" s="6" t="str">
        <x:v>trhje (A)</x:v>
      </x:c>
      <x:c r="F3595" s="6" t="str">
        <x:v>1</x:v>
      </x:c>
      <x:c r="G3595" s="6" t="str"/>
      <x:c r="H3595" s="6" t="str">
        <x:f>IF(B3595="平","平",IF(B3595="","","仄"))</x:f>
        <x:v>平</x:v>
      </x:c>
      <x:c r="I3595" s="6" t="str">
        <x:f>IF(D3580="","",IF(AND(ISNUMBER(SEARCH("平",D3580)),OR(ISNUMBER(SEARCH("上",D3580)),ISNUMBER(SEARCH("去",D3580)),ISNUMBER(SEARCH("入",D3580)))),"Ambiguous",IF(ISNUMBER(SEARCH("平",D3580)),"平","仄")))</x:f>
        <x:v>仄</x:v>
      </x:c>
      <x:c r="J3595" s="7" t="str"/>
    </x:row>
    <x:row r="3596">
      <x:c r="A3596" s="5" t="str">
        <x:v>螺</x:v>
      </x:c>
      <x:c r="B3596" s="6" t="str">
        <x:v>平</x:v>
      </x:c>
      <x:c r="C3596" s="6" t="str">
        <x:f>IF(B3596="","Needs decision","Ready")</x:f>
        <x:v>Ready</x:v>
      </x:c>
      <x:c r="D3596" s="6" t="str">
        <x:v>平</x:v>
      </x:c>
      <x:c r="E3596" s="6" t="str">
        <x:v>lwa (A)</x:v>
      </x:c>
      <x:c r="F3596" s="6" t="str">
        <x:v>1</x:v>
      </x:c>
      <x:c r="G3596" s="6" t="str"/>
      <x:c r="H3596" s="6" t="str">
        <x:f>IF(B3596="平","平",IF(B3596="","","仄"))</x:f>
        <x:v>平</x:v>
      </x:c>
      <x:c r="I3596" s="6" t="str">
        <x:f>IF(D3581="","",IF(AND(ISNUMBER(SEARCH("平",D3581)),OR(ISNUMBER(SEARCH("上",D3581)),ISNUMBER(SEARCH("去",D3581)),ISNUMBER(SEARCH("入",D3581)))),"Ambiguous",IF(ISNUMBER(SEARCH("平",D3581)),"平","仄")))</x:f>
        <x:v>平</x:v>
      </x:c>
      <x:c r="J3596" s="7" t="str"/>
    </x:row>
    <x:row r="3597">
      <x:c r="A3597" s="5" t="str">
        <x:v>螻</x:v>
      </x:c>
      <x:c r="B3597" s="6" t="str">
        <x:v>平</x:v>
      </x:c>
      <x:c r="C3597" s="6" t="str">
        <x:f>IF(B3597="","Needs decision","Ready")</x:f>
        <x:v>Ready</x:v>
      </x:c>
      <x:c r="D3597" s="6" t="str">
        <x:v>平</x:v>
      </x:c>
      <x:c r="E3597" s="6" t="str">
        <x:v>luw [l̙u] (平)</x:v>
      </x:c>
      <x:c r="F3597" s="6" t="str">
        <x:v>1</x:v>
      </x:c>
      <x:c r="G3597" s="6" t="str">
        <x:v>Tang 300 gap; frequency 1; provisional from Xun Gong</x:v>
      </x:c>
      <x:c r="H3597" s="6" t="str">
        <x:f>IF(B3597="平","平",IF(B3597="","","仄"))</x:f>
        <x:v>平</x:v>
      </x:c>
      <x:c r="I3597" s="6" t="str">
        <x:f>IF(D3582="","",IF(AND(ISNUMBER(SEARCH("平",D3582)),OR(ISNUMBER(SEARCH("上",D3582)),ISNUMBER(SEARCH("去",D3582)),ISNUMBER(SEARCH("入",D3582)))),"Ambiguous",IF(ISNUMBER(SEARCH("平",D3582)),"平","仄")))</x:f>
        <x:v>平</x:v>
      </x:c>
      <x:c r="J3597" s="7" t="str">
        <x:v>Xun Gong, Tang 300 gap fill</x:v>
      </x:c>
    </x:row>
    <x:row r="3598">
      <x:c r="A3598" s="5" t="str">
        <x:v>螼</x:v>
      </x:c>
      <x:c r="B3598" s="6" t="str"/>
      <x:c r="C3598" s="6" t="str">
        <x:f>IF(B3598="","Needs decision","Ready")</x:f>
        <x:v>Needs decision</x:v>
      </x:c>
      <x:c r="D3598" s="6" t="str">
        <x:v>上/去</x:v>
      </x:c>
      <x:c r="E3598" s="6" t="str">
        <x:v>khinX (B); khinH (C)</x:v>
      </x:c>
      <x:c r="F3598" s="6" t="str">
        <x:v>2</x:v>
      </x:c>
      <x:c r="G3598" s="6" t="str"/>
      <x:c r="H3598" s="6" t="str">
        <x:f>IF(B3598="平","平",IF(B3598="","","仄"))</x:f>
      </x:c>
      <x:c r="I3598" s="6" t="str">
        <x:f>IF(D3583="","",IF(AND(ISNUMBER(SEARCH("平",D3583)),OR(ISNUMBER(SEARCH("上",D3583)),ISNUMBER(SEARCH("去",D3583)),ISNUMBER(SEARCH("入",D3583)))),"Ambiguous",IF(ISNUMBER(SEARCH("平",D3583)),"平","仄")))</x:f>
        <x:v>仄</x:v>
      </x:c>
      <x:c r="J3598" s="7" t="str"/>
    </x:row>
    <x:row r="3599">
      <x:c r="A3599" s="5" t="str">
        <x:v>螽</x:v>
      </x:c>
      <x:c r="B3599" s="6" t="str">
        <x:v>平</x:v>
      </x:c>
      <x:c r="C3599" s="6" t="str">
        <x:f>IF(B3599="","Needs decision","Ready")</x:f>
        <x:v>Ready</x:v>
      </x:c>
      <x:c r="D3599" s="6" t="str">
        <x:v>平</x:v>
      </x:c>
      <x:c r="E3599" s="6" t="str">
        <x:v>tsyuwng (A)</x:v>
      </x:c>
      <x:c r="F3599" s="6" t="str">
        <x:v>1</x:v>
      </x:c>
      <x:c r="G3599" s="6" t="str"/>
      <x:c r="H3599" s="6" t="str">
        <x:f>IF(B3599="平","平",IF(B3599="","","仄"))</x:f>
        <x:v>平</x:v>
      </x:c>
      <x:c r="I3599" s="6" t="str">
        <x:f>IF(D3584="","",IF(AND(ISNUMBER(SEARCH("平",D3584)),OR(ISNUMBER(SEARCH("上",D3584)),ISNUMBER(SEARCH("去",D3584)),ISNUMBER(SEARCH("入",D3584)))),"Ambiguous",IF(ISNUMBER(SEARCH("平",D3584)),"平","仄")))</x:f>
        <x:v>仄</x:v>
      </x:c>
      <x:c r="J3599" s="7" t="str"/>
    </x:row>
    <x:row r="3600">
      <x:c r="A3600" s="5" t="str">
        <x:v>螾</x:v>
      </x:c>
      <x:c r="B3600" s="6" t="str">
        <x:v>上</x:v>
      </x:c>
      <x:c r="C3600" s="6" t="str">
        <x:f>IF(B3600="","Needs decision","Ready")</x:f>
        <x:v>Ready</x:v>
      </x:c>
      <x:c r="D3600" s="6" t="str">
        <x:v>上</x:v>
      </x:c>
      <x:c r="E3600" s="6" t="str">
        <x:v>yinX (B)</x:v>
      </x:c>
      <x:c r="F3600" s="6" t="str">
        <x:v>1</x:v>
      </x:c>
      <x:c r="G3600" s="6" t="str"/>
      <x:c r="H3600" s="6" t="str">
        <x:f>IF(B3600="平","平",IF(B3600="","","仄"))</x:f>
        <x:v>仄</x:v>
      </x:c>
      <x:c r="I3600" s="6" t="str">
        <x:f>IF(D3585="","",IF(AND(ISNUMBER(SEARCH("平",D3585)),OR(ISNUMBER(SEARCH("上",D3585)),ISNUMBER(SEARCH("去",D3585)),ISNUMBER(SEARCH("入",D3585)))),"Ambiguous",IF(ISNUMBER(SEARCH("平",D3585)),"平","仄")))</x:f>
        <x:v>平</x:v>
      </x:c>
      <x:c r="J3600" s="7" t="str"/>
    </x:row>
    <x:row r="3601">
      <x:c r="A3601" s="5" t="str">
        <x:v>蟀</x:v>
      </x:c>
      <x:c r="B3601" s="6" t="str">
        <x:v>入</x:v>
      </x:c>
      <x:c r="C3601" s="6" t="str">
        <x:f>IF(B3601="","Needs decision","Ready")</x:f>
        <x:v>Ready</x:v>
      </x:c>
      <x:c r="D3601" s="6" t="str">
        <x:v>入</x:v>
      </x:c>
      <x:c r="E3601" s="6" t="str">
        <x:v>srwit (D)</x:v>
      </x:c>
      <x:c r="F3601" s="6" t="str">
        <x:v>1</x:v>
      </x:c>
      <x:c r="G3601" s="6" t="str"/>
      <x:c r="H3601" s="6" t="str">
        <x:f>IF(B3601="平","平",IF(B3601="","","仄"))</x:f>
        <x:v>仄</x:v>
      </x:c>
      <x:c r="I3601" s="6" t="str">
        <x:f>IF(D3586="","",IF(AND(ISNUMBER(SEARCH("平",D3586)),OR(ISNUMBER(SEARCH("上",D3586)),ISNUMBER(SEARCH("去",D3586)),ISNUMBER(SEARCH("入",D3586)))),"Ambiguous",IF(ISNUMBER(SEARCH("平",D3586)),"平","仄")))</x:f>
        <x:v>Ambiguous</x:v>
      </x:c>
      <x:c r="J3601" s="7" t="str"/>
    </x:row>
    <x:row r="3602">
      <x:c r="A3602" s="5" t="str">
        <x:v>蟄</x:v>
      </x:c>
      <x:c r="B3602" s="6" t="str">
        <x:v>入</x:v>
      </x:c>
      <x:c r="C3602" s="6" t="str">
        <x:f>IF(B3602="","Needs decision","Ready")</x:f>
        <x:v>Ready</x:v>
      </x:c>
      <x:c r="D3602" s="6" t="str">
        <x:v>入</x:v>
      </x:c>
      <x:c r="E3602" s="6" t="str">
        <x:v>drip (D)</x:v>
      </x:c>
      <x:c r="F3602" s="6" t="str">
        <x:v>1</x:v>
      </x:c>
      <x:c r="G3602" s="6" t="str"/>
      <x:c r="H3602" s="6" t="str">
        <x:f>IF(B3602="平","平",IF(B3602="","","仄"))</x:f>
        <x:v>仄</x:v>
      </x:c>
      <x:c r="I3602" s="6" t="str">
        <x:f>IF(D3587="","",IF(AND(ISNUMBER(SEARCH("平",D3587)),OR(ISNUMBER(SEARCH("上",D3587)),ISNUMBER(SEARCH("去",D3587)),ISNUMBER(SEARCH("入",D3587)))),"Ambiguous",IF(ISNUMBER(SEARCH("平",D3587)),"平","仄")))</x:f>
        <x:v>平</x:v>
      </x:c>
      <x:c r="J3602" s="7" t="str"/>
    </x:row>
    <x:row r="3603">
      <x:c r="A3603" s="5" t="str">
        <x:v>蟆</x:v>
      </x:c>
      <x:c r="B3603" s="6" t="str">
        <x:v>平</x:v>
      </x:c>
      <x:c r="C3603" s="6" t="str">
        <x:f>IF(B3603="","Needs decision","Ready")</x:f>
        <x:v>Ready</x:v>
      </x:c>
      <x:c r="D3603" s="6" t="str">
        <x:v>平</x:v>
      </x:c>
      <x:c r="E3603" s="6" t="str">
        <x:v>mae [m̙aˤ] (平)</x:v>
      </x:c>
      <x:c r="F3603" s="6" t="str">
        <x:v>1</x:v>
      </x:c>
      <x:c r="G3603" s="6" t="str">
        <x:v>Tang 300 gap; frequency 1; provisional from Xun Gong</x:v>
      </x:c>
      <x:c r="H3603" s="6" t="str">
        <x:f>IF(B3603="平","平",IF(B3603="","","仄"))</x:f>
        <x:v>平</x:v>
      </x:c>
      <x:c r="I3603" s="6" t="str">
        <x:f>IF(D3588="","",IF(AND(ISNUMBER(SEARCH("平",D3588)),OR(ISNUMBER(SEARCH("上",D3588)),ISNUMBER(SEARCH("去",D3588)),ISNUMBER(SEARCH("入",D3588)))),"Ambiguous",IF(ISNUMBER(SEARCH("平",D3588)),"平","仄")))</x:f>
        <x:v>仄</x:v>
      </x:c>
      <x:c r="J3603" s="7" t="str">
        <x:v>Xun Gong, Tang 300 gap fill</x:v>
      </x:c>
    </x:row>
    <x:row r="3604">
      <x:c r="A3604" s="5" t="str">
        <x:v>蟋</x:v>
      </x:c>
      <x:c r="B3604" s="6" t="str">
        <x:v>入</x:v>
      </x:c>
      <x:c r="C3604" s="6" t="str">
        <x:f>IF(B3604="","Needs decision","Ready")</x:f>
        <x:v>Ready</x:v>
      </x:c>
      <x:c r="D3604" s="6" t="str">
        <x:v>入</x:v>
      </x:c>
      <x:c r="E3604" s="6" t="str">
        <x:v>srit (D)</x:v>
      </x:c>
      <x:c r="F3604" s="6" t="str">
        <x:v>1</x:v>
      </x:c>
      <x:c r="G3604" s="6" t="str"/>
      <x:c r="H3604" s="6" t="str">
        <x:f>IF(B3604="平","平",IF(B3604="","","仄"))</x:f>
        <x:v>仄</x:v>
      </x:c>
      <x:c r="I3604" s="6" t="str">
        <x:f>IF(D3589="","",IF(AND(ISNUMBER(SEARCH("平",D3589)),OR(ISNUMBER(SEARCH("上",D3589)),ISNUMBER(SEARCH("去",D3589)),ISNUMBER(SEARCH("入",D3589)))),"Ambiguous",IF(ISNUMBER(SEARCH("平",D3589)),"平","仄")))</x:f>
        <x:v>仄</x:v>
      </x:c>
      <x:c r="J3604" s="7" t="str"/>
    </x:row>
    <x:row r="3605">
      <x:c r="A3605" s="5" t="str">
        <x:v>蟠</x:v>
      </x:c>
      <x:c r="B3605" s="6" t="str">
        <x:v>平</x:v>
      </x:c>
      <x:c r="C3605" s="6" t="str">
        <x:f>IF(B3605="","Needs decision","Ready")</x:f>
        <x:v>Ready</x:v>
      </x:c>
      <x:c r="D3605" s="6" t="str">
        <x:v>平</x:v>
      </x:c>
      <x:c r="E3605" s="6" t="str">
        <x:v>ba (A); ban (A)</x:v>
      </x:c>
      <x:c r="F3605" s="6" t="str">
        <x:v>2</x:v>
      </x:c>
      <x:c r="G3605" s="6" t="str"/>
      <x:c r="H3605" s="6" t="str">
        <x:f>IF(B3605="平","平",IF(B3605="","","仄"))</x:f>
        <x:v>平</x:v>
      </x:c>
      <x:c r="I3605" s="6" t="str">
        <x:f>IF(D3590="","",IF(AND(ISNUMBER(SEARCH("平",D3590)),OR(ISNUMBER(SEARCH("上",D3590)),ISNUMBER(SEARCH("去",D3590)),ISNUMBER(SEARCH("入",D3590)))),"Ambiguous",IF(ISNUMBER(SEARCH("平",D3590)),"平","仄")))</x:f>
        <x:v>平</x:v>
      </x:c>
      <x:c r="J3605" s="7" t="str"/>
    </x:row>
    <x:row r="3606">
      <x:c r="A3606" s="5" t="str">
        <x:v>蟢</x:v>
      </x:c>
      <x:c r="B3606" s="6" t="str">
        <x:v>上</x:v>
      </x:c>
      <x:c r="C3606" s="6" t="str">
        <x:f>IF(B3606="","Needs decision","Ready")</x:f>
        <x:v>Ready</x:v>
      </x:c>
      <x:c r="D3606" s="6" t="str">
        <x:v>上</x:v>
      </x:c>
      <x:c r="E3606" s="6" t="str">
        <x:v>xiX [xɨʔ] (上)</x:v>
      </x:c>
      <x:c r="F3606" s="6" t="str">
        <x:v>1</x:v>
      </x:c>
      <x:c r="G3606" s="6" t="str">
        <x:v>Tang 300 gap; frequency 1; provisional from Xun Gong</x:v>
      </x:c>
      <x:c r="H3606" s="6" t="str">
        <x:f>IF(B3606="平","平",IF(B3606="","","仄"))</x:f>
        <x:v>仄</x:v>
      </x:c>
      <x:c r="I3606" s="6" t="str">
        <x:f>IF(D3591="","",IF(AND(ISNUMBER(SEARCH("平",D3591)),OR(ISNUMBER(SEARCH("上",D3591)),ISNUMBER(SEARCH("去",D3591)),ISNUMBER(SEARCH("入",D3591)))),"Ambiguous",IF(ISNUMBER(SEARCH("平",D3591)),"平","仄")))</x:f>
        <x:v>平</x:v>
      </x:c>
      <x:c r="J3606" s="7" t="str">
        <x:v>Xun Gong, Tang 300 gap fill</x:v>
      </x:c>
    </x:row>
    <x:row r="3607">
      <x:c r="A3607" s="5" t="str">
        <x:v>蟣</x:v>
      </x:c>
      <x:c r="B3607" s="6" t="str">
        <x:v>平</x:v>
      </x:c>
      <x:c r="C3607" s="6" t="str">
        <x:f>IF(B3607="","Needs decision","Ready")</x:f>
        <x:v>Ready</x:v>
      </x:c>
      <x:c r="D3607" s="6" t="str">
        <x:v>平</x:v>
      </x:c>
      <x:c r="E3607" s="6" t="str">
        <x:v>gj+j (A)</x:v>
      </x:c>
      <x:c r="F3607" s="6" t="str">
        <x:v>1</x:v>
      </x:c>
      <x:c r="G3607" s="6" t="str"/>
      <x:c r="H3607" s="6" t="str">
        <x:f>IF(B3607="平","平",IF(B3607="","","仄"))</x:f>
        <x:v>平</x:v>
      </x:c>
      <x:c r="I3607" s="6" t="str">
        <x:f>IF(D3592="","",IF(AND(ISNUMBER(SEARCH("平",D3592)),OR(ISNUMBER(SEARCH("上",D3592)),ISNUMBER(SEARCH("去",D3592)),ISNUMBER(SEARCH("入",D3592)))),"Ambiguous",IF(ISNUMBER(SEARCH("平",D3592)),"平","仄")))</x:f>
        <x:v>仄</x:v>
      </x:c>
      <x:c r="J3607" s="7" t="str"/>
    </x:row>
    <x:row r="3608">
      <x:c r="A3608" s="5" t="str">
        <x:v>蟬</x:v>
      </x:c>
      <x:c r="B3608" s="6" t="str">
        <x:v>平</x:v>
      </x:c>
      <x:c r="C3608" s="6" t="str">
        <x:f>IF(B3608="","Needs decision","Ready")</x:f>
        <x:v>Ready</x:v>
      </x:c>
      <x:c r="D3608" s="6" t="str">
        <x:v>平</x:v>
      </x:c>
      <x:c r="E3608" s="6" t="str">
        <x:v>dzyen (A)</x:v>
      </x:c>
      <x:c r="F3608" s="6" t="str">
        <x:v>1</x:v>
      </x:c>
      <x:c r="G3608" s="6" t="str"/>
      <x:c r="H3608" s="6" t="str">
        <x:f>IF(B3608="平","平",IF(B3608="","","仄"))</x:f>
        <x:v>平</x:v>
      </x:c>
      <x:c r="I3608" s="6" t="str">
        <x:f>IF(D3593="","",IF(AND(ISNUMBER(SEARCH("平",D3593)),OR(ISNUMBER(SEARCH("上",D3593)),ISNUMBER(SEARCH("去",D3593)),ISNUMBER(SEARCH("入",D3593)))),"Ambiguous",IF(ISNUMBER(SEARCH("平",D3593)),"平","仄")))</x:f>
        <x:v>平</x:v>
      </x:c>
      <x:c r="J3608" s="7" t="str"/>
    </x:row>
    <x:row r="3609">
      <x:c r="A3609" s="5" t="str">
        <x:v>蟲</x:v>
      </x:c>
      <x:c r="B3609" s="6" t="str">
        <x:v>平</x:v>
      </x:c>
      <x:c r="C3609" s="6" t="str">
        <x:f>IF(B3609="","Needs decision","Ready")</x:f>
        <x:v>Ready</x:v>
      </x:c>
      <x:c r="D3609" s="6" t="str">
        <x:v>平</x:v>
      </x:c>
      <x:c r="E3609" s="6" t="str">
        <x:v>drjuwng (A)</x:v>
      </x:c>
      <x:c r="F3609" s="6" t="str">
        <x:v>1</x:v>
      </x:c>
      <x:c r="G3609" s="6" t="str"/>
      <x:c r="H3609" s="6" t="str">
        <x:f>IF(B3609="平","平",IF(B3609="","","仄"))</x:f>
        <x:v>平</x:v>
      </x:c>
      <x:c r="I3609" s="6" t="str">
        <x:f>IF(D3594="","",IF(AND(ISNUMBER(SEARCH("平",D3594)),OR(ISNUMBER(SEARCH("上",D3594)),ISNUMBER(SEARCH("去",D3594)),ISNUMBER(SEARCH("入",D3594)))),"Ambiguous",IF(ISNUMBER(SEARCH("平",D3594)),"平","仄")))</x:f>
        <x:v>仄</x:v>
      </x:c>
      <x:c r="J3609" s="7" t="str"/>
    </x:row>
    <x:row r="3610">
      <x:c r="A3610" s="5" t="str">
        <x:v>蟹</x:v>
      </x:c>
      <x:c r="B3610" s="6" t="str">
        <x:v>上</x:v>
      </x:c>
      <x:c r="C3610" s="6" t="str">
        <x:f>IF(B3610="","Needs decision","Ready")</x:f>
        <x:v>Ready</x:v>
      </x:c>
      <x:c r="D3610" s="6" t="str">
        <x:v>上</x:v>
      </x:c>
      <x:c r="E3610" s="6" t="str">
        <x:v>heaX (B)</x:v>
      </x:c>
      <x:c r="F3610" s="6" t="str">
        <x:v>1</x:v>
      </x:c>
      <x:c r="G3610" s="6" t="str"/>
      <x:c r="H3610" s="6" t="str">
        <x:f>IF(B3610="平","平",IF(B3610="","","仄"))</x:f>
        <x:v>仄</x:v>
      </x:c>
      <x:c r="I3610" s="6" t="str">
        <x:f>IF(D3595="","",IF(AND(ISNUMBER(SEARCH("平",D3595)),OR(ISNUMBER(SEARCH("上",D3595)),ISNUMBER(SEARCH("去",D3595)),ISNUMBER(SEARCH("入",D3595)))),"Ambiguous",IF(ISNUMBER(SEARCH("平",D3595)),"平","仄")))</x:f>
        <x:v>平</x:v>
      </x:c>
      <x:c r="J3610" s="7" t="str"/>
    </x:row>
    <x:row r="3611">
      <x:c r="A3611" s="5" t="str">
        <x:v>蟻</x:v>
      </x:c>
      <x:c r="B3611" s="6" t="str">
        <x:v>上</x:v>
      </x:c>
      <x:c r="C3611" s="6" t="str">
        <x:f>IF(B3611="","Needs decision","Ready")</x:f>
        <x:v>Ready</x:v>
      </x:c>
      <x:c r="D3611" s="6" t="str">
        <x:v>上</x:v>
      </x:c>
      <x:c r="E3611" s="6" t="str">
        <x:v>ngjeX (B)</x:v>
      </x:c>
      <x:c r="F3611" s="6" t="str">
        <x:v>1</x:v>
      </x:c>
      <x:c r="G3611" s="6" t="str"/>
      <x:c r="H3611" s="6" t="str">
        <x:f>IF(B3611="平","平",IF(B3611="","","仄"))</x:f>
        <x:v>仄</x:v>
      </x:c>
      <x:c r="I3611" s="6" t="str">
        <x:f>IF(D3596="","",IF(AND(ISNUMBER(SEARCH("平",D3596)),OR(ISNUMBER(SEARCH("上",D3596)),ISNUMBER(SEARCH("去",D3596)),ISNUMBER(SEARCH("入",D3596)))),"Ambiguous",IF(ISNUMBER(SEARCH("平",D3596)),"平","仄")))</x:f>
        <x:v>平</x:v>
      </x:c>
      <x:c r="J3611" s="7" t="str"/>
    </x:row>
    <x:row r="3612">
      <x:c r="A3612" s="5" t="str">
        <x:v>蟾</x:v>
      </x:c>
      <x:c r="B3612" s="6" t="str">
        <x:v>平</x:v>
      </x:c>
      <x:c r="C3612" s="6" t="str">
        <x:f>IF(B3612="","Needs decision","Ready")</x:f>
        <x:v>Ready</x:v>
      </x:c>
      <x:c r="D3612" s="6" t="str">
        <x:v>平</x:v>
      </x:c>
      <x:c r="E3612" s="6" t="str">
        <x:v>dzyem [dʑem] (平); tsyem [tɕem] (平)</x:v>
      </x:c>
      <x:c r="F3612" s="6" t="str">
        <x:v>2</x:v>
      </x:c>
      <x:c r="G3612" s="6" t="str">
        <x:v>Tang 300 gap; frequency 1; provisional from Xun Gong</x:v>
      </x:c>
      <x:c r="H3612" s="6" t="str">
        <x:f>IF(B3612="平","平",IF(B3612="","","仄"))</x:f>
        <x:v>平</x:v>
      </x:c>
      <x:c r="I3612" s="6" t="str">
        <x:f>IF(D3597="","",IF(AND(ISNUMBER(SEARCH("平",D3597)),OR(ISNUMBER(SEARCH("上",D3597)),ISNUMBER(SEARCH("去",D3597)),ISNUMBER(SEARCH("入",D3597)))),"Ambiguous",IF(ISNUMBER(SEARCH("平",D3597)),"平","仄")))</x:f>
        <x:v>平</x:v>
      </x:c>
      <x:c r="J3612" s="7" t="str">
        <x:v>Xun Gong, Tang 300 gap fill</x:v>
      </x:c>
    </x:row>
    <x:row r="3613">
      <x:c r="A3613" s="5" t="str">
        <x:v>蠃</x:v>
      </x:c>
      <x:c r="B3613" s="6" t="str">
        <x:v>上</x:v>
      </x:c>
      <x:c r="C3613" s="6" t="str">
        <x:f>IF(B3613="","Needs decision","Ready")</x:f>
        <x:v>Ready</x:v>
      </x:c>
      <x:c r="D3613" s="6" t="str">
        <x:v>上</x:v>
      </x:c>
      <x:c r="E3613" s="6" t="str">
        <x:v>lwaX (B)</x:v>
      </x:c>
      <x:c r="F3613" s="6" t="str">
        <x:v>1</x:v>
      </x:c>
      <x:c r="G3613" s="6" t="str"/>
      <x:c r="H3613" s="6" t="str">
        <x:f>IF(B3613="平","平",IF(B3613="","","仄"))</x:f>
        <x:v>仄</x:v>
      </x:c>
      <x:c r="I3613" s="6" t="str">
        <x:f>IF(D3598="","",IF(AND(ISNUMBER(SEARCH("平",D3598)),OR(ISNUMBER(SEARCH("上",D3598)),ISNUMBER(SEARCH("去",D3598)),ISNUMBER(SEARCH("入",D3598)))),"Ambiguous",IF(ISNUMBER(SEARCH("平",D3598)),"平","仄")))</x:f>
        <x:v>仄</x:v>
      </x:c>
      <x:c r="J3613" s="7" t="str"/>
    </x:row>
    <x:row r="3614">
      <x:c r="A3614" s="5" t="str">
        <x:v>蠅</x:v>
      </x:c>
      <x:c r="B3614" s="6" t="str">
        <x:v>平</x:v>
      </x:c>
      <x:c r="C3614" s="6" t="str">
        <x:f>IF(B3614="","Needs decision","Ready")</x:f>
        <x:v>Ready</x:v>
      </x:c>
      <x:c r="D3614" s="6" t="str">
        <x:v>平</x:v>
      </x:c>
      <x:c r="E3614" s="6" t="str">
        <x:v>ying (A)</x:v>
      </x:c>
      <x:c r="F3614" s="6" t="str">
        <x:v>1</x:v>
      </x:c>
      <x:c r="G3614" s="6" t="str"/>
      <x:c r="H3614" s="6" t="str">
        <x:f>IF(B3614="平","平",IF(B3614="","","仄"))</x:f>
        <x:v>平</x:v>
      </x:c>
      <x:c r="I3614" s="6" t="str">
        <x:f>IF(D3599="","",IF(AND(ISNUMBER(SEARCH("平",D3599)),OR(ISNUMBER(SEARCH("上",D3599)),ISNUMBER(SEARCH("去",D3599)),ISNUMBER(SEARCH("入",D3599)))),"Ambiguous",IF(ISNUMBER(SEARCH("平",D3599)),"平","仄")))</x:f>
        <x:v>平</x:v>
      </x:c>
      <x:c r="J3614" s="7" t="str"/>
    </x:row>
    <x:row r="3615">
      <x:c r="A3615" s="5" t="str">
        <x:v>蠆</x:v>
      </x:c>
      <x:c r="B3615" s="6" t="str">
        <x:v>去</x:v>
      </x:c>
      <x:c r="C3615" s="6" t="str">
        <x:f>IF(B3615="","Needs decision","Ready")</x:f>
        <x:v>Ready</x:v>
      </x:c>
      <x:c r="D3615" s="6" t="str">
        <x:v>去</x:v>
      </x:c>
      <x:c r="E3615" s="6" t="str">
        <x:v>trhaejH (C)</x:v>
      </x:c>
      <x:c r="F3615" s="6" t="str">
        <x:v>1</x:v>
      </x:c>
      <x:c r="G3615" s="6" t="str"/>
      <x:c r="H3615" s="6" t="str">
        <x:f>IF(B3615="平","平",IF(B3615="","","仄"))</x:f>
        <x:v>仄</x:v>
      </x:c>
      <x:c r="I3615" s="6" t="str">
        <x:f>IF(D3600="","",IF(AND(ISNUMBER(SEARCH("平",D3600)),OR(ISNUMBER(SEARCH("上",D3600)),ISNUMBER(SEARCH("去",D3600)),ISNUMBER(SEARCH("入",D3600)))),"Ambiguous",IF(ISNUMBER(SEARCH("平",D3600)),"平","仄")))</x:f>
        <x:v>仄</x:v>
      </x:c>
      <x:c r="J3615" s="7" t="str"/>
    </x:row>
    <x:row r="3616">
      <x:c r="A3616" s="5" t="str">
        <x:v>蠟</x:v>
      </x:c>
      <x:c r="B3616" s="6" t="str">
        <x:v>入</x:v>
      </x:c>
      <x:c r="C3616" s="6" t="str">
        <x:f>IF(B3616="","Needs decision","Ready")</x:f>
        <x:v>Ready</x:v>
      </x:c>
      <x:c r="D3616" s="6" t="str">
        <x:v>入</x:v>
      </x:c>
      <x:c r="E3616" s="6" t="str">
        <x:v>lap (D)</x:v>
      </x:c>
      <x:c r="F3616" s="6" t="str">
        <x:v>1</x:v>
      </x:c>
      <x:c r="G3616" s="6" t="str"/>
      <x:c r="H3616" s="6" t="str">
        <x:f>IF(B3616="平","平",IF(B3616="","","仄"))</x:f>
        <x:v>仄</x:v>
      </x:c>
      <x:c r="I3616" s="6" t="str">
        <x:f>IF(D3601="","",IF(AND(ISNUMBER(SEARCH("平",D3601)),OR(ISNUMBER(SEARCH("上",D3601)),ISNUMBER(SEARCH("去",D3601)),ISNUMBER(SEARCH("入",D3601)))),"Ambiguous",IF(ISNUMBER(SEARCH("平",D3601)),"平","仄")))</x:f>
        <x:v>仄</x:v>
      </x:c>
      <x:c r="J3616" s="7" t="str"/>
    </x:row>
    <x:row r="3617">
      <x:c r="A3617" s="5" t="str">
        <x:v>蠡</x:v>
      </x:c>
      <x:c r="B3617" s="6" t="str"/>
      <x:c r="C3617" s="6" t="str">
        <x:f>IF(B3617="","Needs decision","Ready")</x:f>
        <x:v>Needs decision</x:v>
      </x:c>
      <x:c r="D3617" s="6" t="str">
        <x:v>平/上</x:v>
      </x:c>
      <x:c r="E3617" s="6" t="str">
        <x:v>lejX [l̙ejʔ] (上); lje [lie] (平); lwa [l̙wɑ] (平)</x:v>
      </x:c>
      <x:c r="F3617" s="6" t="str">
        <x:v>3</x:v>
      </x:c>
      <x:c r="G3617" s="6" t="str">
        <x:v>Tang 300 gap; frequency 1; ambiguous in Xun Gong</x:v>
      </x:c>
      <x:c r="H3617" s="6" t="str">
        <x:f>IF(B3617="平","平",IF(B3617="","","仄"))</x:f>
      </x:c>
      <x:c r="I3617" s="6" t="str">
        <x:f>IF(D3602="","",IF(AND(ISNUMBER(SEARCH("平",D3602)),OR(ISNUMBER(SEARCH("上",D3602)),ISNUMBER(SEARCH("去",D3602)),ISNUMBER(SEARCH("入",D3602)))),"Ambiguous",IF(ISNUMBER(SEARCH("平",D3602)),"平","仄")))</x:f>
        <x:v>仄</x:v>
      </x:c>
      <x:c r="J3617" s="7" t="str">
        <x:v>Xun Gong, Tang 300 gap fill</x:v>
      </x:c>
    </x:row>
    <x:row r="3618">
      <x:c r="A3618" s="5" t="str">
        <x:v>蠣</x:v>
      </x:c>
      <x:c r="B3618" s="6" t="str">
        <x:v>去</x:v>
      </x:c>
      <x:c r="C3618" s="6" t="str">
        <x:f>IF(B3618="","Needs decision","Ready")</x:f>
        <x:v>Ready</x:v>
      </x:c>
      <x:c r="D3618" s="6" t="str">
        <x:v>去</x:v>
      </x:c>
      <x:c r="E3618" s="6" t="str">
        <x:v>ljejH (C)</x:v>
      </x:c>
      <x:c r="F3618" s="6" t="str">
        <x:v>1</x:v>
      </x:c>
      <x:c r="G3618" s="6" t="str"/>
      <x:c r="H3618" s="6" t="str">
        <x:f>IF(B3618="平","平",IF(B3618="","","仄"))</x:f>
        <x:v>仄</x:v>
      </x:c>
      <x:c r="I3618" s="6" t="str">
        <x:f>IF(D3603="","",IF(AND(ISNUMBER(SEARCH("平",D3603)),OR(ISNUMBER(SEARCH("上",D3603)),ISNUMBER(SEARCH("去",D3603)),ISNUMBER(SEARCH("入",D3603)))),"Ambiguous",IF(ISNUMBER(SEARCH("平",D3603)),"平","仄")))</x:f>
        <x:v>平</x:v>
      </x:c>
      <x:c r="J3618" s="7" t="str"/>
    </x:row>
    <x:row r="3619">
      <x:c r="A3619" s="5" t="str">
        <x:v>蠱</x:v>
      </x:c>
      <x:c r="B3619" s="6" t="str">
        <x:v>上</x:v>
      </x:c>
      <x:c r="C3619" s="6" t="str">
        <x:f>IF(B3619="","Needs decision","Ready")</x:f>
        <x:v>Ready</x:v>
      </x:c>
      <x:c r="D3619" s="6" t="str">
        <x:v>上</x:v>
      </x:c>
      <x:c r="E3619" s="6" t="str">
        <x:v>kuX (B)</x:v>
      </x:c>
      <x:c r="F3619" s="6" t="str">
        <x:v>1</x:v>
      </x:c>
      <x:c r="G3619" s="6" t="str"/>
      <x:c r="H3619" s="6" t="str">
        <x:f>IF(B3619="平","平",IF(B3619="","","仄"))</x:f>
        <x:v>仄</x:v>
      </x:c>
      <x:c r="I3619" s="6" t="str">
        <x:f>IF(D3604="","",IF(AND(ISNUMBER(SEARCH("平",D3604)),OR(ISNUMBER(SEARCH("上",D3604)),ISNUMBER(SEARCH("去",D3604)),ISNUMBER(SEARCH("入",D3604)))),"Ambiguous",IF(ISNUMBER(SEARCH("平",D3604)),"平","仄")))</x:f>
        <x:v>仄</x:v>
      </x:c>
      <x:c r="J3619" s="7" t="str"/>
    </x:row>
    <x:row r="3620">
      <x:c r="A3620" s="5" t="str">
        <x:v>蠶</x:v>
      </x:c>
      <x:c r="B3620" s="6" t="str">
        <x:v>平</x:v>
      </x:c>
      <x:c r="C3620" s="6" t="str">
        <x:f>IF(B3620="","Needs decision","Ready")</x:f>
        <x:v>Ready</x:v>
      </x:c>
      <x:c r="D3620" s="6" t="str">
        <x:v>平</x:v>
      </x:c>
      <x:c r="E3620" s="6" t="str">
        <x:v>dzom (A)</x:v>
      </x:c>
      <x:c r="F3620" s="6" t="str">
        <x:v>1</x:v>
      </x:c>
      <x:c r="G3620" s="6" t="str"/>
      <x:c r="H3620" s="6" t="str">
        <x:f>IF(B3620="平","平",IF(B3620="","","仄"))</x:f>
        <x:v>平</x:v>
      </x:c>
      <x:c r="I3620" s="6" t="str">
        <x:f>IF(D3605="","",IF(AND(ISNUMBER(SEARCH("平",D3605)),OR(ISNUMBER(SEARCH("上",D3605)),ISNUMBER(SEARCH("去",D3605)),ISNUMBER(SEARCH("入",D3605)))),"Ambiguous",IF(ISNUMBER(SEARCH("平",D3605)),"平","仄")))</x:f>
        <x:v>平</x:v>
      </x:c>
      <x:c r="J3620" s="7" t="str"/>
    </x:row>
    <x:row r="3621">
      <x:c r="A3621" s="5" t="str">
        <x:v>蠹</x:v>
      </x:c>
      <x:c r="B3621" s="6" t="str">
        <x:v>去</x:v>
      </x:c>
      <x:c r="C3621" s="6" t="str">
        <x:f>IF(B3621="","Needs decision","Ready")</x:f>
        <x:v>Ready</x:v>
      </x:c>
      <x:c r="D3621" s="6" t="str">
        <x:v>去</x:v>
      </x:c>
      <x:c r="E3621" s="6" t="str">
        <x:v>tuH (C)</x:v>
      </x:c>
      <x:c r="F3621" s="6" t="str">
        <x:v>1</x:v>
      </x:c>
      <x:c r="G3621" s="6" t="str"/>
      <x:c r="H3621" s="6" t="str">
        <x:f>IF(B3621="平","平",IF(B3621="","","仄"))</x:f>
        <x:v>仄</x:v>
      </x:c>
      <x:c r="I3621" s="6" t="str">
        <x:f>IF(D3606="","",IF(AND(ISNUMBER(SEARCH("平",D3606)),OR(ISNUMBER(SEARCH("上",D3606)),ISNUMBER(SEARCH("去",D3606)),ISNUMBER(SEARCH("入",D3606)))),"Ambiguous",IF(ISNUMBER(SEARCH("平",D3606)),"平","仄")))</x:f>
        <x:v>仄</x:v>
      </x:c>
      <x:c r="J3621" s="7" t="str"/>
    </x:row>
    <x:row r="3622">
      <x:c r="A3622" s="5" t="str">
        <x:v>蠻</x:v>
      </x:c>
      <x:c r="B3622" s="6" t="str">
        <x:v>平</x:v>
      </x:c>
      <x:c r="C3622" s="6" t="str">
        <x:f>IF(B3622="","Needs decision","Ready")</x:f>
        <x:v>Ready</x:v>
      </x:c>
      <x:c r="D3622" s="6" t="str">
        <x:v>平</x:v>
      </x:c>
      <x:c r="E3622" s="6" t="str">
        <x:v>maen (A)</x:v>
      </x:c>
      <x:c r="F3622" s="6" t="str">
        <x:v>1</x:v>
      </x:c>
      <x:c r="G3622" s="6" t="str"/>
      <x:c r="H3622" s="6" t="str">
        <x:f>IF(B3622="平","平",IF(B3622="","","仄"))</x:f>
        <x:v>平</x:v>
      </x:c>
      <x:c r="I3622" s="6" t="str">
        <x:f>IF(D3607="","",IF(AND(ISNUMBER(SEARCH("平",D3607)),OR(ISNUMBER(SEARCH("上",D3607)),ISNUMBER(SEARCH("去",D3607)),ISNUMBER(SEARCH("入",D3607)))),"Ambiguous",IF(ISNUMBER(SEARCH("平",D3607)),"平","仄")))</x:f>
        <x:v>平</x:v>
      </x:c>
      <x:c r="J3622" s="7" t="str"/>
    </x:row>
    <x:row r="3623">
      <x:c r="A3623" s="5" t="str">
        <x:v>血</x:v>
      </x:c>
      <x:c r="B3623" s="6" t="str">
        <x:v>入</x:v>
      </x:c>
      <x:c r="C3623" s="6" t="str">
        <x:f>IF(B3623="","Needs decision","Ready")</x:f>
        <x:v>Ready</x:v>
      </x:c>
      <x:c r="D3623" s="6" t="str">
        <x:v>入</x:v>
      </x:c>
      <x:c r="E3623" s="6" t="str">
        <x:v>xwet (D)</x:v>
      </x:c>
      <x:c r="F3623" s="6" t="str">
        <x:v>1</x:v>
      </x:c>
      <x:c r="G3623" s="6" t="str"/>
      <x:c r="H3623" s="6" t="str">
        <x:f>IF(B3623="平","平",IF(B3623="","","仄"))</x:f>
        <x:v>仄</x:v>
      </x:c>
      <x:c r="I3623" s="6" t="str">
        <x:f>IF(D3608="","",IF(AND(ISNUMBER(SEARCH("平",D3608)),OR(ISNUMBER(SEARCH("上",D3608)),ISNUMBER(SEARCH("去",D3608)),ISNUMBER(SEARCH("入",D3608)))),"Ambiguous",IF(ISNUMBER(SEARCH("平",D3608)),"平","仄")))</x:f>
        <x:v>平</x:v>
      </x:c>
      <x:c r="J3623" s="7" t="str"/>
    </x:row>
    <x:row r="3624">
      <x:c r="A3624" s="5" t="str">
        <x:v>衁</x:v>
      </x:c>
      <x:c r="B3624" s="6" t="str">
        <x:v>平</x:v>
      </x:c>
      <x:c r="C3624" s="6" t="str">
        <x:f>IF(B3624="","Needs decision","Ready")</x:f>
        <x:v>Ready</x:v>
      </x:c>
      <x:c r="D3624" s="6" t="str">
        <x:v>平</x:v>
      </x:c>
      <x:c r="E3624" s="6" t="str">
        <x:v>xwang (A)</x:v>
      </x:c>
      <x:c r="F3624" s="6" t="str">
        <x:v>1</x:v>
      </x:c>
      <x:c r="G3624" s="6" t="str"/>
      <x:c r="H3624" s="6" t="str">
        <x:f>IF(B3624="平","平",IF(B3624="","","仄"))</x:f>
        <x:v>平</x:v>
      </x:c>
      <x:c r="I3624" s="6" t="str">
        <x:f>IF(D3609="","",IF(AND(ISNUMBER(SEARCH("平",D3609)),OR(ISNUMBER(SEARCH("上",D3609)),ISNUMBER(SEARCH("去",D3609)),ISNUMBER(SEARCH("入",D3609)))),"Ambiguous",IF(ISNUMBER(SEARCH("平",D3609)),"平","仄")))</x:f>
        <x:v>平</x:v>
      </x:c>
      <x:c r="J3624" s="7" t="str"/>
    </x:row>
    <x:row r="3625">
      <x:c r="A3625" s="5" t="str">
        <x:v>衅</x:v>
      </x:c>
      <x:c r="B3625" s="6" t="str">
        <x:v>去</x:v>
      </x:c>
      <x:c r="C3625" s="6" t="str">
        <x:f>IF(B3625="","Needs decision","Ready")</x:f>
        <x:v>Ready</x:v>
      </x:c>
      <x:c r="D3625" s="6" t="str">
        <x:v>去</x:v>
      </x:c>
      <x:c r="E3625" s="6" t="str">
        <x:v>xinH (C)</x:v>
      </x:c>
      <x:c r="F3625" s="6" t="str">
        <x:v>1</x:v>
      </x:c>
      <x:c r="G3625" s="6" t="str"/>
      <x:c r="H3625" s="6" t="str">
        <x:f>IF(B3625="平","平",IF(B3625="","","仄"))</x:f>
        <x:v>仄</x:v>
      </x:c>
      <x:c r="I3625" s="6" t="str">
        <x:f>IF(D3610="","",IF(AND(ISNUMBER(SEARCH("平",D3610)),OR(ISNUMBER(SEARCH("上",D3610)),ISNUMBER(SEARCH("去",D3610)),ISNUMBER(SEARCH("入",D3610)))),"Ambiguous",IF(ISNUMBER(SEARCH("平",D3610)),"平","仄")))</x:f>
        <x:v>仄</x:v>
      </x:c>
      <x:c r="J3625" s="7" t="str"/>
    </x:row>
    <x:row r="3626">
      <x:c r="A3626" s="5" t="str">
        <x:v>行</x:v>
      </x:c>
      <x:c r="B3626" s="6" t="str">
        <x:v>平</x:v>
      </x:c>
      <x:c r="C3626" s="6" t="str">
        <x:f>IF(B3626="","Needs decision","Ready")</x:f>
        <x:v>Ready</x:v>
      </x:c>
      <x:c r="D3626" s="6" t="str">
        <x:v>平/去</x:v>
      </x:c>
      <x:c r="E3626" s="6" t="str">
        <x:v>hang (A); haeng (A); haengH (C)</x:v>
      </x:c>
      <x:c r="F3626" s="6" t="str">
        <x:v>3</x:v>
      </x:c>
      <x:c r="G3626" s="6" t="str">
        <x:v>User workbook edit 2026-09-03</x:v>
      </x:c>
      <x:c r="H3626" s="6" t="str">
        <x:f>IF(B3626="平","平",IF(B3626="","","仄"))</x:f>
        <x:v>平</x:v>
      </x:c>
      <x:c r="I3626" s="6" t="str">
        <x:f>IF(D3611="","",IF(AND(ISNUMBER(SEARCH("平",D3611)),OR(ISNUMBER(SEARCH("上",D3611)),ISNUMBER(SEARCH("去",D3611)),ISNUMBER(SEARCH("入",D3611)))),"Ambiguous",IF(ISNUMBER(SEARCH("平",D3611)),"平","仄")))</x:f>
        <x:v>仄</x:v>
      </x:c>
      <x:c r="J3626" s="7" t="str">
        <x:v>manual user correction</x:v>
      </x:c>
    </x:row>
    <x:row r="3627">
      <x:c r="A3627" s="5" t="str">
        <x:v>衍</x:v>
      </x:c>
      <x:c r="B3627" s="6" t="str">
        <x:v>上</x:v>
      </x:c>
      <x:c r="C3627" s="6" t="str">
        <x:f>IF(B3627="","Needs decision","Ready")</x:f>
        <x:v>Ready</x:v>
      </x:c>
      <x:c r="D3627" s="6" t="str">
        <x:v>上</x:v>
      </x:c>
      <x:c r="E3627" s="6" t="str">
        <x:v>yenX (B)</x:v>
      </x:c>
      <x:c r="F3627" s="6" t="str">
        <x:v>1</x:v>
      </x:c>
      <x:c r="G3627" s="6" t="str"/>
      <x:c r="H3627" s="6" t="str">
        <x:f>IF(B3627="平","平",IF(B3627="","","仄"))</x:f>
        <x:v>仄</x:v>
      </x:c>
      <x:c r="I3627" s="6" t="str">
        <x:f>IF(D3612="","",IF(AND(ISNUMBER(SEARCH("平",D3612)),OR(ISNUMBER(SEARCH("上",D3612)),ISNUMBER(SEARCH("去",D3612)),ISNUMBER(SEARCH("入",D3612)))),"Ambiguous",IF(ISNUMBER(SEARCH("平",D3612)),"平","仄")))</x:f>
        <x:v>平</x:v>
      </x:c>
      <x:c r="J3627" s="7" t="str"/>
    </x:row>
    <x:row r="3628">
      <x:c r="A3628" s="5" t="str">
        <x:v>術</x:v>
      </x:c>
      <x:c r="B3628" s="6" t="str">
        <x:v>入</x:v>
      </x:c>
      <x:c r="C3628" s="6" t="str">
        <x:f>IF(B3628="","Needs decision","Ready")</x:f>
        <x:v>Ready</x:v>
      </x:c>
      <x:c r="D3628" s="6" t="str">
        <x:v>入</x:v>
      </x:c>
      <x:c r="E3628" s="6" t="str">
        <x:v>zywit (D)</x:v>
      </x:c>
      <x:c r="F3628" s="6" t="str">
        <x:v>1</x:v>
      </x:c>
      <x:c r="G3628" s="6" t="str"/>
      <x:c r="H3628" s="6" t="str">
        <x:f>IF(B3628="平","平",IF(B3628="","","仄"))</x:f>
        <x:v>仄</x:v>
      </x:c>
      <x:c r="I3628" s="6" t="str">
        <x:f>IF(D3613="","",IF(AND(ISNUMBER(SEARCH("平",D3613)),OR(ISNUMBER(SEARCH("上",D3613)),ISNUMBER(SEARCH("去",D3613)),ISNUMBER(SEARCH("入",D3613)))),"Ambiguous",IF(ISNUMBER(SEARCH("平",D3613)),"平","仄")))</x:f>
        <x:v>仄</x:v>
      </x:c>
      <x:c r="J3628" s="7" t="str"/>
    </x:row>
    <x:row r="3629">
      <x:c r="A3629" s="5" t="str">
        <x:v>街</x:v>
      </x:c>
      <x:c r="B3629" s="6" t="str">
        <x:v>平</x:v>
      </x:c>
      <x:c r="C3629" s="6" t="str">
        <x:f>IF(B3629="","Needs decision","Ready")</x:f>
        <x:v>Ready</x:v>
      </x:c>
      <x:c r="D3629" s="6" t="str">
        <x:v>平</x:v>
      </x:c>
      <x:c r="E3629" s="6" t="str">
        <x:v>kea (A)</x:v>
      </x:c>
      <x:c r="F3629" s="6" t="str">
        <x:v>1</x:v>
      </x:c>
      <x:c r="G3629" s="6" t="str"/>
      <x:c r="H3629" s="6" t="str">
        <x:f>IF(B3629="平","平",IF(B3629="","","仄"))</x:f>
        <x:v>平</x:v>
      </x:c>
      <x:c r="I3629" s="6" t="str">
        <x:f>IF(D3614="","",IF(AND(ISNUMBER(SEARCH("平",D3614)),OR(ISNUMBER(SEARCH("上",D3614)),ISNUMBER(SEARCH("去",D3614)),ISNUMBER(SEARCH("入",D3614)))),"Ambiguous",IF(ISNUMBER(SEARCH("平",D3614)),"平","仄")))</x:f>
        <x:v>平</x:v>
      </x:c>
      <x:c r="J3629" s="7" t="str"/>
    </x:row>
    <x:row r="3630">
      <x:c r="A3630" s="5" t="str">
        <x:v>衛</x:v>
      </x:c>
      <x:c r="B3630" s="6" t="str">
        <x:v>去</x:v>
      </x:c>
      <x:c r="C3630" s="6" t="str">
        <x:f>IF(B3630="","Needs decision","Ready")</x:f>
        <x:v>Ready</x:v>
      </x:c>
      <x:c r="D3630" s="6" t="str">
        <x:v>去</x:v>
      </x:c>
      <x:c r="E3630" s="6" t="str">
        <x:v>hjwejH (C)</x:v>
      </x:c>
      <x:c r="F3630" s="6" t="str">
        <x:v>1</x:v>
      </x:c>
      <x:c r="G3630" s="6" t="str"/>
      <x:c r="H3630" s="6" t="str">
        <x:f>IF(B3630="平","平",IF(B3630="","","仄"))</x:f>
        <x:v>仄</x:v>
      </x:c>
      <x:c r="I3630" s="6" t="str">
        <x:f>IF(D3615="","",IF(AND(ISNUMBER(SEARCH("平",D3615)),OR(ISNUMBER(SEARCH("上",D3615)),ISNUMBER(SEARCH("去",D3615)),ISNUMBER(SEARCH("入",D3615)))),"Ambiguous",IF(ISNUMBER(SEARCH("平",D3615)),"平","仄")))</x:f>
        <x:v>仄</x:v>
      </x:c>
      <x:c r="J3630" s="7" t="str"/>
    </x:row>
    <x:row r="3631">
      <x:c r="A3631" s="5" t="str">
        <x:v>衝</x:v>
      </x:c>
      <x:c r="B3631" s="6" t="str">
        <x:v>平</x:v>
      </x:c>
      <x:c r="C3631" s="6" t="str">
        <x:f>IF(B3631="","Needs decision","Ready")</x:f>
        <x:v>Ready</x:v>
      </x:c>
      <x:c r="D3631" s="6" t="str">
        <x:v>平</x:v>
      </x:c>
      <x:c r="E3631" s="6" t="str">
        <x:v>tsyhowng (A)</x:v>
      </x:c>
      <x:c r="F3631" s="6" t="str">
        <x:v>1</x:v>
      </x:c>
      <x:c r="G3631" s="6" t="str"/>
      <x:c r="H3631" s="6" t="str">
        <x:f>IF(B3631="平","平",IF(B3631="","","仄"))</x:f>
        <x:v>平</x:v>
      </x:c>
      <x:c r="I3631" s="6" t="str">
        <x:f>IF(D3616="","",IF(AND(ISNUMBER(SEARCH("平",D3616)),OR(ISNUMBER(SEARCH("上",D3616)),ISNUMBER(SEARCH("去",D3616)),ISNUMBER(SEARCH("入",D3616)))),"Ambiguous",IF(ISNUMBER(SEARCH("平",D3616)),"平","仄")))</x:f>
        <x:v>仄</x:v>
      </x:c>
      <x:c r="J3631" s="7" t="str"/>
    </x:row>
    <x:row r="3632">
      <x:c r="A3632" s="5" t="str">
        <x:v>衞</x:v>
      </x:c>
      <x:c r="B3632" s="6" t="str">
        <x:v>去</x:v>
      </x:c>
      <x:c r="C3632" s="6" t="str">
        <x:f>IF(B3632="","Needs decision","Ready")</x:f>
        <x:v>Ready</x:v>
      </x:c>
      <x:c r="D3632" s="6" t="str">
        <x:v>去</x:v>
      </x:c>
      <x:c r="E3632" s="6" t="str">
        <x:v>hjwejH [云合三B祭去] wɨ̯ejh</x:v>
      </x:c>
      <x:c r="F3632" s="6" t="str">
        <x:v>1</x:v>
      </x:c>
      <x:c r="G3632" s="6" t="str">
        <x:v>Targeted preliminary fill from Xun Gong; review if uncertain (looked up under 衛)</x:v>
      </x:c>
      <x:c r="H3632" s="6" t="str">
        <x:f>IF(B3632="平","平",IF(B3632="","","仄"))</x:f>
        <x:v>仄</x:v>
      </x:c>
      <x:c r="I3632" s="6" t="str">
        <x:f>IF(D3617="","",IF(AND(ISNUMBER(SEARCH("平",D3617)),OR(ISNUMBER(SEARCH("上",D3617)),ISNUMBER(SEARCH("去",D3617)),ISNUMBER(SEARCH("入",D3617)))),"Ambiguous",IF(ISNUMBER(SEARCH("平",D3617)),"平","仄")))</x:f>
        <x:v>Ambiguous</x:v>
      </x:c>
      <x:c r="J3632" s="7" t="str">
        <x:v>Xun Gong character-readings.csv</x:v>
      </x:c>
    </x:row>
    <x:row r="3633">
      <x:c r="A3633" s="5" t="str">
        <x:v>衡</x:v>
      </x:c>
      <x:c r="B3633" s="6" t="str">
        <x:v>平</x:v>
      </x:c>
      <x:c r="C3633" s="6" t="str">
        <x:f>IF(B3633="","Needs decision","Ready")</x:f>
        <x:v>Ready</x:v>
      </x:c>
      <x:c r="D3633" s="6" t="str">
        <x:v>平</x:v>
      </x:c>
      <x:c r="E3633" s="6" t="str">
        <x:v>haeng (A)</x:v>
      </x:c>
      <x:c r="F3633" s="6" t="str">
        <x:v>1</x:v>
      </x:c>
      <x:c r="G3633" s="6" t="str"/>
      <x:c r="H3633" s="6" t="str">
        <x:f>IF(B3633="平","平",IF(B3633="","","仄"))</x:f>
        <x:v>平</x:v>
      </x:c>
      <x:c r="I3633" s="6" t="str">
        <x:f>IF(D3618="","",IF(AND(ISNUMBER(SEARCH("平",D3618)),OR(ISNUMBER(SEARCH("上",D3618)),ISNUMBER(SEARCH("去",D3618)),ISNUMBER(SEARCH("入",D3618)))),"Ambiguous",IF(ISNUMBER(SEARCH("平",D3618)),"平","仄")))</x:f>
        <x:v>仄</x:v>
      </x:c>
      <x:c r="J3633" s="7" t="str"/>
    </x:row>
    <x:row r="3634">
      <x:c r="A3634" s="5" t="str">
        <x:v>衢</x:v>
      </x:c>
      <x:c r="B3634" s="6" t="str">
        <x:v>平</x:v>
      </x:c>
      <x:c r="C3634" s="6" t="str">
        <x:f>IF(B3634="","Needs decision","Ready")</x:f>
        <x:v>Ready</x:v>
      </x:c>
      <x:c r="D3634" s="6" t="str">
        <x:v>平</x:v>
      </x:c>
      <x:c r="E3634" s="6" t="str">
        <x:v>gju [羣合三C虞平] ɡɨ̯o</x:v>
      </x:c>
      <x:c r="F3634" s="6" t="str">
        <x:v>1</x:v>
      </x:c>
      <x:c r="G3634" s="6" t="str">
        <x:v>Targeted preliminary fill from Xun Gong; review if uncertain</x:v>
      </x:c>
      <x:c r="H3634" s="6" t="str">
        <x:f>IF(B3634="平","平",IF(B3634="","","仄"))</x:f>
        <x:v>平</x:v>
      </x:c>
      <x:c r="I3634" s="6" t="str">
        <x:f>IF(D3619="","",IF(AND(ISNUMBER(SEARCH("平",D3619)),OR(ISNUMBER(SEARCH("上",D3619)),ISNUMBER(SEARCH("去",D3619)),ISNUMBER(SEARCH("入",D3619)))),"Ambiguous",IF(ISNUMBER(SEARCH("平",D3619)),"平","仄")))</x:f>
        <x:v>仄</x:v>
      </x:c>
      <x:c r="J3634" s="7" t="str">
        <x:v>Xun Gong character-readings.csv</x:v>
      </x:c>
    </x:row>
    <x:row r="3635">
      <x:c r="A3635" s="5" t="str">
        <x:v>衣</x:v>
      </x:c>
      <x:c r="B3635" s="6" t="str">
        <x:v>平</x:v>
      </x:c>
      <x:c r="C3635" s="6" t="str">
        <x:f>IF(B3635="","Needs decision","Ready")</x:f>
        <x:v>Ready</x:v>
      </x:c>
      <x:c r="D3635" s="6" t="str">
        <x:v>平/去</x:v>
      </x:c>
      <x:c r="E3635" s="6" t="str">
        <x:v>'j+j (A); 'j+jH (C)</x:v>
      </x:c>
      <x:c r="F3635" s="6" t="str">
        <x:v>2</x:v>
      </x:c>
      <x:c r="G3635" s="6" t="str">
        <x:v>User workbook edit 2026-09-03</x:v>
      </x:c>
      <x:c r="H3635" s="6" t="str">
        <x:f>IF(B3635="平","平",IF(B3635="","","仄"))</x:f>
        <x:v>平</x:v>
      </x:c>
      <x:c r="I3635" s="6" t="str">
        <x:f>IF(D3620="","",IF(AND(ISNUMBER(SEARCH("平",D3620)),OR(ISNUMBER(SEARCH("上",D3620)),ISNUMBER(SEARCH("去",D3620)),ISNUMBER(SEARCH("入",D3620)))),"Ambiguous",IF(ISNUMBER(SEARCH("平",D3620)),"平","仄")))</x:f>
        <x:v>平</x:v>
      </x:c>
      <x:c r="J3635" s="7" t="str">
        <x:v>manual user correction</x:v>
      </x:c>
    </x:row>
    <x:row r="3636">
      <x:c r="A3636" s="5" t="str">
        <x:v>表</x:v>
      </x:c>
      <x:c r="B3636" s="6" t="str">
        <x:v>上</x:v>
      </x:c>
      <x:c r="C3636" s="6" t="str">
        <x:f>IF(B3636="","Needs decision","Ready")</x:f>
        <x:v>Ready</x:v>
      </x:c>
      <x:c r="D3636" s="6" t="str">
        <x:v>上</x:v>
      </x:c>
      <x:c r="E3636" s="6" t="str">
        <x:v>pjewX (B)</x:v>
      </x:c>
      <x:c r="F3636" s="6" t="str">
        <x:v>1</x:v>
      </x:c>
      <x:c r="G3636" s="6" t="str"/>
      <x:c r="H3636" s="6" t="str">
        <x:f>IF(B3636="平","平",IF(B3636="","","仄"))</x:f>
        <x:v>仄</x:v>
      </x:c>
      <x:c r="I3636" s="6" t="str">
        <x:f>IF(D3621="","",IF(AND(ISNUMBER(SEARCH("平",D3621)),OR(ISNUMBER(SEARCH("上",D3621)),ISNUMBER(SEARCH("去",D3621)),ISNUMBER(SEARCH("入",D3621)))),"Ambiguous",IF(ISNUMBER(SEARCH("平",D3621)),"平","仄")))</x:f>
        <x:v>仄</x:v>
      </x:c>
      <x:c r="J3636" s="7" t="str"/>
    </x:row>
    <x:row r="3637">
      <x:c r="A3637" s="5" t="str">
        <x:v>衫</x:v>
      </x:c>
      <x:c r="B3637" s="6" t="str">
        <x:v>平</x:v>
      </x:c>
      <x:c r="C3637" s="6" t="str">
        <x:f>IF(B3637="","Needs decision","Ready")</x:f>
        <x:v>Ready</x:v>
      </x:c>
      <x:c r="D3637" s="6" t="str">
        <x:v>平</x:v>
      </x:c>
      <x:c r="E3637" s="6" t="str">
        <x:v>sraem [ʂaˤm] (平)</x:v>
      </x:c>
      <x:c r="F3637" s="6" t="str">
        <x:v>1</x:v>
      </x:c>
      <x:c r="G3637" s="6" t="str">
        <x:v>Tang 300 gap; frequency 1; provisional from Xun Gong</x:v>
      </x:c>
      <x:c r="H3637" s="6" t="str">
        <x:f>IF(B3637="平","平",IF(B3637="","","仄"))</x:f>
        <x:v>平</x:v>
      </x:c>
      <x:c r="I3637" s="6" t="str">
        <x:f>IF(D3622="","",IF(AND(ISNUMBER(SEARCH("平",D3622)),OR(ISNUMBER(SEARCH("上",D3622)),ISNUMBER(SEARCH("去",D3622)),ISNUMBER(SEARCH("入",D3622)))),"Ambiguous",IF(ISNUMBER(SEARCH("平",D3622)),"平","仄")))</x:f>
        <x:v>平</x:v>
      </x:c>
      <x:c r="J3637" s="7" t="str">
        <x:v>Xun Gong, Tang 300 gap fill</x:v>
      </x:c>
    </x:row>
    <x:row r="3638">
      <x:c r="A3638" s="5" t="str">
        <x:v>衰</x:v>
      </x:c>
      <x:c r="B3638" s="6" t="str">
        <x:v>平</x:v>
      </x:c>
      <x:c r="C3638" s="6" t="str">
        <x:f>IF(B3638="","Needs decision","Ready")</x:f>
        <x:v>Ready</x:v>
      </x:c>
      <x:c r="D3638" s="6" t="str">
        <x:v>平</x:v>
      </x:c>
      <x:c r="E3638" s="6" t="str">
        <x:v>tshwoj (A); tsrhjwe (A); srwij (A)</x:v>
      </x:c>
      <x:c r="F3638" s="6" t="str">
        <x:v>3</x:v>
      </x:c>
      <x:c r="G3638" s="6" t="str"/>
      <x:c r="H3638" s="6" t="str">
        <x:f>IF(B3638="平","平",IF(B3638="","","仄"))</x:f>
        <x:v>平</x:v>
      </x:c>
      <x:c r="I3638" s="6" t="str">
        <x:f>IF(D3623="","",IF(AND(ISNUMBER(SEARCH("平",D3623)),OR(ISNUMBER(SEARCH("上",D3623)),ISNUMBER(SEARCH("去",D3623)),ISNUMBER(SEARCH("入",D3623)))),"Ambiguous",IF(ISNUMBER(SEARCH("平",D3623)),"平","仄")))</x:f>
        <x:v>仄</x:v>
      </x:c>
      <x:c r="J3638" s="7" t="str"/>
    </x:row>
    <x:row r="3639">
      <x:c r="A3639" s="5" t="str">
        <x:v>衱</x:v>
      </x:c>
      <x:c r="B3639" s="6" t="str">
        <x:v>入</x:v>
      </x:c>
      <x:c r="C3639" s="6" t="str">
        <x:f>IF(B3639="","Needs decision","Ready")</x:f>
        <x:v>Ready</x:v>
      </x:c>
      <x:c r="D3639" s="6" t="str">
        <x:v>入</x:v>
      </x:c>
      <x:c r="E3639" s="6" t="str">
        <x:v>gjep [ɡɨ̯ep] (入); kjaep [kɨ̯əp] (入)</x:v>
      </x:c>
      <x:c r="F3639" s="6" t="str">
        <x:v>2</x:v>
      </x:c>
      <x:c r="G3639" s="6" t="str">
        <x:v>Tang 300 gap; frequency 1; provisional from Xun Gong</x:v>
      </x:c>
      <x:c r="H3639" s="6" t="str">
        <x:f>IF(B3639="平","平",IF(B3639="","","仄"))</x:f>
        <x:v>仄</x:v>
      </x:c>
      <x:c r="I3639" s="6" t="str">
        <x:f>IF(D3624="","",IF(AND(ISNUMBER(SEARCH("平",D3624)),OR(ISNUMBER(SEARCH("上",D3624)),ISNUMBER(SEARCH("去",D3624)),ISNUMBER(SEARCH("入",D3624)))),"Ambiguous",IF(ISNUMBER(SEARCH("平",D3624)),"平","仄")))</x:f>
        <x:v>平</x:v>
      </x:c>
      <x:c r="J3639" s="7" t="str">
        <x:v>Xun Gong, Tang 300 gap fill</x:v>
      </x:c>
    </x:row>
    <x:row r="3640">
      <x:c r="A3640" s="5" t="str">
        <x:v>衵</x:v>
      </x:c>
      <x:c r="B3640" s="6" t="str">
        <x:v>入</x:v>
      </x:c>
      <x:c r="C3640" s="6" t="str">
        <x:f>IF(B3640="","Needs decision","Ready")</x:f>
        <x:v>Ready</x:v>
      </x:c>
      <x:c r="D3640" s="6" t="str">
        <x:v>入</x:v>
      </x:c>
      <x:c r="E3640" s="6" t="str">
        <x:v>nyit (D)</x:v>
      </x:c>
      <x:c r="F3640" s="6" t="str">
        <x:v>1</x:v>
      </x:c>
      <x:c r="G3640" s="6" t="str"/>
      <x:c r="H3640" s="6" t="str">
        <x:f>IF(B3640="平","平",IF(B3640="","","仄"))</x:f>
        <x:v>仄</x:v>
      </x:c>
      <x:c r="I3640" s="6" t="str">
        <x:f>IF(D3625="","",IF(AND(ISNUMBER(SEARCH("平",D3625)),OR(ISNUMBER(SEARCH("上",D3625)),ISNUMBER(SEARCH("去",D3625)),ISNUMBER(SEARCH("入",D3625)))),"Ambiguous",IF(ISNUMBER(SEARCH("平",D3625)),"平","仄")))</x:f>
        <x:v>仄</x:v>
      </x:c>
      <x:c r="J3640" s="7" t="str"/>
    </x:row>
    <x:row r="3641">
      <x:c r="A3641" s="5" t="str">
        <x:v>衷</x:v>
      </x:c>
      <x:c r="B3641" s="6" t="str">
        <x:v>平</x:v>
      </x:c>
      <x:c r="C3641" s="6" t="str">
        <x:f>IF(B3641="","Needs decision","Ready")</x:f>
        <x:v>Ready</x:v>
      </x:c>
      <x:c r="D3641" s="6" t="str">
        <x:v>平/去</x:v>
      </x:c>
      <x:c r="E3641" s="6" t="str">
        <x:v>trjuwng [ʈjuŋ] (平); trjuwngH [ʈjuŋh] (去)</x:v>
      </x:c>
      <x:c r="F3641" s="6" t="str">
        <x:v>2</x:v>
      </x:c>
      <x:c r="G3641" s="6" t="str">
        <x:v>Tang 300 gap; frequency 1; ambiguous in Xun Gong; User workbook edit 2026-09-03</x:v>
      </x:c>
      <x:c r="H3641" s="6" t="str">
        <x:f>IF(B3641="平","平",IF(B3641="","","仄"))</x:f>
        <x:v>平</x:v>
      </x:c>
      <x:c r="I3641" s="6" t="str">
        <x:f>IF(D3626="","",IF(AND(ISNUMBER(SEARCH("平",D3626)),OR(ISNUMBER(SEARCH("上",D3626)),ISNUMBER(SEARCH("去",D3626)),ISNUMBER(SEARCH("入",D3626)))),"Ambiguous",IF(ISNUMBER(SEARCH("平",D3626)),"平","仄")))</x:f>
        <x:v>Ambiguous</x:v>
      </x:c>
      <x:c r="J3641" s="7" t="str">
        <x:v>manual user correction</x:v>
      </x:c>
    </x:row>
    <x:row r="3642">
      <x:c r="A3642" s="5" t="str">
        <x:v>衽</x:v>
      </x:c>
      <x:c r="B3642" s="6" t="str"/>
      <x:c r="C3642" s="6" t="str">
        <x:f>IF(B3642="","Needs decision","Ready")</x:f>
        <x:v>Needs decision</x:v>
      </x:c>
      <x:c r="D3642" s="6" t="str">
        <x:v>上/去</x:v>
      </x:c>
      <x:c r="E3642" s="6" t="str">
        <x:v>nyimX (B); nyimH (C)</x:v>
      </x:c>
      <x:c r="F3642" s="6" t="str">
        <x:v>2</x:v>
      </x:c>
      <x:c r="G3642" s="6" t="str"/>
      <x:c r="H3642" s="6" t="str">
        <x:f>IF(B3642="平","平",IF(B3642="","","仄"))</x:f>
      </x:c>
      <x:c r="I3642" s="6" t="str">
        <x:f>IF(D3627="","",IF(AND(ISNUMBER(SEARCH("平",D3627)),OR(ISNUMBER(SEARCH("上",D3627)),ISNUMBER(SEARCH("去",D3627)),ISNUMBER(SEARCH("入",D3627)))),"Ambiguous",IF(ISNUMBER(SEARCH("平",D3627)),"平","仄")))</x:f>
        <x:v>仄</x:v>
      </x:c>
      <x:c r="J3642" s="7" t="str"/>
    </x:row>
    <x:row r="3643">
      <x:c r="A3643" s="5" t="str">
        <x:v>衾</x:v>
      </x:c>
      <x:c r="B3643" s="6" t="str">
        <x:v>平</x:v>
      </x:c>
      <x:c r="C3643" s="6" t="str">
        <x:f>IF(B3643="","Needs decision","Ready")</x:f>
        <x:v>Ready</x:v>
      </x:c>
      <x:c r="D3643" s="6" t="str">
        <x:v>平</x:v>
      </x:c>
      <x:c r="E3643" s="6" t="str">
        <x:v>khim (A)</x:v>
      </x:c>
      <x:c r="F3643" s="6" t="str">
        <x:v>1</x:v>
      </x:c>
      <x:c r="G3643" s="6" t="str"/>
      <x:c r="H3643" s="6" t="str">
        <x:f>IF(B3643="平","平",IF(B3643="","","仄"))</x:f>
        <x:v>平</x:v>
      </x:c>
      <x:c r="I3643" s="6" t="str">
        <x:f>IF(D3628="","",IF(AND(ISNUMBER(SEARCH("平",D3628)),OR(ISNUMBER(SEARCH("上",D3628)),ISNUMBER(SEARCH("去",D3628)),ISNUMBER(SEARCH("入",D3628)))),"Ambiguous",IF(ISNUMBER(SEARCH("平",D3628)),"平","仄")))</x:f>
        <x:v>仄</x:v>
      </x:c>
      <x:c r="J3643" s="7" t="str"/>
    </x:row>
    <x:row r="3644">
      <x:c r="A3644" s="5" t="str">
        <x:v>衿</x:v>
      </x:c>
      <x:c r="B3644" s="6" t="str">
        <x:v>去</x:v>
      </x:c>
      <x:c r="C3644" s="6" t="str">
        <x:f>IF(B3644="","Needs decision","Ready")</x:f>
        <x:v>Ready</x:v>
      </x:c>
      <x:c r="D3644" s="6" t="str">
        <x:v>去</x:v>
      </x:c>
      <x:c r="E3644" s="6" t="str">
        <x:v>gimH (C)</x:v>
      </x:c>
      <x:c r="F3644" s="6" t="str">
        <x:v>1</x:v>
      </x:c>
      <x:c r="G3644" s="6" t="str"/>
      <x:c r="H3644" s="6" t="str">
        <x:f>IF(B3644="平","平",IF(B3644="","","仄"))</x:f>
        <x:v>仄</x:v>
      </x:c>
      <x:c r="I3644" s="6" t="str">
        <x:f>IF(D3629="","",IF(AND(ISNUMBER(SEARCH("平",D3629)),OR(ISNUMBER(SEARCH("上",D3629)),ISNUMBER(SEARCH("去",D3629)),ISNUMBER(SEARCH("入",D3629)))),"Ambiguous",IF(ISNUMBER(SEARCH("平",D3629)),"平","仄")))</x:f>
        <x:v>平</x:v>
      </x:c>
      <x:c r="J3644" s="7" t="str"/>
    </x:row>
    <x:row r="3645">
      <x:c r="A3645" s="5" t="str">
        <x:v>袁</x:v>
      </x:c>
      <x:c r="B3645" s="6" t="str">
        <x:v>平</x:v>
      </x:c>
      <x:c r="C3645" s="6" t="str">
        <x:f>IF(B3645="","Needs decision","Ready")</x:f>
        <x:v>Ready</x:v>
      </x:c>
      <x:c r="D3645" s="6" t="str">
        <x:v>平</x:v>
      </x:c>
      <x:c r="E3645" s="6" t="str">
        <x:v>hjwon (A)</x:v>
      </x:c>
      <x:c r="F3645" s="6" t="str">
        <x:v>1</x:v>
      </x:c>
      <x:c r="G3645" s="6" t="str"/>
      <x:c r="H3645" s="6" t="str">
        <x:f>IF(B3645="平","平",IF(B3645="","","仄"))</x:f>
        <x:v>平</x:v>
      </x:c>
      <x:c r="I3645" s="6" t="str">
        <x:f>IF(D3630="","",IF(AND(ISNUMBER(SEARCH("平",D3630)),OR(ISNUMBER(SEARCH("上",D3630)),ISNUMBER(SEARCH("去",D3630)),ISNUMBER(SEARCH("入",D3630)))),"Ambiguous",IF(ISNUMBER(SEARCH("平",D3630)),"平","仄")))</x:f>
        <x:v>仄</x:v>
      </x:c>
      <x:c r="J3645" s="7" t="str"/>
    </x:row>
    <x:row r="3646">
      <x:c r="A3646" s="5" t="str">
        <x:v>袂</x:v>
      </x:c>
      <x:c r="B3646" s="6" t="str">
        <x:v>去</x:v>
      </x:c>
      <x:c r="C3646" s="6" t="str">
        <x:f>IF(B3646="","Needs decision","Ready")</x:f>
        <x:v>Ready</x:v>
      </x:c>
      <x:c r="D3646" s="6" t="str">
        <x:v>入/去</x:v>
      </x:c>
      <x:c r="E3646" s="6" t="str">
        <x:v>kwet (D); mjiejH (C)</x:v>
      </x:c>
      <x:c r="F3646" s="6" t="str">
        <x:v>2</x:v>
      </x:c>
      <x:c r="G3646" s="6" t="str"/>
      <x:c r="H3646" s="6" t="str">
        <x:f>IF(B3646="平","平",IF(B3646="","","仄"))</x:f>
        <x:v>仄</x:v>
      </x:c>
      <x:c r="I3646" s="6" t="str">
        <x:f>IF(D3631="","",IF(AND(ISNUMBER(SEARCH("平",D3631)),OR(ISNUMBER(SEARCH("上",D3631)),ISNUMBER(SEARCH("去",D3631)),ISNUMBER(SEARCH("入",D3631)))),"Ambiguous",IF(ISNUMBER(SEARCH("平",D3631)),"平","仄")))</x:f>
        <x:v>平</x:v>
      </x:c>
      <x:c r="J3646" s="7" t="str"/>
    </x:row>
    <x:row r="3647">
      <x:c r="A3647" s="5" t="str">
        <x:v>袋</x:v>
      </x:c>
      <x:c r="B3647" s="6" t="str">
        <x:v>去</x:v>
      </x:c>
      <x:c r="C3647" s="6" t="str">
        <x:f>IF(B3647="","Needs decision","Ready")</x:f>
        <x:v>Ready</x:v>
      </x:c>
      <x:c r="D3647" s="6" t="str">
        <x:v>去</x:v>
      </x:c>
      <x:c r="E3647" s="6" t="str">
        <x:v>dojH (C)</x:v>
      </x:c>
      <x:c r="F3647" s="6" t="str">
        <x:v>1</x:v>
      </x:c>
      <x:c r="G3647" s="6" t="str"/>
      <x:c r="H3647" s="6" t="str">
        <x:f>IF(B3647="平","平",IF(B3647="","","仄"))</x:f>
        <x:v>仄</x:v>
      </x:c>
      <x:c r="I3647" s="6" t="str">
        <x:f>IF(D3632="","",IF(AND(ISNUMBER(SEARCH("平",D3632)),OR(ISNUMBER(SEARCH("上",D3632)),ISNUMBER(SEARCH("去",D3632)),ISNUMBER(SEARCH("入",D3632)))),"Ambiguous",IF(ISNUMBER(SEARCH("平",D3632)),"平","仄")))</x:f>
        <x:v>仄</x:v>
      </x:c>
      <x:c r="J3647" s="7" t="str"/>
    </x:row>
    <x:row r="3648">
      <x:c r="A3648" s="5" t="str">
        <x:v>袍</x:v>
      </x:c>
      <x:c r="B3648" s="6" t="str">
        <x:v>平</x:v>
      </x:c>
      <x:c r="C3648" s="6" t="str">
        <x:f>IF(B3648="","Needs decision","Ready")</x:f>
        <x:v>Ready</x:v>
      </x:c>
      <x:c r="D3648" s="6" t="str">
        <x:v>平</x:v>
      </x:c>
      <x:c r="E3648" s="6" t="str">
        <x:v>baw (A)</x:v>
      </x:c>
      <x:c r="F3648" s="6" t="str">
        <x:v>1</x:v>
      </x:c>
      <x:c r="G3648" s="6" t="str"/>
      <x:c r="H3648" s="6" t="str">
        <x:f>IF(B3648="平","平",IF(B3648="","","仄"))</x:f>
        <x:v>平</x:v>
      </x:c>
      <x:c r="I3648" s="6" t="str">
        <x:f>IF(D3633="","",IF(AND(ISNUMBER(SEARCH("平",D3633)),OR(ISNUMBER(SEARCH("上",D3633)),ISNUMBER(SEARCH("去",D3633)),ISNUMBER(SEARCH("入",D3633)))),"Ambiguous",IF(ISNUMBER(SEARCH("平",D3633)),"平","仄")))</x:f>
        <x:v>平</x:v>
      </x:c>
      <x:c r="J3648" s="7" t="str"/>
    </x:row>
    <x:row r="3649">
      <x:c r="A3649" s="5" t="str">
        <x:v>袖</x:v>
      </x:c>
      <x:c r="B3649" s="6" t="str">
        <x:v>去</x:v>
      </x:c>
      <x:c r="C3649" s="6" t="str">
        <x:f>IF(B3649="","Needs decision","Ready")</x:f>
        <x:v>Ready</x:v>
      </x:c>
      <x:c r="D3649" s="6" t="str">
        <x:v>去</x:v>
      </x:c>
      <x:c r="E3649" s="6" t="str">
        <x:v>zjuwH (C)</x:v>
      </x:c>
      <x:c r="F3649" s="6" t="str">
        <x:v>1</x:v>
      </x:c>
      <x:c r="G3649" s="6" t="str"/>
      <x:c r="H3649" s="6" t="str">
        <x:f>IF(B3649="平","平",IF(B3649="","","仄"))</x:f>
        <x:v>仄</x:v>
      </x:c>
      <x:c r="I3649" s="6" t="str">
        <x:f>IF(D3634="","",IF(AND(ISNUMBER(SEARCH("平",D3634)),OR(ISNUMBER(SEARCH("上",D3634)),ISNUMBER(SEARCH("去",D3634)),ISNUMBER(SEARCH("入",D3634)))),"Ambiguous",IF(ISNUMBER(SEARCH("平",D3634)),"平","仄")))</x:f>
        <x:v>平</x:v>
      </x:c>
      <x:c r="J3649" s="7" t="str"/>
    </x:row>
    <x:row r="3650">
      <x:c r="A3650" s="5" t="str">
        <x:v>袗</x:v>
      </x:c>
      <x:c r="B3650" s="6" t="str">
        <x:v>上</x:v>
      </x:c>
      <x:c r="C3650" s="6" t="str">
        <x:f>IF(B3650="","Needs decision","Ready")</x:f>
        <x:v>Ready</x:v>
      </x:c>
      <x:c r="D3650" s="6" t="str">
        <x:v>上</x:v>
      </x:c>
      <x:c r="E3650" s="6" t="str">
        <x:v>tsyinX (B)</x:v>
      </x:c>
      <x:c r="F3650" s="6" t="str">
        <x:v>1</x:v>
      </x:c>
      <x:c r="G3650" s="6" t="str"/>
      <x:c r="H3650" s="6" t="str">
        <x:f>IF(B3650="平","平",IF(B3650="","","仄"))</x:f>
        <x:v>仄</x:v>
      </x:c>
      <x:c r="I3650" s="6" t="str">
        <x:f>IF(D3635="","",IF(AND(ISNUMBER(SEARCH("平",D3635)),OR(ISNUMBER(SEARCH("上",D3635)),ISNUMBER(SEARCH("去",D3635)),ISNUMBER(SEARCH("入",D3635)))),"Ambiguous",IF(ISNUMBER(SEARCH("平",D3635)),"平","仄")))</x:f>
        <x:v>Ambiguous</x:v>
      </x:c>
      <x:c r="J3650" s="7" t="str"/>
    </x:row>
    <x:row r="3651">
      <x:c r="A3651" s="5" t="str">
        <x:v>袞</x:v>
      </x:c>
      <x:c r="B3651" s="6" t="str">
        <x:v>上</x:v>
      </x:c>
      <x:c r="C3651" s="6" t="str">
        <x:f>IF(B3651="","Needs decision","Ready")</x:f>
        <x:v>Ready</x:v>
      </x:c>
      <x:c r="D3651" s="6" t="str">
        <x:v>上</x:v>
      </x:c>
      <x:c r="E3651" s="6" t="str">
        <x:v>kwonX [qwənʔ] (上)</x:v>
      </x:c>
      <x:c r="F3651" s="6" t="str">
        <x:v>1</x:v>
      </x:c>
      <x:c r="G3651" s="6" t="str">
        <x:v>Tang 300 gap; frequency 1; provisional from Xun Gong</x:v>
      </x:c>
      <x:c r="H3651" s="6" t="str">
        <x:f>IF(B3651="平","平",IF(B3651="","","仄"))</x:f>
        <x:v>仄</x:v>
      </x:c>
      <x:c r="I3651" s="6" t="str">
        <x:f>IF(D3636="","",IF(AND(ISNUMBER(SEARCH("平",D3636)),OR(ISNUMBER(SEARCH("上",D3636)),ISNUMBER(SEARCH("去",D3636)),ISNUMBER(SEARCH("入",D3636)))),"Ambiguous",IF(ISNUMBER(SEARCH("平",D3636)),"平","仄")))</x:f>
        <x:v>仄</x:v>
      </x:c>
      <x:c r="J3651" s="7" t="str">
        <x:v>Xun Gong, Tang 300 gap fill</x:v>
      </x:c>
    </x:row>
    <x:row r="3652">
      <x:c r="A3652" s="5" t="str">
        <x:v>被</x:v>
      </x:c>
      <x:c r="B3652" s="6" t="str"/>
      <x:c r="C3652" s="6" t="str">
        <x:f>IF(B3652="","Needs decision","Ready")</x:f>
        <x:v>Needs decision</x:v>
      </x:c>
      <x:c r="D3652" s="6" t="str">
        <x:v>上/去/平</x:v>
      </x:c>
      <x:c r="E3652" s="6" t="str">
        <x:v>bjeX (B); bjeH (C); phje (A); phjeH (C)</x:v>
      </x:c>
      <x:c r="F3652" s="6" t="str">
        <x:v>4</x:v>
      </x:c>
      <x:c r="G3652" s="6" t="str"/>
      <x:c r="H3652" s="6" t="str">
        <x:f>IF(B3652="平","平",IF(B3652="","","仄"))</x:f>
      </x:c>
      <x:c r="I3652" s="6" t="str">
        <x:f>IF(D3637="","",IF(AND(ISNUMBER(SEARCH("平",D3637)),OR(ISNUMBER(SEARCH("上",D3637)),ISNUMBER(SEARCH("去",D3637)),ISNUMBER(SEARCH("入",D3637)))),"Ambiguous",IF(ISNUMBER(SEARCH("平",D3637)),"平","仄")))</x:f>
        <x:v>平</x:v>
      </x:c>
      <x:c r="J3652" s="7" t="str"/>
    </x:row>
    <x:row r="3653">
      <x:c r="A3653" s="5" t="str">
        <x:v>袴</x:v>
      </x:c>
      <x:c r="B3653" s="6" t="str">
        <x:v>去</x:v>
      </x:c>
      <x:c r="C3653" s="6" t="str">
        <x:f>IF(B3653="","Needs decision","Ready")</x:f>
        <x:v>Ready</x:v>
      </x:c>
      <x:c r="D3653" s="6" t="str">
        <x:v>去</x:v>
      </x:c>
      <x:c r="E3653" s="6" t="str">
        <x:v>khuH (C)</x:v>
      </x:c>
      <x:c r="F3653" s="6" t="str">
        <x:v>1</x:v>
      </x:c>
      <x:c r="G3653" s="6" t="str"/>
      <x:c r="H3653" s="6" t="str">
        <x:f>IF(B3653="平","平",IF(B3653="","","仄"))</x:f>
        <x:v>仄</x:v>
      </x:c>
      <x:c r="I3653" s="6" t="str">
        <x:f>IF(D3638="","",IF(AND(ISNUMBER(SEARCH("平",D3638)),OR(ISNUMBER(SEARCH("上",D3638)),ISNUMBER(SEARCH("去",D3638)),ISNUMBER(SEARCH("入",D3638)))),"Ambiguous",IF(ISNUMBER(SEARCH("平",D3638)),"平","仄")))</x:f>
        <x:v>平</x:v>
      </x:c>
      <x:c r="J3653" s="7" t="str"/>
    </x:row>
    <x:row r="3654">
      <x:c r="A3654" s="5" t="str">
        <x:v>袷</x:v>
      </x:c>
      <x:c r="B3654" s="6" t="str">
        <x:v>入</x:v>
      </x:c>
      <x:c r="C3654" s="6" t="str">
        <x:f>IF(B3654="","Needs decision","Ready")</x:f>
        <x:v>Ready</x:v>
      </x:c>
      <x:c r="D3654" s="6" t="str">
        <x:v>入</x:v>
      </x:c>
      <x:c r="E3654" s="6" t="str">
        <x:v>keap [qeˤp] (入); kjaep [kɨ̯əp] (入)</x:v>
      </x:c>
      <x:c r="F3654" s="6" t="str">
        <x:v>2</x:v>
      </x:c>
      <x:c r="G3654" s="6" t="str">
        <x:v>Tang 300 gap; frequency 1; provisional from Xun Gong</x:v>
      </x:c>
      <x:c r="H3654" s="6" t="str">
        <x:f>IF(B3654="平","平",IF(B3654="","","仄"))</x:f>
        <x:v>仄</x:v>
      </x:c>
      <x:c r="I3654" s="6" t="str">
        <x:f>IF(D3639="","",IF(AND(ISNUMBER(SEARCH("平",D3639)),OR(ISNUMBER(SEARCH("上",D3639)),ISNUMBER(SEARCH("去",D3639)),ISNUMBER(SEARCH("入",D3639)))),"Ambiguous",IF(ISNUMBER(SEARCH("平",D3639)),"平","仄")))</x:f>
        <x:v>仄</x:v>
      </x:c>
      <x:c r="J3654" s="7" t="str">
        <x:v>Xun Gong, Tang 300 gap fill</x:v>
      </x:c>
    </x:row>
    <x:row r="3655">
      <x:c r="A3655" s="5" t="str">
        <x:v>袺</x:v>
      </x:c>
      <x:c r="B3655" s="6" t="str">
        <x:v>入</x:v>
      </x:c>
      <x:c r="C3655" s="6" t="str">
        <x:f>IF(B3655="","Needs decision","Ready")</x:f>
        <x:v>Ready</x:v>
      </x:c>
      <x:c r="D3655" s="6" t="str">
        <x:v>入</x:v>
      </x:c>
      <x:c r="E3655" s="6" t="str">
        <x:v>keat (D); ket (D)</x:v>
      </x:c>
      <x:c r="F3655" s="6" t="str">
        <x:v>2</x:v>
      </x:c>
      <x:c r="G3655" s="6" t="str"/>
      <x:c r="H3655" s="6" t="str">
        <x:f>IF(B3655="平","平",IF(B3655="","","仄"))</x:f>
        <x:v>仄</x:v>
      </x:c>
      <x:c r="I3655" s="6" t="str">
        <x:f>IF(D3640="","",IF(AND(ISNUMBER(SEARCH("平",D3640)),OR(ISNUMBER(SEARCH("上",D3640)),ISNUMBER(SEARCH("去",D3640)),ISNUMBER(SEARCH("入",D3640)))),"Ambiguous",IF(ISNUMBER(SEARCH("平",D3640)),"平","仄")))</x:f>
        <x:v>仄</x:v>
      </x:c>
      <x:c r="J3655" s="7" t="str"/>
    </x:row>
    <x:row r="3656">
      <x:c r="A3656" s="5" t="str">
        <x:v>裁</x:v>
      </x:c>
      <x:c r="B3656" s="6" t="str">
        <x:v>平</x:v>
      </x:c>
      <x:c r="C3656" s="6" t="str">
        <x:f>IF(B3656="","Needs decision","Ready")</x:f>
        <x:v>Ready</x:v>
      </x:c>
      <x:c r="D3656" s="6" t="str">
        <x:v>平</x:v>
      </x:c>
      <x:c r="E3656" s="6" t="str">
        <x:v>dzoj (A)</x:v>
      </x:c>
      <x:c r="F3656" s="6" t="str">
        <x:v>1</x:v>
      </x:c>
      <x:c r="G3656" s="6" t="str"/>
      <x:c r="H3656" s="6" t="str">
        <x:f>IF(B3656="平","平",IF(B3656="","","仄"))</x:f>
        <x:v>平</x:v>
      </x:c>
      <x:c r="I3656" s="6" t="str">
        <x:f>IF(D3641="","",IF(AND(ISNUMBER(SEARCH("平",D3641)),OR(ISNUMBER(SEARCH("上",D3641)),ISNUMBER(SEARCH("去",D3641)),ISNUMBER(SEARCH("入",D3641)))),"Ambiguous",IF(ISNUMBER(SEARCH("平",D3641)),"平","仄")))</x:f>
        <x:v>Ambiguous</x:v>
      </x:c>
      <x:c r="J3656" s="7" t="str"/>
    </x:row>
    <x:row r="3657">
      <x:c r="A3657" s="5" t="str">
        <x:v>裂</x:v>
      </x:c>
      <x:c r="B3657" s="6" t="str">
        <x:v>入</x:v>
      </x:c>
      <x:c r="C3657" s="6" t="str">
        <x:f>IF(B3657="","Needs decision","Ready")</x:f>
        <x:v>Ready</x:v>
      </x:c>
      <x:c r="D3657" s="6" t="str">
        <x:v>入</x:v>
      </x:c>
      <x:c r="E3657" s="6" t="str">
        <x:v>ljet (D)</x:v>
      </x:c>
      <x:c r="F3657" s="6" t="str">
        <x:v>1</x:v>
      </x:c>
      <x:c r="G3657" s="6" t="str"/>
      <x:c r="H3657" s="6" t="str">
        <x:f>IF(B3657="平","平",IF(B3657="","","仄"))</x:f>
        <x:v>仄</x:v>
      </x:c>
      <x:c r="I3657" s="6" t="str">
        <x:f>IF(D3642="","",IF(AND(ISNUMBER(SEARCH("平",D3642)),OR(ISNUMBER(SEARCH("上",D3642)),ISNUMBER(SEARCH("去",D3642)),ISNUMBER(SEARCH("入",D3642)))),"Ambiguous",IF(ISNUMBER(SEARCH("平",D3642)),"平","仄")))</x:f>
        <x:v>仄</x:v>
      </x:c>
      <x:c r="J3657" s="7" t="str"/>
    </x:row>
    <x:row r="3658">
      <x:c r="A3658" s="5" t="str">
        <x:v>裊</x:v>
      </x:c>
      <x:c r="B3658" s="6" t="str">
        <x:v>入</x:v>
      </x:c>
      <x:c r="C3658" s="6" t="str">
        <x:f>IF(B3658="","Needs decision","Ready")</x:f>
        <x:v>Ready</x:v>
      </x:c>
      <x:c r="D3658" s="6" t="str">
        <x:v>入</x:v>
      </x:c>
      <x:c r="E3658" s="6" t="str"/>
      <x:c r="F3658" s="6" t="str"/>
      <x:c r="G3658" s="6" t="str">
        <x:v>Manual user correction/addition</x:v>
      </x:c>
      <x:c r="H3658" s="6" t="str">
        <x:f>IF(B3658="平","平",IF(B3658="","","仄"))</x:f>
        <x:v>仄</x:v>
      </x:c>
      <x:c r="I3658" s="6" t="str">
        <x:f>IF(D3643="","",IF(AND(ISNUMBER(SEARCH("平",D3643)),OR(ISNUMBER(SEARCH("上",D3643)),ISNUMBER(SEARCH("去",D3643)),ISNUMBER(SEARCH("入",D3643)))),"Ambiguous",IF(ISNUMBER(SEARCH("平",D3643)),"平","仄")))</x:f>
        <x:v>平</x:v>
      </x:c>
      <x:c r="J3658" s="7" t="str">
        <x:v>manual user correction</x:v>
      </x:c>
    </x:row>
    <x:row r="3659">
      <x:c r="A3659" s="5" t="str">
        <x:v>裏</x:v>
      </x:c>
      <x:c r="B3659" s="6" t="str">
        <x:v>上</x:v>
      </x:c>
      <x:c r="C3659" s="6" t="str">
        <x:f>IF(B3659="","Needs decision","Ready")</x:f>
        <x:v>Ready</x:v>
      </x:c>
      <x:c r="D3659" s="6" t="str">
        <x:v>上</x:v>
      </x:c>
      <x:c r="E3659" s="6" t="str">
        <x:v>liX (B)</x:v>
      </x:c>
      <x:c r="F3659" s="6" t="str">
        <x:v>1</x:v>
      </x:c>
      <x:c r="G3659" s="6" t="str"/>
      <x:c r="H3659" s="6" t="str">
        <x:f>IF(B3659="平","平",IF(B3659="","","仄"))</x:f>
        <x:v>仄</x:v>
      </x:c>
      <x:c r="I3659" s="6" t="str">
        <x:f>IF(D3644="","",IF(AND(ISNUMBER(SEARCH("平",D3644)),OR(ISNUMBER(SEARCH("上",D3644)),ISNUMBER(SEARCH("去",D3644)),ISNUMBER(SEARCH("入",D3644)))),"Ambiguous",IF(ISNUMBER(SEARCH("平",D3644)),"平","仄")))</x:f>
        <x:v>仄</x:v>
      </x:c>
      <x:c r="J3659" s="7" t="str"/>
    </x:row>
    <x:row r="3660">
      <x:c r="A3660" s="5" t="str">
        <x:v>裔</x:v>
      </x:c>
      <x:c r="B3660" s="6" t="str">
        <x:v>去</x:v>
      </x:c>
      <x:c r="C3660" s="6" t="str">
        <x:f>IF(B3660="","Needs decision","Ready")</x:f>
        <x:v>Ready</x:v>
      </x:c>
      <x:c r="D3660" s="6" t="str">
        <x:v>去</x:v>
      </x:c>
      <x:c r="E3660" s="6" t="str">
        <x:v>yejH (C)</x:v>
      </x:c>
      <x:c r="F3660" s="6" t="str">
        <x:v>1</x:v>
      </x:c>
      <x:c r="G3660" s="6" t="str"/>
      <x:c r="H3660" s="6" t="str">
        <x:f>IF(B3660="平","平",IF(B3660="","","仄"))</x:f>
        <x:v>仄</x:v>
      </x:c>
      <x:c r="I3660" s="6" t="str">
        <x:f>IF(D3645="","",IF(AND(ISNUMBER(SEARCH("平",D3645)),OR(ISNUMBER(SEARCH("上",D3645)),ISNUMBER(SEARCH("去",D3645)),ISNUMBER(SEARCH("入",D3645)))),"Ambiguous",IF(ISNUMBER(SEARCH("平",D3645)),"平","仄")))</x:f>
        <x:v>平</x:v>
      </x:c>
      <x:c r="J3660" s="7" t="str"/>
    </x:row>
    <x:row r="3661">
      <x:c r="A3661" s="5" t="str">
        <x:v>裘</x:v>
      </x:c>
      <x:c r="B3661" s="6" t="str">
        <x:v>平</x:v>
      </x:c>
      <x:c r="C3661" s="6" t="str">
        <x:f>IF(B3661="","Needs decision","Ready")</x:f>
        <x:v>Ready</x:v>
      </x:c>
      <x:c r="D3661" s="6" t="str">
        <x:v>平</x:v>
      </x:c>
      <x:c r="E3661" s="6" t="str">
        <x:v>gjuw (A)</x:v>
      </x:c>
      <x:c r="F3661" s="6" t="str">
        <x:v>1</x:v>
      </x:c>
      <x:c r="G3661" s="6" t="str"/>
      <x:c r="H3661" s="6" t="str">
        <x:f>IF(B3661="平","平",IF(B3661="","","仄"))</x:f>
        <x:v>平</x:v>
      </x:c>
      <x:c r="I3661" s="6" t="str">
        <x:f>IF(D3646="","",IF(AND(ISNUMBER(SEARCH("平",D3646)),OR(ISNUMBER(SEARCH("上",D3646)),ISNUMBER(SEARCH("去",D3646)),ISNUMBER(SEARCH("入",D3646)))),"Ambiguous",IF(ISNUMBER(SEARCH("平",D3646)),"平","仄")))</x:f>
        <x:v>仄</x:v>
      </x:c>
      <x:c r="J3661" s="7" t="str"/>
    </x:row>
    <x:row r="3662">
      <x:c r="A3662" s="5" t="str">
        <x:v>裙</x:v>
      </x:c>
      <x:c r="B3662" s="6" t="str">
        <x:v>平</x:v>
      </x:c>
      <x:c r="C3662" s="6" t="str">
        <x:f>IF(B3662="","Needs decision","Ready")</x:f>
        <x:v>Ready</x:v>
      </x:c>
      <x:c r="D3662" s="6" t="str">
        <x:v>平</x:v>
      </x:c>
      <x:c r="E3662" s="6" t="str">
        <x:v>gjun (A)</x:v>
      </x:c>
      <x:c r="F3662" s="6" t="str">
        <x:v>1</x:v>
      </x:c>
      <x:c r="G3662" s="6" t="str"/>
      <x:c r="H3662" s="6" t="str">
        <x:f>IF(B3662="平","平",IF(B3662="","","仄"))</x:f>
        <x:v>平</x:v>
      </x:c>
      <x:c r="I3662" s="6" t="str">
        <x:f>IF(D3647="","",IF(AND(ISNUMBER(SEARCH("平",D3647)),OR(ISNUMBER(SEARCH("上",D3647)),ISNUMBER(SEARCH("去",D3647)),ISNUMBER(SEARCH("入",D3647)))),"Ambiguous",IF(ISNUMBER(SEARCH("平",D3647)),"平","仄")))</x:f>
        <x:v>仄</x:v>
      </x:c>
      <x:c r="J3662" s="7" t="str"/>
    </x:row>
    <x:row r="3663">
      <x:c r="A3663" s="5" t="str">
        <x:v>裛</x:v>
      </x:c>
      <x:c r="B3663" s="6" t="str">
        <x:v>入</x:v>
      </x:c>
      <x:c r="C3663" s="6" t="str">
        <x:f>IF(B3663="","Needs decision","Ready")</x:f>
        <x:v>Ready</x:v>
      </x:c>
      <x:c r="D3663" s="6" t="str">
        <x:v>入</x:v>
      </x:c>
      <x:c r="E3663" s="6" t="str">
        <x:v>'ip [ʔɨ̯ip] (入); 'jaep [ʔɨ̯əp] (入); 'jep [ʔɨ̯ep] (入)</x:v>
      </x:c>
      <x:c r="F3663" s="6" t="str">
        <x:v>3</x:v>
      </x:c>
      <x:c r="G3663" s="6" t="str">
        <x:v>Tang 300 gap; frequency 1; provisional from Xun Gong</x:v>
      </x:c>
      <x:c r="H3663" s="6" t="str">
        <x:f>IF(B3663="平","平",IF(B3663="","","仄"))</x:f>
        <x:v>仄</x:v>
      </x:c>
      <x:c r="I3663" s="6" t="str">
        <x:f>IF(D3648="","",IF(AND(ISNUMBER(SEARCH("平",D3648)),OR(ISNUMBER(SEARCH("上",D3648)),ISNUMBER(SEARCH("去",D3648)),ISNUMBER(SEARCH("入",D3648)))),"Ambiguous",IF(ISNUMBER(SEARCH("平",D3648)),"平","仄")))</x:f>
        <x:v>平</x:v>
      </x:c>
      <x:c r="J3663" s="7" t="str">
        <x:v>Xun Gong, Tang 300 gap fill</x:v>
      </x:c>
    </x:row>
    <x:row r="3664">
      <x:c r="A3664" s="5" t="str">
        <x:v>補</x:v>
      </x:c>
      <x:c r="B3664" s="6" t="str">
        <x:v>上</x:v>
      </x:c>
      <x:c r="C3664" s="6" t="str">
        <x:f>IF(B3664="","Needs decision","Ready")</x:f>
        <x:v>Ready</x:v>
      </x:c>
      <x:c r="D3664" s="6" t="str">
        <x:v>上</x:v>
      </x:c>
      <x:c r="E3664" s="6" t="str">
        <x:v>puX (B)</x:v>
      </x:c>
      <x:c r="F3664" s="6" t="str">
        <x:v>1</x:v>
      </x:c>
      <x:c r="G3664" s="6" t="str"/>
      <x:c r="H3664" s="6" t="str">
        <x:f>IF(B3664="平","平",IF(B3664="","","仄"))</x:f>
        <x:v>仄</x:v>
      </x:c>
      <x:c r="I3664" s="6" t="str">
        <x:f>IF(D3649="","",IF(AND(ISNUMBER(SEARCH("平",D3649)),OR(ISNUMBER(SEARCH("上",D3649)),ISNUMBER(SEARCH("去",D3649)),ISNUMBER(SEARCH("入",D3649)))),"Ambiguous",IF(ISNUMBER(SEARCH("平",D3649)),"平","仄")))</x:f>
        <x:v>仄</x:v>
      </x:c>
      <x:c r="J3664" s="7" t="str"/>
    </x:row>
    <x:row r="3665">
      <x:c r="A3665" s="5" t="str">
        <x:v>裳</x:v>
      </x:c>
      <x:c r="B3665" s="6" t="str">
        <x:v>平</x:v>
      </x:c>
      <x:c r="C3665" s="6" t="str">
        <x:f>IF(B3665="","Needs decision","Ready")</x:f>
        <x:v>Ready</x:v>
      </x:c>
      <x:c r="D3665" s="6" t="str">
        <x:v>平</x:v>
      </x:c>
      <x:c r="E3665" s="6" t="str">
        <x:v>dzyang (A)</x:v>
      </x:c>
      <x:c r="F3665" s="6" t="str">
        <x:v>1</x:v>
      </x:c>
      <x:c r="G3665" s="6" t="str"/>
      <x:c r="H3665" s="6" t="str">
        <x:f>IF(B3665="平","平",IF(B3665="","","仄"))</x:f>
        <x:v>平</x:v>
      </x:c>
      <x:c r="I3665" s="6" t="str">
        <x:f>IF(D3650="","",IF(AND(ISNUMBER(SEARCH("平",D3650)),OR(ISNUMBER(SEARCH("上",D3650)),ISNUMBER(SEARCH("去",D3650)),ISNUMBER(SEARCH("入",D3650)))),"Ambiguous",IF(ISNUMBER(SEARCH("平",D3650)),"平","仄")))</x:f>
        <x:v>仄</x:v>
      </x:c>
      <x:c r="J3665" s="7" t="str"/>
    </x:row>
    <x:row r="3666">
      <x:c r="A3666" s="5" t="str">
        <x:v>裸</x:v>
      </x:c>
      <x:c r="B3666" s="6" t="str">
        <x:v>上</x:v>
      </x:c>
      <x:c r="C3666" s="6" t="str">
        <x:f>IF(B3666="","Needs decision","Ready")</x:f>
        <x:v>Ready</x:v>
      </x:c>
      <x:c r="D3666" s="6" t="str">
        <x:v>上</x:v>
      </x:c>
      <x:c r="E3666" s="6" t="str">
        <x:v>lwaX (B)</x:v>
      </x:c>
      <x:c r="F3666" s="6" t="str">
        <x:v>1</x:v>
      </x:c>
      <x:c r="G3666" s="6" t="str"/>
      <x:c r="H3666" s="6" t="str">
        <x:f>IF(B3666="平","平",IF(B3666="","","仄"))</x:f>
        <x:v>仄</x:v>
      </x:c>
      <x:c r="I3666" s="6" t="str">
        <x:f>IF(D3651="","",IF(AND(ISNUMBER(SEARCH("平",D3651)),OR(ISNUMBER(SEARCH("上",D3651)),ISNUMBER(SEARCH("去",D3651)),ISNUMBER(SEARCH("入",D3651)))),"Ambiguous",IF(ISNUMBER(SEARCH("平",D3651)),"平","仄")))</x:f>
        <x:v>仄</x:v>
      </x:c>
      <x:c r="J3666" s="7" t="str"/>
    </x:row>
    <x:row r="3667">
      <x:c r="A3667" s="5" t="str">
        <x:v>裹</x:v>
      </x:c>
      <x:c r="B3667" s="6" t="str">
        <x:v>上</x:v>
      </x:c>
      <x:c r="C3667" s="6" t="str">
        <x:f>IF(B3667="","Needs decision","Ready")</x:f>
        <x:v>Ready</x:v>
      </x:c>
      <x:c r="D3667" s="6" t="str">
        <x:v>上</x:v>
      </x:c>
      <x:c r="E3667" s="6" t="str">
        <x:v>kwaX (B)</x:v>
      </x:c>
      <x:c r="F3667" s="6" t="str">
        <x:v>1</x:v>
      </x:c>
      <x:c r="G3667" s="6" t="str"/>
      <x:c r="H3667" s="6" t="str">
        <x:f>IF(B3667="平","平",IF(B3667="","","仄"))</x:f>
        <x:v>仄</x:v>
      </x:c>
      <x:c r="I3667" s="6" t="str">
        <x:f>IF(D3652="","",IF(AND(ISNUMBER(SEARCH("平",D3652)),OR(ISNUMBER(SEARCH("上",D3652)),ISNUMBER(SEARCH("去",D3652)),ISNUMBER(SEARCH("入",D3652)))),"Ambiguous",IF(ISNUMBER(SEARCH("平",D3652)),"平","仄")))</x:f>
        <x:v>Ambiguous</x:v>
      </x:c>
      <x:c r="J3667" s="7" t="str"/>
    </x:row>
    <x:row r="3668">
      <x:c r="A3668" s="5" t="str">
        <x:v>裻</x:v>
      </x:c>
      <x:c r="B3668" s="6" t="str">
        <x:v>入</x:v>
      </x:c>
      <x:c r="C3668" s="6" t="str">
        <x:f>IF(B3668="","Needs decision","Ready")</x:f>
        <x:v>Ready</x:v>
      </x:c>
      <x:c r="D3668" s="6" t="str">
        <x:v>入</x:v>
      </x:c>
      <x:c r="E3668" s="6" t="str">
        <x:v>sowk (D); towk (D)</x:v>
      </x:c>
      <x:c r="F3668" s="6" t="str">
        <x:v>2</x:v>
      </x:c>
      <x:c r="G3668" s="6" t="str"/>
      <x:c r="H3668" s="6" t="str">
        <x:f>IF(B3668="平","平",IF(B3668="","","仄"))</x:f>
        <x:v>仄</x:v>
      </x:c>
      <x:c r="I3668" s="6" t="str">
        <x:f>IF(D3653="","",IF(AND(ISNUMBER(SEARCH("平",D3653)),OR(ISNUMBER(SEARCH("上",D3653)),ISNUMBER(SEARCH("去",D3653)),ISNUMBER(SEARCH("入",D3653)))),"Ambiguous",IF(ISNUMBER(SEARCH("平",D3653)),"平","仄")))</x:f>
        <x:v>仄</x:v>
      </x:c>
      <x:c r="J3668" s="7" t="str"/>
    </x:row>
    <x:row r="3669">
      <x:c r="A3669" s="5" t="str">
        <x:v>製</x:v>
      </x:c>
      <x:c r="B3669" s="6" t="str">
        <x:v>去</x:v>
      </x:c>
      <x:c r="C3669" s="6" t="str">
        <x:f>IF(B3669="","Needs decision","Ready")</x:f>
        <x:v>Ready</x:v>
      </x:c>
      <x:c r="D3669" s="6" t="str">
        <x:v>去</x:v>
      </x:c>
      <x:c r="E3669" s="6" t="str">
        <x:v>tsyejH (C)</x:v>
      </x:c>
      <x:c r="F3669" s="6" t="str">
        <x:v>1</x:v>
      </x:c>
      <x:c r="G3669" s="6" t="str"/>
      <x:c r="H3669" s="6" t="str">
        <x:f>IF(B3669="平","平",IF(B3669="","","仄"))</x:f>
        <x:v>仄</x:v>
      </x:c>
      <x:c r="I3669" s="6" t="str">
        <x:f>IF(D3654="","",IF(AND(ISNUMBER(SEARCH("平",D3654)),OR(ISNUMBER(SEARCH("上",D3654)),ISNUMBER(SEARCH("去",D3654)),ISNUMBER(SEARCH("入",D3654)))),"Ambiguous",IF(ISNUMBER(SEARCH("平",D3654)),"平","仄")))</x:f>
        <x:v>仄</x:v>
      </x:c>
      <x:c r="J3669" s="7" t="str"/>
    </x:row>
    <x:row r="3670">
      <x:c r="A3670" s="5" t="str">
        <x:v>裾</x:v>
      </x:c>
      <x:c r="B3670" s="6" t="str">
        <x:v>平</x:v>
      </x:c>
      <x:c r="C3670" s="6" t="str">
        <x:f>IF(B3670="","Needs decision","Ready")</x:f>
        <x:v>Ready</x:v>
      </x:c>
      <x:c r="D3670" s="6" t="str">
        <x:v>平</x:v>
      </x:c>
      <x:c r="E3670" s="6" t="str">
        <x:v>kjo [kɨ̯ə] (平)</x:v>
      </x:c>
      <x:c r="F3670" s="6" t="str">
        <x:v>1</x:v>
      </x:c>
      <x:c r="G3670" s="6" t="str">
        <x:v>Tang 300 gap; frequency 1; provisional from Xun Gong</x:v>
      </x:c>
      <x:c r="H3670" s="6" t="str">
        <x:f>IF(B3670="平","平",IF(B3670="","","仄"))</x:f>
        <x:v>平</x:v>
      </x:c>
      <x:c r="I3670" s="6" t="str">
        <x:f>IF(D3655="","",IF(AND(ISNUMBER(SEARCH("平",D3655)),OR(ISNUMBER(SEARCH("上",D3655)),ISNUMBER(SEARCH("去",D3655)),ISNUMBER(SEARCH("入",D3655)))),"Ambiguous",IF(ISNUMBER(SEARCH("平",D3655)),"平","仄")))</x:f>
        <x:v>仄</x:v>
      </x:c>
      <x:c r="J3670" s="7" t="str">
        <x:v>Xun Gong, Tang 300 gap fill</x:v>
      </x:c>
    </x:row>
    <x:row r="3671">
      <x:c r="A3671" s="5" t="str">
        <x:v>複</x:v>
      </x:c>
      <x:c r="B3671" s="6" t="str">
        <x:v>入</x:v>
      </x:c>
      <x:c r="C3671" s="6" t="str">
        <x:f>IF(B3671="","Needs decision","Ready")</x:f>
        <x:v>Ready</x:v>
      </x:c>
      <x:c r="D3671" s="6" t="str">
        <x:v>入</x:v>
      </x:c>
      <x:c r="E3671" s="6" t="str">
        <x:v>pjuwk (D)</x:v>
      </x:c>
      <x:c r="F3671" s="6" t="str">
        <x:v>1</x:v>
      </x:c>
      <x:c r="G3671" s="6" t="str"/>
      <x:c r="H3671" s="6" t="str">
        <x:f>IF(B3671="平","平",IF(B3671="","","仄"))</x:f>
        <x:v>仄</x:v>
      </x:c>
      <x:c r="I3671" s="6" t="str">
        <x:f>IF(D3656="","",IF(AND(ISNUMBER(SEARCH("平",D3656)),OR(ISNUMBER(SEARCH("上",D3656)),ISNUMBER(SEARCH("去",D3656)),ISNUMBER(SEARCH("入",D3656)))),"Ambiguous",IF(ISNUMBER(SEARCH("平",D3656)),"平","仄")))</x:f>
        <x:v>平</x:v>
      </x:c>
      <x:c r="J3671" s="7" t="str"/>
    </x:row>
    <x:row r="3672">
      <x:c r="A3672" s="5" t="str">
        <x:v>褊</x:v>
      </x:c>
      <x:c r="B3672" s="6" t="str">
        <x:v>上</x:v>
      </x:c>
      <x:c r="C3672" s="6" t="str">
        <x:f>IF(B3672="","Needs decision","Ready")</x:f>
        <x:v>Ready</x:v>
      </x:c>
      <x:c r="D3672" s="6" t="str">
        <x:v>上</x:v>
      </x:c>
      <x:c r="E3672" s="6" t="str">
        <x:v>pjienX [pjenʔ] (上)</x:v>
      </x:c>
      <x:c r="F3672" s="6" t="str">
        <x:v>1</x:v>
      </x:c>
      <x:c r="G3672" s="6" t="str">
        <x:v>Tang 300 gap; frequency 1; provisional from Xun Gong</x:v>
      </x:c>
      <x:c r="H3672" s="6" t="str">
        <x:f>IF(B3672="平","平",IF(B3672="","","仄"))</x:f>
        <x:v>仄</x:v>
      </x:c>
      <x:c r="I3672" s="6" t="str">
        <x:f>IF(D3657="","",IF(AND(ISNUMBER(SEARCH("平",D3657)),OR(ISNUMBER(SEARCH("上",D3657)),ISNUMBER(SEARCH("去",D3657)),ISNUMBER(SEARCH("入",D3657)))),"Ambiguous",IF(ISNUMBER(SEARCH("平",D3657)),"平","仄")))</x:f>
        <x:v>仄</x:v>
      </x:c>
      <x:c r="J3672" s="7" t="str">
        <x:v>Xun Gong, Tang 300 gap fill</x:v>
      </x:c>
    </x:row>
    <x:row r="3673">
      <x:c r="A3673" s="5" t="str">
        <x:v>褐</x:v>
      </x:c>
      <x:c r="B3673" s="6" t="str">
        <x:v>入</x:v>
      </x:c>
      <x:c r="C3673" s="6" t="str">
        <x:f>IF(B3673="","Needs decision","Ready")</x:f>
        <x:v>Ready</x:v>
      </x:c>
      <x:c r="D3673" s="6" t="str">
        <x:v>入</x:v>
      </x:c>
      <x:c r="E3673" s="6" t="str">
        <x:v>hat (D)</x:v>
      </x:c>
      <x:c r="F3673" s="6" t="str">
        <x:v>1</x:v>
      </x:c>
      <x:c r="G3673" s="6" t="str"/>
      <x:c r="H3673" s="6" t="str">
        <x:f>IF(B3673="平","平",IF(B3673="","","仄"))</x:f>
        <x:v>仄</x:v>
      </x:c>
      <x:c r="I3673" s="6" t="str">
        <x:f>IF(D3658="","",IF(AND(ISNUMBER(SEARCH("平",D3658)),OR(ISNUMBER(SEARCH("上",D3658)),ISNUMBER(SEARCH("去",D3658)),ISNUMBER(SEARCH("入",D3658)))),"Ambiguous",IF(ISNUMBER(SEARCH("平",D3658)),"平","仄")))</x:f>
        <x:v>仄</x:v>
      </x:c>
      <x:c r="J3673" s="7" t="str"/>
    </x:row>
    <x:row r="3674">
      <x:c r="A3674" s="5" t="str">
        <x:v>褒</x:v>
      </x:c>
      <x:c r="B3674" s="6" t="str">
        <x:v>平</x:v>
      </x:c>
      <x:c r="C3674" s="6" t="str">
        <x:f>IF(B3674="","Needs decision","Ready")</x:f>
        <x:v>Ready</x:v>
      </x:c>
      <x:c r="D3674" s="6" t="str">
        <x:v>平</x:v>
      </x:c>
      <x:c r="E3674" s="6" t="str">
        <x:v>paw (A)</x:v>
      </x:c>
      <x:c r="F3674" s="6" t="str">
        <x:v>1</x:v>
      </x:c>
      <x:c r="G3674" s="6" t="str"/>
      <x:c r="H3674" s="6" t="str">
        <x:f>IF(B3674="平","平",IF(B3674="","","仄"))</x:f>
        <x:v>平</x:v>
      </x:c>
      <x:c r="I3674" s="6" t="str">
        <x:f>IF(D3659="","",IF(AND(ISNUMBER(SEARCH("平",D3659)),OR(ISNUMBER(SEARCH("上",D3659)),ISNUMBER(SEARCH("去",D3659)),ISNUMBER(SEARCH("入",D3659)))),"Ambiguous",IF(ISNUMBER(SEARCH("平",D3659)),"平","仄")))</x:f>
        <x:v>仄</x:v>
      </x:c>
      <x:c r="J3674" s="7" t="str"/>
    </x:row>
    <x:row r="3675">
      <x:c r="A3675" s="5" t="str">
        <x:v>褚</x:v>
      </x:c>
      <x:c r="B3675" s="6" t="str">
        <x:v>上</x:v>
      </x:c>
      <x:c r="C3675" s="6" t="str">
        <x:f>IF(B3675="","Needs decision","Ready")</x:f>
        <x:v>Ready</x:v>
      </x:c>
      <x:c r="D3675" s="6" t="str">
        <x:v>上</x:v>
      </x:c>
      <x:c r="E3675" s="6" t="str">
        <x:v>trjoX (B)</x:v>
      </x:c>
      <x:c r="F3675" s="6" t="str">
        <x:v>1</x:v>
      </x:c>
      <x:c r="G3675" s="6" t="str"/>
      <x:c r="H3675" s="6" t="str">
        <x:f>IF(B3675="平","平",IF(B3675="","","仄"))</x:f>
        <x:v>仄</x:v>
      </x:c>
      <x:c r="I3675" s="6" t="str">
        <x:f>IF(D3660="","",IF(AND(ISNUMBER(SEARCH("平",D3660)),OR(ISNUMBER(SEARCH("上",D3660)),ISNUMBER(SEARCH("去",D3660)),ISNUMBER(SEARCH("入",D3660)))),"Ambiguous",IF(ISNUMBER(SEARCH("平",D3660)),"平","仄")))</x:f>
        <x:v>仄</x:v>
      </x:c>
      <x:c r="J3675" s="7" t="str"/>
    </x:row>
    <x:row r="3676">
      <x:c r="A3676" s="5" t="str">
        <x:v>褥</x:v>
      </x:c>
      <x:c r="B3676" s="6" t="str">
        <x:v>入</x:v>
      </x:c>
      <x:c r="C3676" s="6" t="str">
        <x:f>IF(B3676="","Needs decision","Ready")</x:f>
        <x:v>Ready</x:v>
      </x:c>
      <x:c r="D3676" s="6" t="str">
        <x:v>入</x:v>
      </x:c>
      <x:c r="E3676" s="6" t="str">
        <x:v>nowk [n̙ok] (入); nyowk [ɲok] (入)</x:v>
      </x:c>
      <x:c r="F3676" s="6" t="str">
        <x:v>2</x:v>
      </x:c>
      <x:c r="G3676" s="6" t="str">
        <x:v>Tang 300 gap; frequency 1; provisional from Xun Gong</x:v>
      </x:c>
      <x:c r="H3676" s="6" t="str">
        <x:f>IF(B3676="平","平",IF(B3676="","","仄"))</x:f>
        <x:v>仄</x:v>
      </x:c>
      <x:c r="I3676" s="6" t="str">
        <x:f>IF(D3661="","",IF(AND(ISNUMBER(SEARCH("平",D3661)),OR(ISNUMBER(SEARCH("上",D3661)),ISNUMBER(SEARCH("去",D3661)),ISNUMBER(SEARCH("入",D3661)))),"Ambiguous",IF(ISNUMBER(SEARCH("平",D3661)),"平","仄")))</x:f>
        <x:v>平</x:v>
      </x:c>
      <x:c r="J3676" s="7" t="str">
        <x:v>Xun Gong, Tang 300 gap fill</x:v>
      </x:c>
    </x:row>
    <x:row r="3677">
      <x:c r="A3677" s="5" t="str">
        <x:v>褧</x:v>
      </x:c>
      <x:c r="B3677" s="6" t="str">
        <x:v>上</x:v>
      </x:c>
      <x:c r="C3677" s="6" t="str">
        <x:f>IF(B3677="","Needs decision","Ready")</x:f>
        <x:v>Ready</x:v>
      </x:c>
      <x:c r="D3677" s="6" t="str">
        <x:v>上</x:v>
      </x:c>
      <x:c r="E3677" s="6" t="str">
        <x:v>khwengX (B)</x:v>
      </x:c>
      <x:c r="F3677" s="6" t="str">
        <x:v>1</x:v>
      </x:c>
      <x:c r="G3677" s="6" t="str"/>
      <x:c r="H3677" s="6" t="str">
        <x:f>IF(B3677="平","平",IF(B3677="","","仄"))</x:f>
        <x:v>仄</x:v>
      </x:c>
      <x:c r="I3677" s="6" t="str">
        <x:f>IF(D3662="","",IF(AND(ISNUMBER(SEARCH("平",D3662)),OR(ISNUMBER(SEARCH("上",D3662)),ISNUMBER(SEARCH("去",D3662)),ISNUMBER(SEARCH("入",D3662)))),"Ambiguous",IF(ISNUMBER(SEARCH("平",D3662)),"平","仄")))</x:f>
        <x:v>平</x:v>
      </x:c>
      <x:c r="J3677" s="7" t="str"/>
    </x:row>
    <x:row r="3678">
      <x:c r="A3678" s="5" t="str">
        <x:v>褰</x:v>
      </x:c>
      <x:c r="B3678" s="6" t="str">
        <x:v>平</x:v>
      </x:c>
      <x:c r="C3678" s="6" t="str">
        <x:f>IF(B3678="","Needs decision","Ready")</x:f>
        <x:v>Ready</x:v>
      </x:c>
      <x:c r="D3678" s="6" t="str">
        <x:v>平</x:v>
      </x:c>
      <x:c r="E3678" s="6" t="str">
        <x:v>khjen (A)</x:v>
      </x:c>
      <x:c r="F3678" s="6" t="str">
        <x:v>1</x:v>
      </x:c>
      <x:c r="G3678" s="6" t="str"/>
      <x:c r="H3678" s="6" t="str">
        <x:f>IF(B3678="平","平",IF(B3678="","","仄"))</x:f>
        <x:v>平</x:v>
      </x:c>
      <x:c r="I3678" s="6" t="str">
        <x:f>IF(D3663="","",IF(AND(ISNUMBER(SEARCH("平",D3663)),OR(ISNUMBER(SEARCH("上",D3663)),ISNUMBER(SEARCH("去",D3663)),ISNUMBER(SEARCH("入",D3663)))),"Ambiguous",IF(ISNUMBER(SEARCH("平",D3663)),"平","仄")))</x:f>
        <x:v>仄</x:v>
      </x:c>
      <x:c r="J3678" s="7" t="str"/>
    </x:row>
    <x:row r="3679">
      <x:c r="A3679" s="5" t="str">
        <x:v>褻</x:v>
      </x:c>
      <x:c r="B3679" s="6" t="str">
        <x:v>入</x:v>
      </x:c>
      <x:c r="C3679" s="6" t="str">
        <x:f>IF(B3679="","Needs decision","Ready")</x:f>
        <x:v>Ready</x:v>
      </x:c>
      <x:c r="D3679" s="6" t="str">
        <x:v>入</x:v>
      </x:c>
      <x:c r="E3679" s="6" t="str">
        <x:v>sjet (D)</x:v>
      </x:c>
      <x:c r="F3679" s="6" t="str">
        <x:v>1</x:v>
      </x:c>
      <x:c r="G3679" s="6" t="str"/>
      <x:c r="H3679" s="6" t="str">
        <x:f>IF(B3679="平","平",IF(B3679="","","仄"))</x:f>
        <x:v>仄</x:v>
      </x:c>
      <x:c r="I3679" s="6" t="str">
        <x:f>IF(D3664="","",IF(AND(ISNUMBER(SEARCH("平",D3664)),OR(ISNUMBER(SEARCH("上",D3664)),ISNUMBER(SEARCH("去",D3664)),ISNUMBER(SEARCH("入",D3664)))),"Ambiguous",IF(ISNUMBER(SEARCH("平",D3664)),"平","仄")))</x:f>
        <x:v>仄</x:v>
      </x:c>
      <x:c r="J3679" s="7" t="str"/>
    </x:row>
    <x:row r="3680">
      <x:c r="A3680" s="5" t="str">
        <x:v>襄</x:v>
      </x:c>
      <x:c r="B3680" s="6" t="str">
        <x:v>平</x:v>
      </x:c>
      <x:c r="C3680" s="6" t="str">
        <x:f>IF(B3680="","Needs decision","Ready")</x:f>
        <x:v>Ready</x:v>
      </x:c>
      <x:c r="D3680" s="6" t="str">
        <x:v>平</x:v>
      </x:c>
      <x:c r="E3680" s="6" t="str">
        <x:v>sjang (A)</x:v>
      </x:c>
      <x:c r="F3680" s="6" t="str">
        <x:v>1</x:v>
      </x:c>
      <x:c r="G3680" s="6" t="str"/>
      <x:c r="H3680" s="6" t="str">
        <x:f>IF(B3680="平","平",IF(B3680="","","仄"))</x:f>
        <x:v>平</x:v>
      </x:c>
      <x:c r="I3680" s="6" t="str">
        <x:f>IF(D3665="","",IF(AND(ISNUMBER(SEARCH("平",D3665)),OR(ISNUMBER(SEARCH("上",D3665)),ISNUMBER(SEARCH("去",D3665)),ISNUMBER(SEARCH("入",D3665)))),"Ambiguous",IF(ISNUMBER(SEARCH("平",D3665)),"平","仄")))</x:f>
        <x:v>平</x:v>
      </x:c>
      <x:c r="J3680" s="7" t="str"/>
    </x:row>
    <x:row r="3681">
      <x:c r="A3681" s="5" t="str">
        <x:v>襓</x:v>
      </x:c>
      <x:c r="B3681" s="6" t="str">
        <x:v>平</x:v>
      </x:c>
      <x:c r="C3681" s="6" t="str">
        <x:f>IF(B3681="","Needs decision","Ready")</x:f>
        <x:v>Ready</x:v>
      </x:c>
      <x:c r="D3681" s="6" t="str">
        <x:v>平</x:v>
      </x:c>
      <x:c r="E3681" s="6" t="str">
        <x:v>nyew (A)</x:v>
      </x:c>
      <x:c r="F3681" s="6" t="str">
        <x:v>1</x:v>
      </x:c>
      <x:c r="G3681" s="6" t="str"/>
      <x:c r="H3681" s="6" t="str">
        <x:f>IF(B3681="平","平",IF(B3681="","","仄"))</x:f>
        <x:v>平</x:v>
      </x:c>
      <x:c r="I3681" s="6" t="str">
        <x:f>IF(D3666="","",IF(AND(ISNUMBER(SEARCH("平",D3666)),OR(ISNUMBER(SEARCH("上",D3666)),ISNUMBER(SEARCH("去",D3666)),ISNUMBER(SEARCH("入",D3666)))),"Ambiguous",IF(ISNUMBER(SEARCH("平",D3666)),"平","仄")))</x:f>
        <x:v>仄</x:v>
      </x:c>
      <x:c r="J3681" s="7" t="str"/>
    </x:row>
    <x:row r="3682">
      <x:c r="A3682" s="5" t="str">
        <x:v>襘</x:v>
      </x:c>
      <x:c r="B3682" s="6" t="str">
        <x:v>去</x:v>
      </x:c>
      <x:c r="C3682" s="6" t="str">
        <x:f>IF(B3682="","Needs decision","Ready")</x:f>
        <x:v>Ready</x:v>
      </x:c>
      <x:c r="D3682" s="6" t="str">
        <x:v>去</x:v>
      </x:c>
      <x:c r="E3682" s="6" t="str">
        <x:v>kwajH (C)</x:v>
      </x:c>
      <x:c r="F3682" s="6" t="str">
        <x:v>1</x:v>
      </x:c>
      <x:c r="G3682" s="6" t="str"/>
      <x:c r="H3682" s="6" t="str">
        <x:f>IF(B3682="平","平",IF(B3682="","","仄"))</x:f>
        <x:v>仄</x:v>
      </x:c>
      <x:c r="I3682" s="6" t="str">
        <x:f>IF(D3667="","",IF(AND(ISNUMBER(SEARCH("平",D3667)),OR(ISNUMBER(SEARCH("上",D3667)),ISNUMBER(SEARCH("去",D3667)),ISNUMBER(SEARCH("入",D3667)))),"Ambiguous",IF(ISNUMBER(SEARCH("平",D3667)),"平","仄")))</x:f>
        <x:v>仄</x:v>
      </x:c>
      <x:c r="J3682" s="7" t="str"/>
    </x:row>
    <x:row r="3683">
      <x:c r="A3683" s="5" t="str">
        <x:v>襜</x:v>
      </x:c>
      <x:c r="B3683" s="6" t="str">
        <x:v>平</x:v>
      </x:c>
      <x:c r="C3683" s="6" t="str">
        <x:f>IF(B3683="","Needs decision","Ready")</x:f>
        <x:v>Ready</x:v>
      </x:c>
      <x:c r="D3683" s="6" t="str">
        <x:v>平</x:v>
      </x:c>
      <x:c r="E3683" s="6" t="str">
        <x:v>tsyhem (A)</x:v>
      </x:c>
      <x:c r="F3683" s="6" t="str">
        <x:v>1</x:v>
      </x:c>
      <x:c r="G3683" s="6" t="str"/>
      <x:c r="H3683" s="6" t="str">
        <x:f>IF(B3683="平","平",IF(B3683="","","仄"))</x:f>
        <x:v>平</x:v>
      </x:c>
      <x:c r="I3683" s="6" t="str">
        <x:f>IF(D3668="","",IF(AND(ISNUMBER(SEARCH("平",D3668)),OR(ISNUMBER(SEARCH("上",D3668)),ISNUMBER(SEARCH("去",D3668)),ISNUMBER(SEARCH("入",D3668)))),"Ambiguous",IF(ISNUMBER(SEARCH("平",D3668)),"平","仄")))</x:f>
        <x:v>仄</x:v>
      </x:c>
      <x:c r="J3683" s="7" t="str"/>
    </x:row>
    <x:row r="3684">
      <x:c r="A3684" s="5" t="str">
        <x:v>襟</x:v>
      </x:c>
      <x:c r="B3684" s="6" t="str">
        <x:v>平</x:v>
      </x:c>
      <x:c r="C3684" s="6" t="str">
        <x:f>IF(B3684="","Needs decision","Ready")</x:f>
        <x:v>Ready</x:v>
      </x:c>
      <x:c r="D3684" s="6" t="str">
        <x:v>平</x:v>
      </x:c>
      <x:c r="E3684" s="6" t="str">
        <x:v>kim (A)</x:v>
      </x:c>
      <x:c r="F3684" s="6" t="str">
        <x:v>1</x:v>
      </x:c>
      <x:c r="G3684" s="6" t="str"/>
      <x:c r="H3684" s="6" t="str">
        <x:f>IF(B3684="平","平",IF(B3684="","","仄"))</x:f>
        <x:v>平</x:v>
      </x:c>
      <x:c r="I3684" s="6" t="str">
        <x:f>IF(D3669="","",IF(AND(ISNUMBER(SEARCH("平",D3669)),OR(ISNUMBER(SEARCH("上",D3669)),ISNUMBER(SEARCH("去",D3669)),ISNUMBER(SEARCH("入",D3669)))),"Ambiguous",IF(ISNUMBER(SEARCH("平",D3669)),"平","仄")))</x:f>
        <x:v>仄</x:v>
      </x:c>
      <x:c r="J3684" s="7" t="str"/>
    </x:row>
    <x:row r="3685">
      <x:c r="A3685" s="5" t="str">
        <x:v>襢</x:v>
      </x:c>
      <x:c r="B3685" s="6" t="str"/>
      <x:c r="C3685" s="6" t="str">
        <x:f>IF(B3685="","Needs decision","Ready")</x:f>
        <x:v>Needs decision</x:v>
      </x:c>
      <x:c r="D3685" s="6" t="str">
        <x:v>上/去</x:v>
      </x:c>
      <x:c r="E3685" s="6" t="str">
        <x:v>trjenX (B); trjenH (C)</x:v>
      </x:c>
      <x:c r="F3685" s="6" t="str">
        <x:v>2</x:v>
      </x:c>
      <x:c r="G3685" s="6" t="str"/>
      <x:c r="H3685" s="6" t="str">
        <x:f>IF(B3685="平","平",IF(B3685="","","仄"))</x:f>
      </x:c>
      <x:c r="I3685" s="6" t="str">
        <x:f>IF(D3670="","",IF(AND(ISNUMBER(SEARCH("平",D3670)),OR(ISNUMBER(SEARCH("上",D3670)),ISNUMBER(SEARCH("去",D3670)),ISNUMBER(SEARCH("入",D3670)))),"Ambiguous",IF(ISNUMBER(SEARCH("平",D3670)),"平","仄")))</x:f>
        <x:v>平</x:v>
      </x:c>
      <x:c r="J3685" s="7" t="str"/>
    </x:row>
    <x:row r="3686">
      <x:c r="A3686" s="5" t="str">
        <x:v>襦</x:v>
      </x:c>
      <x:c r="B3686" s="6" t="str">
        <x:v>平</x:v>
      </x:c>
      <x:c r="C3686" s="6" t="str">
        <x:f>IF(B3686="","Needs decision","Ready")</x:f>
        <x:v>Ready</x:v>
      </x:c>
      <x:c r="D3686" s="6" t="str">
        <x:v>平</x:v>
      </x:c>
      <x:c r="E3686" s="6" t="str">
        <x:v>nyu (A)</x:v>
      </x:c>
      <x:c r="F3686" s="6" t="str">
        <x:v>1</x:v>
      </x:c>
      <x:c r="G3686" s="6" t="str"/>
      <x:c r="H3686" s="6" t="str">
        <x:f>IF(B3686="平","平",IF(B3686="","","仄"))</x:f>
        <x:v>平</x:v>
      </x:c>
      <x:c r="I3686" s="6" t="str">
        <x:f>IF(D3671="","",IF(AND(ISNUMBER(SEARCH("平",D3671)),OR(ISNUMBER(SEARCH("上",D3671)),ISNUMBER(SEARCH("去",D3671)),ISNUMBER(SEARCH("入",D3671)))),"Ambiguous",IF(ISNUMBER(SEARCH("平",D3671)),"平","仄")))</x:f>
        <x:v>仄</x:v>
      </x:c>
      <x:c r="J3686" s="7" t="str"/>
    </x:row>
    <x:row r="3687">
      <x:c r="A3687" s="5" t="str">
        <x:v>襪</x:v>
      </x:c>
      <x:c r="B3687" s="6" t="str">
        <x:v>入</x:v>
      </x:c>
      <x:c r="C3687" s="6" t="str">
        <x:f>IF(B3687="","Needs decision","Ready")</x:f>
        <x:v>Ready</x:v>
      </x:c>
      <x:c r="D3687" s="6" t="str">
        <x:v>入</x:v>
      </x:c>
      <x:c r="E3687" s="6" t="str">
        <x:v>mjot [mɨ̯ət] (入)</x:v>
      </x:c>
      <x:c r="F3687" s="6" t="str">
        <x:v>1</x:v>
      </x:c>
      <x:c r="G3687" s="6" t="str">
        <x:v>Tang 300 gap; frequency 1; provisional from Xun Gong</x:v>
      </x:c>
      <x:c r="H3687" s="6" t="str">
        <x:f>IF(B3687="平","平",IF(B3687="","","仄"))</x:f>
        <x:v>仄</x:v>
      </x:c>
      <x:c r="I3687" s="6" t="str">
        <x:f>IF(D3672="","",IF(AND(ISNUMBER(SEARCH("平",D3672)),OR(ISNUMBER(SEARCH("上",D3672)),ISNUMBER(SEARCH("去",D3672)),ISNUMBER(SEARCH("入",D3672)))),"Ambiguous",IF(ISNUMBER(SEARCH("平",D3672)),"平","仄")))</x:f>
        <x:v>仄</x:v>
      </x:c>
      <x:c r="J3687" s="7" t="str">
        <x:v>Xun Gong, Tang 300 gap fill</x:v>
      </x:c>
    </x:row>
    <x:row r="3688">
      <x:c r="A3688" s="5" t="str">
        <x:v>襫</x:v>
      </x:c>
      <x:c r="B3688" s="6" t="str">
        <x:v>入</x:v>
      </x:c>
      <x:c r="C3688" s="6" t="str">
        <x:f>IF(B3688="","Needs decision","Ready")</x:f>
        <x:v>Ready</x:v>
      </x:c>
      <x:c r="D3688" s="6" t="str">
        <x:v>入</x:v>
      </x:c>
      <x:c r="E3688" s="6" t="str">
        <x:v>syek (D)</x:v>
      </x:c>
      <x:c r="F3688" s="6" t="str">
        <x:v>1</x:v>
      </x:c>
      <x:c r="G3688" s="6" t="str"/>
      <x:c r="H3688" s="6" t="str">
        <x:f>IF(B3688="平","平",IF(B3688="","","仄"))</x:f>
        <x:v>仄</x:v>
      </x:c>
      <x:c r="I3688" s="6" t="str">
        <x:f>IF(D3673="","",IF(AND(ISNUMBER(SEARCH("平",D3673)),OR(ISNUMBER(SEARCH("上",D3673)),ISNUMBER(SEARCH("去",D3673)),ISNUMBER(SEARCH("入",D3673)))),"Ambiguous",IF(ISNUMBER(SEARCH("平",D3673)),"平","仄")))</x:f>
        <x:v>仄</x:v>
      </x:c>
      <x:c r="J3688" s="7" t="str"/>
    </x:row>
    <x:row r="3689">
      <x:c r="A3689" s="5" t="str">
        <x:v>襮</x:v>
      </x:c>
      <x:c r="B3689" s="6" t="str">
        <x:v>入</x:v>
      </x:c>
      <x:c r="C3689" s="6" t="str">
        <x:f>IF(B3689="","Needs decision","Ready")</x:f>
        <x:v>Ready</x:v>
      </x:c>
      <x:c r="D3689" s="6" t="str">
        <x:v>入</x:v>
      </x:c>
      <x:c r="E3689" s="6" t="str">
        <x:v>powk (D)</x:v>
      </x:c>
      <x:c r="F3689" s="6" t="str">
        <x:v>1</x:v>
      </x:c>
      <x:c r="G3689" s="6" t="str"/>
      <x:c r="H3689" s="6" t="str">
        <x:f>IF(B3689="平","平",IF(B3689="","","仄"))</x:f>
        <x:v>仄</x:v>
      </x:c>
      <x:c r="I3689" s="6" t="str">
        <x:f>IF(D3674="","",IF(AND(ISNUMBER(SEARCH("平",D3674)),OR(ISNUMBER(SEARCH("上",D3674)),ISNUMBER(SEARCH("去",D3674)),ISNUMBER(SEARCH("入",D3674)))),"Ambiguous",IF(ISNUMBER(SEARCH("平",D3674)),"平","仄")))</x:f>
        <x:v>平</x:v>
      </x:c>
      <x:c r="J3689" s="7" t="str"/>
    </x:row>
    <x:row r="3690">
      <x:c r="A3690" s="5" t="str">
        <x:v>襲</x:v>
      </x:c>
      <x:c r="B3690" s="6" t="str">
        <x:v>入</x:v>
      </x:c>
      <x:c r="C3690" s="6" t="str">
        <x:f>IF(B3690="","Needs decision","Ready")</x:f>
        <x:v>Ready</x:v>
      </x:c>
      <x:c r="D3690" s="6" t="str">
        <x:v>入</x:v>
      </x:c>
      <x:c r="E3690" s="6" t="str">
        <x:v>zip (D)</x:v>
      </x:c>
      <x:c r="F3690" s="6" t="str">
        <x:v>1</x:v>
      </x:c>
      <x:c r="G3690" s="6" t="str"/>
      <x:c r="H3690" s="6" t="str">
        <x:f>IF(B3690="平","平",IF(B3690="","","仄"))</x:f>
        <x:v>仄</x:v>
      </x:c>
      <x:c r="I3690" s="6" t="str">
        <x:f>IF(D3675="","",IF(AND(ISNUMBER(SEARCH("平",D3675)),OR(ISNUMBER(SEARCH("上",D3675)),ISNUMBER(SEARCH("去",D3675)),ISNUMBER(SEARCH("入",D3675)))),"Ambiguous",IF(ISNUMBER(SEARCH("平",D3675)),"平","仄")))</x:f>
        <x:v>仄</x:v>
      </x:c>
      <x:c r="J3690" s="7" t="str"/>
    </x:row>
    <x:row r="3691">
      <x:c r="A3691" s="5" t="str">
        <x:v>襾</x:v>
      </x:c>
      <x:c r="B3691" s="6" t="str">
        <x:v>上</x:v>
      </x:c>
      <x:c r="C3691" s="6" t="str">
        <x:f>IF(B3691="","Needs decision","Ready")</x:f>
        <x:v>Ready</x:v>
      </x:c>
      <x:c r="D3691" s="6" t="str">
        <x:v>上</x:v>
      </x:c>
      <x:c r="E3691" s="6" t="str">
        <x:v>xaeX (B)</x:v>
      </x:c>
      <x:c r="F3691" s="6" t="str">
        <x:v>1</x:v>
      </x:c>
      <x:c r="G3691" s="6" t="str"/>
      <x:c r="H3691" s="6" t="str">
        <x:f>IF(B3691="平","平",IF(B3691="","","仄"))</x:f>
        <x:v>仄</x:v>
      </x:c>
      <x:c r="I3691" s="6" t="str">
        <x:f>IF(D3676="","",IF(AND(ISNUMBER(SEARCH("平",D3676)),OR(ISNUMBER(SEARCH("上",D3676)),ISNUMBER(SEARCH("去",D3676)),ISNUMBER(SEARCH("入",D3676)))),"Ambiguous",IF(ISNUMBER(SEARCH("平",D3676)),"平","仄")))</x:f>
        <x:v>仄</x:v>
      </x:c>
      <x:c r="J3691" s="7" t="str"/>
    </x:row>
    <x:row r="3692">
      <x:c r="A3692" s="5" t="str">
        <x:v>西</x:v>
      </x:c>
      <x:c r="B3692" s="6" t="str">
        <x:v>平</x:v>
      </x:c>
      <x:c r="C3692" s="6" t="str">
        <x:f>IF(B3692="","Needs decision","Ready")</x:f>
        <x:v>Ready</x:v>
      </x:c>
      <x:c r="D3692" s="6" t="str">
        <x:v>平</x:v>
      </x:c>
      <x:c r="E3692" s="6" t="str">
        <x:v>sej (A)</x:v>
      </x:c>
      <x:c r="F3692" s="6" t="str">
        <x:v>1</x:v>
      </x:c>
      <x:c r="G3692" s="6" t="str"/>
      <x:c r="H3692" s="6" t="str">
        <x:f>IF(B3692="平","平",IF(B3692="","","仄"))</x:f>
        <x:v>平</x:v>
      </x:c>
      <x:c r="I3692" s="6" t="str">
        <x:f>IF(D3677="","",IF(AND(ISNUMBER(SEARCH("平",D3677)),OR(ISNUMBER(SEARCH("上",D3677)),ISNUMBER(SEARCH("去",D3677)),ISNUMBER(SEARCH("入",D3677)))),"Ambiguous",IF(ISNUMBER(SEARCH("平",D3677)),"平","仄")))</x:f>
        <x:v>仄</x:v>
      </x:c>
      <x:c r="J3692" s="7" t="str"/>
    </x:row>
    <x:row r="3693">
      <x:c r="A3693" s="5" t="str">
        <x:v>要</x:v>
      </x:c>
      <x:c r="B3693" s="6" t="str">
        <x:v>去</x:v>
      </x:c>
      <x:c r="C3693" s="6" t="str">
        <x:f>IF(B3693="","Needs decision","Ready")</x:f>
        <x:v>Ready</x:v>
      </x:c>
      <x:c r="D3693" s="6" t="str">
        <x:v>去</x:v>
      </x:c>
      <x:c r="E3693" s="6" t="str">
        <x:v>'jiewH (C)</x:v>
      </x:c>
      <x:c r="F3693" s="6" t="str">
        <x:v>1</x:v>
      </x:c>
      <x:c r="G3693" s="6" t="str"/>
      <x:c r="H3693" s="6" t="str">
        <x:f>IF(B3693="平","平",IF(B3693="","","仄"))</x:f>
        <x:v>仄</x:v>
      </x:c>
      <x:c r="I3693" s="6" t="str">
        <x:f>IF(D3678="","",IF(AND(ISNUMBER(SEARCH("平",D3678)),OR(ISNUMBER(SEARCH("上",D3678)),ISNUMBER(SEARCH("去",D3678)),ISNUMBER(SEARCH("入",D3678)))),"Ambiguous",IF(ISNUMBER(SEARCH("平",D3678)),"平","仄")))</x:f>
        <x:v>平</x:v>
      </x:c>
      <x:c r="J3693" s="7" t="str"/>
    </x:row>
    <x:row r="3694">
      <x:c r="A3694" s="5" t="str">
        <x:v>覂</x:v>
      </x:c>
      <x:c r="B3694" s="6" t="str">
        <x:v>上</x:v>
      </x:c>
      <x:c r="C3694" s="6" t="str">
        <x:f>IF(B3694="","Needs decision","Ready")</x:f>
        <x:v>Ready</x:v>
      </x:c>
      <x:c r="D3694" s="6" t="str">
        <x:v>上</x:v>
      </x:c>
      <x:c r="E3694" s="6" t="str">
        <x:v>pjowngX (B)</x:v>
      </x:c>
      <x:c r="F3694" s="6" t="str">
        <x:v>1</x:v>
      </x:c>
      <x:c r="G3694" s="6" t="str"/>
      <x:c r="H3694" s="6" t="str">
        <x:f>IF(B3694="平","平",IF(B3694="","","仄"))</x:f>
        <x:v>仄</x:v>
      </x:c>
      <x:c r="I3694" s="6" t="str">
        <x:f>IF(D3679="","",IF(AND(ISNUMBER(SEARCH("平",D3679)),OR(ISNUMBER(SEARCH("上",D3679)),ISNUMBER(SEARCH("去",D3679)),ISNUMBER(SEARCH("入",D3679)))),"Ambiguous",IF(ISNUMBER(SEARCH("平",D3679)),"平","仄")))</x:f>
        <x:v>仄</x:v>
      </x:c>
      <x:c r="J3694" s="7" t="str"/>
    </x:row>
    <x:row r="3695">
      <x:c r="A3695" s="5" t="str">
        <x:v>覃</x:v>
      </x:c>
      <x:c r="B3695" s="6" t="str"/>
      <x:c r="C3695" s="6" t="str">
        <x:f>IF(B3695="","Needs decision","Ready")</x:f>
        <x:v>Needs decision</x:v>
      </x:c>
      <x:c r="D3695" s="6" t="str">
        <x:v>平/上</x:v>
      </x:c>
      <x:c r="E3695" s="6" t="str">
        <x:v>dom (A); yemX (B)</x:v>
      </x:c>
      <x:c r="F3695" s="6" t="str">
        <x:v>2</x:v>
      </x:c>
      <x:c r="G3695" s="6" t="str"/>
      <x:c r="H3695" s="6" t="str">
        <x:f>IF(B3695="平","平",IF(B3695="","","仄"))</x:f>
      </x:c>
      <x:c r="I3695" s="6" t="str">
        <x:f>IF(D3680="","",IF(AND(ISNUMBER(SEARCH("平",D3680)),OR(ISNUMBER(SEARCH("上",D3680)),ISNUMBER(SEARCH("去",D3680)),ISNUMBER(SEARCH("入",D3680)))),"Ambiguous",IF(ISNUMBER(SEARCH("平",D3680)),"平","仄")))</x:f>
        <x:v>平</x:v>
      </x:c>
      <x:c r="J3695" s="7" t="str"/>
    </x:row>
    <x:row r="3696">
      <x:c r="A3696" s="5" t="str">
        <x:v>覆</x:v>
      </x:c>
      <x:c r="B3696" s="6" t="str"/>
      <x:c r="C3696" s="6" t="str">
        <x:f>IF(B3696="","Needs decision","Ready")</x:f>
        <x:v>Needs decision</x:v>
      </x:c>
      <x:c r="D3696" s="6" t="str">
        <x:v>去/入</x:v>
      </x:c>
      <x:c r="E3696" s="6" t="str">
        <x:v>phjuwH (C); phjuwk (D)</x:v>
      </x:c>
      <x:c r="F3696" s="6" t="str">
        <x:v>2</x:v>
      </x:c>
      <x:c r="G3696" s="6" t="str"/>
      <x:c r="H3696" s="6" t="str">
        <x:f>IF(B3696="平","平",IF(B3696="","","仄"))</x:f>
      </x:c>
      <x:c r="I3696" s="6" t="str">
        <x:f>IF(D3681="","",IF(AND(ISNUMBER(SEARCH("平",D3681)),OR(ISNUMBER(SEARCH("上",D3681)),ISNUMBER(SEARCH("去",D3681)),ISNUMBER(SEARCH("入",D3681)))),"Ambiguous",IF(ISNUMBER(SEARCH("平",D3681)),"平","仄")))</x:f>
        <x:v>平</x:v>
      </x:c>
      <x:c r="J3696" s="7" t="str"/>
    </x:row>
    <x:row r="3697">
      <x:c r="A3697" s="5" t="str">
        <x:v>覈</x:v>
      </x:c>
      <x:c r="B3697" s="6" t="str">
        <x:v>入</x:v>
      </x:c>
      <x:c r="C3697" s="6" t="str">
        <x:f>IF(B3697="","Needs decision","Ready")</x:f>
        <x:v>Ready</x:v>
      </x:c>
      <x:c r="D3697" s="6" t="str">
        <x:v>入</x:v>
      </x:c>
      <x:c r="E3697" s="6" t="str">
        <x:v>heak (D)</x:v>
      </x:c>
      <x:c r="F3697" s="6" t="str">
        <x:v>1</x:v>
      </x:c>
      <x:c r="G3697" s="6" t="str"/>
      <x:c r="H3697" s="6" t="str">
        <x:f>IF(B3697="平","平",IF(B3697="","","仄"))</x:f>
        <x:v>仄</x:v>
      </x:c>
      <x:c r="I3697" s="6" t="str">
        <x:f>IF(D3682="","",IF(AND(ISNUMBER(SEARCH("平",D3682)),OR(ISNUMBER(SEARCH("上",D3682)),ISNUMBER(SEARCH("去",D3682)),ISNUMBER(SEARCH("入",D3682)))),"Ambiguous",IF(ISNUMBER(SEARCH("平",D3682)),"平","仄")))</x:f>
        <x:v>仄</x:v>
      </x:c>
      <x:c r="J3697" s="7" t="str"/>
    </x:row>
    <x:row r="3698">
      <x:c r="A3698" s="5" t="str">
        <x:v>見</x:v>
      </x:c>
      <x:c r="B3698" s="6" t="str">
        <x:v>去</x:v>
      </x:c>
      <x:c r="C3698" s="6" t="str">
        <x:f>IF(B3698="","Needs decision","Ready")</x:f>
        <x:v>Ready</x:v>
      </x:c>
      <x:c r="D3698" s="6" t="str">
        <x:v>去</x:v>
      </x:c>
      <x:c r="E3698" s="6" t="str">
        <x:v>kenH (C); henH (C)</x:v>
      </x:c>
      <x:c r="F3698" s="6" t="str">
        <x:v>2</x:v>
      </x:c>
      <x:c r="G3698" s="6" t="str"/>
      <x:c r="H3698" s="6" t="str">
        <x:f>IF(B3698="平","平",IF(B3698="","","仄"))</x:f>
        <x:v>仄</x:v>
      </x:c>
      <x:c r="I3698" s="6" t="str">
        <x:f>IF(D3683="","",IF(AND(ISNUMBER(SEARCH("平",D3683)),OR(ISNUMBER(SEARCH("上",D3683)),ISNUMBER(SEARCH("去",D3683)),ISNUMBER(SEARCH("入",D3683)))),"Ambiguous",IF(ISNUMBER(SEARCH("平",D3683)),"平","仄")))</x:f>
        <x:v>平</x:v>
      </x:c>
      <x:c r="J3698" s="7" t="str"/>
    </x:row>
    <x:row r="3699">
      <x:c r="A3699" s="5" t="str">
        <x:v>規</x:v>
      </x:c>
      <x:c r="B3699" s="6" t="str">
        <x:v>平</x:v>
      </x:c>
      <x:c r="C3699" s="6" t="str">
        <x:f>IF(B3699="","Needs decision","Ready")</x:f>
        <x:v>Ready</x:v>
      </x:c>
      <x:c r="D3699" s="6" t="str">
        <x:v>平</x:v>
      </x:c>
      <x:c r="E3699" s="6" t="str">
        <x:v>kjwie (A)</x:v>
      </x:c>
      <x:c r="F3699" s="6" t="str">
        <x:v>1</x:v>
      </x:c>
      <x:c r="G3699" s="6" t="str"/>
      <x:c r="H3699" s="6" t="str">
        <x:f>IF(B3699="平","平",IF(B3699="","","仄"))</x:f>
        <x:v>平</x:v>
      </x:c>
      <x:c r="I3699" s="6" t="str">
        <x:f>IF(D3684="","",IF(AND(ISNUMBER(SEARCH("平",D3684)),OR(ISNUMBER(SEARCH("上",D3684)),ISNUMBER(SEARCH("去",D3684)),ISNUMBER(SEARCH("入",D3684)))),"Ambiguous",IF(ISNUMBER(SEARCH("平",D3684)),"平","仄")))</x:f>
        <x:v>平</x:v>
      </x:c>
      <x:c r="J3699" s="7" t="str"/>
    </x:row>
    <x:row r="3700">
      <x:c r="A3700" s="5" t="str">
        <x:v>覓</x:v>
      </x:c>
      <x:c r="B3700" s="6" t="str">
        <x:v>入</x:v>
      </x:c>
      <x:c r="C3700" s="6" t="str">
        <x:f>IF(B3700="","Needs decision","Ready")</x:f>
        <x:v>Ready</x:v>
      </x:c>
      <x:c r="D3700" s="6" t="str">
        <x:v>入</x:v>
      </x:c>
      <x:c r="E3700" s="6" t="str">
        <x:v>mek [m̙ek] (入)</x:v>
      </x:c>
      <x:c r="F3700" s="6" t="str">
        <x:v>1</x:v>
      </x:c>
      <x:c r="G3700" s="6" t="str">
        <x:v>Tang 300 gap; frequency 3; provisional from Xun Gong</x:v>
      </x:c>
      <x:c r="H3700" s="6" t="str">
        <x:f>IF(B3700="平","平",IF(B3700="","","仄"))</x:f>
        <x:v>仄</x:v>
      </x:c>
      <x:c r="I3700" s="6" t="str">
        <x:f>IF(D3685="","",IF(AND(ISNUMBER(SEARCH("平",D3685)),OR(ISNUMBER(SEARCH("上",D3685)),ISNUMBER(SEARCH("去",D3685)),ISNUMBER(SEARCH("入",D3685)))),"Ambiguous",IF(ISNUMBER(SEARCH("平",D3685)),"平","仄")))</x:f>
        <x:v>仄</x:v>
      </x:c>
      <x:c r="J3700" s="7" t="str">
        <x:v>Xun Gong, Tang 300 gap fill</x:v>
      </x:c>
    </x:row>
    <x:row r="3701">
      <x:c r="A3701" s="5" t="str">
        <x:v>視</x:v>
      </x:c>
      <x:c r="B3701" s="6" t="str">
        <x:v>去</x:v>
      </x:c>
      <x:c r="C3701" s="6" t="str">
        <x:f>IF(B3701="","Needs decision","Ready")</x:f>
        <x:v>Ready</x:v>
      </x:c>
      <x:c r="D3701" s="6" t="str">
        <x:v>上/去</x:v>
      </x:c>
      <x:c r="E3701" s="6" t="str">
        <x:v>dzyijX (B); dzyijH (C)</x:v>
      </x:c>
      <x:c r="F3701" s="6" t="str">
        <x:v>2</x:v>
      </x:c>
      <x:c r="G3701" s="6" t="str"/>
      <x:c r="H3701" s="6" t="str">
        <x:f>IF(B3701="平","平",IF(B3701="","","仄"))</x:f>
        <x:v>仄</x:v>
      </x:c>
      <x:c r="I3701" s="6" t="str">
        <x:f>IF(D3686="","",IF(AND(ISNUMBER(SEARCH("平",D3686)),OR(ISNUMBER(SEARCH("上",D3686)),ISNUMBER(SEARCH("去",D3686)),ISNUMBER(SEARCH("入",D3686)))),"Ambiguous",IF(ISNUMBER(SEARCH("平",D3686)),"平","仄")))</x:f>
        <x:v>平</x:v>
      </x:c>
      <x:c r="J3701" s="7" t="str"/>
    </x:row>
    <x:row r="3702">
      <x:c r="A3702" s="5" t="str">
        <x:v>覩</x:v>
      </x:c>
      <x:c r="B3702" s="6" t="str">
        <x:v>上</x:v>
      </x:c>
      <x:c r="C3702" s="6" t="str">
        <x:f>IF(B3702="","Needs decision","Ready")</x:f>
        <x:v>Ready</x:v>
      </x:c>
      <x:c r="D3702" s="6" t="str">
        <x:v>上</x:v>
      </x:c>
      <x:c r="E3702" s="6" t="str">
        <x:v>tuX [端一模上] t̙oʔ</x:v>
      </x:c>
      <x:c r="F3702" s="6" t="str">
        <x:v>1</x:v>
      </x:c>
      <x:c r="G3702" s="6" t="str">
        <x:v>Targeted preliminary fill from Xun Gong; review if uncertain</x:v>
      </x:c>
      <x:c r="H3702" s="6" t="str">
        <x:f>IF(B3702="平","平",IF(B3702="","","仄"))</x:f>
        <x:v>仄</x:v>
      </x:c>
      <x:c r="I3702" s="6" t="str">
        <x:f>IF(D3687="","",IF(AND(ISNUMBER(SEARCH("平",D3687)),OR(ISNUMBER(SEARCH("上",D3687)),ISNUMBER(SEARCH("去",D3687)),ISNUMBER(SEARCH("入",D3687)))),"Ambiguous",IF(ISNUMBER(SEARCH("平",D3687)),"平","仄")))</x:f>
        <x:v>仄</x:v>
      </x:c>
      <x:c r="J3702" s="7" t="str">
        <x:v>Xun Gong character-readings.csv</x:v>
      </x:c>
    </x:row>
    <x:row r="3703">
      <x:c r="A3703" s="5" t="str">
        <x:v>親</x:v>
      </x:c>
      <x:c r="B3703" s="6" t="str">
        <x:v>平</x:v>
      </x:c>
      <x:c r="C3703" s="6" t="str">
        <x:f>IF(B3703="","Needs decision","Ready")</x:f>
        <x:v>Ready</x:v>
      </x:c>
      <x:c r="D3703" s="6" t="str">
        <x:v>平</x:v>
      </x:c>
      <x:c r="E3703" s="6" t="str">
        <x:v>tshin (A)</x:v>
      </x:c>
      <x:c r="F3703" s="6" t="str">
        <x:v>1</x:v>
      </x:c>
      <x:c r="G3703" s="6" t="str"/>
      <x:c r="H3703" s="6" t="str">
        <x:f>IF(B3703="平","平",IF(B3703="","","仄"))</x:f>
        <x:v>平</x:v>
      </x:c>
      <x:c r="I3703" s="6" t="str">
        <x:f>IF(D3688="","",IF(AND(ISNUMBER(SEARCH("平",D3688)),OR(ISNUMBER(SEARCH("上",D3688)),ISNUMBER(SEARCH("去",D3688)),ISNUMBER(SEARCH("入",D3688)))),"Ambiguous",IF(ISNUMBER(SEARCH("平",D3688)),"平","仄")))</x:f>
        <x:v>仄</x:v>
      </x:c>
      <x:c r="J3703" s="7" t="str"/>
    </x:row>
    <x:row r="3704">
      <x:c r="A3704" s="5" t="str">
        <x:v>覯</x:v>
      </x:c>
      <x:c r="B3704" s="6" t="str">
        <x:v>去</x:v>
      </x:c>
      <x:c r="C3704" s="6" t="str">
        <x:f>IF(B3704="","Needs decision","Ready")</x:f>
        <x:v>Ready</x:v>
      </x:c>
      <x:c r="D3704" s="6" t="str">
        <x:v>去</x:v>
      </x:c>
      <x:c r="E3704" s="6" t="str">
        <x:v>kuwH (C)</x:v>
      </x:c>
      <x:c r="F3704" s="6" t="str">
        <x:v>1</x:v>
      </x:c>
      <x:c r="G3704" s="6" t="str"/>
      <x:c r="H3704" s="6" t="str">
        <x:f>IF(B3704="平","平",IF(B3704="","","仄"))</x:f>
        <x:v>仄</x:v>
      </x:c>
      <x:c r="I3704" s="6" t="str">
        <x:f>IF(D3689="","",IF(AND(ISNUMBER(SEARCH("平",D3689)),OR(ISNUMBER(SEARCH("上",D3689)),ISNUMBER(SEARCH("去",D3689)),ISNUMBER(SEARCH("入",D3689)))),"Ambiguous",IF(ISNUMBER(SEARCH("平",D3689)),"平","仄")))</x:f>
        <x:v>仄</x:v>
      </x:c>
      <x:c r="J3704" s="7" t="str"/>
    </x:row>
    <x:row r="3705">
      <x:c r="A3705" s="5" t="str">
        <x:v>覺</x:v>
      </x:c>
      <x:c r="B3705" s="6" t="str">
        <x:v>入</x:v>
      </x:c>
      <x:c r="C3705" s="6" t="str">
        <x:f>IF(B3705="","Needs decision","Ready")</x:f>
        <x:v>Ready</x:v>
      </x:c>
      <x:c r="D3705" s="6" t="str">
        <x:v>去/入</x:v>
      </x:c>
      <x:c r="E3705" s="6" t="str">
        <x:v>kaewH (C); kaewk (D)</x:v>
      </x:c>
      <x:c r="F3705" s="6" t="str">
        <x:v>2</x:v>
      </x:c>
      <x:c r="G3705" s="6" t="str">
        <x:v>User workbook edit 2026-09-03</x:v>
      </x:c>
      <x:c r="H3705" s="6" t="str">
        <x:f>IF(B3705="平","平",IF(B3705="","","仄"))</x:f>
        <x:v>仄</x:v>
      </x:c>
      <x:c r="I3705" s="6" t="str">
        <x:f>IF(D3690="","",IF(AND(ISNUMBER(SEARCH("平",D3690)),OR(ISNUMBER(SEARCH("上",D3690)),ISNUMBER(SEARCH("去",D3690)),ISNUMBER(SEARCH("入",D3690)))),"Ambiguous",IF(ISNUMBER(SEARCH("平",D3690)),"平","仄")))</x:f>
        <x:v>仄</x:v>
      </x:c>
      <x:c r="J3705" s="7" t="str">
        <x:v>manual user correction</x:v>
      </x:c>
    </x:row>
    <x:row r="3706">
      <x:c r="A3706" s="5" t="str">
        <x:v>覽</x:v>
      </x:c>
      <x:c r="B3706" s="6" t="str">
        <x:v>上</x:v>
      </x:c>
      <x:c r="C3706" s="6" t="str">
        <x:f>IF(B3706="","Needs decision","Ready")</x:f>
        <x:v>Ready</x:v>
      </x:c>
      <x:c r="D3706" s="6" t="str">
        <x:v>上</x:v>
      </x:c>
      <x:c r="E3706" s="6" t="str">
        <x:v>lamX [來開一談上] l̙ɑmʔ</x:v>
      </x:c>
      <x:c r="F3706" s="6" t="str">
        <x:v>1</x:v>
      </x:c>
      <x:c r="G3706" s="6" t="str">
        <x:v>Targeted preliminary fill from Xun Gong; review if uncertain</x:v>
      </x:c>
      <x:c r="H3706" s="6" t="str">
        <x:f>IF(B3706="平","平",IF(B3706="","","仄"))</x:f>
        <x:v>仄</x:v>
      </x:c>
      <x:c r="I3706" s="6" t="str">
        <x:f>IF(D3691="","",IF(AND(ISNUMBER(SEARCH("平",D3691)),OR(ISNUMBER(SEARCH("上",D3691)),ISNUMBER(SEARCH("去",D3691)),ISNUMBER(SEARCH("入",D3691)))),"Ambiguous",IF(ISNUMBER(SEARCH("平",D3691)),"平","仄")))</x:f>
        <x:v>仄</x:v>
      </x:c>
      <x:c r="J3706" s="7" t="str">
        <x:v>Xun Gong character-readings.csv</x:v>
      </x:c>
    </x:row>
    <x:row r="3707">
      <x:c r="A3707" s="5" t="str">
        <x:v>觀</x:v>
      </x:c>
      <x:c r="B3707" s="6" t="str">
        <x:v>平</x:v>
      </x:c>
      <x:c r="C3707" s="6" t="str">
        <x:f>IF(B3707="","Needs decision","Ready")</x:f>
        <x:v>Ready</x:v>
      </x:c>
      <x:c r="D3707" s="6" t="str">
        <x:v>平/去</x:v>
      </x:c>
      <x:c r="E3707" s="6" t="str">
        <x:v>kwan (A); kwanH (C)</x:v>
      </x:c>
      <x:c r="F3707" s="6" t="str">
        <x:v>2</x:v>
      </x:c>
      <x:c r="G3707" s="6" t="str">
        <x:v>User workbook edit 2026-09-03</x:v>
      </x:c>
      <x:c r="H3707" s="6" t="str">
        <x:f>IF(B3707="平","平",IF(B3707="","","仄"))</x:f>
        <x:v>平</x:v>
      </x:c>
      <x:c r="I3707" s="6" t="str">
        <x:f>IF(D3692="","",IF(AND(ISNUMBER(SEARCH("平",D3692)),OR(ISNUMBER(SEARCH("上",D3692)),ISNUMBER(SEARCH("去",D3692)),ISNUMBER(SEARCH("入",D3692)))),"Ambiguous",IF(ISNUMBER(SEARCH("平",D3692)),"平","仄")))</x:f>
        <x:v>平</x:v>
      </x:c>
      <x:c r="J3707" s="7" t="str">
        <x:v>manual user correction</x:v>
      </x:c>
    </x:row>
    <x:row r="3708">
      <x:c r="A3708" s="5" t="str">
        <x:v>角</x:v>
      </x:c>
      <x:c r="B3708" s="6" t="str">
        <x:v>入</x:v>
      </x:c>
      <x:c r="C3708" s="6" t="str">
        <x:f>IF(B3708="","Needs decision","Ready")</x:f>
        <x:v>Ready</x:v>
      </x:c>
      <x:c r="D3708" s="6" t="str">
        <x:v>入</x:v>
      </x:c>
      <x:c r="E3708" s="6" t="str">
        <x:v>kaewk (D)</x:v>
      </x:c>
      <x:c r="F3708" s="6" t="str">
        <x:v>1</x:v>
      </x:c>
      <x:c r="G3708" s="6" t="str"/>
      <x:c r="H3708" s="6" t="str">
        <x:f>IF(B3708="平","平",IF(B3708="","","仄"))</x:f>
        <x:v>仄</x:v>
      </x:c>
      <x:c r="I3708" s="6" t="str">
        <x:f>IF(D3693="","",IF(AND(ISNUMBER(SEARCH("平",D3693)),OR(ISNUMBER(SEARCH("上",D3693)),ISNUMBER(SEARCH("去",D3693)),ISNUMBER(SEARCH("入",D3693)))),"Ambiguous",IF(ISNUMBER(SEARCH("平",D3693)),"平","仄")))</x:f>
        <x:v>仄</x:v>
      </x:c>
      <x:c r="J3708" s="7" t="str"/>
    </x:row>
    <x:row r="3709">
      <x:c r="A3709" s="5" t="str">
        <x:v>觜</x:v>
      </x:c>
      <x:c r="B3709" s="6" t="str">
        <x:v>上</x:v>
      </x:c>
      <x:c r="C3709" s="6" t="str">
        <x:f>IF(B3709="","Needs decision","Ready")</x:f>
        <x:v>Ready</x:v>
      </x:c>
      <x:c r="D3709" s="6" t="str">
        <x:v>上</x:v>
      </x:c>
      <x:c r="E3709" s="6" t="str">
        <x:v>tsjweX (B)</x:v>
      </x:c>
      <x:c r="F3709" s="6" t="str">
        <x:v>1</x:v>
      </x:c>
      <x:c r="G3709" s="6" t="str"/>
      <x:c r="H3709" s="6" t="str">
        <x:f>IF(B3709="平","平",IF(B3709="","","仄"))</x:f>
        <x:v>仄</x:v>
      </x:c>
      <x:c r="I3709" s="6" t="str">
        <x:f>IF(D3694="","",IF(AND(ISNUMBER(SEARCH("平",D3694)),OR(ISNUMBER(SEARCH("上",D3694)),ISNUMBER(SEARCH("去",D3694)),ISNUMBER(SEARCH("入",D3694)))),"Ambiguous",IF(ISNUMBER(SEARCH("平",D3694)),"平","仄")))</x:f>
        <x:v>仄</x:v>
      </x:c>
      <x:c r="J3709" s="7" t="str"/>
    </x:row>
    <x:row r="3710">
      <x:c r="A3710" s="5" t="str">
        <x:v>解</x:v>
      </x:c>
      <x:c r="B3710" s="6" t="str">
        <x:v>上</x:v>
      </x:c>
      <x:c r="C3710" s="6" t="str">
        <x:f>IF(B3710="","Needs decision","Ready")</x:f>
        <x:v>Ready</x:v>
      </x:c>
      <x:c r="D3710" s="6" t="str">
        <x:v>上</x:v>
      </x:c>
      <x:c r="E3710" s="6" t="str">
        <x:v>keaX (B); heaX (B)</x:v>
      </x:c>
      <x:c r="F3710" s="6" t="str">
        <x:v>2</x:v>
      </x:c>
      <x:c r="G3710" s="6" t="str"/>
      <x:c r="H3710" s="6" t="str">
        <x:f>IF(B3710="平","平",IF(B3710="","","仄"))</x:f>
        <x:v>仄</x:v>
      </x:c>
      <x:c r="I3710" s="6" t="str">
        <x:f>IF(D3695="","",IF(AND(ISNUMBER(SEARCH("平",D3695)),OR(ISNUMBER(SEARCH("上",D3695)),ISNUMBER(SEARCH("去",D3695)),ISNUMBER(SEARCH("入",D3695)))),"Ambiguous",IF(ISNUMBER(SEARCH("平",D3695)),"平","仄")))</x:f>
        <x:v>Ambiguous</x:v>
      </x:c>
      <x:c r="J3710" s="7" t="str"/>
    </x:row>
    <x:row r="3711">
      <x:c r="A3711" s="5" t="str">
        <x:v>觥</x:v>
      </x:c>
      <x:c r="B3711" s="6" t="str">
        <x:v>平</x:v>
      </x:c>
      <x:c r="C3711" s="6" t="str">
        <x:f>IF(B3711="","Needs decision","Ready")</x:f>
        <x:v>Ready</x:v>
      </x:c>
      <x:c r="D3711" s="6" t="str">
        <x:v>平</x:v>
      </x:c>
      <x:c r="E3711" s="6" t="str">
        <x:v>kwaeng (A)</x:v>
      </x:c>
      <x:c r="F3711" s="6" t="str">
        <x:v>1</x:v>
      </x:c>
      <x:c r="G3711" s="6" t="str"/>
      <x:c r="H3711" s="6" t="str">
        <x:f>IF(B3711="平","平",IF(B3711="","","仄"))</x:f>
        <x:v>平</x:v>
      </x:c>
      <x:c r="I3711" s="6" t="str">
        <x:f>IF(D3696="","",IF(AND(ISNUMBER(SEARCH("平",D3696)),OR(ISNUMBER(SEARCH("上",D3696)),ISNUMBER(SEARCH("去",D3696)),ISNUMBER(SEARCH("入",D3696)))),"Ambiguous",IF(ISNUMBER(SEARCH("平",D3696)),"平","仄")))</x:f>
        <x:v>仄</x:v>
      </x:c>
      <x:c r="J3711" s="7" t="str"/>
    </x:row>
    <x:row r="3712">
      <x:c r="A3712" s="5" t="str">
        <x:v>觱</x:v>
      </x:c>
      <x:c r="B3712" s="6" t="str">
        <x:v>入</x:v>
      </x:c>
      <x:c r="C3712" s="6" t="str">
        <x:f>IF(B3712="","Needs decision","Ready")</x:f>
        <x:v>Ready</x:v>
      </x:c>
      <x:c r="D3712" s="6" t="str">
        <x:v>入</x:v>
      </x:c>
      <x:c r="E3712" s="6" t="str">
        <x:v>hjut [wɨ̯ut] (入); pjit [pjit] (入)</x:v>
      </x:c>
      <x:c r="F3712" s="6" t="str">
        <x:v>2</x:v>
      </x:c>
      <x:c r="G3712" s="6" t="str">
        <x:v>Tang 300 gap; frequency 1; provisional from Xun Gong</x:v>
      </x:c>
      <x:c r="H3712" s="6" t="str">
        <x:f>IF(B3712="平","平",IF(B3712="","","仄"))</x:f>
        <x:v>仄</x:v>
      </x:c>
      <x:c r="I3712" s="6" t="str">
        <x:f>IF(D3697="","",IF(AND(ISNUMBER(SEARCH("平",D3697)),OR(ISNUMBER(SEARCH("上",D3697)),ISNUMBER(SEARCH("去",D3697)),ISNUMBER(SEARCH("入",D3697)))),"Ambiguous",IF(ISNUMBER(SEARCH("平",D3697)),"平","仄")))</x:f>
        <x:v>仄</x:v>
      </x:c>
      <x:c r="J3712" s="7" t="str">
        <x:v>Xun Gong, Tang 300 gap fill</x:v>
      </x:c>
    </x:row>
    <x:row r="3713">
      <x:c r="A3713" s="5" t="str">
        <x:v>觴</x:v>
      </x:c>
      <x:c r="B3713" s="6" t="str">
        <x:v>平</x:v>
      </x:c>
      <x:c r="C3713" s="6" t="str">
        <x:f>IF(B3713="","Needs decision","Ready")</x:f>
        <x:v>Ready</x:v>
      </x:c>
      <x:c r="D3713" s="6" t="str">
        <x:v>平</x:v>
      </x:c>
      <x:c r="E3713" s="6" t="str">
        <x:v>syang (A)</x:v>
      </x:c>
      <x:c r="F3713" s="6" t="str">
        <x:v>1</x:v>
      </x:c>
      <x:c r="G3713" s="6" t="str"/>
      <x:c r="H3713" s="6" t="str">
        <x:f>IF(B3713="平","平",IF(B3713="","","仄"))</x:f>
        <x:v>平</x:v>
      </x:c>
      <x:c r="I3713" s="6" t="str">
        <x:f>IF(D3698="","",IF(AND(ISNUMBER(SEARCH("平",D3698)),OR(ISNUMBER(SEARCH("上",D3698)),ISNUMBER(SEARCH("去",D3698)),ISNUMBER(SEARCH("入",D3698)))),"Ambiguous",IF(ISNUMBER(SEARCH("平",D3698)),"平","仄")))</x:f>
        <x:v>仄</x:v>
      </x:c>
      <x:c r="J3713" s="7" t="str"/>
    </x:row>
    <x:row r="3714">
      <x:c r="A3714" s="5" t="str">
        <x:v>觶</x:v>
      </x:c>
      <x:c r="B3714" s="6" t="str">
        <x:v>平</x:v>
      </x:c>
      <x:c r="C3714" s="6" t="str">
        <x:f>IF(B3714="","Needs decision","Ready")</x:f>
        <x:v>Ready</x:v>
      </x:c>
      <x:c r="D3714" s="6" t="str">
        <x:v>平</x:v>
      </x:c>
      <x:c r="E3714" s="6" t="str">
        <x:v>tsye (A)</x:v>
      </x:c>
      <x:c r="F3714" s="6" t="str">
        <x:v>1</x:v>
      </x:c>
      <x:c r="G3714" s="6" t="str"/>
      <x:c r="H3714" s="6" t="str">
        <x:f>IF(B3714="平","平",IF(B3714="","","仄"))</x:f>
        <x:v>平</x:v>
      </x:c>
      <x:c r="I3714" s="6" t="str">
        <x:f>IF(D3699="","",IF(AND(ISNUMBER(SEARCH("平",D3699)),OR(ISNUMBER(SEARCH("上",D3699)),ISNUMBER(SEARCH("去",D3699)),ISNUMBER(SEARCH("入",D3699)))),"Ambiguous",IF(ISNUMBER(SEARCH("平",D3699)),"平","仄")))</x:f>
        <x:v>平</x:v>
      </x:c>
      <x:c r="J3714" s="7" t="str"/>
    </x:row>
    <x:row r="3715">
      <x:c r="A3715" s="5" t="str">
        <x:v>觸</x:v>
      </x:c>
      <x:c r="B3715" s="6" t="str">
        <x:v>入</x:v>
      </x:c>
      <x:c r="C3715" s="6" t="str">
        <x:f>IF(B3715="","Needs decision","Ready")</x:f>
        <x:v>Ready</x:v>
      </x:c>
      <x:c r="D3715" s="6" t="str">
        <x:v>入</x:v>
      </x:c>
      <x:c r="E3715" s="6" t="str">
        <x:v>tsyhowk (D)</x:v>
      </x:c>
      <x:c r="F3715" s="6" t="str">
        <x:v>1</x:v>
      </x:c>
      <x:c r="G3715" s="6" t="str"/>
      <x:c r="H3715" s="6" t="str">
        <x:f>IF(B3715="平","平",IF(B3715="","","仄"))</x:f>
        <x:v>仄</x:v>
      </x:c>
      <x:c r="I3715" s="6" t="str">
        <x:f>IF(D3700="","",IF(AND(ISNUMBER(SEARCH("平",D3700)),OR(ISNUMBER(SEARCH("上",D3700)),ISNUMBER(SEARCH("去",D3700)),ISNUMBER(SEARCH("入",D3700)))),"Ambiguous",IF(ISNUMBER(SEARCH("平",D3700)),"平","仄")))</x:f>
        <x:v>仄</x:v>
      </x:c>
      <x:c r="J3715" s="7" t="str"/>
    </x:row>
    <x:row r="3716">
      <x:c r="A3716" s="5" t="str">
        <x:v>觿</x:v>
      </x:c>
      <x:c r="B3716" s="6" t="str">
        <x:v>平</x:v>
      </x:c>
      <x:c r="C3716" s="6" t="str">
        <x:f>IF(B3716="","Needs decision","Ready")</x:f>
        <x:v>Ready</x:v>
      </x:c>
      <x:c r="D3716" s="6" t="str">
        <x:v>平</x:v>
      </x:c>
      <x:c r="E3716" s="6" t="str">
        <x:v>xjwie (A)</x:v>
      </x:c>
      <x:c r="F3716" s="6" t="str">
        <x:v>1</x:v>
      </x:c>
      <x:c r="G3716" s="6" t="str"/>
      <x:c r="H3716" s="6" t="str">
        <x:f>IF(B3716="平","平",IF(B3716="","","仄"))</x:f>
        <x:v>平</x:v>
      </x:c>
      <x:c r="I3716" s="6" t="str">
        <x:f>IF(D3701="","",IF(AND(ISNUMBER(SEARCH("平",D3701)),OR(ISNUMBER(SEARCH("上",D3701)),ISNUMBER(SEARCH("去",D3701)),ISNUMBER(SEARCH("入",D3701)))),"Ambiguous",IF(ISNUMBER(SEARCH("平",D3701)),"平","仄")))</x:f>
        <x:v>仄</x:v>
      </x:c>
      <x:c r="J3716" s="7" t="str"/>
    </x:row>
    <x:row r="3717">
      <x:c r="A3717" s="5" t="str">
        <x:v>言</x:v>
      </x:c>
      <x:c r="B3717" s="6" t="str">
        <x:v>平</x:v>
      </x:c>
      <x:c r="C3717" s="6" t="str">
        <x:f>IF(B3717="","Needs decision","Ready")</x:f>
        <x:v>Ready</x:v>
      </x:c>
      <x:c r="D3717" s="6" t="str">
        <x:v>平</x:v>
      </x:c>
      <x:c r="E3717" s="6" t="str">
        <x:v>ngjon (A)</x:v>
      </x:c>
      <x:c r="F3717" s="6" t="str">
        <x:v>1</x:v>
      </x:c>
      <x:c r="G3717" s="6" t="str"/>
      <x:c r="H3717" s="6" t="str">
        <x:f>IF(B3717="平","平",IF(B3717="","","仄"))</x:f>
        <x:v>平</x:v>
      </x:c>
      <x:c r="I3717" s="6" t="str">
        <x:f>IF(D3702="","",IF(AND(ISNUMBER(SEARCH("平",D3702)),OR(ISNUMBER(SEARCH("上",D3702)),ISNUMBER(SEARCH("去",D3702)),ISNUMBER(SEARCH("入",D3702)))),"Ambiguous",IF(ISNUMBER(SEARCH("平",D3702)),"平","仄")))</x:f>
        <x:v>仄</x:v>
      </x:c>
      <x:c r="J3717" s="7" t="str"/>
    </x:row>
    <x:row r="3718">
      <x:c r="A3718" s="5" t="str">
        <x:v>訇</x:v>
      </x:c>
      <x:c r="B3718" s="6" t="str">
        <x:v>平</x:v>
      </x:c>
      <x:c r="C3718" s="6" t="str">
        <x:f>IF(B3718="","Needs decision","Ready")</x:f>
        <x:v>Ready</x:v>
      </x:c>
      <x:c r="D3718" s="6" t="str">
        <x:v>平</x:v>
      </x:c>
      <x:c r="E3718" s="6" t="str">
        <x:v>hwen [ʁwen] (平); xweang [χweˤŋ] (平)</x:v>
      </x:c>
      <x:c r="F3718" s="6" t="str">
        <x:v>2</x:v>
      </x:c>
      <x:c r="G3718" s="6" t="str">
        <x:v>Tang 300 gap; frequency 1; provisional from Xun Gong</x:v>
      </x:c>
      <x:c r="H3718" s="6" t="str">
        <x:f>IF(B3718="平","平",IF(B3718="","","仄"))</x:f>
        <x:v>平</x:v>
      </x:c>
      <x:c r="I3718" s="6" t="str">
        <x:f>IF(D3703="","",IF(AND(ISNUMBER(SEARCH("平",D3703)),OR(ISNUMBER(SEARCH("上",D3703)),ISNUMBER(SEARCH("去",D3703)),ISNUMBER(SEARCH("入",D3703)))),"Ambiguous",IF(ISNUMBER(SEARCH("平",D3703)),"平","仄")))</x:f>
        <x:v>平</x:v>
      </x:c>
      <x:c r="J3718" s="7" t="str">
        <x:v>Xun Gong, Tang 300 gap fill</x:v>
      </x:c>
    </x:row>
    <x:row r="3719">
      <x:c r="A3719" s="5" t="str">
        <x:v>計</x:v>
      </x:c>
      <x:c r="B3719" s="6" t="str">
        <x:v>去</x:v>
      </x:c>
      <x:c r="C3719" s="6" t="str">
        <x:f>IF(B3719="","Needs decision","Ready")</x:f>
        <x:v>Ready</x:v>
      </x:c>
      <x:c r="D3719" s="6" t="str">
        <x:v>去</x:v>
      </x:c>
      <x:c r="E3719" s="6" t="str">
        <x:v>kejH (C)</x:v>
      </x:c>
      <x:c r="F3719" s="6" t="str">
        <x:v>1</x:v>
      </x:c>
      <x:c r="G3719" s="6" t="str"/>
      <x:c r="H3719" s="6" t="str">
        <x:f>IF(B3719="平","平",IF(B3719="","","仄"))</x:f>
        <x:v>仄</x:v>
      </x:c>
      <x:c r="I3719" s="6" t="str">
        <x:f>IF(D3704="","",IF(AND(ISNUMBER(SEARCH("平",D3704)),OR(ISNUMBER(SEARCH("上",D3704)),ISNUMBER(SEARCH("去",D3704)),ISNUMBER(SEARCH("入",D3704)))),"Ambiguous",IF(ISNUMBER(SEARCH("平",D3704)),"平","仄")))</x:f>
        <x:v>仄</x:v>
      </x:c>
      <x:c r="J3719" s="7" t="str"/>
    </x:row>
    <x:row r="3720">
      <x:c r="A3720" s="5" t="str">
        <x:v>訊</x:v>
      </x:c>
      <x:c r="B3720" s="6" t="str">
        <x:v>去</x:v>
      </x:c>
      <x:c r="C3720" s="6" t="str">
        <x:f>IF(B3720="","Needs decision","Ready")</x:f>
        <x:v>Ready</x:v>
      </x:c>
      <x:c r="D3720" s="6" t="str">
        <x:v>去</x:v>
      </x:c>
      <x:c r="E3720" s="6" t="str">
        <x:v>sinH (C)</x:v>
      </x:c>
      <x:c r="F3720" s="6" t="str">
        <x:v>1</x:v>
      </x:c>
      <x:c r="G3720" s="6" t="str"/>
      <x:c r="H3720" s="6" t="str">
        <x:f>IF(B3720="平","平",IF(B3720="","","仄"))</x:f>
        <x:v>仄</x:v>
      </x:c>
      <x:c r="I3720" s="6" t="str">
        <x:f>IF(D3705="","",IF(AND(ISNUMBER(SEARCH("平",D3705)),OR(ISNUMBER(SEARCH("上",D3705)),ISNUMBER(SEARCH("去",D3705)),ISNUMBER(SEARCH("入",D3705)))),"Ambiguous",IF(ISNUMBER(SEARCH("平",D3705)),"平","仄")))</x:f>
        <x:v>仄</x:v>
      </x:c>
      <x:c r="J3720" s="7" t="str"/>
    </x:row>
    <x:row r="3721">
      <x:c r="A3721" s="5" t="str">
        <x:v>討</x:v>
      </x:c>
      <x:c r="B3721" s="6" t="str">
        <x:v>上</x:v>
      </x:c>
      <x:c r="C3721" s="6" t="str">
        <x:f>IF(B3721="","Needs decision","Ready")</x:f>
        <x:v>Ready</x:v>
      </x:c>
      <x:c r="D3721" s="6" t="str">
        <x:v>上</x:v>
      </x:c>
      <x:c r="E3721" s="6" t="str">
        <x:v>thawX (B)</x:v>
      </x:c>
      <x:c r="F3721" s="6" t="str">
        <x:v>1</x:v>
      </x:c>
      <x:c r="G3721" s="6" t="str"/>
      <x:c r="H3721" s="6" t="str">
        <x:f>IF(B3721="平","平",IF(B3721="","","仄"))</x:f>
        <x:v>仄</x:v>
      </x:c>
      <x:c r="I3721" s="6" t="str">
        <x:f>IF(D3706="","",IF(AND(ISNUMBER(SEARCH("平",D3706)),OR(ISNUMBER(SEARCH("上",D3706)),ISNUMBER(SEARCH("去",D3706)),ISNUMBER(SEARCH("入",D3706)))),"Ambiguous",IF(ISNUMBER(SEARCH("平",D3706)),"平","仄")))</x:f>
        <x:v>仄</x:v>
      </x:c>
      <x:c r="J3721" s="7" t="str"/>
    </x:row>
    <x:row r="3722">
      <x:c r="A3722" s="5" t="str">
        <x:v>訏</x:v>
      </x:c>
      <x:c r="B3722" s="6" t="str">
        <x:v>平</x:v>
      </x:c>
      <x:c r="C3722" s="6" t="str">
        <x:f>IF(B3722="","Needs decision","Ready")</x:f>
        <x:v>Ready</x:v>
      </x:c>
      <x:c r="D3722" s="6" t="str">
        <x:v>平</x:v>
      </x:c>
      <x:c r="E3722" s="6" t="str">
        <x:v>xju (A)</x:v>
      </x:c>
      <x:c r="F3722" s="6" t="str">
        <x:v>1</x:v>
      </x:c>
      <x:c r="G3722" s="6" t="str"/>
      <x:c r="H3722" s="6" t="str">
        <x:f>IF(B3722="平","平",IF(B3722="","","仄"))</x:f>
        <x:v>平</x:v>
      </x:c>
      <x:c r="I3722" s="6" t="str">
        <x:f>IF(D3707="","",IF(AND(ISNUMBER(SEARCH("平",D3707)),OR(ISNUMBER(SEARCH("上",D3707)),ISNUMBER(SEARCH("去",D3707)),ISNUMBER(SEARCH("入",D3707)))),"Ambiguous",IF(ISNUMBER(SEARCH("平",D3707)),"平","仄")))</x:f>
        <x:v>Ambiguous</x:v>
      </x:c>
      <x:c r="J3722" s="7" t="str"/>
    </x:row>
    <x:row r="3723">
      <x:c r="A3723" s="5" t="str">
        <x:v>訓</x:v>
      </x:c>
      <x:c r="B3723" s="6" t="str">
        <x:v>去</x:v>
      </x:c>
      <x:c r="C3723" s="6" t="str">
        <x:f>IF(B3723="","Needs decision","Ready")</x:f>
        <x:v>Ready</x:v>
      </x:c>
      <x:c r="D3723" s="6" t="str">
        <x:v>去</x:v>
      </x:c>
      <x:c r="E3723" s="6" t="str">
        <x:v>xjunH (C)</x:v>
      </x:c>
      <x:c r="F3723" s="6" t="str">
        <x:v>1</x:v>
      </x:c>
      <x:c r="G3723" s="6" t="str"/>
      <x:c r="H3723" s="6" t="str">
        <x:f>IF(B3723="平","平",IF(B3723="","","仄"))</x:f>
        <x:v>仄</x:v>
      </x:c>
      <x:c r="I3723" s="6" t="str">
        <x:f>IF(D3708="","",IF(AND(ISNUMBER(SEARCH("平",D3708)),OR(ISNUMBER(SEARCH("上",D3708)),ISNUMBER(SEARCH("去",D3708)),ISNUMBER(SEARCH("入",D3708)))),"Ambiguous",IF(ISNUMBER(SEARCH("平",D3708)),"平","仄")))</x:f>
        <x:v>仄</x:v>
      </x:c>
      <x:c r="J3723" s="7" t="str"/>
    </x:row>
    <x:row r="3724">
      <x:c r="A3724" s="5" t="str">
        <x:v>訖</x:v>
      </x:c>
      <x:c r="B3724" s="6" t="str">
        <x:v>去</x:v>
      </x:c>
      <x:c r="C3724" s="6" t="str">
        <x:f>IF(B3724="","Needs decision","Ready")</x:f>
        <x:v>Ready</x:v>
      </x:c>
      <x:c r="D3724" s="6" t="str">
        <x:v>去</x:v>
      </x:c>
      <x:c r="E3724" s="6" t="str">
        <x:v>xj+jH (C)</x:v>
      </x:c>
      <x:c r="F3724" s="6" t="str">
        <x:v>1</x:v>
      </x:c>
      <x:c r="G3724" s="6" t="str"/>
      <x:c r="H3724" s="6" t="str">
        <x:f>IF(B3724="平","平",IF(B3724="","","仄"))</x:f>
        <x:v>仄</x:v>
      </x:c>
      <x:c r="I3724" s="6" t="str">
        <x:f>IF(D3709="","",IF(AND(ISNUMBER(SEARCH("平",D3709)),OR(ISNUMBER(SEARCH("上",D3709)),ISNUMBER(SEARCH("去",D3709)),ISNUMBER(SEARCH("入",D3709)))),"Ambiguous",IF(ISNUMBER(SEARCH("平",D3709)),"平","仄")))</x:f>
        <x:v>仄</x:v>
      </x:c>
      <x:c r="J3724" s="7" t="str"/>
    </x:row>
    <x:row r="3725">
      <x:c r="A3725" s="5" t="str">
        <x:v>託</x:v>
      </x:c>
      <x:c r="B3725" s="6" t="str">
        <x:v>入</x:v>
      </x:c>
      <x:c r="C3725" s="6" t="str">
        <x:f>IF(B3725="","Needs decision","Ready")</x:f>
        <x:v>Ready</x:v>
      </x:c>
      <x:c r="D3725" s="6" t="str">
        <x:v>入</x:v>
      </x:c>
      <x:c r="E3725" s="6" t="str">
        <x:v>thak (D)</x:v>
      </x:c>
      <x:c r="F3725" s="6" t="str">
        <x:v>1</x:v>
      </x:c>
      <x:c r="G3725" s="6" t="str"/>
      <x:c r="H3725" s="6" t="str">
        <x:f>IF(B3725="平","平",IF(B3725="","","仄"))</x:f>
        <x:v>仄</x:v>
      </x:c>
      <x:c r="I3725" s="6" t="str">
        <x:f>IF(D3710="","",IF(AND(ISNUMBER(SEARCH("平",D3710)),OR(ISNUMBER(SEARCH("上",D3710)),ISNUMBER(SEARCH("去",D3710)),ISNUMBER(SEARCH("入",D3710)))),"Ambiguous",IF(ISNUMBER(SEARCH("平",D3710)),"平","仄")))</x:f>
        <x:v>仄</x:v>
      </x:c>
      <x:c r="J3725" s="7" t="str"/>
    </x:row>
    <x:row r="3726">
      <x:c r="A3726" s="5" t="str">
        <x:v>記</x:v>
      </x:c>
      <x:c r="B3726" s="6" t="str">
        <x:v>去</x:v>
      </x:c>
      <x:c r="C3726" s="6" t="str">
        <x:f>IF(B3726="","Needs decision","Ready")</x:f>
        <x:v>Ready</x:v>
      </x:c>
      <x:c r="D3726" s="6" t="str">
        <x:v>去</x:v>
      </x:c>
      <x:c r="E3726" s="6" t="str">
        <x:v>kiH (C)</x:v>
      </x:c>
      <x:c r="F3726" s="6" t="str">
        <x:v>1</x:v>
      </x:c>
      <x:c r="G3726" s="6" t="str"/>
      <x:c r="H3726" s="6" t="str">
        <x:f>IF(B3726="平","平",IF(B3726="","","仄"))</x:f>
        <x:v>仄</x:v>
      </x:c>
      <x:c r="I3726" s="6" t="str">
        <x:f>IF(D3711="","",IF(AND(ISNUMBER(SEARCH("平",D3711)),OR(ISNUMBER(SEARCH("上",D3711)),ISNUMBER(SEARCH("去",D3711)),ISNUMBER(SEARCH("入",D3711)))),"Ambiguous",IF(ISNUMBER(SEARCH("平",D3711)),"平","仄")))</x:f>
        <x:v>平</x:v>
      </x:c>
      <x:c r="J3726" s="7" t="str"/>
    </x:row>
    <x:row r="3727">
      <x:c r="A3727" s="5" t="str">
        <x:v>訛</x:v>
      </x:c>
      <x:c r="B3727" s="6" t="str">
        <x:v>平</x:v>
      </x:c>
      <x:c r="C3727" s="6" t="str">
        <x:f>IF(B3727="","Needs decision","Ready")</x:f>
        <x:v>Ready</x:v>
      </x:c>
      <x:c r="D3727" s="6" t="str">
        <x:v>平</x:v>
      </x:c>
      <x:c r="E3727" s="6" t="str">
        <x:v>ngwa (A)</x:v>
      </x:c>
      <x:c r="F3727" s="6" t="str">
        <x:v>1</x:v>
      </x:c>
      <x:c r="G3727" s="6" t="str"/>
      <x:c r="H3727" s="6" t="str">
        <x:f>IF(B3727="平","平",IF(B3727="","","仄"))</x:f>
        <x:v>平</x:v>
      </x:c>
      <x:c r="I3727" s="6" t="str">
        <x:f>IF(D3712="","",IF(AND(ISNUMBER(SEARCH("平",D3712)),OR(ISNUMBER(SEARCH("上",D3712)),ISNUMBER(SEARCH("去",D3712)),ISNUMBER(SEARCH("入",D3712)))),"Ambiguous",IF(ISNUMBER(SEARCH("平",D3712)),"平","仄")))</x:f>
        <x:v>仄</x:v>
      </x:c>
      <x:c r="J3727" s="7" t="str"/>
    </x:row>
    <x:row r="3728">
      <x:c r="A3728" s="5" t="str">
        <x:v>訟</x:v>
      </x:c>
      <x:c r="B3728" s="6" t="str">
        <x:v>去</x:v>
      </x:c>
      <x:c r="C3728" s="6" t="str">
        <x:f>IF(B3728="","Needs decision","Ready")</x:f>
        <x:v>Ready</x:v>
      </x:c>
      <x:c r="D3728" s="6" t="str">
        <x:v>去</x:v>
      </x:c>
      <x:c r="E3728" s="6" t="str">
        <x:v>zjowngH (C)</x:v>
      </x:c>
      <x:c r="F3728" s="6" t="str">
        <x:v>1</x:v>
      </x:c>
      <x:c r="G3728" s="6" t="str"/>
      <x:c r="H3728" s="6" t="str">
        <x:f>IF(B3728="平","平",IF(B3728="","","仄"))</x:f>
        <x:v>仄</x:v>
      </x:c>
      <x:c r="I3728" s="6" t="str">
        <x:f>IF(D3713="","",IF(AND(ISNUMBER(SEARCH("平",D3713)),OR(ISNUMBER(SEARCH("上",D3713)),ISNUMBER(SEARCH("去",D3713)),ISNUMBER(SEARCH("入",D3713)))),"Ambiguous",IF(ISNUMBER(SEARCH("平",D3713)),"平","仄")))</x:f>
        <x:v>平</x:v>
      </x:c>
      <x:c r="J3728" s="7" t="str"/>
    </x:row>
    <x:row r="3729">
      <x:c r="A3729" s="5" t="str">
        <x:v>訣</x:v>
      </x:c>
      <x:c r="B3729" s="6" t="str">
        <x:v>入</x:v>
      </x:c>
      <x:c r="C3729" s="6" t="str">
        <x:f>IF(B3729="","Needs decision","Ready")</x:f>
        <x:v>Ready</x:v>
      </x:c>
      <x:c r="D3729" s="6" t="str">
        <x:v>入</x:v>
      </x:c>
      <x:c r="E3729" s="6" t="str">
        <x:v>kwet (D)</x:v>
      </x:c>
      <x:c r="F3729" s="6" t="str">
        <x:v>1</x:v>
      </x:c>
      <x:c r="G3729" s="6" t="str"/>
      <x:c r="H3729" s="6" t="str">
        <x:f>IF(B3729="平","平",IF(B3729="","","仄"))</x:f>
        <x:v>仄</x:v>
      </x:c>
      <x:c r="I3729" s="6" t="str">
        <x:f>IF(D3714="","",IF(AND(ISNUMBER(SEARCH("平",D3714)),OR(ISNUMBER(SEARCH("上",D3714)),ISNUMBER(SEARCH("去",D3714)),ISNUMBER(SEARCH("入",D3714)))),"Ambiguous",IF(ISNUMBER(SEARCH("平",D3714)),"平","仄")))</x:f>
        <x:v>平</x:v>
      </x:c>
      <x:c r="J3729" s="7" t="str"/>
    </x:row>
    <x:row r="3730">
      <x:c r="A3730" s="5" t="str">
        <x:v>訥</x:v>
      </x:c>
      <x:c r="B3730" s="6" t="str">
        <x:v>入</x:v>
      </x:c>
      <x:c r="C3730" s="6" t="str">
        <x:f>IF(B3730="","Needs decision","Ready")</x:f>
        <x:v>Ready</x:v>
      </x:c>
      <x:c r="D3730" s="6" t="str">
        <x:v>入</x:v>
      </x:c>
      <x:c r="E3730" s="6" t="str">
        <x:v>nwot (D)</x:v>
      </x:c>
      <x:c r="F3730" s="6" t="str">
        <x:v>1</x:v>
      </x:c>
      <x:c r="G3730" s="6" t="str"/>
      <x:c r="H3730" s="6" t="str">
        <x:f>IF(B3730="平","平",IF(B3730="","","仄"))</x:f>
        <x:v>仄</x:v>
      </x:c>
      <x:c r="I3730" s="6" t="str">
        <x:f>IF(D3715="","",IF(AND(ISNUMBER(SEARCH("平",D3715)),OR(ISNUMBER(SEARCH("上",D3715)),ISNUMBER(SEARCH("去",D3715)),ISNUMBER(SEARCH("入",D3715)))),"Ambiguous",IF(ISNUMBER(SEARCH("平",D3715)),"平","仄")))</x:f>
        <x:v>仄</x:v>
      </x:c>
      <x:c r="J3730" s="7" t="str"/>
    </x:row>
    <x:row r="3731">
      <x:c r="A3731" s="5" t="str">
        <x:v>訧</x:v>
      </x:c>
      <x:c r="B3731" s="6" t="str">
        <x:v>平</x:v>
      </x:c>
      <x:c r="C3731" s="6" t="str">
        <x:f>IF(B3731="","Needs decision","Ready")</x:f>
        <x:v>Ready</x:v>
      </x:c>
      <x:c r="D3731" s="6" t="str">
        <x:v>平</x:v>
      </x:c>
      <x:c r="E3731" s="6" t="str">
        <x:v>hjuw (A)</x:v>
      </x:c>
      <x:c r="F3731" s="6" t="str">
        <x:v>1</x:v>
      </x:c>
      <x:c r="G3731" s="6" t="str"/>
      <x:c r="H3731" s="6" t="str">
        <x:f>IF(B3731="平","平",IF(B3731="","","仄"))</x:f>
        <x:v>平</x:v>
      </x:c>
      <x:c r="I3731" s="6" t="str">
        <x:f>IF(D3716="","",IF(AND(ISNUMBER(SEARCH("平",D3716)),OR(ISNUMBER(SEARCH("上",D3716)),ISNUMBER(SEARCH("去",D3716)),ISNUMBER(SEARCH("入",D3716)))),"Ambiguous",IF(ISNUMBER(SEARCH("平",D3716)),"平","仄")))</x:f>
        <x:v>平</x:v>
      </x:c>
      <x:c r="J3731" s="7" t="str"/>
    </x:row>
    <x:row r="3732">
      <x:c r="A3732" s="5" t="str">
        <x:v>訩</x:v>
      </x:c>
      <x:c r="B3732" s="6" t="str">
        <x:v>平</x:v>
      </x:c>
      <x:c r="C3732" s="6" t="str">
        <x:f>IF(B3732="","Needs decision","Ready")</x:f>
        <x:v>Ready</x:v>
      </x:c>
      <x:c r="D3732" s="6" t="str">
        <x:v>平</x:v>
      </x:c>
      <x:c r="E3732" s="6" t="str">
        <x:v>xjowng (A)</x:v>
      </x:c>
      <x:c r="F3732" s="6" t="str">
        <x:v>1</x:v>
      </x:c>
      <x:c r="G3732" s="6" t="str"/>
      <x:c r="H3732" s="6" t="str">
        <x:f>IF(B3732="平","平",IF(B3732="","","仄"))</x:f>
        <x:v>平</x:v>
      </x:c>
      <x:c r="I3732" s="6" t="str">
        <x:f>IF(D3717="","",IF(AND(ISNUMBER(SEARCH("平",D3717)),OR(ISNUMBER(SEARCH("上",D3717)),ISNUMBER(SEARCH("去",D3717)),ISNUMBER(SEARCH("入",D3717)))),"Ambiguous",IF(ISNUMBER(SEARCH("平",D3717)),"平","仄")))</x:f>
        <x:v>平</x:v>
      </x:c>
      <x:c r="J3732" s="7" t="str"/>
    </x:row>
    <x:row r="3733">
      <x:c r="A3733" s="5" t="str">
        <x:v>訪</x:v>
      </x:c>
      <x:c r="B3733" s="6" t="str">
        <x:v>去</x:v>
      </x:c>
      <x:c r="C3733" s="6" t="str">
        <x:f>IF(B3733="","Needs decision","Ready")</x:f>
        <x:v>Ready</x:v>
      </x:c>
      <x:c r="D3733" s="6" t="str">
        <x:v>去</x:v>
      </x:c>
      <x:c r="E3733" s="6" t="str">
        <x:v>phjangH (C)</x:v>
      </x:c>
      <x:c r="F3733" s="6" t="str">
        <x:v>1</x:v>
      </x:c>
      <x:c r="G3733" s="6" t="str"/>
      <x:c r="H3733" s="6" t="str">
        <x:f>IF(B3733="平","平",IF(B3733="","","仄"))</x:f>
        <x:v>仄</x:v>
      </x:c>
      <x:c r="I3733" s="6" t="str">
        <x:f>IF(D3718="","",IF(AND(ISNUMBER(SEARCH("平",D3718)),OR(ISNUMBER(SEARCH("上",D3718)),ISNUMBER(SEARCH("去",D3718)),ISNUMBER(SEARCH("入",D3718)))),"Ambiguous",IF(ISNUMBER(SEARCH("平",D3718)),"平","仄")))</x:f>
        <x:v>平</x:v>
      </x:c>
      <x:c r="J3733" s="7" t="str"/>
    </x:row>
    <x:row r="3734">
      <x:c r="A3734" s="5" t="str">
        <x:v>設</x:v>
      </x:c>
      <x:c r="B3734" s="6" t="str">
        <x:v>入</x:v>
      </x:c>
      <x:c r="C3734" s="6" t="str">
        <x:f>IF(B3734="","Needs decision","Ready")</x:f>
        <x:v>Ready</x:v>
      </x:c>
      <x:c r="D3734" s="6" t="str">
        <x:v>入</x:v>
      </x:c>
      <x:c r="E3734" s="6" t="str">
        <x:v>syet (D)</x:v>
      </x:c>
      <x:c r="F3734" s="6" t="str">
        <x:v>1</x:v>
      </x:c>
      <x:c r="G3734" s="6" t="str"/>
      <x:c r="H3734" s="6" t="str">
        <x:f>IF(B3734="平","平",IF(B3734="","","仄"))</x:f>
        <x:v>仄</x:v>
      </x:c>
      <x:c r="I3734" s="6" t="str">
        <x:f>IF(D3719="","",IF(AND(ISNUMBER(SEARCH("平",D3719)),OR(ISNUMBER(SEARCH("上",D3719)),ISNUMBER(SEARCH("去",D3719)),ISNUMBER(SEARCH("入",D3719)))),"Ambiguous",IF(ISNUMBER(SEARCH("平",D3719)),"平","仄")))</x:f>
        <x:v>仄</x:v>
      </x:c>
      <x:c r="J3734" s="7" t="str"/>
    </x:row>
    <x:row r="3735">
      <x:c r="A3735" s="5" t="str">
        <x:v>許</x:v>
      </x:c>
      <x:c r="B3735" s="6" t="str">
        <x:v>上</x:v>
      </x:c>
      <x:c r="C3735" s="6" t="str">
        <x:f>IF(B3735="","Needs decision","Ready")</x:f>
        <x:v>Ready</x:v>
      </x:c>
      <x:c r="D3735" s="6" t="str">
        <x:v>上</x:v>
      </x:c>
      <x:c r="E3735" s="6" t="str">
        <x:v>xuX (B); xjoX (B)</x:v>
      </x:c>
      <x:c r="F3735" s="6" t="str">
        <x:v>2</x:v>
      </x:c>
      <x:c r="G3735" s="6" t="str"/>
      <x:c r="H3735" s="6" t="str">
        <x:f>IF(B3735="平","平",IF(B3735="","","仄"))</x:f>
        <x:v>仄</x:v>
      </x:c>
      <x:c r="I3735" s="6" t="str">
        <x:f>IF(D3720="","",IF(AND(ISNUMBER(SEARCH("平",D3720)),OR(ISNUMBER(SEARCH("上",D3720)),ISNUMBER(SEARCH("去",D3720)),ISNUMBER(SEARCH("入",D3720)))),"Ambiguous",IF(ISNUMBER(SEARCH("平",D3720)),"平","仄")))</x:f>
        <x:v>仄</x:v>
      </x:c>
      <x:c r="J3735" s="7" t="str"/>
    </x:row>
    <x:row r="3736">
      <x:c r="A3736" s="5" t="str">
        <x:v>訴</x:v>
      </x:c>
      <x:c r="B3736" s="6" t="str">
        <x:v>去</x:v>
      </x:c>
      <x:c r="C3736" s="6" t="str">
        <x:f>IF(B3736="","Needs decision","Ready")</x:f>
        <x:v>Ready</x:v>
      </x:c>
      <x:c r="D3736" s="6" t="str">
        <x:v>去</x:v>
      </x:c>
      <x:c r="E3736" s="6" t="str">
        <x:v>suH (C)</x:v>
      </x:c>
      <x:c r="F3736" s="6" t="str">
        <x:v>1</x:v>
      </x:c>
      <x:c r="G3736" s="6" t="str"/>
      <x:c r="H3736" s="6" t="str">
        <x:f>IF(B3736="平","平",IF(B3736="","","仄"))</x:f>
        <x:v>仄</x:v>
      </x:c>
      <x:c r="I3736" s="6" t="str">
        <x:f>IF(D3721="","",IF(AND(ISNUMBER(SEARCH("平",D3721)),OR(ISNUMBER(SEARCH("上",D3721)),ISNUMBER(SEARCH("去",D3721)),ISNUMBER(SEARCH("入",D3721)))),"Ambiguous",IF(ISNUMBER(SEARCH("平",D3721)),"平","仄")))</x:f>
        <x:v>仄</x:v>
      </x:c>
      <x:c r="J3736" s="7" t="str"/>
    </x:row>
    <x:row r="3737">
      <x:c r="A3737" s="5" t="str">
        <x:v>訶</x:v>
      </x:c>
      <x:c r="B3737" s="6" t="str">
        <x:v>平</x:v>
      </x:c>
      <x:c r="C3737" s="6" t="str">
        <x:f>IF(B3737="","Needs decision","Ready")</x:f>
        <x:v>Ready</x:v>
      </x:c>
      <x:c r="D3737" s="6" t="str">
        <x:v>平</x:v>
      </x:c>
      <x:c r="E3737" s="6" t="str">
        <x:v>xa (A)</x:v>
      </x:c>
      <x:c r="F3737" s="6" t="str">
        <x:v>1</x:v>
      </x:c>
      <x:c r="G3737" s="6" t="str"/>
      <x:c r="H3737" s="6" t="str">
        <x:f>IF(B3737="平","平",IF(B3737="","","仄"))</x:f>
        <x:v>平</x:v>
      </x:c>
      <x:c r="I3737" s="6" t="str">
        <x:f>IF(D3722="","",IF(AND(ISNUMBER(SEARCH("平",D3722)),OR(ISNUMBER(SEARCH("上",D3722)),ISNUMBER(SEARCH("去",D3722)),ISNUMBER(SEARCH("入",D3722)))),"Ambiguous",IF(ISNUMBER(SEARCH("平",D3722)),"平","仄")))</x:f>
        <x:v>平</x:v>
      </x:c>
      <x:c r="J3737" s="7" t="str"/>
    </x:row>
    <x:row r="3738">
      <x:c r="A3738" s="5" t="str">
        <x:v>訹</x:v>
      </x:c>
      <x:c r="B3738" s="6" t="str">
        <x:v>入</x:v>
      </x:c>
      <x:c r="C3738" s="6" t="str">
        <x:f>IF(B3738="","Needs decision","Ready")</x:f>
        <x:v>Ready</x:v>
      </x:c>
      <x:c r="D3738" s="6" t="str">
        <x:v>入</x:v>
      </x:c>
      <x:c r="E3738" s="6" t="str">
        <x:v>swit (D)</x:v>
      </x:c>
      <x:c r="F3738" s="6" t="str">
        <x:v>1</x:v>
      </x:c>
      <x:c r="G3738" s="6" t="str"/>
      <x:c r="H3738" s="6" t="str">
        <x:f>IF(B3738="平","平",IF(B3738="","","仄"))</x:f>
        <x:v>仄</x:v>
      </x:c>
      <x:c r="I3738" s="6" t="str">
        <x:f>IF(D3723="","",IF(AND(ISNUMBER(SEARCH("平",D3723)),OR(ISNUMBER(SEARCH("上",D3723)),ISNUMBER(SEARCH("去",D3723)),ISNUMBER(SEARCH("入",D3723)))),"Ambiguous",IF(ISNUMBER(SEARCH("平",D3723)),"平","仄")))</x:f>
        <x:v>仄</x:v>
      </x:c>
      <x:c r="J3738" s="7" t="str"/>
    </x:row>
    <x:row r="3739">
      <x:c r="A3739" s="5" t="str">
        <x:v>診</x:v>
      </x:c>
      <x:c r="B3739" s="6" t="str"/>
      <x:c r="C3739" s="6" t="str">
        <x:f>IF(B3739="","Needs decision","Ready")</x:f>
        <x:v>Needs decision</x:v>
      </x:c>
      <x:c r="D3739" s="6" t="str">
        <x:v>去/上</x:v>
      </x:c>
      <x:c r="E3739" s="6" t="str">
        <x:v>drinH (C); tsyinX (B)</x:v>
      </x:c>
      <x:c r="F3739" s="6" t="str">
        <x:v>2</x:v>
      </x:c>
      <x:c r="G3739" s="6" t="str"/>
      <x:c r="H3739" s="6" t="str">
        <x:f>IF(B3739="平","平",IF(B3739="","","仄"))</x:f>
      </x:c>
      <x:c r="I3739" s="6" t="str">
        <x:f>IF(D3724="","",IF(AND(ISNUMBER(SEARCH("平",D3724)),OR(ISNUMBER(SEARCH("上",D3724)),ISNUMBER(SEARCH("去",D3724)),ISNUMBER(SEARCH("入",D3724)))),"Ambiguous",IF(ISNUMBER(SEARCH("平",D3724)),"平","仄")))</x:f>
        <x:v>仄</x:v>
      </x:c>
      <x:c r="J3739" s="7" t="str"/>
    </x:row>
    <x:row r="3740">
      <x:c r="A3740" s="5" t="str">
        <x:v>証</x:v>
      </x:c>
      <x:c r="B3740" s="6" t="str">
        <x:v>去</x:v>
      </x:c>
      <x:c r="C3740" s="6" t="str">
        <x:f>IF(B3740="","Needs decision","Ready")</x:f>
        <x:v>Ready</x:v>
      </x:c>
      <x:c r="D3740" s="6" t="str">
        <x:v>去</x:v>
      </x:c>
      <x:c r="E3740" s="6" t="str">
        <x:v>tsyengH (C)</x:v>
      </x:c>
      <x:c r="F3740" s="6" t="str">
        <x:v>1</x:v>
      </x:c>
      <x:c r="G3740" s="6" t="str"/>
      <x:c r="H3740" s="6" t="str">
        <x:f>IF(B3740="平","平",IF(B3740="","","仄"))</x:f>
        <x:v>仄</x:v>
      </x:c>
      <x:c r="I3740" s="6" t="str">
        <x:f>IF(D3725="","",IF(AND(ISNUMBER(SEARCH("平",D3725)),OR(ISNUMBER(SEARCH("上",D3725)),ISNUMBER(SEARCH("去",D3725)),ISNUMBER(SEARCH("入",D3725)))),"Ambiguous",IF(ISNUMBER(SEARCH("平",D3725)),"平","仄")))</x:f>
        <x:v>仄</x:v>
      </x:c>
      <x:c r="J3740" s="7" t="str"/>
    </x:row>
    <x:row r="3741">
      <x:c r="A3741" s="5" t="str">
        <x:v>訽</x:v>
      </x:c>
      <x:c r="B3741" s="6" t="str">
        <x:v>去</x:v>
      </x:c>
      <x:c r="C3741" s="6" t="str">
        <x:f>IF(B3741="","Needs decision","Ready")</x:f>
        <x:v>Ready</x:v>
      </x:c>
      <x:c r="D3741" s="6" t="str">
        <x:v>去</x:v>
      </x:c>
      <x:c r="E3741" s="6" t="str">
        <x:v>xuwH (C)</x:v>
      </x:c>
      <x:c r="F3741" s="6" t="str">
        <x:v>1</x:v>
      </x:c>
      <x:c r="G3741" s="6" t="str"/>
      <x:c r="H3741" s="6" t="str">
        <x:f>IF(B3741="平","平",IF(B3741="","","仄"))</x:f>
        <x:v>仄</x:v>
      </x:c>
      <x:c r="I3741" s="6" t="str">
        <x:f>IF(D3726="","",IF(AND(ISNUMBER(SEARCH("平",D3726)),OR(ISNUMBER(SEARCH("上",D3726)),ISNUMBER(SEARCH("去",D3726)),ISNUMBER(SEARCH("入",D3726)))),"Ambiguous",IF(ISNUMBER(SEARCH("平",D3726)),"平","仄")))</x:f>
        <x:v>仄</x:v>
      </x:c>
      <x:c r="J3741" s="7" t="str"/>
    </x:row>
    <x:row r="3742">
      <x:c r="A3742" s="5" t="str">
        <x:v>訾</x:v>
      </x:c>
      <x:c r="B3742" s="6" t="str">
        <x:v>平</x:v>
      </x:c>
      <x:c r="C3742" s="6" t="str">
        <x:f>IF(B3742="","Needs decision","Ready")</x:f>
        <x:v>Ready</x:v>
      </x:c>
      <x:c r="D3742" s="6" t="str">
        <x:v>平</x:v>
      </x:c>
      <x:c r="E3742" s="6" t="str">
        <x:v>zje (A)</x:v>
      </x:c>
      <x:c r="F3742" s="6" t="str">
        <x:v>1</x:v>
      </x:c>
      <x:c r="G3742" s="6" t="str"/>
      <x:c r="H3742" s="6" t="str">
        <x:f>IF(B3742="平","平",IF(B3742="","","仄"))</x:f>
        <x:v>平</x:v>
      </x:c>
      <x:c r="I3742" s="6" t="str">
        <x:f>IF(D3727="","",IF(AND(ISNUMBER(SEARCH("平",D3727)),OR(ISNUMBER(SEARCH("上",D3727)),ISNUMBER(SEARCH("去",D3727)),ISNUMBER(SEARCH("入",D3727)))),"Ambiguous",IF(ISNUMBER(SEARCH("平",D3727)),"平","仄")))</x:f>
        <x:v>平</x:v>
      </x:c>
      <x:c r="J3742" s="7" t="str"/>
    </x:row>
    <x:row r="3743">
      <x:c r="A3743" s="5" t="str">
        <x:v>詈</x:v>
      </x:c>
      <x:c r="B3743" s="6" t="str">
        <x:v>去</x:v>
      </x:c>
      <x:c r="C3743" s="6" t="str">
        <x:f>IF(B3743="","Needs decision","Ready")</x:f>
        <x:v>Ready</x:v>
      </x:c>
      <x:c r="D3743" s="6" t="str">
        <x:v>去</x:v>
      </x:c>
      <x:c r="E3743" s="6" t="str">
        <x:v>ljeH (C)</x:v>
      </x:c>
      <x:c r="F3743" s="6" t="str">
        <x:v>1</x:v>
      </x:c>
      <x:c r="G3743" s="6" t="str"/>
      <x:c r="H3743" s="6" t="str">
        <x:f>IF(B3743="平","平",IF(B3743="","","仄"))</x:f>
        <x:v>仄</x:v>
      </x:c>
      <x:c r="I3743" s="6" t="str">
        <x:f>IF(D3728="","",IF(AND(ISNUMBER(SEARCH("平",D3728)),OR(ISNUMBER(SEARCH("上",D3728)),ISNUMBER(SEARCH("去",D3728)),ISNUMBER(SEARCH("入",D3728)))),"Ambiguous",IF(ISNUMBER(SEARCH("平",D3728)),"平","仄")))</x:f>
        <x:v>仄</x:v>
      </x:c>
      <x:c r="J3743" s="7" t="str"/>
    </x:row>
    <x:row r="3744">
      <x:c r="A3744" s="5" t="str">
        <x:v>詎</x:v>
      </x:c>
      <x:c r="B3744" s="6" t="str">
        <x:v>去</x:v>
      </x:c>
      <x:c r="C3744" s="6" t="str">
        <x:f>IF(B3744="","Needs decision","Ready")</x:f>
        <x:v>Ready</x:v>
      </x:c>
      <x:c r="D3744" s="6" t="str">
        <x:v>上/去</x:v>
      </x:c>
      <x:c r="E3744" s="6" t="str">
        <x:v>gjoX [羣開三C魚上] ɡɨ̯əʔ; gjoH [羣開三C魚去] ɡɨ̯əh</x:v>
      </x:c>
      <x:c r="F3744" s="6" t="str">
        <x:v>2</x:v>
      </x:c>
      <x:c r="G3744" s="6" t="str">
        <x:v>Targeted preliminary fill from Xun Gong; review if uncertain</x:v>
      </x:c>
      <x:c r="H3744" s="6" t="str">
        <x:f>IF(B3744="平","平",IF(B3744="","","仄"))</x:f>
        <x:v>仄</x:v>
      </x:c>
      <x:c r="I3744" s="6" t="str">
        <x:f>IF(D3729="","",IF(AND(ISNUMBER(SEARCH("平",D3729)),OR(ISNUMBER(SEARCH("上",D3729)),ISNUMBER(SEARCH("去",D3729)),ISNUMBER(SEARCH("入",D3729)))),"Ambiguous",IF(ISNUMBER(SEARCH("平",D3729)),"平","仄")))</x:f>
        <x:v>仄</x:v>
      </x:c>
      <x:c r="J3744" s="7" t="str">
        <x:v>Xun Gong character-readings.csv</x:v>
      </x:c>
    </x:row>
    <x:row r="3745">
      <x:c r="A3745" s="5" t="str">
        <x:v>詐</x:v>
      </x:c>
      <x:c r="B3745" s="6" t="str">
        <x:v>去</x:v>
      </x:c>
      <x:c r="C3745" s="6" t="str">
        <x:f>IF(B3745="","Needs decision","Ready")</x:f>
        <x:v>Ready</x:v>
      </x:c>
      <x:c r="D3745" s="6" t="str">
        <x:v>去</x:v>
      </x:c>
      <x:c r="E3745" s="6" t="str">
        <x:v>tsraeH (C)</x:v>
      </x:c>
      <x:c r="F3745" s="6" t="str">
        <x:v>1</x:v>
      </x:c>
      <x:c r="G3745" s="6" t="str"/>
      <x:c r="H3745" s="6" t="str">
        <x:f>IF(B3745="平","平",IF(B3745="","","仄"))</x:f>
        <x:v>仄</x:v>
      </x:c>
      <x:c r="I3745" s="6" t="str">
        <x:f>IF(D3730="","",IF(AND(ISNUMBER(SEARCH("平",D3730)),OR(ISNUMBER(SEARCH("上",D3730)),ISNUMBER(SEARCH("去",D3730)),ISNUMBER(SEARCH("入",D3730)))),"Ambiguous",IF(ISNUMBER(SEARCH("平",D3730)),"平","仄")))</x:f>
        <x:v>仄</x:v>
      </x:c>
      <x:c r="J3745" s="7" t="str"/>
    </x:row>
    <x:row r="3746">
      <x:c r="A3746" s="5" t="str">
        <x:v>詒</x:v>
      </x:c>
      <x:c r="B3746" s="6" t="str"/>
      <x:c r="C3746" s="6" t="str">
        <x:f>IF(B3746="","Needs decision","Ready")</x:f>
        <x:v>Needs decision</x:v>
      </x:c>
      <x:c r="D3746" s="6" t="str">
        <x:v>上/平</x:v>
      </x:c>
      <x:c r="E3746" s="6" t="str">
        <x:v>dojX (B); yi (A)</x:v>
      </x:c>
      <x:c r="F3746" s="6" t="str">
        <x:v>2</x:v>
      </x:c>
      <x:c r="G3746" s="6" t="str"/>
      <x:c r="H3746" s="6" t="str">
        <x:f>IF(B3746="平","平",IF(B3746="","","仄"))</x:f>
      </x:c>
      <x:c r="I3746" s="6" t="str">
        <x:f>IF(D3731="","",IF(AND(ISNUMBER(SEARCH("平",D3731)),OR(ISNUMBER(SEARCH("上",D3731)),ISNUMBER(SEARCH("去",D3731)),ISNUMBER(SEARCH("入",D3731)))),"Ambiguous",IF(ISNUMBER(SEARCH("平",D3731)),"平","仄")))</x:f>
        <x:v>平</x:v>
      </x:c>
      <x:c r="J3746" s="7" t="str"/>
    </x:row>
    <x:row r="3747">
      <x:c r="A3747" s="5" t="str">
        <x:v>詔</x:v>
      </x:c>
      <x:c r="B3747" s="6" t="str">
        <x:v>去</x:v>
      </x:c>
      <x:c r="C3747" s="6" t="str">
        <x:f>IF(B3747="","Needs decision","Ready")</x:f>
        <x:v>Ready</x:v>
      </x:c>
      <x:c r="D3747" s="6" t="str">
        <x:v>去</x:v>
      </x:c>
      <x:c r="E3747" s="6" t="str">
        <x:v>tsyewH (C)</x:v>
      </x:c>
      <x:c r="F3747" s="6" t="str">
        <x:v>1</x:v>
      </x:c>
      <x:c r="G3747" s="6" t="str"/>
      <x:c r="H3747" s="6" t="str">
        <x:f>IF(B3747="平","平",IF(B3747="","","仄"))</x:f>
        <x:v>仄</x:v>
      </x:c>
      <x:c r="I3747" s="6" t="str">
        <x:f>IF(D3732="","",IF(AND(ISNUMBER(SEARCH("平",D3732)),OR(ISNUMBER(SEARCH("上",D3732)),ISNUMBER(SEARCH("去",D3732)),ISNUMBER(SEARCH("入",D3732)))),"Ambiguous",IF(ISNUMBER(SEARCH("平",D3732)),"平","仄")))</x:f>
        <x:v>平</x:v>
      </x:c>
      <x:c r="J3747" s="7" t="str"/>
    </x:row>
    <x:row r="3748">
      <x:c r="A3748" s="5" t="str">
        <x:v>詞</x:v>
      </x:c>
      <x:c r="B3748" s="6" t="str">
        <x:v>平</x:v>
      </x:c>
      <x:c r="C3748" s="6" t="str">
        <x:f>IF(B3748="","Needs decision","Ready")</x:f>
        <x:v>Ready</x:v>
      </x:c>
      <x:c r="D3748" s="6" t="str">
        <x:v>平</x:v>
      </x:c>
      <x:c r="E3748" s="6" t="str">
        <x:v>zi (A)</x:v>
      </x:c>
      <x:c r="F3748" s="6" t="str">
        <x:v>1</x:v>
      </x:c>
      <x:c r="G3748" s="6" t="str"/>
      <x:c r="H3748" s="6" t="str">
        <x:f>IF(B3748="平","平",IF(B3748="","","仄"))</x:f>
        <x:v>平</x:v>
      </x:c>
      <x:c r="I3748" s="6" t="str">
        <x:f>IF(D3733="","",IF(AND(ISNUMBER(SEARCH("平",D3733)),OR(ISNUMBER(SEARCH("上",D3733)),ISNUMBER(SEARCH("去",D3733)),ISNUMBER(SEARCH("入",D3733)))),"Ambiguous",IF(ISNUMBER(SEARCH("平",D3733)),"平","仄")))</x:f>
        <x:v>仄</x:v>
      </x:c>
      <x:c r="J3748" s="7" t="str"/>
    </x:row>
    <x:row r="3749">
      <x:c r="A3749" s="5" t="str">
        <x:v>詠</x:v>
      </x:c>
      <x:c r="B3749" s="6" t="str">
        <x:v>去</x:v>
      </x:c>
      <x:c r="C3749" s="6" t="str">
        <x:f>IF(B3749="","Needs decision","Ready")</x:f>
        <x:v>Ready</x:v>
      </x:c>
      <x:c r="D3749" s="6" t="str">
        <x:v>去</x:v>
      </x:c>
      <x:c r="E3749" s="6" t="str">
        <x:v>hjwaengH (C)</x:v>
      </x:c>
      <x:c r="F3749" s="6" t="str">
        <x:v>1</x:v>
      </x:c>
      <x:c r="G3749" s="6" t="str"/>
      <x:c r="H3749" s="6" t="str">
        <x:f>IF(B3749="平","平",IF(B3749="","","仄"))</x:f>
        <x:v>仄</x:v>
      </x:c>
      <x:c r="I3749" s="6" t="str">
        <x:f>IF(D3734="","",IF(AND(ISNUMBER(SEARCH("平",D3734)),OR(ISNUMBER(SEARCH("上",D3734)),ISNUMBER(SEARCH("去",D3734)),ISNUMBER(SEARCH("入",D3734)))),"Ambiguous",IF(ISNUMBER(SEARCH("平",D3734)),"平","仄")))</x:f>
        <x:v>仄</x:v>
      </x:c>
      <x:c r="J3749" s="7" t="str"/>
    </x:row>
    <x:row r="3750">
      <x:c r="A3750" s="5" t="str">
        <x:v>詢</x:v>
      </x:c>
      <x:c r="B3750" s="6" t="str">
        <x:v>平</x:v>
      </x:c>
      <x:c r="C3750" s="6" t="str">
        <x:f>IF(B3750="","Needs decision","Ready")</x:f>
        <x:v>Ready</x:v>
      </x:c>
      <x:c r="D3750" s="6" t="str">
        <x:v>平</x:v>
      </x:c>
      <x:c r="E3750" s="6" t="str"/>
      <x:c r="F3750" s="6" t="str"/>
      <x:c r="G3750" s="6" t="str">
        <x:v>Manual user correction/addition</x:v>
      </x:c>
      <x:c r="H3750" s="6" t="str">
        <x:f>IF(B3750="平","平",IF(B3750="","","仄"))</x:f>
        <x:v>平</x:v>
      </x:c>
      <x:c r="I3750" s="6" t="str">
        <x:f>IF(D3735="","",IF(AND(ISNUMBER(SEARCH("平",D3735)),OR(ISNUMBER(SEARCH("上",D3735)),ISNUMBER(SEARCH("去",D3735)),ISNUMBER(SEARCH("入",D3735)))),"Ambiguous",IF(ISNUMBER(SEARCH("平",D3735)),"平","仄")))</x:f>
        <x:v>仄</x:v>
      </x:c>
      <x:c r="J3750" s="7" t="str">
        <x:v>manual user correction</x:v>
      </x:c>
    </x:row>
    <x:row r="3751">
      <x:c r="A3751" s="5" t="str">
        <x:v>詣</x:v>
      </x:c>
      <x:c r="B3751" s="6" t="str">
        <x:v>去</x:v>
      </x:c>
      <x:c r="C3751" s="6" t="str">
        <x:f>IF(B3751="","Needs decision","Ready")</x:f>
        <x:v>Ready</x:v>
      </x:c>
      <x:c r="D3751" s="6" t="str">
        <x:v>去</x:v>
      </x:c>
      <x:c r="E3751" s="6" t="str">
        <x:v>ngejH (C)</x:v>
      </x:c>
      <x:c r="F3751" s="6" t="str">
        <x:v>1</x:v>
      </x:c>
      <x:c r="G3751" s="6" t="str"/>
      <x:c r="H3751" s="6" t="str">
        <x:f>IF(B3751="平","平",IF(B3751="","","仄"))</x:f>
        <x:v>仄</x:v>
      </x:c>
      <x:c r="I3751" s="6" t="str">
        <x:f>IF(D3736="","",IF(AND(ISNUMBER(SEARCH("平",D3736)),OR(ISNUMBER(SEARCH("上",D3736)),ISNUMBER(SEARCH("去",D3736)),ISNUMBER(SEARCH("入",D3736)))),"Ambiguous",IF(ISNUMBER(SEARCH("平",D3736)),"平","仄")))</x:f>
        <x:v>仄</x:v>
      </x:c>
      <x:c r="J3751" s="7" t="str"/>
    </x:row>
    <x:row r="3752">
      <x:c r="A3752" s="5" t="str">
        <x:v>詤</x:v>
      </x:c>
      <x:c r="B3752" s="6" t="str"/>
      <x:c r="C3752" s="6" t="str">
        <x:f>IF(B3752="","Needs decision","Ready")</x:f>
        <x:v>Needs decision</x:v>
      </x:c>
      <x:c r="D3752" s="6" t="str">
        <x:v>平/上</x:v>
      </x:c>
      <x:c r="E3752" s="6" t="str">
        <x:v>xwang (A); xwangX (B)</x:v>
      </x:c>
      <x:c r="F3752" s="6" t="str">
        <x:v>2</x:v>
      </x:c>
      <x:c r="G3752" s="6" t="str"/>
      <x:c r="H3752" s="6" t="str">
        <x:f>IF(B3752="平","平",IF(B3752="","","仄"))</x:f>
      </x:c>
      <x:c r="I3752" s="6" t="str">
        <x:f>IF(D3737="","",IF(AND(ISNUMBER(SEARCH("平",D3737)),OR(ISNUMBER(SEARCH("上",D3737)),ISNUMBER(SEARCH("去",D3737)),ISNUMBER(SEARCH("入",D3737)))),"Ambiguous",IF(ISNUMBER(SEARCH("平",D3737)),"平","仄")))</x:f>
        <x:v>平</x:v>
      </x:c>
      <x:c r="J3752" s="7" t="str"/>
    </x:row>
    <x:row r="3753">
      <x:c r="A3753" s="5" t="str">
        <x:v>試</x:v>
      </x:c>
      <x:c r="B3753" s="6" t="str">
        <x:v>去</x:v>
      </x:c>
      <x:c r="C3753" s="6" t="str">
        <x:f>IF(B3753="","Needs decision","Ready")</x:f>
        <x:v>Ready</x:v>
      </x:c>
      <x:c r="D3753" s="6" t="str">
        <x:v>去</x:v>
      </x:c>
      <x:c r="E3753" s="6" t="str">
        <x:v>syiH (C)</x:v>
      </x:c>
      <x:c r="F3753" s="6" t="str">
        <x:v>1</x:v>
      </x:c>
      <x:c r="G3753" s="6" t="str"/>
      <x:c r="H3753" s="6" t="str">
        <x:f>IF(B3753="平","平",IF(B3753="","","仄"))</x:f>
        <x:v>仄</x:v>
      </x:c>
      <x:c r="I3753" s="6" t="str">
        <x:f>IF(D3738="","",IF(AND(ISNUMBER(SEARCH("平",D3738)),OR(ISNUMBER(SEARCH("上",D3738)),ISNUMBER(SEARCH("去",D3738)),ISNUMBER(SEARCH("入",D3738)))),"Ambiguous",IF(ISNUMBER(SEARCH("平",D3738)),"平","仄")))</x:f>
        <x:v>仄</x:v>
      </x:c>
      <x:c r="J3753" s="7" t="str"/>
    </x:row>
    <x:row r="3754">
      <x:c r="A3754" s="5" t="str">
        <x:v>詩</x:v>
      </x:c>
      <x:c r="B3754" s="6" t="str">
        <x:v>平</x:v>
      </x:c>
      <x:c r="C3754" s="6" t="str">
        <x:f>IF(B3754="","Needs decision","Ready")</x:f>
        <x:v>Ready</x:v>
      </x:c>
      <x:c r="D3754" s="6" t="str">
        <x:v>平</x:v>
      </x:c>
      <x:c r="E3754" s="6" t="str">
        <x:v>syi (A)</x:v>
      </x:c>
      <x:c r="F3754" s="6" t="str">
        <x:v>1</x:v>
      </x:c>
      <x:c r="G3754" s="6" t="str"/>
      <x:c r="H3754" s="6" t="str">
        <x:f>IF(B3754="平","平",IF(B3754="","","仄"))</x:f>
        <x:v>平</x:v>
      </x:c>
      <x:c r="I3754" s="6" t="str">
        <x:f>IF(D3739="","",IF(AND(ISNUMBER(SEARCH("平",D3739)),OR(ISNUMBER(SEARCH("上",D3739)),ISNUMBER(SEARCH("去",D3739)),ISNUMBER(SEARCH("入",D3739)))),"Ambiguous",IF(ISNUMBER(SEARCH("平",D3739)),"平","仄")))</x:f>
        <x:v>仄</x:v>
      </x:c>
      <x:c r="J3754" s="7" t="str"/>
    </x:row>
    <x:row r="3755">
      <x:c r="A3755" s="5" t="str">
        <x:v>詫</x:v>
      </x:c>
      <x:c r="B3755" s="6" t="str">
        <x:v>去</x:v>
      </x:c>
      <x:c r="C3755" s="6" t="str">
        <x:f>IF(B3755="","Needs decision","Ready")</x:f>
        <x:v>Ready</x:v>
      </x:c>
      <x:c r="D3755" s="6" t="str">
        <x:v>去</x:v>
      </x:c>
      <x:c r="E3755" s="6" t="str">
        <x:v>trhaeH (C)</x:v>
      </x:c>
      <x:c r="F3755" s="6" t="str">
        <x:v>1</x:v>
      </x:c>
      <x:c r="G3755" s="6" t="str"/>
      <x:c r="H3755" s="6" t="str">
        <x:f>IF(B3755="平","平",IF(B3755="","","仄"))</x:f>
        <x:v>仄</x:v>
      </x:c>
      <x:c r="I3755" s="6" t="str">
        <x:f>IF(D3740="","",IF(AND(ISNUMBER(SEARCH("平",D3740)),OR(ISNUMBER(SEARCH("上",D3740)),ISNUMBER(SEARCH("去",D3740)),ISNUMBER(SEARCH("入",D3740)))),"Ambiguous",IF(ISNUMBER(SEARCH("平",D3740)),"平","仄")))</x:f>
        <x:v>仄</x:v>
      </x:c>
      <x:c r="J3755" s="7" t="str"/>
    </x:row>
    <x:row r="3756">
      <x:c r="A3756" s="5" t="str">
        <x:v>詭</x:v>
      </x:c>
      <x:c r="B3756" s="6" t="str">
        <x:v>上</x:v>
      </x:c>
      <x:c r="C3756" s="6" t="str">
        <x:f>IF(B3756="","Needs decision","Ready")</x:f>
        <x:v>Ready</x:v>
      </x:c>
      <x:c r="D3756" s="6" t="str">
        <x:v>上</x:v>
      </x:c>
      <x:c r="E3756" s="6" t="str">
        <x:v>kjweX (B)</x:v>
      </x:c>
      <x:c r="F3756" s="6" t="str">
        <x:v>1</x:v>
      </x:c>
      <x:c r="G3756" s="6" t="str"/>
      <x:c r="H3756" s="6" t="str">
        <x:f>IF(B3756="平","平",IF(B3756="","","仄"))</x:f>
        <x:v>仄</x:v>
      </x:c>
      <x:c r="I3756" s="6" t="str">
        <x:f>IF(D3741="","",IF(AND(ISNUMBER(SEARCH("平",D3741)),OR(ISNUMBER(SEARCH("上",D3741)),ISNUMBER(SEARCH("去",D3741)),ISNUMBER(SEARCH("入",D3741)))),"Ambiguous",IF(ISNUMBER(SEARCH("平",D3741)),"平","仄")))</x:f>
        <x:v>仄</x:v>
      </x:c>
      <x:c r="J3756" s="7" t="str"/>
    </x:row>
    <x:row r="3757">
      <x:c r="A3757" s="5" t="str">
        <x:v>詰</x:v>
      </x:c>
      <x:c r="B3757" s="6" t="str">
        <x:v>入</x:v>
      </x:c>
      <x:c r="C3757" s="6" t="str">
        <x:f>IF(B3757="","Needs decision","Ready")</x:f>
        <x:v>Ready</x:v>
      </x:c>
      <x:c r="D3757" s="6" t="str">
        <x:v>入</x:v>
      </x:c>
      <x:c r="E3757" s="6" t="str">
        <x:v>khjit (D)</x:v>
      </x:c>
      <x:c r="F3757" s="6" t="str">
        <x:v>1</x:v>
      </x:c>
      <x:c r="G3757" s="6" t="str"/>
      <x:c r="H3757" s="6" t="str">
        <x:f>IF(B3757="平","平",IF(B3757="","","仄"))</x:f>
        <x:v>仄</x:v>
      </x:c>
      <x:c r="I3757" s="6" t="str">
        <x:f>IF(D3742="","",IF(AND(ISNUMBER(SEARCH("平",D3742)),OR(ISNUMBER(SEARCH("上",D3742)),ISNUMBER(SEARCH("去",D3742)),ISNUMBER(SEARCH("入",D3742)))),"Ambiguous",IF(ISNUMBER(SEARCH("平",D3742)),"平","仄")))</x:f>
        <x:v>平</x:v>
      </x:c>
      <x:c r="J3757" s="7" t="str"/>
    </x:row>
    <x:row r="3758">
      <x:c r="A3758" s="5" t="str">
        <x:v>話</x:v>
      </x:c>
      <x:c r="B3758" s="6" t="str">
        <x:v>去</x:v>
      </x:c>
      <x:c r="C3758" s="6" t="str">
        <x:f>IF(B3758="","Needs decision","Ready")</x:f>
        <x:v>Ready</x:v>
      </x:c>
      <x:c r="D3758" s="6" t="str">
        <x:v>去</x:v>
      </x:c>
      <x:c r="E3758" s="6" t="str">
        <x:v>hwaejH (C)</x:v>
      </x:c>
      <x:c r="F3758" s="6" t="str">
        <x:v>1</x:v>
      </x:c>
      <x:c r="G3758" s="6" t="str"/>
      <x:c r="H3758" s="6" t="str">
        <x:f>IF(B3758="平","平",IF(B3758="","","仄"))</x:f>
        <x:v>仄</x:v>
      </x:c>
      <x:c r="I3758" s="6" t="str">
        <x:f>IF(D3743="","",IF(AND(ISNUMBER(SEARCH("平",D3743)),OR(ISNUMBER(SEARCH("上",D3743)),ISNUMBER(SEARCH("去",D3743)),ISNUMBER(SEARCH("入",D3743)))),"Ambiguous",IF(ISNUMBER(SEARCH("平",D3743)),"平","仄")))</x:f>
        <x:v>仄</x:v>
      </x:c>
      <x:c r="J3758" s="7" t="str"/>
    </x:row>
    <x:row r="3759">
      <x:c r="A3759" s="5" t="str">
        <x:v>該</x:v>
      </x:c>
      <x:c r="B3759" s="6" t="str">
        <x:v>平</x:v>
      </x:c>
      <x:c r="C3759" s="6" t="str">
        <x:f>IF(B3759="","Needs decision","Ready")</x:f>
        <x:v>Ready</x:v>
      </x:c>
      <x:c r="D3759" s="6" t="str">
        <x:v>平</x:v>
      </x:c>
      <x:c r="E3759" s="6" t="str">
        <x:v>koj (A)</x:v>
      </x:c>
      <x:c r="F3759" s="6" t="str">
        <x:v>1</x:v>
      </x:c>
      <x:c r="G3759" s="6" t="str"/>
      <x:c r="H3759" s="6" t="str">
        <x:f>IF(B3759="平","平",IF(B3759="","","仄"))</x:f>
        <x:v>平</x:v>
      </x:c>
      <x:c r="I3759" s="6" t="str">
        <x:f>IF(D3744="","",IF(AND(ISNUMBER(SEARCH("平",D3744)),OR(ISNUMBER(SEARCH("上",D3744)),ISNUMBER(SEARCH("去",D3744)),ISNUMBER(SEARCH("入",D3744)))),"Ambiguous",IF(ISNUMBER(SEARCH("平",D3744)),"平","仄")))</x:f>
        <x:v>仄</x:v>
      </x:c>
      <x:c r="J3759" s="7" t="str"/>
    </x:row>
    <x:row r="3760">
      <x:c r="A3760" s="5" t="str">
        <x:v>詳</x:v>
      </x:c>
      <x:c r="B3760" s="6" t="str">
        <x:v>平</x:v>
      </x:c>
      <x:c r="C3760" s="6" t="str">
        <x:f>IF(B3760="","Needs decision","Ready")</x:f>
        <x:v>Ready</x:v>
      </x:c>
      <x:c r="D3760" s="6" t="str">
        <x:v>平</x:v>
      </x:c>
      <x:c r="E3760" s="6" t="str">
        <x:v>zjang (A)</x:v>
      </x:c>
      <x:c r="F3760" s="6" t="str">
        <x:v>1</x:v>
      </x:c>
      <x:c r="G3760" s="6" t="str"/>
      <x:c r="H3760" s="6" t="str">
        <x:f>IF(B3760="平","平",IF(B3760="","","仄"))</x:f>
        <x:v>平</x:v>
      </x:c>
      <x:c r="I3760" s="6" t="str">
        <x:f>IF(D3745="","",IF(AND(ISNUMBER(SEARCH("平",D3745)),OR(ISNUMBER(SEARCH("上",D3745)),ISNUMBER(SEARCH("去",D3745)),ISNUMBER(SEARCH("入",D3745)))),"Ambiguous",IF(ISNUMBER(SEARCH("平",D3745)),"平","仄")))</x:f>
        <x:v>仄</x:v>
      </x:c>
      <x:c r="J3760" s="7" t="str"/>
    </x:row>
    <x:row r="3761">
      <x:c r="A3761" s="5" t="str">
        <x:v>詵</x:v>
      </x:c>
      <x:c r="B3761" s="6" t="str">
        <x:v>平</x:v>
      </x:c>
      <x:c r="C3761" s="6" t="str">
        <x:f>IF(B3761="","Needs decision","Ready")</x:f>
        <x:v>Ready</x:v>
      </x:c>
      <x:c r="D3761" s="6" t="str">
        <x:v>平</x:v>
      </x:c>
      <x:c r="E3761" s="6" t="str">
        <x:v>srin (A)</x:v>
      </x:c>
      <x:c r="F3761" s="6" t="str">
        <x:v>1</x:v>
      </x:c>
      <x:c r="G3761" s="6" t="str"/>
      <x:c r="H3761" s="6" t="str">
        <x:f>IF(B3761="平","平",IF(B3761="","","仄"))</x:f>
        <x:v>平</x:v>
      </x:c>
      <x:c r="I3761" s="6" t="str">
        <x:f>IF(D3746="","",IF(AND(ISNUMBER(SEARCH("平",D3746)),OR(ISNUMBER(SEARCH("上",D3746)),ISNUMBER(SEARCH("去",D3746)),ISNUMBER(SEARCH("入",D3746)))),"Ambiguous",IF(ISNUMBER(SEARCH("平",D3746)),"平","仄")))</x:f>
        <x:v>Ambiguous</x:v>
      </x:c>
      <x:c r="J3761" s="7" t="str"/>
    </x:row>
    <x:row r="3762">
      <x:c r="A3762" s="5" t="str">
        <x:v>詹</x:v>
      </x:c>
      <x:c r="B3762" s="6" t="str">
        <x:v>平</x:v>
      </x:c>
      <x:c r="C3762" s="6" t="str">
        <x:f>IF(B3762="","Needs decision","Ready")</x:f>
        <x:v>Ready</x:v>
      </x:c>
      <x:c r="D3762" s="6" t="str">
        <x:v>平</x:v>
      </x:c>
      <x:c r="E3762" s="6" t="str">
        <x:v>tsyem (A)</x:v>
      </x:c>
      <x:c r="F3762" s="6" t="str">
        <x:v>1</x:v>
      </x:c>
      <x:c r="G3762" s="6" t="str"/>
      <x:c r="H3762" s="6" t="str">
        <x:f>IF(B3762="平","平",IF(B3762="","","仄"))</x:f>
        <x:v>平</x:v>
      </x:c>
      <x:c r="I3762" s="6" t="str">
        <x:f>IF(D3747="","",IF(AND(ISNUMBER(SEARCH("平",D3747)),OR(ISNUMBER(SEARCH("上",D3747)),ISNUMBER(SEARCH("去",D3747)),ISNUMBER(SEARCH("入",D3747)))),"Ambiguous",IF(ISNUMBER(SEARCH("平",D3747)),"平","仄")))</x:f>
        <x:v>仄</x:v>
      </x:c>
      <x:c r="J3762" s="7" t="str"/>
    </x:row>
    <x:row r="3763">
      <x:c r="A3763" s="5" t="str">
        <x:v>誄</x:v>
      </x:c>
      <x:c r="B3763" s="6" t="str">
        <x:v>上</x:v>
      </x:c>
      <x:c r="C3763" s="6" t="str">
        <x:f>IF(B3763="","Needs decision","Ready")</x:f>
        <x:v>Ready</x:v>
      </x:c>
      <x:c r="D3763" s="6" t="str">
        <x:v>上</x:v>
      </x:c>
      <x:c r="E3763" s="6" t="str">
        <x:v>lwijX (B)</x:v>
      </x:c>
      <x:c r="F3763" s="6" t="str">
        <x:v>1</x:v>
      </x:c>
      <x:c r="G3763" s="6" t="str"/>
      <x:c r="H3763" s="6" t="str">
        <x:f>IF(B3763="平","平",IF(B3763="","","仄"))</x:f>
        <x:v>仄</x:v>
      </x:c>
      <x:c r="I3763" s="6" t="str">
        <x:f>IF(D3748="","",IF(AND(ISNUMBER(SEARCH("平",D3748)),OR(ISNUMBER(SEARCH("上",D3748)),ISNUMBER(SEARCH("去",D3748)),ISNUMBER(SEARCH("入",D3748)))),"Ambiguous",IF(ISNUMBER(SEARCH("平",D3748)),"平","仄")))</x:f>
        <x:v>平</x:v>
      </x:c>
      <x:c r="J3763" s="7" t="str"/>
    </x:row>
    <x:row r="3764">
      <x:c r="A3764" s="5" t="str">
        <x:v>誅</x:v>
      </x:c>
      <x:c r="B3764" s="6" t="str">
        <x:v>平</x:v>
      </x:c>
      <x:c r="C3764" s="6" t="str">
        <x:f>IF(B3764="","Needs decision","Ready")</x:f>
        <x:v>Ready</x:v>
      </x:c>
      <x:c r="D3764" s="6" t="str">
        <x:v>平</x:v>
      </x:c>
      <x:c r="E3764" s="6" t="str">
        <x:v>trju (A)</x:v>
      </x:c>
      <x:c r="F3764" s="6" t="str">
        <x:v>1</x:v>
      </x:c>
      <x:c r="G3764" s="6" t="str"/>
      <x:c r="H3764" s="6" t="str">
        <x:f>IF(B3764="平","平",IF(B3764="","","仄"))</x:f>
        <x:v>平</x:v>
      </x:c>
      <x:c r="I3764" s="6" t="str">
        <x:f>IF(D3749="","",IF(AND(ISNUMBER(SEARCH("平",D3749)),OR(ISNUMBER(SEARCH("上",D3749)),ISNUMBER(SEARCH("去",D3749)),ISNUMBER(SEARCH("入",D3749)))),"Ambiguous",IF(ISNUMBER(SEARCH("平",D3749)),"平","仄")))</x:f>
        <x:v>仄</x:v>
      </x:c>
      <x:c r="J3764" s="7" t="str"/>
    </x:row>
    <x:row r="3765">
      <x:c r="A3765" s="5" t="str">
        <x:v>誇</x:v>
      </x:c>
      <x:c r="B3765" s="6" t="str">
        <x:v>平</x:v>
      </x:c>
      <x:c r="C3765" s="6" t="str">
        <x:f>IF(B3765="","Needs decision","Ready")</x:f>
        <x:v>Ready</x:v>
      </x:c>
      <x:c r="D3765" s="6" t="str">
        <x:v>平</x:v>
      </x:c>
      <x:c r="E3765" s="6" t="str">
        <x:v>khwae (A)</x:v>
      </x:c>
      <x:c r="F3765" s="6" t="str">
        <x:v>1</x:v>
      </x:c>
      <x:c r="G3765" s="6" t="str"/>
      <x:c r="H3765" s="6" t="str">
        <x:f>IF(B3765="平","平",IF(B3765="","","仄"))</x:f>
        <x:v>平</x:v>
      </x:c>
      <x:c r="I3765" s="6" t="str">
        <x:f>IF(D3750="","",IF(AND(ISNUMBER(SEARCH("平",D3750)),OR(ISNUMBER(SEARCH("上",D3750)),ISNUMBER(SEARCH("去",D3750)),ISNUMBER(SEARCH("入",D3750)))),"Ambiguous",IF(ISNUMBER(SEARCH("平",D3750)),"平","仄")))</x:f>
        <x:v>平</x:v>
      </x:c>
      <x:c r="J3765" s="7" t="str"/>
    </x:row>
    <x:row r="3766">
      <x:c r="A3766" s="5" t="str">
        <x:v>誌</x:v>
      </x:c>
      <x:c r="B3766" s="6" t="str">
        <x:v>去</x:v>
      </x:c>
      <x:c r="C3766" s="6" t="str">
        <x:f>IF(B3766="","Needs decision","Ready")</x:f>
        <x:v>Ready</x:v>
      </x:c>
      <x:c r="D3766" s="6" t="str">
        <x:v>去</x:v>
      </x:c>
      <x:c r="E3766" s="6" t="str">
        <x:v>tsyiH (C)</x:v>
      </x:c>
      <x:c r="F3766" s="6" t="str">
        <x:v>1</x:v>
      </x:c>
      <x:c r="G3766" s="6" t="str"/>
      <x:c r="H3766" s="6" t="str">
        <x:f>IF(B3766="平","平",IF(B3766="","","仄"))</x:f>
        <x:v>仄</x:v>
      </x:c>
      <x:c r="I3766" s="6" t="str">
        <x:f>IF(D3751="","",IF(AND(ISNUMBER(SEARCH("平",D3751)),OR(ISNUMBER(SEARCH("上",D3751)),ISNUMBER(SEARCH("去",D3751)),ISNUMBER(SEARCH("入",D3751)))),"Ambiguous",IF(ISNUMBER(SEARCH("平",D3751)),"平","仄")))</x:f>
        <x:v>仄</x:v>
      </x:c>
      <x:c r="J3766" s="7" t="str"/>
    </x:row>
    <x:row r="3767">
      <x:c r="A3767" s="5" t="str">
        <x:v>認</x:v>
      </x:c>
      <x:c r="B3767" s="6" t="str">
        <x:v>去</x:v>
      </x:c>
      <x:c r="C3767" s="6" t="str">
        <x:f>IF(B3767="","Needs decision","Ready")</x:f>
        <x:v>Ready</x:v>
      </x:c>
      <x:c r="D3767" s="6" t="str">
        <x:v>去</x:v>
      </x:c>
      <x:c r="E3767" s="6" t="str">
        <x:v>nyinH (C)</x:v>
      </x:c>
      <x:c r="F3767" s="6" t="str">
        <x:v>1</x:v>
      </x:c>
      <x:c r="G3767" s="6" t="str"/>
      <x:c r="H3767" s="6" t="str">
        <x:f>IF(B3767="平","平",IF(B3767="","","仄"))</x:f>
        <x:v>仄</x:v>
      </x:c>
      <x:c r="I3767" s="6" t="str">
        <x:f>IF(D3752="","",IF(AND(ISNUMBER(SEARCH("平",D3752)),OR(ISNUMBER(SEARCH("上",D3752)),ISNUMBER(SEARCH("去",D3752)),ISNUMBER(SEARCH("入",D3752)))),"Ambiguous",IF(ISNUMBER(SEARCH("平",D3752)),"平","仄")))</x:f>
        <x:v>Ambiguous</x:v>
      </x:c>
      <x:c r="J3767" s="7" t="str"/>
    </x:row>
    <x:row r="3768">
      <x:c r="A3768" s="5" t="str">
        <x:v>誓</x:v>
      </x:c>
      <x:c r="B3768" s="6" t="str">
        <x:v>去</x:v>
      </x:c>
      <x:c r="C3768" s="6" t="str">
        <x:f>IF(B3768="","Needs decision","Ready")</x:f>
        <x:v>Ready</x:v>
      </x:c>
      <x:c r="D3768" s="6" t="str">
        <x:v>去</x:v>
      </x:c>
      <x:c r="E3768" s="6" t="str">
        <x:v>dzyejH (C)</x:v>
      </x:c>
      <x:c r="F3768" s="6" t="str">
        <x:v>1</x:v>
      </x:c>
      <x:c r="G3768" s="6" t="str"/>
      <x:c r="H3768" s="6" t="str">
        <x:f>IF(B3768="平","平",IF(B3768="","","仄"))</x:f>
        <x:v>仄</x:v>
      </x:c>
      <x:c r="I3768" s="6" t="str">
        <x:f>IF(D3753="","",IF(AND(ISNUMBER(SEARCH("平",D3753)),OR(ISNUMBER(SEARCH("上",D3753)),ISNUMBER(SEARCH("去",D3753)),ISNUMBER(SEARCH("入",D3753)))),"Ambiguous",IF(ISNUMBER(SEARCH("平",D3753)),"平","仄")))</x:f>
        <x:v>仄</x:v>
      </x:c>
      <x:c r="J3768" s="7" t="str"/>
    </x:row>
    <x:row r="3769">
      <x:c r="A3769" s="5" t="str">
        <x:v>誕</x:v>
      </x:c>
      <x:c r="B3769" s="6" t="str">
        <x:v>上</x:v>
      </x:c>
      <x:c r="C3769" s="6" t="str">
        <x:f>IF(B3769="","Needs decision","Ready")</x:f>
        <x:v>Ready</x:v>
      </x:c>
      <x:c r="D3769" s="6" t="str">
        <x:v>上</x:v>
      </x:c>
      <x:c r="E3769" s="6" t="str"/>
      <x:c r="F3769" s="6" t="str"/>
      <x:c r="G3769" s="6" t="str">
        <x:v>Manual user correction/addition</x:v>
      </x:c>
      <x:c r="H3769" s="6" t="str">
        <x:f>IF(B3769="平","平",IF(B3769="","","仄"))</x:f>
        <x:v>仄</x:v>
      </x:c>
      <x:c r="I3769" s="6" t="str">
        <x:f>IF(D3754="","",IF(AND(ISNUMBER(SEARCH("平",D3754)),OR(ISNUMBER(SEARCH("上",D3754)),ISNUMBER(SEARCH("去",D3754)),ISNUMBER(SEARCH("入",D3754)))),"Ambiguous",IF(ISNUMBER(SEARCH("平",D3754)),"平","仄")))</x:f>
        <x:v>平</x:v>
      </x:c>
      <x:c r="J3769" s="7" t="str">
        <x:v>manual user correction</x:v>
      </x:c>
    </x:row>
    <x:row r="3770">
      <x:c r="A3770" s="5" t="str">
        <x:v>誖</x:v>
      </x:c>
      <x:c r="B3770" s="6" t="str"/>
      <x:c r="C3770" s="6" t="str">
        <x:f>IF(B3770="","Needs decision","Ready")</x:f>
        <x:v>Needs decision</x:v>
      </x:c>
      <x:c r="D3770" s="6" t="str">
        <x:v>去/入</x:v>
      </x:c>
      <x:c r="E3770" s="6" t="str">
        <x:v>bwojH (C); bwot (D)</x:v>
      </x:c>
      <x:c r="F3770" s="6" t="str">
        <x:v>2</x:v>
      </x:c>
      <x:c r="G3770" s="6" t="str"/>
      <x:c r="H3770" s="6" t="str">
        <x:f>IF(B3770="平","平",IF(B3770="","","仄"))</x:f>
      </x:c>
      <x:c r="I3770" s="6" t="str">
        <x:f>IF(D3755="","",IF(AND(ISNUMBER(SEARCH("平",D3755)),OR(ISNUMBER(SEARCH("上",D3755)),ISNUMBER(SEARCH("去",D3755)),ISNUMBER(SEARCH("入",D3755)))),"Ambiguous",IF(ISNUMBER(SEARCH("平",D3755)),"平","仄")))</x:f>
        <x:v>仄</x:v>
      </x:c>
      <x:c r="J3770" s="7" t="str"/>
    </x:row>
    <x:row r="3771">
      <x:c r="A3771" s="5" t="str">
        <x:v>誘</x:v>
      </x:c>
      <x:c r="B3771" s="6" t="str">
        <x:v>上</x:v>
      </x:c>
      <x:c r="C3771" s="6" t="str">
        <x:f>IF(B3771="","Needs decision","Ready")</x:f>
        <x:v>Ready</x:v>
      </x:c>
      <x:c r="D3771" s="6" t="str">
        <x:v>上</x:v>
      </x:c>
      <x:c r="E3771" s="6" t="str">
        <x:v>yuwX (B)</x:v>
      </x:c>
      <x:c r="F3771" s="6" t="str">
        <x:v>1</x:v>
      </x:c>
      <x:c r="G3771" s="6" t="str"/>
      <x:c r="H3771" s="6" t="str">
        <x:f>IF(B3771="平","平",IF(B3771="","","仄"))</x:f>
        <x:v>仄</x:v>
      </x:c>
      <x:c r="I3771" s="6" t="str">
        <x:f>IF(D3756="","",IF(AND(ISNUMBER(SEARCH("平",D3756)),OR(ISNUMBER(SEARCH("上",D3756)),ISNUMBER(SEARCH("去",D3756)),ISNUMBER(SEARCH("入",D3756)))),"Ambiguous",IF(ISNUMBER(SEARCH("平",D3756)),"平","仄")))</x:f>
        <x:v>仄</x:v>
      </x:c>
      <x:c r="J3771" s="7" t="str"/>
    </x:row>
    <x:row r="3772">
      <x:c r="A3772" s="5" t="str">
        <x:v>語</x:v>
      </x:c>
      <x:c r="B3772" s="6" t="str">
        <x:v>上</x:v>
      </x:c>
      <x:c r="C3772" s="6" t="str">
        <x:f>IF(B3772="","Needs decision","Ready")</x:f>
        <x:v>Ready</x:v>
      </x:c>
      <x:c r="D3772" s="6" t="str">
        <x:v>上/去</x:v>
      </x:c>
      <x:c r="E3772" s="6" t="str">
        <x:v>ngjoX (B); ngjoH (C)</x:v>
      </x:c>
      <x:c r="F3772" s="6" t="str">
        <x:v>2</x:v>
      </x:c>
      <x:c r="G3772" s="6" t="str">
        <x:v>User workbook edit 2026-09-03</x:v>
      </x:c>
      <x:c r="H3772" s="6" t="str">
        <x:f>IF(B3772="平","平",IF(B3772="","","仄"))</x:f>
        <x:v>仄</x:v>
      </x:c>
      <x:c r="I3772" s="6" t="str">
        <x:f>IF(D3757="","",IF(AND(ISNUMBER(SEARCH("平",D3757)),OR(ISNUMBER(SEARCH("上",D3757)),ISNUMBER(SEARCH("去",D3757)),ISNUMBER(SEARCH("入",D3757)))),"Ambiguous",IF(ISNUMBER(SEARCH("平",D3757)),"平","仄")))</x:f>
        <x:v>仄</x:v>
      </x:c>
      <x:c r="J3772" s="7" t="str">
        <x:v>manual user correction</x:v>
      </x:c>
    </x:row>
    <x:row r="3773">
      <x:c r="A3773" s="5" t="str">
        <x:v>誠</x:v>
      </x:c>
      <x:c r="B3773" s="6" t="str">
        <x:v>平</x:v>
      </x:c>
      <x:c r="C3773" s="6" t="str">
        <x:f>IF(B3773="","Needs decision","Ready")</x:f>
        <x:v>Ready</x:v>
      </x:c>
      <x:c r="D3773" s="6" t="str">
        <x:v>平</x:v>
      </x:c>
      <x:c r="E3773" s="6" t="str">
        <x:v>dzyeng (A)</x:v>
      </x:c>
      <x:c r="F3773" s="6" t="str">
        <x:v>1</x:v>
      </x:c>
      <x:c r="G3773" s="6" t="str"/>
      <x:c r="H3773" s="6" t="str">
        <x:f>IF(B3773="平","平",IF(B3773="","","仄"))</x:f>
        <x:v>平</x:v>
      </x:c>
      <x:c r="I3773" s="6" t="str">
        <x:f>IF(D3758="","",IF(AND(ISNUMBER(SEARCH("平",D3758)),OR(ISNUMBER(SEARCH("上",D3758)),ISNUMBER(SEARCH("去",D3758)),ISNUMBER(SEARCH("入",D3758)))),"Ambiguous",IF(ISNUMBER(SEARCH("平",D3758)),"平","仄")))</x:f>
        <x:v>仄</x:v>
      </x:c>
      <x:c r="J3773" s="7" t="str"/>
    </x:row>
    <x:row r="3774">
      <x:c r="A3774" s="5" t="str">
        <x:v>誡</x:v>
      </x:c>
      <x:c r="B3774" s="6" t="str">
        <x:v>去</x:v>
      </x:c>
      <x:c r="C3774" s="6" t="str">
        <x:f>IF(B3774="","Needs decision","Ready")</x:f>
        <x:v>Ready</x:v>
      </x:c>
      <x:c r="D3774" s="6" t="str">
        <x:v>去</x:v>
      </x:c>
      <x:c r="E3774" s="6" t="str">
        <x:v>keajH (C)</x:v>
      </x:c>
      <x:c r="F3774" s="6" t="str">
        <x:v>1</x:v>
      </x:c>
      <x:c r="G3774" s="6" t="str"/>
      <x:c r="H3774" s="6" t="str">
        <x:f>IF(B3774="平","平",IF(B3774="","","仄"))</x:f>
        <x:v>仄</x:v>
      </x:c>
      <x:c r="I3774" s="6" t="str">
        <x:f>IF(D3759="","",IF(AND(ISNUMBER(SEARCH("平",D3759)),OR(ISNUMBER(SEARCH("上",D3759)),ISNUMBER(SEARCH("去",D3759)),ISNUMBER(SEARCH("入",D3759)))),"Ambiguous",IF(ISNUMBER(SEARCH("平",D3759)),"平","仄")))</x:f>
        <x:v>平</x:v>
      </x:c>
      <x:c r="J3774" s="7" t="str"/>
    </x:row>
    <x:row r="3775">
      <x:c r="A3775" s="5" t="str">
        <x:v>誣</x:v>
      </x:c>
      <x:c r="B3775" s="6" t="str">
        <x:v>平</x:v>
      </x:c>
      <x:c r="C3775" s="6" t="str">
        <x:f>IF(B3775="","Needs decision","Ready")</x:f>
        <x:v>Ready</x:v>
      </x:c>
      <x:c r="D3775" s="6" t="str">
        <x:v>平</x:v>
      </x:c>
      <x:c r="E3775" s="6" t="str">
        <x:v>mju (A)</x:v>
      </x:c>
      <x:c r="F3775" s="6" t="str">
        <x:v>1</x:v>
      </x:c>
      <x:c r="G3775" s="6" t="str"/>
      <x:c r="H3775" s="6" t="str">
        <x:f>IF(B3775="平","平",IF(B3775="","","仄"))</x:f>
        <x:v>平</x:v>
      </x:c>
      <x:c r="I3775" s="6" t="str">
        <x:f>IF(D3760="","",IF(AND(ISNUMBER(SEARCH("平",D3760)),OR(ISNUMBER(SEARCH("上",D3760)),ISNUMBER(SEARCH("去",D3760)),ISNUMBER(SEARCH("入",D3760)))),"Ambiguous",IF(ISNUMBER(SEARCH("平",D3760)),"平","仄")))</x:f>
        <x:v>平</x:v>
      </x:c>
      <x:c r="J3775" s="7" t="str"/>
    </x:row>
    <x:row r="3776">
      <x:c r="A3776" s="5" t="str">
        <x:v>誤</x:v>
      </x:c>
      <x:c r="B3776" s="6" t="str">
        <x:v>去</x:v>
      </x:c>
      <x:c r="C3776" s="6" t="str">
        <x:f>IF(B3776="","Needs decision","Ready")</x:f>
        <x:v>Ready</x:v>
      </x:c>
      <x:c r="D3776" s="6" t="str">
        <x:v>去</x:v>
      </x:c>
      <x:c r="E3776" s="6" t="str">
        <x:v>nguH (C)</x:v>
      </x:c>
      <x:c r="F3776" s="6" t="str">
        <x:v>1</x:v>
      </x:c>
      <x:c r="G3776" s="6" t="str"/>
      <x:c r="H3776" s="6" t="str">
        <x:f>IF(B3776="平","平",IF(B3776="","","仄"))</x:f>
        <x:v>仄</x:v>
      </x:c>
      <x:c r="I3776" s="6" t="str">
        <x:f>IF(D3761="","",IF(AND(ISNUMBER(SEARCH("平",D3761)),OR(ISNUMBER(SEARCH("上",D3761)),ISNUMBER(SEARCH("去",D3761)),ISNUMBER(SEARCH("入",D3761)))),"Ambiguous",IF(ISNUMBER(SEARCH("平",D3761)),"平","仄")))</x:f>
        <x:v>平</x:v>
      </x:c>
      <x:c r="J3776" s="7" t="str"/>
    </x:row>
    <x:row r="3777">
      <x:c r="A3777" s="5" t="str">
        <x:v>誥</x:v>
      </x:c>
      <x:c r="B3777" s="6" t="str">
        <x:v>去</x:v>
      </x:c>
      <x:c r="C3777" s="6" t="str">
        <x:f>IF(B3777="","Needs decision","Ready")</x:f>
        <x:v>Ready</x:v>
      </x:c>
      <x:c r="D3777" s="6" t="str">
        <x:v>去</x:v>
      </x:c>
      <x:c r="E3777" s="6" t="str">
        <x:v>kawH (C)</x:v>
      </x:c>
      <x:c r="F3777" s="6" t="str">
        <x:v>1</x:v>
      </x:c>
      <x:c r="G3777" s="6" t="str"/>
      <x:c r="H3777" s="6" t="str">
        <x:f>IF(B3777="平","平",IF(B3777="","","仄"))</x:f>
        <x:v>仄</x:v>
      </x:c>
      <x:c r="I3777" s="6" t="str">
        <x:f>IF(D3762="","",IF(AND(ISNUMBER(SEARCH("平",D3762)),OR(ISNUMBER(SEARCH("上",D3762)),ISNUMBER(SEARCH("去",D3762)),ISNUMBER(SEARCH("入",D3762)))),"Ambiguous",IF(ISNUMBER(SEARCH("平",D3762)),"平","仄")))</x:f>
        <x:v>平</x:v>
      </x:c>
      <x:c r="J3777" s="7" t="str"/>
    </x:row>
    <x:row r="3778">
      <x:c r="A3778" s="5" t="str">
        <x:v>誦</x:v>
      </x:c>
      <x:c r="B3778" s="6" t="str">
        <x:v>去</x:v>
      </x:c>
      <x:c r="C3778" s="6" t="str">
        <x:f>IF(B3778="","Needs decision","Ready")</x:f>
        <x:v>Ready</x:v>
      </x:c>
      <x:c r="D3778" s="6" t="str">
        <x:v>去</x:v>
      </x:c>
      <x:c r="E3778" s="6" t="str">
        <x:v>zjowngH (C)</x:v>
      </x:c>
      <x:c r="F3778" s="6" t="str">
        <x:v>1</x:v>
      </x:c>
      <x:c r="G3778" s="6" t="str"/>
      <x:c r="H3778" s="6" t="str">
        <x:f>IF(B3778="平","平",IF(B3778="","","仄"))</x:f>
        <x:v>仄</x:v>
      </x:c>
      <x:c r="I3778" s="6" t="str">
        <x:f>IF(D3763="","",IF(AND(ISNUMBER(SEARCH("平",D3763)),OR(ISNUMBER(SEARCH("上",D3763)),ISNUMBER(SEARCH("去",D3763)),ISNUMBER(SEARCH("入",D3763)))),"Ambiguous",IF(ISNUMBER(SEARCH("平",D3763)),"平","仄")))</x:f>
        <x:v>仄</x:v>
      </x:c>
      <x:c r="J3778" s="7" t="str"/>
    </x:row>
    <x:row r="3779">
      <x:c r="A3779" s="5" t="str">
        <x:v>誨</x:v>
      </x:c>
      <x:c r="B3779" s="6" t="str">
        <x:v>去</x:v>
      </x:c>
      <x:c r="C3779" s="6" t="str">
        <x:f>IF(B3779="","Needs decision","Ready")</x:f>
        <x:v>Ready</x:v>
      </x:c>
      <x:c r="D3779" s="6" t="str">
        <x:v>去</x:v>
      </x:c>
      <x:c r="E3779" s="6" t="str">
        <x:v>xwojH (C)</x:v>
      </x:c>
      <x:c r="F3779" s="6" t="str">
        <x:v>1</x:v>
      </x:c>
      <x:c r="G3779" s="6" t="str"/>
      <x:c r="H3779" s="6" t="str">
        <x:f>IF(B3779="平","平",IF(B3779="","","仄"))</x:f>
        <x:v>仄</x:v>
      </x:c>
      <x:c r="I3779" s="6" t="str">
        <x:f>IF(D3764="","",IF(AND(ISNUMBER(SEARCH("平",D3764)),OR(ISNUMBER(SEARCH("上",D3764)),ISNUMBER(SEARCH("去",D3764)),ISNUMBER(SEARCH("入",D3764)))),"Ambiguous",IF(ISNUMBER(SEARCH("平",D3764)),"平","仄")))</x:f>
        <x:v>平</x:v>
      </x:c>
      <x:c r="J3779" s="7" t="str"/>
    </x:row>
    <x:row r="3780">
      <x:c r="A3780" s="5" t="str">
        <x:v>說</x:v>
      </x:c>
      <x:c r="B3780" s="6" t="str"/>
      <x:c r="C3780" s="6" t="str">
        <x:f>IF(B3780="","Needs decision","Ready")</x:f>
        <x:v>Needs decision</x:v>
      </x:c>
      <x:c r="D3780" s="6" t="str">
        <x:v>入/去</x:v>
      </x:c>
      <x:c r="E3780" s="6" t="str">
        <x:v>ywet [以合三仙入] jwet; sywet [書合三仙入] ɕwet; sywejH [書合三祭去] ɕwejh</x:v>
      </x:c>
      <x:c r="F3780" s="6" t="str">
        <x:v>3</x:v>
      </x:c>
      <x:c r="G3780" s="6" t="str">
        <x:v>Targeted preliminary fill from Xun Gong; review if uncertain</x:v>
      </x:c>
      <x:c r="H3780" s="6" t="str">
        <x:f>IF(B3780="平","平",IF(B3780="","","仄"))</x:f>
      </x:c>
      <x:c r="I3780" s="6" t="str">
        <x:f>IF(D3765="","",IF(AND(ISNUMBER(SEARCH("平",D3765)),OR(ISNUMBER(SEARCH("上",D3765)),ISNUMBER(SEARCH("去",D3765)),ISNUMBER(SEARCH("入",D3765)))),"Ambiguous",IF(ISNUMBER(SEARCH("平",D3765)),"平","仄")))</x:f>
        <x:v>平</x:v>
      </x:c>
      <x:c r="J3780" s="7" t="str">
        <x:v>Xun Gong character-readings.csv</x:v>
      </x:c>
    </x:row>
    <x:row r="3781">
      <x:c r="A3781" s="5" t="str">
        <x:v>説</x:v>
      </x:c>
      <x:c r="B3781" s="6" t="str"/>
      <x:c r="C3781" s="6" t="str">
        <x:f>IF(B3781="","Needs decision","Ready")</x:f>
        <x:v>Needs decision</x:v>
      </x:c>
      <x:c r="D3781" s="6" t="str">
        <x:v>去/入</x:v>
      </x:c>
      <x:c r="E3781" s="6" t="str">
        <x:v>sywejH (C); sywet (D); ywet (D)</x:v>
      </x:c>
      <x:c r="F3781" s="6" t="str">
        <x:v>3</x:v>
      </x:c>
      <x:c r="G3781" s="6" t="str"/>
      <x:c r="H3781" s="6" t="str">
        <x:f>IF(B3781="平","平",IF(B3781="","","仄"))</x:f>
      </x:c>
      <x:c r="I3781" s="6" t="str">
        <x:f>IF(D3766="","",IF(AND(ISNUMBER(SEARCH("平",D3766)),OR(ISNUMBER(SEARCH("上",D3766)),ISNUMBER(SEARCH("去",D3766)),ISNUMBER(SEARCH("入",D3766)))),"Ambiguous",IF(ISNUMBER(SEARCH("平",D3766)),"平","仄")))</x:f>
        <x:v>仄</x:v>
      </x:c>
      <x:c r="J3781" s="7" t="str"/>
    </x:row>
    <x:row r="3782">
      <x:c r="A3782" s="5" t="str">
        <x:v>誰</x:v>
      </x:c>
      <x:c r="B3782" s="6" t="str">
        <x:v>平</x:v>
      </x:c>
      <x:c r="C3782" s="6" t="str">
        <x:f>IF(B3782="","Needs decision","Ready")</x:f>
        <x:v>Ready</x:v>
      </x:c>
      <x:c r="D3782" s="6" t="str">
        <x:v>平</x:v>
      </x:c>
      <x:c r="E3782" s="6" t="str">
        <x:v>dzywij (A)</x:v>
      </x:c>
      <x:c r="F3782" s="6" t="str">
        <x:v>1</x:v>
      </x:c>
      <x:c r="G3782" s="6" t="str"/>
      <x:c r="H3782" s="6" t="str">
        <x:f>IF(B3782="平","平",IF(B3782="","","仄"))</x:f>
        <x:v>平</x:v>
      </x:c>
      <x:c r="I3782" s="6" t="str">
        <x:f>IF(D3767="","",IF(AND(ISNUMBER(SEARCH("平",D3767)),OR(ISNUMBER(SEARCH("上",D3767)),ISNUMBER(SEARCH("去",D3767)),ISNUMBER(SEARCH("入",D3767)))),"Ambiguous",IF(ISNUMBER(SEARCH("平",D3767)),"平","仄")))</x:f>
        <x:v>仄</x:v>
      </x:c>
      <x:c r="J3782" s="7" t="str"/>
    </x:row>
    <x:row r="3783">
      <x:c r="A3783" s="5" t="str">
        <x:v>課</x:v>
      </x:c>
      <x:c r="B3783" s="6" t="str">
        <x:v>去</x:v>
      </x:c>
      <x:c r="C3783" s="6" t="str">
        <x:f>IF(B3783="","Needs decision","Ready")</x:f>
        <x:v>Ready</x:v>
      </x:c>
      <x:c r="D3783" s="6" t="str">
        <x:v>去/平</x:v>
      </x:c>
      <x:c r="E3783" s="6" t="str">
        <x:v>khwaH [溪合一歌去] qʰwɑh; khwa [溪合一歌平] qʰwɑ</x:v>
      </x:c>
      <x:c r="F3783" s="6" t="str">
        <x:v>2</x:v>
      </x:c>
      <x:c r="G3783" s="6" t="str">
        <x:v>Targeted preliminary fill from Xun Gong; review if uncertain; User workbook edit 2026-09-03</x:v>
      </x:c>
      <x:c r="H3783" s="6" t="str">
        <x:f>IF(B3783="平","平",IF(B3783="","","仄"))</x:f>
        <x:v>仄</x:v>
      </x:c>
      <x:c r="I3783" s="6" t="str">
        <x:f>IF(D3768="","",IF(AND(ISNUMBER(SEARCH("平",D3768)),OR(ISNUMBER(SEARCH("上",D3768)),ISNUMBER(SEARCH("去",D3768)),ISNUMBER(SEARCH("入",D3768)))),"Ambiguous",IF(ISNUMBER(SEARCH("平",D3768)),"平","仄")))</x:f>
        <x:v>仄</x:v>
      </x:c>
      <x:c r="J3783" s="7" t="str">
        <x:v>manual user correction</x:v>
      </x:c>
    </x:row>
    <x:row r="3784">
      <x:c r="A3784" s="5" t="str">
        <x:v>誶</x:v>
      </x:c>
      <x:c r="B3784" s="6" t="str"/>
      <x:c r="C3784" s="6" t="str">
        <x:f>IF(B3784="","Needs decision","Ready")</x:f>
        <x:v>Needs decision</x:v>
      </x:c>
      <x:c r="D3784" s="6" t="str">
        <x:v>入/去</x:v>
      </x:c>
      <x:c r="E3784" s="6" t="str">
        <x:v>dzwit (D); swijH (C)</x:v>
      </x:c>
      <x:c r="F3784" s="6" t="str">
        <x:v>2</x:v>
      </x:c>
      <x:c r="G3784" s="6" t="str"/>
      <x:c r="H3784" s="6" t="str">
        <x:f>IF(B3784="平","平",IF(B3784="","","仄"))</x:f>
      </x:c>
      <x:c r="I3784" s="6" t="str">
        <x:f>IF(D3769="","",IF(AND(ISNUMBER(SEARCH("平",D3769)),OR(ISNUMBER(SEARCH("上",D3769)),ISNUMBER(SEARCH("去",D3769)),ISNUMBER(SEARCH("入",D3769)))),"Ambiguous",IF(ISNUMBER(SEARCH("平",D3769)),"平","仄")))</x:f>
        <x:v>仄</x:v>
      </x:c>
      <x:c r="J3784" s="7" t="str"/>
    </x:row>
    <x:row r="3785">
      <x:c r="A3785" s="5" t="str">
        <x:v>誸</x:v>
      </x:c>
      <x:c r="B3785" s="6" t="str">
        <x:v>平</x:v>
      </x:c>
      <x:c r="C3785" s="6" t="str">
        <x:f>IF(B3785="","Needs decision","Ready")</x:f>
        <x:v>Ready</x:v>
      </x:c>
      <x:c r="D3785" s="6" t="str">
        <x:v>平</x:v>
      </x:c>
      <x:c r="E3785" s="6" t="str">
        <x:v>hen (A)</x:v>
      </x:c>
      <x:c r="F3785" s="6" t="str">
        <x:v>1</x:v>
      </x:c>
      <x:c r="G3785" s="6" t="str"/>
      <x:c r="H3785" s="6" t="str">
        <x:f>IF(B3785="平","平",IF(B3785="","","仄"))</x:f>
        <x:v>平</x:v>
      </x:c>
      <x:c r="I3785" s="6" t="str">
        <x:f>IF(D3770="","",IF(AND(ISNUMBER(SEARCH("平",D3770)),OR(ISNUMBER(SEARCH("上",D3770)),ISNUMBER(SEARCH("去",D3770)),ISNUMBER(SEARCH("入",D3770)))),"Ambiguous",IF(ISNUMBER(SEARCH("平",D3770)),"平","仄")))</x:f>
        <x:v>仄</x:v>
      </x:c>
      <x:c r="J3785" s="7" t="str"/>
    </x:row>
    <x:row r="3786">
      <x:c r="A3786" s="5" t="str">
        <x:v>誹</x:v>
      </x:c>
      <x:c r="B3786" s="6" t="str">
        <x:v>平</x:v>
      </x:c>
      <x:c r="C3786" s="6" t="str">
        <x:f>IF(B3786="","Needs decision","Ready")</x:f>
        <x:v>Ready</x:v>
      </x:c>
      <x:c r="D3786" s="6" t="str">
        <x:v>平</x:v>
      </x:c>
      <x:c r="E3786" s="6" t="str">
        <x:v>pj+j (A)</x:v>
      </x:c>
      <x:c r="F3786" s="6" t="str">
        <x:v>1</x:v>
      </x:c>
      <x:c r="G3786" s="6" t="str"/>
      <x:c r="H3786" s="6" t="str">
        <x:f>IF(B3786="平","平",IF(B3786="","","仄"))</x:f>
        <x:v>平</x:v>
      </x:c>
      <x:c r="I3786" s="6" t="str">
        <x:f>IF(D3771="","",IF(AND(ISNUMBER(SEARCH("平",D3771)),OR(ISNUMBER(SEARCH("上",D3771)),ISNUMBER(SEARCH("去",D3771)),ISNUMBER(SEARCH("入",D3771)))),"Ambiguous",IF(ISNUMBER(SEARCH("平",D3771)),"平","仄")))</x:f>
        <x:v>仄</x:v>
      </x:c>
      <x:c r="J3786" s="7" t="str"/>
    </x:row>
    <x:row r="3787">
      <x:c r="A3787" s="5" t="str">
        <x:v>誼</x:v>
      </x:c>
      <x:c r="B3787" s="6" t="str">
        <x:v>去</x:v>
      </x:c>
      <x:c r="C3787" s="6" t="str">
        <x:f>IF(B3787="","Needs decision","Ready")</x:f>
        <x:v>Ready</x:v>
      </x:c>
      <x:c r="D3787" s="6" t="str">
        <x:v>去</x:v>
      </x:c>
      <x:c r="E3787" s="6" t="str">
        <x:v>ngjeH [ŋɨ̯ieh] (去)</x:v>
      </x:c>
      <x:c r="F3787" s="6" t="str">
        <x:v>1</x:v>
      </x:c>
      <x:c r="G3787" s="6" t="str">
        <x:v>Tang 300 gap; frequency 1; provisional from Xun Gong</x:v>
      </x:c>
      <x:c r="H3787" s="6" t="str">
        <x:f>IF(B3787="平","平",IF(B3787="","","仄"))</x:f>
        <x:v>仄</x:v>
      </x:c>
      <x:c r="I3787" s="6" t="str">
        <x:f>IF(D3772="","",IF(AND(ISNUMBER(SEARCH("平",D3772)),OR(ISNUMBER(SEARCH("上",D3772)),ISNUMBER(SEARCH("去",D3772)),ISNUMBER(SEARCH("入",D3772)))),"Ambiguous",IF(ISNUMBER(SEARCH("平",D3772)),"平","仄")))</x:f>
        <x:v>仄</x:v>
      </x:c>
      <x:c r="J3787" s="7" t="str">
        <x:v>Xun Gong, Tang 300 gap fill</x:v>
      </x:c>
    </x:row>
    <x:row r="3788">
      <x:c r="A3788" s="5" t="str">
        <x:v>誾</x:v>
      </x:c>
      <x:c r="B3788" s="6" t="str">
        <x:v>平</x:v>
      </x:c>
      <x:c r="C3788" s="6" t="str">
        <x:f>IF(B3788="","Needs decision","Ready")</x:f>
        <x:v>Ready</x:v>
      </x:c>
      <x:c r="D3788" s="6" t="str">
        <x:v>平</x:v>
      </x:c>
      <x:c r="E3788" s="6" t="str">
        <x:v>ngin (A)</x:v>
      </x:c>
      <x:c r="F3788" s="6" t="str">
        <x:v>1</x:v>
      </x:c>
      <x:c r="G3788" s="6" t="str"/>
      <x:c r="H3788" s="6" t="str">
        <x:f>IF(B3788="平","平",IF(B3788="","","仄"))</x:f>
        <x:v>平</x:v>
      </x:c>
      <x:c r="I3788" s="6" t="str">
        <x:f>IF(D3773="","",IF(AND(ISNUMBER(SEARCH("平",D3773)),OR(ISNUMBER(SEARCH("上",D3773)),ISNUMBER(SEARCH("去",D3773)),ISNUMBER(SEARCH("入",D3773)))),"Ambiguous",IF(ISNUMBER(SEARCH("平",D3773)),"平","仄")))</x:f>
        <x:v>平</x:v>
      </x:c>
      <x:c r="J3788" s="7" t="str"/>
    </x:row>
    <x:row r="3789">
      <x:c r="A3789" s="5" t="str">
        <x:v>調</x:v>
      </x:c>
      <x:c r="B3789" s="6" t="str">
        <x:v>平</x:v>
      </x:c>
      <x:c r="C3789" s="6" t="str">
        <x:f>IF(B3789="","Needs decision","Ready")</x:f>
        <x:v>Ready</x:v>
      </x:c>
      <x:c r="D3789" s="6" t="str">
        <x:v>平</x:v>
      </x:c>
      <x:c r="E3789" s="6" t="str">
        <x:v>dew (A)</x:v>
      </x:c>
      <x:c r="F3789" s="6" t="str">
        <x:v>1</x:v>
      </x:c>
      <x:c r="G3789" s="6" t="str"/>
      <x:c r="H3789" s="6" t="str">
        <x:f>IF(B3789="平","平",IF(B3789="","","仄"))</x:f>
        <x:v>平</x:v>
      </x:c>
      <x:c r="I3789" s="6" t="str">
        <x:f>IF(D3774="","",IF(AND(ISNUMBER(SEARCH("平",D3774)),OR(ISNUMBER(SEARCH("上",D3774)),ISNUMBER(SEARCH("去",D3774)),ISNUMBER(SEARCH("入",D3774)))),"Ambiguous",IF(ISNUMBER(SEARCH("平",D3774)),"平","仄")))</x:f>
        <x:v>仄</x:v>
      </x:c>
      <x:c r="J3789" s="7" t="str"/>
    </x:row>
    <x:row r="3790">
      <x:c r="A3790" s="5" t="str">
        <x:v>諀</x:v>
      </x:c>
      <x:c r="B3790" s="6" t="str">
        <x:v>上</x:v>
      </x:c>
      <x:c r="C3790" s="6" t="str">
        <x:f>IF(B3790="","Needs decision","Ready")</x:f>
        <x:v>Ready</x:v>
      </x:c>
      <x:c r="D3790" s="6" t="str">
        <x:v>上</x:v>
      </x:c>
      <x:c r="E3790" s="6" t="str">
        <x:v>phjieX (B)</x:v>
      </x:c>
      <x:c r="F3790" s="6" t="str">
        <x:v>1</x:v>
      </x:c>
      <x:c r="G3790" s="6" t="str"/>
      <x:c r="H3790" s="6" t="str">
        <x:f>IF(B3790="平","平",IF(B3790="","","仄"))</x:f>
        <x:v>仄</x:v>
      </x:c>
      <x:c r="I3790" s="6" t="str">
        <x:f>IF(D3775="","",IF(AND(ISNUMBER(SEARCH("平",D3775)),OR(ISNUMBER(SEARCH("上",D3775)),ISNUMBER(SEARCH("去",D3775)),ISNUMBER(SEARCH("入",D3775)))),"Ambiguous",IF(ISNUMBER(SEARCH("平",D3775)),"平","仄")))</x:f>
        <x:v>平</x:v>
      </x:c>
      <x:c r="J3790" s="7" t="str"/>
    </x:row>
    <x:row r="3791">
      <x:c r="A3791" s="5" t="str">
        <x:v>諂</x:v>
      </x:c>
      <x:c r="B3791" s="6" t="str">
        <x:v>上</x:v>
      </x:c>
      <x:c r="C3791" s="6" t="str">
        <x:f>IF(B3791="","Needs decision","Ready")</x:f>
        <x:v>Ready</x:v>
      </x:c>
      <x:c r="D3791" s="6" t="str">
        <x:v>上</x:v>
      </x:c>
      <x:c r="E3791" s="6" t="str">
        <x:v>trhjemX (B)</x:v>
      </x:c>
      <x:c r="F3791" s="6" t="str">
        <x:v>1</x:v>
      </x:c>
      <x:c r="G3791" s="6" t="str"/>
      <x:c r="H3791" s="6" t="str">
        <x:f>IF(B3791="平","平",IF(B3791="","","仄"))</x:f>
        <x:v>仄</x:v>
      </x:c>
      <x:c r="I3791" s="6" t="str">
        <x:f>IF(D3776="","",IF(AND(ISNUMBER(SEARCH("平",D3776)),OR(ISNUMBER(SEARCH("上",D3776)),ISNUMBER(SEARCH("去",D3776)),ISNUMBER(SEARCH("入",D3776)))),"Ambiguous",IF(ISNUMBER(SEARCH("平",D3776)),"平","仄")))</x:f>
        <x:v>仄</x:v>
      </x:c>
      <x:c r="J3791" s="7" t="str"/>
    </x:row>
    <x:row r="3792">
      <x:c r="A3792" s="5" t="str">
        <x:v>談</x:v>
      </x:c>
      <x:c r="B3792" s="6" t="str">
        <x:v>平</x:v>
      </x:c>
      <x:c r="C3792" s="6" t="str">
        <x:f>IF(B3792="","Needs decision","Ready")</x:f>
        <x:v>Ready</x:v>
      </x:c>
      <x:c r="D3792" s="6" t="str">
        <x:v>平</x:v>
      </x:c>
      <x:c r="E3792" s="6" t="str">
        <x:v>dam (A)</x:v>
      </x:c>
      <x:c r="F3792" s="6" t="str">
        <x:v>1</x:v>
      </x:c>
      <x:c r="G3792" s="6" t="str"/>
      <x:c r="H3792" s="6" t="str">
        <x:f>IF(B3792="平","平",IF(B3792="","","仄"))</x:f>
        <x:v>平</x:v>
      </x:c>
      <x:c r="I3792" s="6" t="str">
        <x:f>IF(D3777="","",IF(AND(ISNUMBER(SEARCH("平",D3777)),OR(ISNUMBER(SEARCH("上",D3777)),ISNUMBER(SEARCH("去",D3777)),ISNUMBER(SEARCH("入",D3777)))),"Ambiguous",IF(ISNUMBER(SEARCH("平",D3777)),"平","仄")))</x:f>
        <x:v>仄</x:v>
      </x:c>
      <x:c r="J3792" s="7" t="str"/>
    </x:row>
    <x:row r="3793">
      <x:c r="A3793" s="5" t="str">
        <x:v>諉</x:v>
      </x:c>
      <x:c r="B3793" s="6" t="str">
        <x:v>去</x:v>
      </x:c>
      <x:c r="C3793" s="6" t="str">
        <x:f>IF(B3793="","Needs decision","Ready")</x:f>
        <x:v>Ready</x:v>
      </x:c>
      <x:c r="D3793" s="6" t="str">
        <x:v>去</x:v>
      </x:c>
      <x:c r="E3793" s="6" t="str">
        <x:v>nrjweH (C)</x:v>
      </x:c>
      <x:c r="F3793" s="6" t="str">
        <x:v>1</x:v>
      </x:c>
      <x:c r="G3793" s="6" t="str"/>
      <x:c r="H3793" s="6" t="str">
        <x:f>IF(B3793="平","平",IF(B3793="","","仄"))</x:f>
        <x:v>仄</x:v>
      </x:c>
      <x:c r="I3793" s="6" t="str">
        <x:f>IF(D3778="","",IF(AND(ISNUMBER(SEARCH("平",D3778)),OR(ISNUMBER(SEARCH("上",D3778)),ISNUMBER(SEARCH("去",D3778)),ISNUMBER(SEARCH("入",D3778)))),"Ambiguous",IF(ISNUMBER(SEARCH("平",D3778)),"平","仄")))</x:f>
        <x:v>仄</x:v>
      </x:c>
      <x:c r="J3793" s="7" t="str"/>
    </x:row>
    <x:row r="3794">
      <x:c r="A3794" s="5" t="str">
        <x:v>請</x:v>
      </x:c>
      <x:c r="B3794" s="6" t="str">
        <x:v>上</x:v>
      </x:c>
      <x:c r="C3794" s="6" t="str">
        <x:f>IF(B3794="","Needs decision","Ready")</x:f>
        <x:v>Ready</x:v>
      </x:c>
      <x:c r="D3794" s="6" t="str">
        <x:v>平/上</x:v>
      </x:c>
      <x:c r="E3794" s="6" t="str">
        <x:v>dzjeng (A); tshjengX (B)</x:v>
      </x:c>
      <x:c r="F3794" s="6" t="str">
        <x:v>2</x:v>
      </x:c>
      <x:c r="G3794" s="6" t="str">
        <x:v>User workbook edit 2026-09-03</x:v>
      </x:c>
      <x:c r="H3794" s="6" t="str">
        <x:f>IF(B3794="平","平",IF(B3794="","","仄"))</x:f>
        <x:v>仄</x:v>
      </x:c>
      <x:c r="I3794" s="6" t="str">
        <x:f>IF(D3779="","",IF(AND(ISNUMBER(SEARCH("平",D3779)),OR(ISNUMBER(SEARCH("上",D3779)),ISNUMBER(SEARCH("去",D3779)),ISNUMBER(SEARCH("入",D3779)))),"Ambiguous",IF(ISNUMBER(SEARCH("平",D3779)),"平","仄")))</x:f>
        <x:v>仄</x:v>
      </x:c>
      <x:c r="J3794" s="7" t="str">
        <x:v>manual user correction</x:v>
      </x:c>
    </x:row>
    <x:row r="3795">
      <x:c r="A3795" s="5" t="str">
        <x:v>諍</x:v>
      </x:c>
      <x:c r="B3795" s="6" t="str">
        <x:v>去</x:v>
      </x:c>
      <x:c r="C3795" s="6" t="str">
        <x:f>IF(B3795="","Needs decision","Ready")</x:f>
        <x:v>Ready</x:v>
      </x:c>
      <x:c r="D3795" s="6" t="str">
        <x:v>去</x:v>
      </x:c>
      <x:c r="E3795" s="6" t="str">
        <x:v>tsreangH [莊開二耕去] tʂeˤŋh</x:v>
      </x:c>
      <x:c r="F3795" s="6" t="str">
        <x:v>1</x:v>
      </x:c>
      <x:c r="G3795" s="6" t="str">
        <x:v>Targeted preliminary fill from Xun Gong; review if uncertain</x:v>
      </x:c>
      <x:c r="H3795" s="6" t="str">
        <x:f>IF(B3795="平","平",IF(B3795="","","仄"))</x:f>
        <x:v>仄</x:v>
      </x:c>
      <x:c r="I3795" s="6" t="str">
        <x:f>IF(D3780="","",IF(AND(ISNUMBER(SEARCH("平",D3780)),OR(ISNUMBER(SEARCH("上",D3780)),ISNUMBER(SEARCH("去",D3780)),ISNUMBER(SEARCH("入",D3780)))),"Ambiguous",IF(ISNUMBER(SEARCH("平",D3780)),"平","仄")))</x:f>
        <x:v>仄</x:v>
      </x:c>
      <x:c r="J3795" s="7" t="str">
        <x:v>Xun Gong character-readings.csv</x:v>
      </x:c>
    </x:row>
    <x:row r="3796">
      <x:c r="A3796" s="5" t="str">
        <x:v>諏</x:v>
      </x:c>
      <x:c r="B3796" s="6" t="str">
        <x:v>平</x:v>
      </x:c>
      <x:c r="C3796" s="6" t="str">
        <x:f>IF(B3796="","Needs decision","Ready")</x:f>
        <x:v>Ready</x:v>
      </x:c>
      <x:c r="D3796" s="6" t="str">
        <x:v>平</x:v>
      </x:c>
      <x:c r="E3796" s="6" t="str">
        <x:v>tsju (A)</x:v>
      </x:c>
      <x:c r="F3796" s="6" t="str">
        <x:v>1</x:v>
      </x:c>
      <x:c r="G3796" s="6" t="str"/>
      <x:c r="H3796" s="6" t="str">
        <x:f>IF(B3796="平","平",IF(B3796="","","仄"))</x:f>
        <x:v>平</x:v>
      </x:c>
      <x:c r="I3796" s="6" t="str">
        <x:f>IF(D3781="","",IF(AND(ISNUMBER(SEARCH("平",D3781)),OR(ISNUMBER(SEARCH("上",D3781)),ISNUMBER(SEARCH("去",D3781)),ISNUMBER(SEARCH("入",D3781)))),"Ambiguous",IF(ISNUMBER(SEARCH("平",D3781)),"平","仄")))</x:f>
        <x:v>仄</x:v>
      </x:c>
      <x:c r="J3796" s="7" t="str"/>
    </x:row>
    <x:row r="3797">
      <x:c r="A3797" s="5" t="str">
        <x:v>諒</x:v>
      </x:c>
      <x:c r="B3797" s="6" t="str">
        <x:v>去</x:v>
      </x:c>
      <x:c r="C3797" s="6" t="str">
        <x:f>IF(B3797="","Needs decision","Ready")</x:f>
        <x:v>Ready</x:v>
      </x:c>
      <x:c r="D3797" s="6" t="str">
        <x:v>去</x:v>
      </x:c>
      <x:c r="E3797" s="6" t="str">
        <x:v>ljangH (C)</x:v>
      </x:c>
      <x:c r="F3797" s="6" t="str">
        <x:v>1</x:v>
      </x:c>
      <x:c r="G3797" s="6" t="str"/>
      <x:c r="H3797" s="6" t="str">
        <x:f>IF(B3797="平","平",IF(B3797="","","仄"))</x:f>
        <x:v>仄</x:v>
      </x:c>
      <x:c r="I3797" s="6" t="str">
        <x:f>IF(D3782="","",IF(AND(ISNUMBER(SEARCH("平",D3782)),OR(ISNUMBER(SEARCH("上",D3782)),ISNUMBER(SEARCH("去",D3782)),ISNUMBER(SEARCH("入",D3782)))),"Ambiguous",IF(ISNUMBER(SEARCH("平",D3782)),"平","仄")))</x:f>
        <x:v>平</x:v>
      </x:c>
      <x:c r="J3797" s="7" t="str"/>
    </x:row>
    <x:row r="3798">
      <x:c r="A3798" s="5" t="str">
        <x:v>論</x:v>
      </x:c>
      <x:c r="B3798" s="6" t="str">
        <x:v>去</x:v>
      </x:c>
      <x:c r="C3798" s="6" t="str">
        <x:f>IF(B3798="","Needs decision","Ready")</x:f>
        <x:v>Ready</x:v>
      </x:c>
      <x:c r="D3798" s="6" t="str">
        <x:v>平/去</x:v>
      </x:c>
      <x:c r="E3798" s="6" t="str">
        <x:v>lwin (A); lwon (A); lwonH (C)</x:v>
      </x:c>
      <x:c r="F3798" s="6" t="str">
        <x:v>3</x:v>
      </x:c>
      <x:c r="G3798" s="6" t="str">
        <x:v>User workbook edit 2026-09-03</x:v>
      </x:c>
      <x:c r="H3798" s="6" t="str">
        <x:f>IF(B3798="平","平",IF(B3798="","","仄"))</x:f>
        <x:v>仄</x:v>
      </x:c>
      <x:c r="I3798" s="6" t="str">
        <x:f>IF(D3783="","",IF(AND(ISNUMBER(SEARCH("平",D3783)),OR(ISNUMBER(SEARCH("上",D3783)),ISNUMBER(SEARCH("去",D3783)),ISNUMBER(SEARCH("入",D3783)))),"Ambiguous",IF(ISNUMBER(SEARCH("平",D3783)),"平","仄")))</x:f>
        <x:v>Ambiguous</x:v>
      </x:c>
      <x:c r="J3798" s="7" t="str">
        <x:v>manual user correction</x:v>
      </x:c>
    </x:row>
    <x:row r="3799">
      <x:c r="A3799" s="5" t="str">
        <x:v>諗</x:v>
      </x:c>
      <x:c r="B3799" s="6" t="str">
        <x:v>上</x:v>
      </x:c>
      <x:c r="C3799" s="6" t="str">
        <x:f>IF(B3799="","Needs decision","Ready")</x:f>
        <x:v>Ready</x:v>
      </x:c>
      <x:c r="D3799" s="6" t="str">
        <x:v>上</x:v>
      </x:c>
      <x:c r="E3799" s="6" t="str">
        <x:v>syimX (B)</x:v>
      </x:c>
      <x:c r="F3799" s="6" t="str">
        <x:v>1</x:v>
      </x:c>
      <x:c r="G3799" s="6" t="str"/>
      <x:c r="H3799" s="6" t="str">
        <x:f>IF(B3799="平","平",IF(B3799="","","仄"))</x:f>
        <x:v>仄</x:v>
      </x:c>
      <x:c r="I3799" s="6" t="str">
        <x:f>IF(D3784="","",IF(AND(ISNUMBER(SEARCH("平",D3784)),OR(ISNUMBER(SEARCH("上",D3784)),ISNUMBER(SEARCH("去",D3784)),ISNUMBER(SEARCH("入",D3784)))),"Ambiguous",IF(ISNUMBER(SEARCH("平",D3784)),"平","仄")))</x:f>
        <x:v>仄</x:v>
      </x:c>
      <x:c r="J3799" s="7" t="str"/>
    </x:row>
    <x:row r="3800">
      <x:c r="A3800" s="5" t="str">
        <x:v>諛</x:v>
      </x:c>
      <x:c r="B3800" s="6" t="str">
        <x:v>平</x:v>
      </x:c>
      <x:c r="C3800" s="6" t="str">
        <x:f>IF(B3800="","Needs decision","Ready")</x:f>
        <x:v>Ready</x:v>
      </x:c>
      <x:c r="D3800" s="6" t="str">
        <x:v>平</x:v>
      </x:c>
      <x:c r="E3800" s="6" t="str">
        <x:v>yu (A)</x:v>
      </x:c>
      <x:c r="F3800" s="6" t="str">
        <x:v>1</x:v>
      </x:c>
      <x:c r="G3800" s="6" t="str"/>
      <x:c r="H3800" s="6" t="str">
        <x:f>IF(B3800="平","平",IF(B3800="","","仄"))</x:f>
        <x:v>平</x:v>
      </x:c>
      <x:c r="I3800" s="6" t="str">
        <x:f>IF(D3785="","",IF(AND(ISNUMBER(SEARCH("平",D3785)),OR(ISNUMBER(SEARCH("上",D3785)),ISNUMBER(SEARCH("去",D3785)),ISNUMBER(SEARCH("入",D3785)))),"Ambiguous",IF(ISNUMBER(SEARCH("平",D3785)),"平","仄")))</x:f>
        <x:v>平</x:v>
      </x:c>
      <x:c r="J3800" s="7" t="str"/>
    </x:row>
    <x:row r="3801">
      <x:c r="A3801" s="5" t="str">
        <x:v>諞</x:v>
      </x:c>
      <x:c r="B3801" s="6" t="str">
        <x:v>上</x:v>
      </x:c>
      <x:c r="C3801" s="6" t="str">
        <x:f>IF(B3801="","Needs decision","Ready")</x:f>
        <x:v>Ready</x:v>
      </x:c>
      <x:c r="D3801" s="6" t="str">
        <x:v>上/平</x:v>
      </x:c>
      <x:c r="E3801" s="6" t="str">
        <x:v>bjienX (B); bjien (A)</x:v>
      </x:c>
      <x:c r="F3801" s="6" t="str">
        <x:v>2</x:v>
      </x:c>
      <x:c r="G3801" s="6" t="str"/>
      <x:c r="H3801" s="6" t="str">
        <x:f>IF(B3801="平","平",IF(B3801="","","仄"))</x:f>
        <x:v>仄</x:v>
      </x:c>
      <x:c r="I3801" s="6" t="str">
        <x:f>IF(D3786="","",IF(AND(ISNUMBER(SEARCH("平",D3786)),OR(ISNUMBER(SEARCH("上",D3786)),ISNUMBER(SEARCH("去",D3786)),ISNUMBER(SEARCH("入",D3786)))),"Ambiguous",IF(ISNUMBER(SEARCH("平",D3786)),"平","仄")))</x:f>
        <x:v>平</x:v>
      </x:c>
      <x:c r="J3801" s="7" t="str"/>
    </x:row>
    <x:row r="3802">
      <x:c r="A3802" s="5" t="str">
        <x:v>諠</x:v>
      </x:c>
      <x:c r="B3802" s="6" t="str">
        <x:v>平</x:v>
      </x:c>
      <x:c r="C3802" s="6" t="str">
        <x:f>IF(B3802="","Needs decision","Ready")</x:f>
        <x:v>Ready</x:v>
      </x:c>
      <x:c r="D3802" s="6" t="str">
        <x:v>平</x:v>
      </x:c>
      <x:c r="E3802" s="6" t="str">
        <x:v>xjwon (A)</x:v>
      </x:c>
      <x:c r="F3802" s="6" t="str">
        <x:v>1</x:v>
      </x:c>
      <x:c r="G3802" s="6" t="str"/>
      <x:c r="H3802" s="6" t="str">
        <x:f>IF(B3802="平","平",IF(B3802="","","仄"))</x:f>
        <x:v>平</x:v>
      </x:c>
      <x:c r="I3802" s="6" t="str">
        <x:f>IF(D3787="","",IF(AND(ISNUMBER(SEARCH("平",D3787)),OR(ISNUMBER(SEARCH("上",D3787)),ISNUMBER(SEARCH("去",D3787)),ISNUMBER(SEARCH("入",D3787)))),"Ambiguous",IF(ISNUMBER(SEARCH("平",D3787)),"平","仄")))</x:f>
        <x:v>仄</x:v>
      </x:c>
      <x:c r="J3802" s="7" t="str"/>
    </x:row>
    <x:row r="3803">
      <x:c r="A3803" s="5" t="str">
        <x:v>諤</x:v>
      </x:c>
      <x:c r="B3803" s="6" t="str">
        <x:v>入</x:v>
      </x:c>
      <x:c r="C3803" s="6" t="str">
        <x:f>IF(B3803="","Needs decision","Ready")</x:f>
        <x:v>Ready</x:v>
      </x:c>
      <x:c r="D3803" s="6" t="str">
        <x:v>入</x:v>
      </x:c>
      <x:c r="E3803" s="6" t="str">
        <x:v>ngak (D)</x:v>
      </x:c>
      <x:c r="F3803" s="6" t="str">
        <x:v>1</x:v>
      </x:c>
      <x:c r="G3803" s="6" t="str"/>
      <x:c r="H3803" s="6" t="str">
        <x:f>IF(B3803="平","平",IF(B3803="","","仄"))</x:f>
        <x:v>仄</x:v>
      </x:c>
      <x:c r="I3803" s="6" t="str">
        <x:f>IF(D3788="","",IF(AND(ISNUMBER(SEARCH("平",D3788)),OR(ISNUMBER(SEARCH("上",D3788)),ISNUMBER(SEARCH("去",D3788)),ISNUMBER(SEARCH("入",D3788)))),"Ambiguous",IF(ISNUMBER(SEARCH("平",D3788)),"平","仄")))</x:f>
        <x:v>平</x:v>
      </x:c>
      <x:c r="J3803" s="7" t="str"/>
    </x:row>
    <x:row r="3804">
      <x:c r="A3804" s="5" t="str">
        <x:v>諦</x:v>
      </x:c>
      <x:c r="B3804" s="6" t="str">
        <x:v>去</x:v>
      </x:c>
      <x:c r="C3804" s="6" t="str">
        <x:f>IF(B3804="","Needs decision","Ready")</x:f>
        <x:v>Ready</x:v>
      </x:c>
      <x:c r="D3804" s="6" t="str">
        <x:v>去</x:v>
      </x:c>
      <x:c r="E3804" s="6" t="str"/>
      <x:c r="F3804" s="6" t="str"/>
      <x:c r="G3804" s="6" t="str">
        <x:v>Manual user correction/addition</x:v>
      </x:c>
      <x:c r="H3804" s="6" t="str">
        <x:f>IF(B3804="平","平",IF(B3804="","","仄"))</x:f>
        <x:v>仄</x:v>
      </x:c>
      <x:c r="I3804" s="6" t="str">
        <x:f>IF(D3789="","",IF(AND(ISNUMBER(SEARCH("平",D3789)),OR(ISNUMBER(SEARCH("上",D3789)),ISNUMBER(SEARCH("去",D3789)),ISNUMBER(SEARCH("入",D3789)))),"Ambiguous",IF(ISNUMBER(SEARCH("平",D3789)),"平","仄")))</x:f>
        <x:v>平</x:v>
      </x:c>
      <x:c r="J3804" s="7" t="str">
        <x:v>manual user correction</x:v>
      </x:c>
    </x:row>
    <x:row r="3805">
      <x:c r="A3805" s="5" t="str">
        <x:v>諫</x:v>
      </x:c>
      <x:c r="B3805" s="6" t="str">
        <x:v>去</x:v>
      </x:c>
      <x:c r="C3805" s="6" t="str">
        <x:f>IF(B3805="","Needs decision","Ready")</x:f>
        <x:v>Ready</x:v>
      </x:c>
      <x:c r="D3805" s="6" t="str">
        <x:v>去</x:v>
      </x:c>
      <x:c r="E3805" s="6" t="str">
        <x:v>kaenH (C)</x:v>
      </x:c>
      <x:c r="F3805" s="6" t="str">
        <x:v>1</x:v>
      </x:c>
      <x:c r="G3805" s="6" t="str"/>
      <x:c r="H3805" s="6" t="str">
        <x:f>IF(B3805="平","平",IF(B3805="","","仄"))</x:f>
        <x:v>仄</x:v>
      </x:c>
      <x:c r="I3805" s="6" t="str">
        <x:f>IF(D3790="","",IF(AND(ISNUMBER(SEARCH("平",D3790)),OR(ISNUMBER(SEARCH("上",D3790)),ISNUMBER(SEARCH("去",D3790)),ISNUMBER(SEARCH("入",D3790)))),"Ambiguous",IF(ISNUMBER(SEARCH("平",D3790)),"平","仄")))</x:f>
        <x:v>仄</x:v>
      </x:c>
      <x:c r="J3805" s="7" t="str"/>
    </x:row>
    <x:row r="3806">
      <x:c r="A3806" s="5" t="str">
        <x:v>諮</x:v>
      </x:c>
      <x:c r="B3806" s="6" t="str">
        <x:v>平</x:v>
      </x:c>
      <x:c r="C3806" s="6" t="str">
        <x:f>IF(B3806="","Needs decision","Ready")</x:f>
        <x:v>Ready</x:v>
      </x:c>
      <x:c r="D3806" s="6" t="str">
        <x:v>平</x:v>
      </x:c>
      <x:c r="E3806" s="6" t="str">
        <x:v>tsij (A)</x:v>
      </x:c>
      <x:c r="F3806" s="6" t="str">
        <x:v>1</x:v>
      </x:c>
      <x:c r="G3806" s="6" t="str"/>
      <x:c r="H3806" s="6" t="str">
        <x:f>IF(B3806="平","平",IF(B3806="","","仄"))</x:f>
        <x:v>平</x:v>
      </x:c>
      <x:c r="I3806" s="6" t="str">
        <x:f>IF(D3791="","",IF(AND(ISNUMBER(SEARCH("平",D3791)),OR(ISNUMBER(SEARCH("上",D3791)),ISNUMBER(SEARCH("去",D3791)),ISNUMBER(SEARCH("入",D3791)))),"Ambiguous",IF(ISNUMBER(SEARCH("平",D3791)),"平","仄")))</x:f>
        <x:v>仄</x:v>
      </x:c>
      <x:c r="J3806" s="7" t="str"/>
    </x:row>
    <x:row r="3807">
      <x:c r="A3807" s="5" t="str">
        <x:v>諳</x:v>
      </x:c>
      <x:c r="B3807" s="6" t="str">
        <x:v>平</x:v>
      </x:c>
      <x:c r="C3807" s="6" t="str">
        <x:f>IF(B3807="","Needs decision","Ready")</x:f>
        <x:v>Ready</x:v>
      </x:c>
      <x:c r="D3807" s="6" t="str">
        <x:v>平</x:v>
      </x:c>
      <x:c r="E3807" s="6" t="str">
        <x:v>'om [ʔ̙əm] (平)</x:v>
      </x:c>
      <x:c r="F3807" s="6" t="str">
        <x:v>1</x:v>
      </x:c>
      <x:c r="G3807" s="6" t="str">
        <x:v>Tang 300 gap; frequency 1; provisional from Xun Gong</x:v>
      </x:c>
      <x:c r="H3807" s="6" t="str">
        <x:f>IF(B3807="平","平",IF(B3807="","","仄"))</x:f>
        <x:v>平</x:v>
      </x:c>
      <x:c r="I3807" s="6" t="str">
        <x:f>IF(D3792="","",IF(AND(ISNUMBER(SEARCH("平",D3792)),OR(ISNUMBER(SEARCH("上",D3792)),ISNUMBER(SEARCH("去",D3792)),ISNUMBER(SEARCH("入",D3792)))),"Ambiguous",IF(ISNUMBER(SEARCH("平",D3792)),"平","仄")))</x:f>
        <x:v>平</x:v>
      </x:c>
      <x:c r="J3807" s="7" t="str">
        <x:v>Xun Gong, Tang 300 gap fill</x:v>
      </x:c>
    </x:row>
    <x:row r="3808">
      <x:c r="A3808" s="5" t="str">
        <x:v>諶</x:v>
      </x:c>
      <x:c r="B3808" s="6" t="str">
        <x:v>平</x:v>
      </x:c>
      <x:c r="C3808" s="6" t="str">
        <x:f>IF(B3808="","Needs decision","Ready")</x:f>
        <x:v>Ready</x:v>
      </x:c>
      <x:c r="D3808" s="6" t="str">
        <x:v>平</x:v>
      </x:c>
      <x:c r="E3808" s="6" t="str">
        <x:v>dzyim (A)</x:v>
      </x:c>
      <x:c r="F3808" s="6" t="str">
        <x:v>1</x:v>
      </x:c>
      <x:c r="G3808" s="6" t="str"/>
      <x:c r="H3808" s="6" t="str">
        <x:f>IF(B3808="平","平",IF(B3808="","","仄"))</x:f>
        <x:v>平</x:v>
      </x:c>
      <x:c r="I3808" s="6" t="str">
        <x:f>IF(D3793="","",IF(AND(ISNUMBER(SEARCH("平",D3793)),OR(ISNUMBER(SEARCH("上",D3793)),ISNUMBER(SEARCH("去",D3793)),ISNUMBER(SEARCH("入",D3793)))),"Ambiguous",IF(ISNUMBER(SEARCH("平",D3793)),"平","仄")))</x:f>
        <x:v>仄</x:v>
      </x:c>
      <x:c r="J3808" s="7" t="str"/>
    </x:row>
    <x:row r="3809">
      <x:c r="A3809" s="5" t="str">
        <x:v>諷</x:v>
      </x:c>
      <x:c r="B3809" s="6" t="str">
        <x:v>去</x:v>
      </x:c>
      <x:c r="C3809" s="6" t="str">
        <x:f>IF(B3809="","Needs decision","Ready")</x:f>
        <x:v>Ready</x:v>
      </x:c>
      <x:c r="D3809" s="6" t="str">
        <x:v>去</x:v>
      </x:c>
      <x:c r="E3809" s="6" t="str">
        <x:v>pjuwngH (C)</x:v>
      </x:c>
      <x:c r="F3809" s="6" t="str">
        <x:v>1</x:v>
      </x:c>
      <x:c r="G3809" s="6" t="str"/>
      <x:c r="H3809" s="6" t="str">
        <x:f>IF(B3809="平","平",IF(B3809="","","仄"))</x:f>
        <x:v>仄</x:v>
      </x:c>
      <x:c r="I3809" s="6" t="str">
        <x:f>IF(D3794="","",IF(AND(ISNUMBER(SEARCH("平",D3794)),OR(ISNUMBER(SEARCH("上",D3794)),ISNUMBER(SEARCH("去",D3794)),ISNUMBER(SEARCH("入",D3794)))),"Ambiguous",IF(ISNUMBER(SEARCH("平",D3794)),"平","仄")))</x:f>
        <x:v>Ambiguous</x:v>
      </x:c>
      <x:c r="J3809" s="7" t="str"/>
    </x:row>
    <x:row r="3810">
      <x:c r="A3810" s="5" t="str">
        <x:v>諸</x:v>
      </x:c>
      <x:c r="B3810" s="6" t="str">
        <x:v>平</x:v>
      </x:c>
      <x:c r="C3810" s="6" t="str">
        <x:f>IF(B3810="","Needs decision","Ready")</x:f>
        <x:v>Ready</x:v>
      </x:c>
      <x:c r="D3810" s="6" t="str">
        <x:v>平</x:v>
      </x:c>
      <x:c r="E3810" s="6" t="str">
        <x:v>tsyo (A)</x:v>
      </x:c>
      <x:c r="F3810" s="6" t="str">
        <x:v>1</x:v>
      </x:c>
      <x:c r="G3810" s="6" t="str"/>
      <x:c r="H3810" s="6" t="str">
        <x:f>IF(B3810="平","平",IF(B3810="","","仄"))</x:f>
        <x:v>平</x:v>
      </x:c>
      <x:c r="I3810" s="6" t="str">
        <x:f>IF(D3795="","",IF(AND(ISNUMBER(SEARCH("平",D3795)),OR(ISNUMBER(SEARCH("上",D3795)),ISNUMBER(SEARCH("去",D3795)),ISNUMBER(SEARCH("入",D3795)))),"Ambiguous",IF(ISNUMBER(SEARCH("平",D3795)),"平","仄")))</x:f>
        <x:v>仄</x:v>
      </x:c>
      <x:c r="J3810" s="7" t="str"/>
    </x:row>
    <x:row r="3811">
      <x:c r="A3811" s="5" t="str">
        <x:v>諺</x:v>
      </x:c>
      <x:c r="B3811" s="6" t="str">
        <x:v>去</x:v>
      </x:c>
      <x:c r="C3811" s="6" t="str">
        <x:f>IF(B3811="","Needs decision","Ready")</x:f>
        <x:v>Ready</x:v>
      </x:c>
      <x:c r="D3811" s="6" t="str">
        <x:v>去</x:v>
      </x:c>
      <x:c r="E3811" s="6" t="str">
        <x:v>ngjenH (C)</x:v>
      </x:c>
      <x:c r="F3811" s="6" t="str">
        <x:v>1</x:v>
      </x:c>
      <x:c r="G3811" s="6" t="str"/>
      <x:c r="H3811" s="6" t="str">
        <x:f>IF(B3811="平","平",IF(B3811="","","仄"))</x:f>
        <x:v>仄</x:v>
      </x:c>
      <x:c r="I3811" s="6" t="str">
        <x:f>IF(D3796="","",IF(AND(ISNUMBER(SEARCH("平",D3796)),OR(ISNUMBER(SEARCH("上",D3796)),ISNUMBER(SEARCH("去",D3796)),ISNUMBER(SEARCH("入",D3796)))),"Ambiguous",IF(ISNUMBER(SEARCH("平",D3796)),"平","仄")))</x:f>
        <x:v>平</x:v>
      </x:c>
      <x:c r="J3811" s="7" t="str"/>
    </x:row>
    <x:row r="3812">
      <x:c r="A3812" s="5" t="str">
        <x:v>諼</x:v>
      </x:c>
      <x:c r="B3812" s="6" t="str">
        <x:v>平</x:v>
      </x:c>
      <x:c r="C3812" s="6" t="str">
        <x:f>IF(B3812="","Needs decision","Ready")</x:f>
        <x:v>Ready</x:v>
      </x:c>
      <x:c r="D3812" s="6" t="str">
        <x:v>平</x:v>
      </x:c>
      <x:c r="E3812" s="6" t="str">
        <x:v>xjwon (A)</x:v>
      </x:c>
      <x:c r="F3812" s="6" t="str">
        <x:v>1</x:v>
      </x:c>
      <x:c r="G3812" s="6" t="str"/>
      <x:c r="H3812" s="6" t="str">
        <x:f>IF(B3812="平","平",IF(B3812="","","仄"))</x:f>
        <x:v>平</x:v>
      </x:c>
      <x:c r="I3812" s="6" t="str">
        <x:f>IF(D3797="","",IF(AND(ISNUMBER(SEARCH("平",D3797)),OR(ISNUMBER(SEARCH("上",D3797)),ISNUMBER(SEARCH("去",D3797)),ISNUMBER(SEARCH("入",D3797)))),"Ambiguous",IF(ISNUMBER(SEARCH("平",D3797)),"平","仄")))</x:f>
        <x:v>仄</x:v>
      </x:c>
      <x:c r="J3812" s="7" t="str"/>
    </x:row>
    <x:row r="3813">
      <x:c r="A3813" s="5" t="str">
        <x:v>諾</x:v>
      </x:c>
      <x:c r="B3813" s="6" t="str">
        <x:v>入</x:v>
      </x:c>
      <x:c r="C3813" s="6" t="str">
        <x:f>IF(B3813="","Needs decision","Ready")</x:f>
        <x:v>Ready</x:v>
      </x:c>
      <x:c r="D3813" s="6" t="str">
        <x:v>入</x:v>
      </x:c>
      <x:c r="E3813" s="6" t="str">
        <x:v>nak (D)</x:v>
      </x:c>
      <x:c r="F3813" s="6" t="str">
        <x:v>1</x:v>
      </x:c>
      <x:c r="G3813" s="6" t="str"/>
      <x:c r="H3813" s="6" t="str">
        <x:f>IF(B3813="平","平",IF(B3813="","","仄"))</x:f>
        <x:v>仄</x:v>
      </x:c>
      <x:c r="I3813" s="6" t="str">
        <x:f>IF(D3798="","",IF(AND(ISNUMBER(SEARCH("平",D3798)),OR(ISNUMBER(SEARCH("上",D3798)),ISNUMBER(SEARCH("去",D3798)),ISNUMBER(SEARCH("入",D3798)))),"Ambiguous",IF(ISNUMBER(SEARCH("平",D3798)),"平","仄")))</x:f>
        <x:v>Ambiguous</x:v>
      </x:c>
      <x:c r="J3813" s="7" t="str"/>
    </x:row>
    <x:row r="3814">
      <x:c r="A3814" s="5" t="str">
        <x:v>謀</x:v>
      </x:c>
      <x:c r="B3814" s="6" t="str">
        <x:v>平</x:v>
      </x:c>
      <x:c r="C3814" s="6" t="str">
        <x:f>IF(B3814="","Needs decision","Ready")</x:f>
        <x:v>Ready</x:v>
      </x:c>
      <x:c r="D3814" s="6" t="str">
        <x:v>平</x:v>
      </x:c>
      <x:c r="E3814" s="6" t="str">
        <x:v>mjuw (A)</x:v>
      </x:c>
      <x:c r="F3814" s="6" t="str">
        <x:v>1</x:v>
      </x:c>
      <x:c r="G3814" s="6" t="str"/>
      <x:c r="H3814" s="6" t="str">
        <x:f>IF(B3814="平","平",IF(B3814="","","仄"))</x:f>
        <x:v>平</x:v>
      </x:c>
      <x:c r="I3814" s="6" t="str">
        <x:f>IF(D3799="","",IF(AND(ISNUMBER(SEARCH("平",D3799)),OR(ISNUMBER(SEARCH("上",D3799)),ISNUMBER(SEARCH("去",D3799)),ISNUMBER(SEARCH("入",D3799)))),"Ambiguous",IF(ISNUMBER(SEARCH("平",D3799)),"平","仄")))</x:f>
        <x:v>仄</x:v>
      </x:c>
      <x:c r="J3814" s="7" t="str"/>
    </x:row>
    <x:row r="3815">
      <x:c r="A3815" s="5" t="str">
        <x:v>謁</x:v>
      </x:c>
      <x:c r="B3815" s="6" t="str">
        <x:v>入</x:v>
      </x:c>
      <x:c r="C3815" s="6" t="str">
        <x:f>IF(B3815="","Needs decision","Ready")</x:f>
        <x:v>Ready</x:v>
      </x:c>
      <x:c r="D3815" s="6" t="str">
        <x:v>入</x:v>
      </x:c>
      <x:c r="E3815" s="6" t="str">
        <x:v>'jot (D)</x:v>
      </x:c>
      <x:c r="F3815" s="6" t="str">
        <x:v>1</x:v>
      </x:c>
      <x:c r="G3815" s="6" t="str"/>
      <x:c r="H3815" s="6" t="str">
        <x:f>IF(B3815="平","平",IF(B3815="","","仄"))</x:f>
        <x:v>仄</x:v>
      </x:c>
      <x:c r="I3815" s="6" t="str">
        <x:f>IF(D3800="","",IF(AND(ISNUMBER(SEARCH("平",D3800)),OR(ISNUMBER(SEARCH("上",D3800)),ISNUMBER(SEARCH("去",D3800)),ISNUMBER(SEARCH("入",D3800)))),"Ambiguous",IF(ISNUMBER(SEARCH("平",D3800)),"平","仄")))</x:f>
        <x:v>平</x:v>
      </x:c>
      <x:c r="J3815" s="7" t="str"/>
    </x:row>
    <x:row r="3816">
      <x:c r="A3816" s="5" t="str">
        <x:v>謂</x:v>
      </x:c>
      <x:c r="B3816" s="6" t="str">
        <x:v>去</x:v>
      </x:c>
      <x:c r="C3816" s="6" t="str">
        <x:f>IF(B3816="","Needs decision","Ready")</x:f>
        <x:v>Ready</x:v>
      </x:c>
      <x:c r="D3816" s="6" t="str">
        <x:v>去</x:v>
      </x:c>
      <x:c r="E3816" s="6" t="str">
        <x:v>hjw+jH (C)</x:v>
      </x:c>
      <x:c r="F3816" s="6" t="str">
        <x:v>1</x:v>
      </x:c>
      <x:c r="G3816" s="6" t="str"/>
      <x:c r="H3816" s="6" t="str">
        <x:f>IF(B3816="平","平",IF(B3816="","","仄"))</x:f>
        <x:v>仄</x:v>
      </x:c>
      <x:c r="I3816" s="6" t="str">
        <x:f>IF(D3801="","",IF(AND(ISNUMBER(SEARCH("平",D3801)),OR(ISNUMBER(SEARCH("上",D3801)),ISNUMBER(SEARCH("去",D3801)),ISNUMBER(SEARCH("入",D3801)))),"Ambiguous",IF(ISNUMBER(SEARCH("平",D3801)),"平","仄")))</x:f>
        <x:v>Ambiguous</x:v>
      </x:c>
      <x:c r="J3816" s="7" t="str"/>
    </x:row>
    <x:row r="3817">
      <x:c r="A3817" s="5" t="str">
        <x:v>謐</x:v>
      </x:c>
      <x:c r="B3817" s="6" t="str">
        <x:v>入</x:v>
      </x:c>
      <x:c r="C3817" s="6" t="str">
        <x:f>IF(B3817="","Needs decision","Ready")</x:f>
        <x:v>Ready</x:v>
      </x:c>
      <x:c r="D3817" s="6" t="str">
        <x:v>入</x:v>
      </x:c>
      <x:c r="E3817" s="6" t="str">
        <x:v>mjit (D)</x:v>
      </x:c>
      <x:c r="F3817" s="6" t="str">
        <x:v>1</x:v>
      </x:c>
      <x:c r="G3817" s="6" t="str"/>
      <x:c r="H3817" s="6" t="str">
        <x:f>IF(B3817="平","平",IF(B3817="","","仄"))</x:f>
        <x:v>仄</x:v>
      </x:c>
      <x:c r="I3817" s="6" t="str">
        <x:f>IF(D3802="","",IF(AND(ISNUMBER(SEARCH("平",D3802)),OR(ISNUMBER(SEARCH("上",D3802)),ISNUMBER(SEARCH("去",D3802)),ISNUMBER(SEARCH("入",D3802)))),"Ambiguous",IF(ISNUMBER(SEARCH("平",D3802)),"平","仄")))</x:f>
        <x:v>平</x:v>
      </x:c>
      <x:c r="J3817" s="7" t="str"/>
    </x:row>
    <x:row r="3818">
      <x:c r="A3818" s="5" t="str">
        <x:v>謔</x:v>
      </x:c>
      <x:c r="B3818" s="6" t="str">
        <x:v>入</x:v>
      </x:c>
      <x:c r="C3818" s="6" t="str">
        <x:f>IF(B3818="","Needs decision","Ready")</x:f>
        <x:v>Ready</x:v>
      </x:c>
      <x:c r="D3818" s="6" t="str">
        <x:v>入</x:v>
      </x:c>
      <x:c r="E3818" s="6" t="str">
        <x:v>xjak (D)</x:v>
      </x:c>
      <x:c r="F3818" s="6" t="str">
        <x:v>1</x:v>
      </x:c>
      <x:c r="G3818" s="6" t="str"/>
      <x:c r="H3818" s="6" t="str">
        <x:f>IF(B3818="平","平",IF(B3818="","","仄"))</x:f>
        <x:v>仄</x:v>
      </x:c>
      <x:c r="I3818" s="6" t="str">
        <x:f>IF(D3803="","",IF(AND(ISNUMBER(SEARCH("平",D3803)),OR(ISNUMBER(SEARCH("上",D3803)),ISNUMBER(SEARCH("去",D3803)),ISNUMBER(SEARCH("入",D3803)))),"Ambiguous",IF(ISNUMBER(SEARCH("平",D3803)),"平","仄")))</x:f>
        <x:v>仄</x:v>
      </x:c>
      <x:c r="J3818" s="7" t="str"/>
    </x:row>
    <x:row r="3819">
      <x:c r="A3819" s="5" t="str">
        <x:v>謗</x:v>
      </x:c>
      <x:c r="B3819" s="6" t="str">
        <x:v>去</x:v>
      </x:c>
      <x:c r="C3819" s="6" t="str">
        <x:f>IF(B3819="","Needs decision","Ready")</x:f>
        <x:v>Ready</x:v>
      </x:c>
      <x:c r="D3819" s="6" t="str">
        <x:v>去</x:v>
      </x:c>
      <x:c r="E3819" s="6" t="str">
        <x:v>pangH (C)</x:v>
      </x:c>
      <x:c r="F3819" s="6" t="str">
        <x:v>1</x:v>
      </x:c>
      <x:c r="G3819" s="6" t="str"/>
      <x:c r="H3819" s="6" t="str">
        <x:f>IF(B3819="平","平",IF(B3819="","","仄"))</x:f>
        <x:v>仄</x:v>
      </x:c>
      <x:c r="I3819" s="6" t="str">
        <x:f>IF(D3804="","",IF(AND(ISNUMBER(SEARCH("平",D3804)),OR(ISNUMBER(SEARCH("上",D3804)),ISNUMBER(SEARCH("去",D3804)),ISNUMBER(SEARCH("入",D3804)))),"Ambiguous",IF(ISNUMBER(SEARCH("平",D3804)),"平","仄")))</x:f>
        <x:v>仄</x:v>
      </x:c>
      <x:c r="J3819" s="7" t="str"/>
    </x:row>
    <x:row r="3820">
      <x:c r="A3820" s="5" t="str">
        <x:v>謙</x:v>
      </x:c>
      <x:c r="B3820" s="6" t="str">
        <x:v>平</x:v>
      </x:c>
      <x:c r="C3820" s="6" t="str">
        <x:f>IF(B3820="","Needs decision","Ready")</x:f>
        <x:v>Ready</x:v>
      </x:c>
      <x:c r="D3820" s="6" t="str">
        <x:v>平</x:v>
      </x:c>
      <x:c r="E3820" s="6" t="str">
        <x:v>khem (A)</x:v>
      </x:c>
      <x:c r="F3820" s="6" t="str">
        <x:v>1</x:v>
      </x:c>
      <x:c r="G3820" s="6" t="str"/>
      <x:c r="H3820" s="6" t="str">
        <x:f>IF(B3820="平","平",IF(B3820="","","仄"))</x:f>
        <x:v>平</x:v>
      </x:c>
      <x:c r="I3820" s="6" t="str">
        <x:f>IF(D3805="","",IF(AND(ISNUMBER(SEARCH("平",D3805)),OR(ISNUMBER(SEARCH("上",D3805)),ISNUMBER(SEARCH("去",D3805)),ISNUMBER(SEARCH("入",D3805)))),"Ambiguous",IF(ISNUMBER(SEARCH("平",D3805)),"平","仄")))</x:f>
        <x:v>仄</x:v>
      </x:c>
      <x:c r="J3820" s="7" t="str"/>
    </x:row>
    <x:row r="3821">
      <x:c r="A3821" s="5" t="str">
        <x:v>講</x:v>
      </x:c>
      <x:c r="B3821" s="6" t="str">
        <x:v>上</x:v>
      </x:c>
      <x:c r="C3821" s="6" t="str">
        <x:f>IF(B3821="","Needs decision","Ready")</x:f>
        <x:v>Ready</x:v>
      </x:c>
      <x:c r="D3821" s="6" t="str">
        <x:v>上</x:v>
      </x:c>
      <x:c r="E3821" s="6" t="str">
        <x:v>kaewngX (B)</x:v>
      </x:c>
      <x:c r="F3821" s="6" t="str">
        <x:v>1</x:v>
      </x:c>
      <x:c r="G3821" s="6" t="str"/>
      <x:c r="H3821" s="6" t="str">
        <x:f>IF(B3821="平","平",IF(B3821="","","仄"))</x:f>
        <x:v>仄</x:v>
      </x:c>
      <x:c r="I3821" s="6" t="str">
        <x:f>IF(D3806="","",IF(AND(ISNUMBER(SEARCH("平",D3806)),OR(ISNUMBER(SEARCH("上",D3806)),ISNUMBER(SEARCH("去",D3806)),ISNUMBER(SEARCH("入",D3806)))),"Ambiguous",IF(ISNUMBER(SEARCH("平",D3806)),"平","仄")))</x:f>
        <x:v>平</x:v>
      </x:c>
      <x:c r="J3821" s="7" t="str"/>
    </x:row>
    <x:row r="3822">
      <x:c r="A3822" s="5" t="str">
        <x:v>謝</x:v>
      </x:c>
      <x:c r="B3822" s="6" t="str">
        <x:v>去</x:v>
      </x:c>
      <x:c r="C3822" s="6" t="str">
        <x:f>IF(B3822="","Needs decision","Ready")</x:f>
        <x:v>Ready</x:v>
      </x:c>
      <x:c r="D3822" s="6" t="str">
        <x:v>去</x:v>
      </x:c>
      <x:c r="E3822" s="6" t="str">
        <x:v>zjaeH (C)</x:v>
      </x:c>
      <x:c r="F3822" s="6" t="str">
        <x:v>1</x:v>
      </x:c>
      <x:c r="G3822" s="6" t="str"/>
      <x:c r="H3822" s="6" t="str">
        <x:f>IF(B3822="平","平",IF(B3822="","","仄"))</x:f>
        <x:v>仄</x:v>
      </x:c>
      <x:c r="I3822" s="6" t="str">
        <x:f>IF(D3807="","",IF(AND(ISNUMBER(SEARCH("平",D3807)),OR(ISNUMBER(SEARCH("上",D3807)),ISNUMBER(SEARCH("去",D3807)),ISNUMBER(SEARCH("入",D3807)))),"Ambiguous",IF(ISNUMBER(SEARCH("平",D3807)),"平","仄")))</x:f>
        <x:v>平</x:v>
      </x:c>
      <x:c r="J3822" s="7" t="str"/>
    </x:row>
    <x:row r="3823">
      <x:c r="A3823" s="5" t="str">
        <x:v>謠</x:v>
      </x:c>
      <x:c r="B3823" s="6" t="str">
        <x:v>平</x:v>
      </x:c>
      <x:c r="C3823" s="6" t="str">
        <x:f>IF(B3823="","Needs decision","Ready")</x:f>
        <x:v>Ready</x:v>
      </x:c>
      <x:c r="D3823" s="6" t="str">
        <x:v>平</x:v>
      </x:c>
      <x:c r="E3823" s="6" t="str">
        <x:v>yew (A)</x:v>
      </x:c>
      <x:c r="F3823" s="6" t="str">
        <x:v>1</x:v>
      </x:c>
      <x:c r="G3823" s="6" t="str"/>
      <x:c r="H3823" s="6" t="str">
        <x:f>IF(B3823="平","平",IF(B3823="","","仄"))</x:f>
        <x:v>平</x:v>
      </x:c>
      <x:c r="I3823" s="6" t="str">
        <x:f>IF(D3808="","",IF(AND(ISNUMBER(SEARCH("平",D3808)),OR(ISNUMBER(SEARCH("上",D3808)),ISNUMBER(SEARCH("去",D3808)),ISNUMBER(SEARCH("入",D3808)))),"Ambiguous",IF(ISNUMBER(SEARCH("平",D3808)),"平","仄")))</x:f>
        <x:v>平</x:v>
      </x:c>
      <x:c r="J3823" s="7" t="str"/>
    </x:row>
    <x:row r="3824">
      <x:c r="A3824" s="5" t="str">
        <x:v>謦</x:v>
      </x:c>
      <x:c r="B3824" s="6" t="str">
        <x:v>上</x:v>
      </x:c>
      <x:c r="C3824" s="6" t="str">
        <x:f>IF(B3824="","Needs decision","Ready")</x:f>
        <x:v>Ready</x:v>
      </x:c>
      <x:c r="D3824" s="6" t="str">
        <x:v>上</x:v>
      </x:c>
      <x:c r="E3824" s="6" t="str">
        <x:v>khengX (B)</x:v>
      </x:c>
      <x:c r="F3824" s="6" t="str">
        <x:v>1</x:v>
      </x:c>
      <x:c r="G3824" s="6" t="str"/>
      <x:c r="H3824" s="6" t="str">
        <x:f>IF(B3824="平","平",IF(B3824="","","仄"))</x:f>
        <x:v>仄</x:v>
      </x:c>
      <x:c r="I3824" s="6" t="str">
        <x:f>IF(D3809="","",IF(AND(ISNUMBER(SEARCH("平",D3809)),OR(ISNUMBER(SEARCH("上",D3809)),ISNUMBER(SEARCH("去",D3809)),ISNUMBER(SEARCH("入",D3809)))),"Ambiguous",IF(ISNUMBER(SEARCH("平",D3809)),"平","仄")))</x:f>
        <x:v>仄</x:v>
      </x:c>
      <x:c r="J3824" s="7" t="str"/>
    </x:row>
    <x:row r="3825">
      <x:c r="A3825" s="5" t="str">
        <x:v>謨</x:v>
      </x:c>
      <x:c r="B3825" s="6" t="str">
        <x:v>平</x:v>
      </x:c>
      <x:c r="C3825" s="6" t="str">
        <x:f>IF(B3825="","Needs decision","Ready")</x:f>
        <x:v>Ready</x:v>
      </x:c>
      <x:c r="D3825" s="6" t="str">
        <x:v>平</x:v>
      </x:c>
      <x:c r="E3825" s="6" t="str">
        <x:v>mu (A)</x:v>
      </x:c>
      <x:c r="F3825" s="6" t="str">
        <x:v>1</x:v>
      </x:c>
      <x:c r="G3825" s="6" t="str"/>
      <x:c r="H3825" s="6" t="str">
        <x:f>IF(B3825="平","平",IF(B3825="","","仄"))</x:f>
        <x:v>平</x:v>
      </x:c>
      <x:c r="I3825" s="6" t="str">
        <x:f>IF(D3810="","",IF(AND(ISNUMBER(SEARCH("平",D3810)),OR(ISNUMBER(SEARCH("上",D3810)),ISNUMBER(SEARCH("去",D3810)),ISNUMBER(SEARCH("入",D3810)))),"Ambiguous",IF(ISNUMBER(SEARCH("平",D3810)),"平","仄")))</x:f>
        <x:v>平</x:v>
      </x:c>
      <x:c r="J3825" s="7" t="str"/>
    </x:row>
    <x:row r="3826">
      <x:c r="A3826" s="5" t="str">
        <x:v>謫</x:v>
      </x:c>
      <x:c r="B3826" s="6" t="str">
        <x:v>入</x:v>
      </x:c>
      <x:c r="C3826" s="6" t="str">
        <x:f>IF(B3826="","Needs decision","Ready")</x:f>
        <x:v>Ready</x:v>
      </x:c>
      <x:c r="D3826" s="6" t="str">
        <x:v>入</x:v>
      </x:c>
      <x:c r="E3826" s="6" t="str">
        <x:v>dreak (D); treak (D)</x:v>
      </x:c>
      <x:c r="F3826" s="6" t="str">
        <x:v>2</x:v>
      </x:c>
      <x:c r="G3826" s="6" t="str"/>
      <x:c r="H3826" s="6" t="str">
        <x:f>IF(B3826="平","平",IF(B3826="","","仄"))</x:f>
        <x:v>仄</x:v>
      </x:c>
      <x:c r="I3826" s="6" t="str">
        <x:f>IF(D3811="","",IF(AND(ISNUMBER(SEARCH("平",D3811)),OR(ISNUMBER(SEARCH("上",D3811)),ISNUMBER(SEARCH("去",D3811)),ISNUMBER(SEARCH("入",D3811)))),"Ambiguous",IF(ISNUMBER(SEARCH("平",D3811)),"平","仄")))</x:f>
        <x:v>仄</x:v>
      </x:c>
      <x:c r="J3826" s="7" t="str"/>
    </x:row>
    <x:row r="3827">
      <x:c r="A3827" s="5" t="str">
        <x:v>謬</x:v>
      </x:c>
      <x:c r="B3827" s="6" t="str">
        <x:v>去</x:v>
      </x:c>
      <x:c r="C3827" s="6" t="str">
        <x:f>IF(B3827="","Needs decision","Ready")</x:f>
        <x:v>Ready</x:v>
      </x:c>
      <x:c r="D3827" s="6" t="str">
        <x:v>去</x:v>
      </x:c>
      <x:c r="E3827" s="6" t="str">
        <x:v>mjiwH (C)</x:v>
      </x:c>
      <x:c r="F3827" s="6" t="str">
        <x:v>1</x:v>
      </x:c>
      <x:c r="G3827" s="6" t="str"/>
      <x:c r="H3827" s="6" t="str">
        <x:f>IF(B3827="平","平",IF(B3827="","","仄"))</x:f>
        <x:v>仄</x:v>
      </x:c>
      <x:c r="I3827" s="6" t="str">
        <x:f>IF(D3812="","",IF(AND(ISNUMBER(SEARCH("平",D3812)),OR(ISNUMBER(SEARCH("上",D3812)),ISNUMBER(SEARCH("去",D3812)),ISNUMBER(SEARCH("入",D3812)))),"Ambiguous",IF(ISNUMBER(SEARCH("平",D3812)),"平","仄")))</x:f>
        <x:v>平</x:v>
      </x:c>
      <x:c r="J3827" s="7" t="str"/>
    </x:row>
    <x:row r="3828">
      <x:c r="A3828" s="5" t="str">
        <x:v>謳</x:v>
      </x:c>
      <x:c r="B3828" s="6" t="str">
        <x:v>平</x:v>
      </x:c>
      <x:c r="C3828" s="6" t="str">
        <x:f>IF(B3828="","Needs decision","Ready")</x:f>
        <x:v>Ready</x:v>
      </x:c>
      <x:c r="D3828" s="6" t="str">
        <x:v>平</x:v>
      </x:c>
      <x:c r="E3828" s="6" t="str">
        <x:v>'uw [ʔ̙u] (平)</x:v>
      </x:c>
      <x:c r="F3828" s="6" t="str">
        <x:v>1</x:v>
      </x:c>
      <x:c r="G3828" s="6" t="str">
        <x:v>Tang 300 gap; frequency 1; provisional from Xun Gong</x:v>
      </x:c>
      <x:c r="H3828" s="6" t="str">
        <x:f>IF(B3828="平","平",IF(B3828="","","仄"))</x:f>
        <x:v>平</x:v>
      </x:c>
      <x:c r="I3828" s="6" t="str">
        <x:f>IF(D3813="","",IF(AND(ISNUMBER(SEARCH("平",D3813)),OR(ISNUMBER(SEARCH("上",D3813)),ISNUMBER(SEARCH("去",D3813)),ISNUMBER(SEARCH("入",D3813)))),"Ambiguous",IF(ISNUMBER(SEARCH("平",D3813)),"平","仄")))</x:f>
        <x:v>仄</x:v>
      </x:c>
      <x:c r="J3828" s="7" t="str">
        <x:v>Xun Gong, Tang 300 gap fill</x:v>
      </x:c>
    </x:row>
    <x:row r="3829">
      <x:c r="A3829" s="5" t="str">
        <x:v>謹</x:v>
      </x:c>
      <x:c r="B3829" s="6" t="str">
        <x:v>上</x:v>
      </x:c>
      <x:c r="C3829" s="6" t="str">
        <x:f>IF(B3829="","Needs decision","Ready")</x:f>
        <x:v>Ready</x:v>
      </x:c>
      <x:c r="D3829" s="6" t="str">
        <x:v>上</x:v>
      </x:c>
      <x:c r="E3829" s="6" t="str">
        <x:v>kj+nX (B)</x:v>
      </x:c>
      <x:c r="F3829" s="6" t="str">
        <x:v>1</x:v>
      </x:c>
      <x:c r="G3829" s="6" t="str"/>
      <x:c r="H3829" s="6" t="str">
        <x:f>IF(B3829="平","平",IF(B3829="","","仄"))</x:f>
        <x:v>仄</x:v>
      </x:c>
      <x:c r="I3829" s="6" t="str">
        <x:f>IF(D3814="","",IF(AND(ISNUMBER(SEARCH("平",D3814)),OR(ISNUMBER(SEARCH("上",D3814)),ISNUMBER(SEARCH("去",D3814)),ISNUMBER(SEARCH("入",D3814)))),"Ambiguous",IF(ISNUMBER(SEARCH("平",D3814)),"平","仄")))</x:f>
        <x:v>平</x:v>
      </x:c>
      <x:c r="J3829" s="7" t="str"/>
    </x:row>
    <x:row r="3830">
      <x:c r="A3830" s="5" t="str">
        <x:v>謾</x:v>
      </x:c>
      <x:c r="B3830" s="6" t="str">
        <x:v>去</x:v>
      </x:c>
      <x:c r="C3830" s="6" t="str">
        <x:f>IF(B3830="","Needs decision","Ready")</x:f>
        <x:v>Ready</x:v>
      </x:c>
      <x:c r="D3830" s="6" t="str">
        <x:v>平/去</x:v>
      </x:c>
      <x:c r="E3830" s="6" t="str">
        <x:v>maen [m̙aˤn] (平); maenH [m̙aˤnh] (去); man [m̙ɑn] (平); manH [m̙ɑnh] (去); mjien [mjen] (平)</x:v>
      </x:c>
      <x:c r="F3830" s="6" t="str">
        <x:v>5</x:v>
      </x:c>
      <x:c r="G3830" s="6" t="str">
        <x:v>Tang 300 gap; frequency 1; ambiguous in Xun Gong</x:v>
      </x:c>
      <x:c r="H3830" s="6" t="str">
        <x:f>IF(B3830="平","平",IF(B3830="","","仄"))</x:f>
        <x:v>仄</x:v>
      </x:c>
      <x:c r="I3830" s="6" t="str">
        <x:f>IF(D3815="","",IF(AND(ISNUMBER(SEARCH("平",D3815)),OR(ISNUMBER(SEARCH("上",D3815)),ISNUMBER(SEARCH("去",D3815)),ISNUMBER(SEARCH("入",D3815)))),"Ambiguous",IF(ISNUMBER(SEARCH("平",D3815)),"平","仄")))</x:f>
        <x:v>仄</x:v>
      </x:c>
      <x:c r="J3830" s="7" t="str">
        <x:v>Xun Gong, Tang 300 gap fill</x:v>
      </x:c>
    </x:row>
    <x:row r="3831">
      <x:c r="A3831" s="5" t="str">
        <x:v>譁</x:v>
      </x:c>
      <x:c r="B3831" s="6" t="str">
        <x:v>平</x:v>
      </x:c>
      <x:c r="C3831" s="6" t="str">
        <x:f>IF(B3831="","Needs decision","Ready")</x:f>
        <x:v>Ready</x:v>
      </x:c>
      <x:c r="D3831" s="6" t="str">
        <x:v>平</x:v>
      </x:c>
      <x:c r="E3831" s="6" t="str">
        <x:v>xwae (A)</x:v>
      </x:c>
      <x:c r="F3831" s="6" t="str">
        <x:v>1</x:v>
      </x:c>
      <x:c r="G3831" s="6" t="str"/>
      <x:c r="H3831" s="6" t="str">
        <x:f>IF(B3831="平","平",IF(B3831="","","仄"))</x:f>
        <x:v>平</x:v>
      </x:c>
      <x:c r="I3831" s="6" t="str">
        <x:f>IF(D3816="","",IF(AND(ISNUMBER(SEARCH("平",D3816)),OR(ISNUMBER(SEARCH("上",D3816)),ISNUMBER(SEARCH("去",D3816)),ISNUMBER(SEARCH("入",D3816)))),"Ambiguous",IF(ISNUMBER(SEARCH("平",D3816)),"平","仄")))</x:f>
        <x:v>仄</x:v>
      </x:c>
      <x:c r="J3831" s="7" t="str"/>
    </x:row>
    <x:row r="3832">
      <x:c r="A3832" s="5" t="str">
        <x:v>證</x:v>
      </x:c>
      <x:c r="B3832" s="6" t="str">
        <x:v>去</x:v>
      </x:c>
      <x:c r="C3832" s="6" t="str">
        <x:f>IF(B3832="","Needs decision","Ready")</x:f>
        <x:v>Ready</x:v>
      </x:c>
      <x:c r="D3832" s="6" t="str">
        <x:v>去</x:v>
      </x:c>
      <x:c r="E3832" s="6" t="str">
        <x:v>tsyingH (C)</x:v>
      </x:c>
      <x:c r="F3832" s="6" t="str">
        <x:v>1</x:v>
      </x:c>
      <x:c r="G3832" s="6" t="str"/>
      <x:c r="H3832" s="6" t="str">
        <x:f>IF(B3832="平","平",IF(B3832="","","仄"))</x:f>
        <x:v>仄</x:v>
      </x:c>
      <x:c r="I3832" s="6" t="str">
        <x:f>IF(D3817="","",IF(AND(ISNUMBER(SEARCH("平",D3817)),OR(ISNUMBER(SEARCH("上",D3817)),ISNUMBER(SEARCH("去",D3817)),ISNUMBER(SEARCH("入",D3817)))),"Ambiguous",IF(ISNUMBER(SEARCH("平",D3817)),"平","仄")))</x:f>
        <x:v>仄</x:v>
      </x:c>
      <x:c r="J3832" s="7" t="str"/>
    </x:row>
    <x:row r="3833">
      <x:c r="A3833" s="5" t="str">
        <x:v>譌</x:v>
      </x:c>
      <x:c r="B3833" s="6" t="str">
        <x:v>平</x:v>
      </x:c>
      <x:c r="C3833" s="6" t="str">
        <x:f>IF(B3833="","Needs decision","Ready")</x:f>
        <x:v>Ready</x:v>
      </x:c>
      <x:c r="D3833" s="6" t="str">
        <x:v>平</x:v>
      </x:c>
      <x:c r="E3833" s="6" t="str">
        <x:v>ngwa (A)</x:v>
      </x:c>
      <x:c r="F3833" s="6" t="str">
        <x:v>1</x:v>
      </x:c>
      <x:c r="G3833" s="6" t="str"/>
      <x:c r="H3833" s="6" t="str">
        <x:f>IF(B3833="平","平",IF(B3833="","","仄"))</x:f>
        <x:v>平</x:v>
      </x:c>
      <x:c r="I3833" s="6" t="str">
        <x:f>IF(D3818="","",IF(AND(ISNUMBER(SEARCH("平",D3818)),OR(ISNUMBER(SEARCH("上",D3818)),ISNUMBER(SEARCH("去",D3818)),ISNUMBER(SEARCH("入",D3818)))),"Ambiguous",IF(ISNUMBER(SEARCH("平",D3818)),"平","仄")))</x:f>
        <x:v>仄</x:v>
      </x:c>
      <x:c r="J3833" s="7" t="str"/>
    </x:row>
    <x:row r="3834">
      <x:c r="A3834" s="5" t="str">
        <x:v>譎</x:v>
      </x:c>
      <x:c r="B3834" s="6" t="str">
        <x:v>入</x:v>
      </x:c>
      <x:c r="C3834" s="6" t="str">
        <x:f>IF(B3834="","Needs decision","Ready")</x:f>
        <x:v>Ready</x:v>
      </x:c>
      <x:c r="D3834" s="6" t="str">
        <x:v>入</x:v>
      </x:c>
      <x:c r="E3834" s="6" t="str">
        <x:v>kwet (D)</x:v>
      </x:c>
      <x:c r="F3834" s="6" t="str">
        <x:v>1</x:v>
      </x:c>
      <x:c r="G3834" s="6" t="str"/>
      <x:c r="H3834" s="6" t="str">
        <x:f>IF(B3834="平","平",IF(B3834="","","仄"))</x:f>
        <x:v>仄</x:v>
      </x:c>
      <x:c r="I3834" s="6" t="str">
        <x:f>IF(D3819="","",IF(AND(ISNUMBER(SEARCH("平",D3819)),OR(ISNUMBER(SEARCH("上",D3819)),ISNUMBER(SEARCH("去",D3819)),ISNUMBER(SEARCH("入",D3819)))),"Ambiguous",IF(ISNUMBER(SEARCH("平",D3819)),"平","仄")))</x:f>
        <x:v>仄</x:v>
      </x:c>
      <x:c r="J3834" s="7" t="str"/>
    </x:row>
    <x:row r="3835">
      <x:c r="A3835" s="5" t="str">
        <x:v>譕</x:v>
      </x:c>
      <x:c r="B3835" s="6" t="str">
        <x:v>平</x:v>
      </x:c>
      <x:c r="C3835" s="6" t="str">
        <x:f>IF(B3835="","Needs decision","Ready")</x:f>
        <x:v>Ready</x:v>
      </x:c>
      <x:c r="D3835" s="6" t="str">
        <x:v>平</x:v>
      </x:c>
      <x:c r="E3835" s="6" t="str">
        <x:v>mju (A)</x:v>
      </x:c>
      <x:c r="F3835" s="6" t="str">
        <x:v>1</x:v>
      </x:c>
      <x:c r="G3835" s="6" t="str"/>
      <x:c r="H3835" s="6" t="str">
        <x:f>IF(B3835="平","平",IF(B3835="","","仄"))</x:f>
        <x:v>平</x:v>
      </x:c>
      <x:c r="I3835" s="6" t="str">
        <x:f>IF(D3820="","",IF(AND(ISNUMBER(SEARCH("平",D3820)),OR(ISNUMBER(SEARCH("上",D3820)),ISNUMBER(SEARCH("去",D3820)),ISNUMBER(SEARCH("入",D3820)))),"Ambiguous",IF(ISNUMBER(SEARCH("平",D3820)),"平","仄")))</x:f>
        <x:v>平</x:v>
      </x:c>
      <x:c r="J3835" s="7" t="str"/>
    </x:row>
    <x:row r="3836">
      <x:c r="A3836" s="5" t="str">
        <x:v>譖</x:v>
      </x:c>
      <x:c r="B3836" s="6" t="str">
        <x:v>去</x:v>
      </x:c>
      <x:c r="C3836" s="6" t="str">
        <x:f>IF(B3836="","Needs decision","Ready")</x:f>
        <x:v>Ready</x:v>
      </x:c>
      <x:c r="D3836" s="6" t="str">
        <x:v>去</x:v>
      </x:c>
      <x:c r="E3836" s="6" t="str">
        <x:v>tsrimH (C)</x:v>
      </x:c>
      <x:c r="F3836" s="6" t="str">
        <x:v>1</x:v>
      </x:c>
      <x:c r="G3836" s="6" t="str"/>
      <x:c r="H3836" s="6" t="str">
        <x:f>IF(B3836="平","平",IF(B3836="","","仄"))</x:f>
        <x:v>仄</x:v>
      </x:c>
      <x:c r="I3836" s="6" t="str">
        <x:f>IF(D3821="","",IF(AND(ISNUMBER(SEARCH("平",D3821)),OR(ISNUMBER(SEARCH("上",D3821)),ISNUMBER(SEARCH("去",D3821)),ISNUMBER(SEARCH("入",D3821)))),"Ambiguous",IF(ISNUMBER(SEARCH("平",D3821)),"平","仄")))</x:f>
        <x:v>仄</x:v>
      </x:c>
      <x:c r="J3836" s="7" t="str"/>
    </x:row>
    <x:row r="3837">
      <x:c r="A3837" s="5" t="str">
        <x:v>識</x:v>
      </x:c>
      <x:c r="B3837" s="6" t="str">
        <x:v>入</x:v>
      </x:c>
      <x:c r="C3837" s="6" t="str">
        <x:f>IF(B3837="","Needs decision","Ready")</x:f>
        <x:v>Ready</x:v>
      </x:c>
      <x:c r="D3837" s="6" t="str">
        <x:v>入/去</x:v>
      </x:c>
      <x:c r="E3837" s="6" t="str">
        <x:v>syik (D); tsyiH (C)</x:v>
      </x:c>
      <x:c r="F3837" s="6" t="str">
        <x:v>2</x:v>
      </x:c>
      <x:c r="G3837" s="6" t="str"/>
      <x:c r="H3837" s="6" t="str">
        <x:f>IF(B3837="平","平",IF(B3837="","","仄"))</x:f>
        <x:v>仄</x:v>
      </x:c>
      <x:c r="I3837" s="6" t="str">
        <x:f>IF(D3822="","",IF(AND(ISNUMBER(SEARCH("平",D3822)),OR(ISNUMBER(SEARCH("上",D3822)),ISNUMBER(SEARCH("去",D3822)),ISNUMBER(SEARCH("入",D3822)))),"Ambiguous",IF(ISNUMBER(SEARCH("平",D3822)),"平","仄")))</x:f>
        <x:v>仄</x:v>
      </x:c>
      <x:c r="J3837" s="7" t="str"/>
    </x:row>
    <x:row r="3838">
      <x:c r="A3838" s="5" t="str">
        <x:v>譟</x:v>
      </x:c>
      <x:c r="B3838" s="6" t="str">
        <x:v>去</x:v>
      </x:c>
      <x:c r="C3838" s="6" t="str">
        <x:f>IF(B3838="","Needs decision","Ready")</x:f>
        <x:v>Ready</x:v>
      </x:c>
      <x:c r="D3838" s="6" t="str">
        <x:v>去</x:v>
      </x:c>
      <x:c r="E3838" s="6" t="str">
        <x:v>sawH (C)</x:v>
      </x:c>
      <x:c r="F3838" s="6" t="str">
        <x:v>1</x:v>
      </x:c>
      <x:c r="G3838" s="6" t="str"/>
      <x:c r="H3838" s="6" t="str">
        <x:f>IF(B3838="平","平",IF(B3838="","","仄"))</x:f>
        <x:v>仄</x:v>
      </x:c>
      <x:c r="I3838" s="6" t="str">
        <x:f>IF(D3823="","",IF(AND(ISNUMBER(SEARCH("平",D3823)),OR(ISNUMBER(SEARCH("上",D3823)),ISNUMBER(SEARCH("去",D3823)),ISNUMBER(SEARCH("入",D3823)))),"Ambiguous",IF(ISNUMBER(SEARCH("平",D3823)),"平","仄")))</x:f>
        <x:v>平</x:v>
      </x:c>
      <x:c r="J3838" s="7" t="str"/>
    </x:row>
    <x:row r="3839">
      <x:c r="A3839" s="5" t="str">
        <x:v>譣</x:v>
      </x:c>
      <x:c r="B3839" s="6" t="str"/>
      <x:c r="C3839" s="6" t="str">
        <x:f>IF(B3839="","Needs decision","Ready")</x:f>
        <x:v>Needs decision</x:v>
      </x:c>
      <x:c r="D3839" s="6" t="str">
        <x:v>平/上</x:v>
      </x:c>
      <x:c r="E3839" s="6" t="str">
        <x:v>tshjem (A); tshjemX (B); sjem (A)</x:v>
      </x:c>
      <x:c r="F3839" s="6" t="str">
        <x:v>3</x:v>
      </x:c>
      <x:c r="G3839" s="6" t="str"/>
      <x:c r="H3839" s="6" t="str">
        <x:f>IF(B3839="平","平",IF(B3839="","","仄"))</x:f>
      </x:c>
      <x:c r="I3839" s="6" t="str">
        <x:f>IF(D3824="","",IF(AND(ISNUMBER(SEARCH("平",D3824)),OR(ISNUMBER(SEARCH("上",D3824)),ISNUMBER(SEARCH("去",D3824)),ISNUMBER(SEARCH("入",D3824)))),"Ambiguous",IF(ISNUMBER(SEARCH("平",D3824)),"平","仄")))</x:f>
        <x:v>仄</x:v>
      </x:c>
      <x:c r="J3839" s="7" t="str"/>
    </x:row>
    <x:row r="3840">
      <x:c r="A3840" s="5" t="str">
        <x:v>警</x:v>
      </x:c>
      <x:c r="B3840" s="6" t="str">
        <x:v>上</x:v>
      </x:c>
      <x:c r="C3840" s="6" t="str">
        <x:f>IF(B3840="","Needs decision","Ready")</x:f>
        <x:v>Ready</x:v>
      </x:c>
      <x:c r="D3840" s="6" t="str">
        <x:v>上</x:v>
      </x:c>
      <x:c r="E3840" s="6" t="str">
        <x:v>kjaengX (B)</x:v>
      </x:c>
      <x:c r="F3840" s="6" t="str">
        <x:v>1</x:v>
      </x:c>
      <x:c r="G3840" s="6" t="str"/>
      <x:c r="H3840" s="6" t="str">
        <x:f>IF(B3840="平","平",IF(B3840="","","仄"))</x:f>
        <x:v>仄</x:v>
      </x:c>
      <x:c r="I3840" s="6" t="str">
        <x:f>IF(D3825="","",IF(AND(ISNUMBER(SEARCH("平",D3825)),OR(ISNUMBER(SEARCH("上",D3825)),ISNUMBER(SEARCH("去",D3825)),ISNUMBER(SEARCH("入",D3825)))),"Ambiguous",IF(ISNUMBER(SEARCH("平",D3825)),"平","仄")))</x:f>
        <x:v>平</x:v>
      </x:c>
      <x:c r="J3840" s="7" t="str"/>
    </x:row>
    <x:row r="3841">
      <x:c r="A3841" s="5" t="str">
        <x:v>譬</x:v>
      </x:c>
      <x:c r="B3841" s="6" t="str">
        <x:v>去</x:v>
      </x:c>
      <x:c r="C3841" s="6" t="str">
        <x:f>IF(B3841="","Needs decision","Ready")</x:f>
        <x:v>Ready</x:v>
      </x:c>
      <x:c r="D3841" s="6" t="str">
        <x:v>去</x:v>
      </x:c>
      <x:c r="E3841" s="6" t="str">
        <x:v>phjieH (C)</x:v>
      </x:c>
      <x:c r="F3841" s="6" t="str">
        <x:v>1</x:v>
      </x:c>
      <x:c r="G3841" s="6" t="str"/>
      <x:c r="H3841" s="6" t="str">
        <x:f>IF(B3841="平","平",IF(B3841="","","仄"))</x:f>
        <x:v>仄</x:v>
      </x:c>
      <x:c r="I3841" s="6" t="str">
        <x:f>IF(D3826="","",IF(AND(ISNUMBER(SEARCH("平",D3826)),OR(ISNUMBER(SEARCH("上",D3826)),ISNUMBER(SEARCH("去",D3826)),ISNUMBER(SEARCH("入",D3826)))),"Ambiguous",IF(ISNUMBER(SEARCH("平",D3826)),"平","仄")))</x:f>
        <x:v>仄</x:v>
      </x:c>
      <x:c r="J3841" s="7" t="str"/>
    </x:row>
    <x:row r="3842">
      <x:c r="A3842" s="5" t="str">
        <x:v>譯</x:v>
      </x:c>
      <x:c r="B3842" s="6" t="str">
        <x:v>入</x:v>
      </x:c>
      <x:c r="C3842" s="6" t="str">
        <x:f>IF(B3842="","Needs decision","Ready")</x:f>
        <x:v>Ready</x:v>
      </x:c>
      <x:c r="D3842" s="6" t="str">
        <x:v>入</x:v>
      </x:c>
      <x:c r="E3842" s="6" t="str">
        <x:v>yek (D)</x:v>
      </x:c>
      <x:c r="F3842" s="6" t="str">
        <x:v>1</x:v>
      </x:c>
      <x:c r="G3842" s="6" t="str"/>
      <x:c r="H3842" s="6" t="str">
        <x:f>IF(B3842="平","平",IF(B3842="","","仄"))</x:f>
        <x:v>仄</x:v>
      </x:c>
      <x:c r="I3842" s="6" t="str">
        <x:f>IF(D3827="","",IF(AND(ISNUMBER(SEARCH("平",D3827)),OR(ISNUMBER(SEARCH("上",D3827)),ISNUMBER(SEARCH("去",D3827)),ISNUMBER(SEARCH("入",D3827)))),"Ambiguous",IF(ISNUMBER(SEARCH("平",D3827)),"平","仄")))</x:f>
        <x:v>仄</x:v>
      </x:c>
      <x:c r="J3842" s="7" t="str"/>
    </x:row>
    <x:row r="3843">
      <x:c r="A3843" s="5" t="str">
        <x:v>議</x:v>
      </x:c>
      <x:c r="B3843" s="6" t="str">
        <x:v>去</x:v>
      </x:c>
      <x:c r="C3843" s="6" t="str">
        <x:f>IF(B3843="","Needs decision","Ready")</x:f>
        <x:v>Ready</x:v>
      </x:c>
      <x:c r="D3843" s="6" t="str">
        <x:v>去</x:v>
      </x:c>
      <x:c r="E3843" s="6" t="str">
        <x:v>ngjeH (C)</x:v>
      </x:c>
      <x:c r="F3843" s="6" t="str">
        <x:v>1</x:v>
      </x:c>
      <x:c r="G3843" s="6" t="str"/>
      <x:c r="H3843" s="6" t="str">
        <x:f>IF(B3843="平","平",IF(B3843="","","仄"))</x:f>
        <x:v>仄</x:v>
      </x:c>
      <x:c r="I3843" s="6" t="str">
        <x:f>IF(D3828="","",IF(AND(ISNUMBER(SEARCH("平",D3828)),OR(ISNUMBER(SEARCH("上",D3828)),ISNUMBER(SEARCH("去",D3828)),ISNUMBER(SEARCH("入",D3828)))),"Ambiguous",IF(ISNUMBER(SEARCH("平",D3828)),"平","仄")))</x:f>
        <x:v>平</x:v>
      </x:c>
      <x:c r="J3843" s="7" t="str"/>
    </x:row>
    <x:row r="3844">
      <x:c r="A3844" s="5" t="str">
        <x:v>護</x:v>
      </x:c>
      <x:c r="B3844" s="6" t="str">
        <x:v>去</x:v>
      </x:c>
      <x:c r="C3844" s="6" t="str">
        <x:f>IF(B3844="","Needs decision","Ready")</x:f>
        <x:v>Ready</x:v>
      </x:c>
      <x:c r="D3844" s="6" t="str">
        <x:v>去</x:v>
      </x:c>
      <x:c r="E3844" s="6" t="str">
        <x:v>huH (C)</x:v>
      </x:c>
      <x:c r="F3844" s="6" t="str">
        <x:v>1</x:v>
      </x:c>
      <x:c r="G3844" s="6" t="str"/>
      <x:c r="H3844" s="6" t="str">
        <x:f>IF(B3844="平","平",IF(B3844="","","仄"))</x:f>
        <x:v>仄</x:v>
      </x:c>
      <x:c r="I3844" s="6" t="str">
        <x:f>IF(D3829="","",IF(AND(ISNUMBER(SEARCH("平",D3829)),OR(ISNUMBER(SEARCH("上",D3829)),ISNUMBER(SEARCH("去",D3829)),ISNUMBER(SEARCH("入",D3829)))),"Ambiguous",IF(ISNUMBER(SEARCH("平",D3829)),"平","仄")))</x:f>
        <x:v>仄</x:v>
      </x:c>
      <x:c r="J3844" s="7" t="str"/>
    </x:row>
    <x:row r="3845">
      <x:c r="A3845" s="5" t="str">
        <x:v>譽</x:v>
      </x:c>
      <x:c r="B3845" s="6" t="str">
        <x:v>去</x:v>
      </x:c>
      <x:c r="C3845" s="6" t="str">
        <x:f>IF(B3845="","Needs decision","Ready")</x:f>
        <x:v>Ready</x:v>
      </x:c>
      <x:c r="D3845" s="6" t="str">
        <x:v>平/去</x:v>
      </x:c>
      <x:c r="E3845" s="6" t="str">
        <x:v>yo (A); yoH (C)</x:v>
      </x:c>
      <x:c r="F3845" s="6" t="str">
        <x:v>2</x:v>
      </x:c>
      <x:c r="G3845" s="6" t="str"/>
      <x:c r="H3845" s="6" t="str">
        <x:f>IF(B3845="平","平",IF(B3845="","","仄"))</x:f>
        <x:v>仄</x:v>
      </x:c>
      <x:c r="I3845" s="6" t="str">
        <x:f>IF(D3830="","",IF(AND(ISNUMBER(SEARCH("平",D3830)),OR(ISNUMBER(SEARCH("上",D3830)),ISNUMBER(SEARCH("去",D3830)),ISNUMBER(SEARCH("入",D3830)))),"Ambiguous",IF(ISNUMBER(SEARCH("平",D3830)),"平","仄")))</x:f>
        <x:v>Ambiguous</x:v>
      </x:c>
      <x:c r="J3845" s="7" t="str"/>
    </x:row>
    <x:row r="3846">
      <x:c r="A3846" s="5" t="str">
        <x:v>讀</x:v>
      </x:c>
      <x:c r="B3846" s="6" t="str">
        <x:v>入</x:v>
      </x:c>
      <x:c r="C3846" s="6" t="str">
        <x:f>IF(B3846="","Needs decision","Ready")</x:f>
        <x:v>Ready</x:v>
      </x:c>
      <x:c r="D3846" s="6" t="str">
        <x:v>入</x:v>
      </x:c>
      <x:c r="E3846" s="6" t="str">
        <x:v>duwk (D)</x:v>
      </x:c>
      <x:c r="F3846" s="6" t="str">
        <x:v>1</x:v>
      </x:c>
      <x:c r="G3846" s="6" t="str"/>
      <x:c r="H3846" s="6" t="str">
        <x:f>IF(B3846="平","平",IF(B3846="","","仄"))</x:f>
        <x:v>仄</x:v>
      </x:c>
      <x:c r="I3846" s="6" t="str">
        <x:f>IF(D3831="","",IF(AND(ISNUMBER(SEARCH("平",D3831)),OR(ISNUMBER(SEARCH("上",D3831)),ISNUMBER(SEARCH("去",D3831)),ISNUMBER(SEARCH("入",D3831)))),"Ambiguous",IF(ISNUMBER(SEARCH("平",D3831)),"平","仄")))</x:f>
        <x:v>平</x:v>
      </x:c>
      <x:c r="J3846" s="7" t="str"/>
    </x:row>
    <x:row r="3847">
      <x:c r="A3847" s="5" t="str">
        <x:v>讇</x:v>
      </x:c>
      <x:c r="B3847" s="6" t="str">
        <x:v>上</x:v>
      </x:c>
      <x:c r="C3847" s="6" t="str">
        <x:f>IF(B3847="","Needs decision","Ready")</x:f>
        <x:v>Ready</x:v>
      </x:c>
      <x:c r="D3847" s="6" t="str">
        <x:v>上</x:v>
      </x:c>
      <x:c r="E3847" s="6" t="str">
        <x:v>trhjemX (B)</x:v>
      </x:c>
      <x:c r="F3847" s="6" t="str">
        <x:v>1</x:v>
      </x:c>
      <x:c r="G3847" s="6" t="str"/>
      <x:c r="H3847" s="6" t="str">
        <x:f>IF(B3847="平","平",IF(B3847="","","仄"))</x:f>
        <x:v>仄</x:v>
      </x:c>
      <x:c r="I3847" s="6" t="str">
        <x:f>IF(D3832="","",IF(AND(ISNUMBER(SEARCH("平",D3832)),OR(ISNUMBER(SEARCH("上",D3832)),ISNUMBER(SEARCH("去",D3832)),ISNUMBER(SEARCH("入",D3832)))),"Ambiguous",IF(ISNUMBER(SEARCH("平",D3832)),"平","仄")))</x:f>
        <x:v>仄</x:v>
      </x:c>
      <x:c r="J3847" s="7" t="str"/>
    </x:row>
    <x:row r="3848">
      <x:c r="A3848" s="5" t="str">
        <x:v>變</x:v>
      </x:c>
      <x:c r="B3848" s="6" t="str">
        <x:v>去</x:v>
      </x:c>
      <x:c r="C3848" s="6" t="str">
        <x:f>IF(B3848="","Needs decision","Ready")</x:f>
        <x:v>Ready</x:v>
      </x:c>
      <x:c r="D3848" s="6" t="str">
        <x:v>去</x:v>
      </x:c>
      <x:c r="E3848" s="6" t="str">
        <x:v>pjenH (C)</x:v>
      </x:c>
      <x:c r="F3848" s="6" t="str">
        <x:v>1</x:v>
      </x:c>
      <x:c r="G3848" s="6" t="str"/>
      <x:c r="H3848" s="6" t="str">
        <x:f>IF(B3848="平","平",IF(B3848="","","仄"))</x:f>
        <x:v>仄</x:v>
      </x:c>
      <x:c r="I3848" s="6" t="str">
        <x:f>IF(D3833="","",IF(AND(ISNUMBER(SEARCH("平",D3833)),OR(ISNUMBER(SEARCH("上",D3833)),ISNUMBER(SEARCH("去",D3833)),ISNUMBER(SEARCH("入",D3833)))),"Ambiguous",IF(ISNUMBER(SEARCH("平",D3833)),"平","仄")))</x:f>
        <x:v>平</x:v>
      </x:c>
      <x:c r="J3848" s="7" t="str"/>
    </x:row>
    <x:row r="3849">
      <x:c r="A3849" s="5" t="str">
        <x:v>讌</x:v>
      </x:c>
      <x:c r="B3849" s="6" t="str">
        <x:v>去</x:v>
      </x:c>
      <x:c r="C3849" s="6" t="str">
        <x:f>IF(B3849="","Needs decision","Ready")</x:f>
        <x:v>Ready</x:v>
      </x:c>
      <x:c r="D3849" s="6" t="str">
        <x:v>去</x:v>
      </x:c>
      <x:c r="E3849" s="6" t="str"/>
      <x:c r="F3849" s="6" t="str"/>
      <x:c r="G3849" s="6" t="str">
        <x:v>Manual user correction/addition</x:v>
      </x:c>
      <x:c r="H3849" s="6" t="str">
        <x:f>IF(B3849="平","平",IF(B3849="","","仄"))</x:f>
        <x:v>仄</x:v>
      </x:c>
      <x:c r="I3849" s="6" t="str">
        <x:f>IF(D3834="","",IF(AND(ISNUMBER(SEARCH("平",D3834)),OR(ISNUMBER(SEARCH("上",D3834)),ISNUMBER(SEARCH("去",D3834)),ISNUMBER(SEARCH("入",D3834)))),"Ambiguous",IF(ISNUMBER(SEARCH("平",D3834)),"平","仄")))</x:f>
        <x:v>仄</x:v>
      </x:c>
      <x:c r="J3849" s="7" t="str">
        <x:v>manual user correction</x:v>
      </x:c>
    </x:row>
    <x:row r="3850">
      <x:c r="A3850" s="5" t="str">
        <x:v>讎</x:v>
      </x:c>
      <x:c r="B3850" s="6" t="str">
        <x:v>平</x:v>
      </x:c>
      <x:c r="C3850" s="6" t="str">
        <x:f>IF(B3850="","Needs decision","Ready")</x:f>
        <x:v>Ready</x:v>
      </x:c>
      <x:c r="D3850" s="6" t="str">
        <x:v>平</x:v>
      </x:c>
      <x:c r="E3850" s="6" t="str">
        <x:v>dzyuw (A)</x:v>
      </x:c>
      <x:c r="F3850" s="6" t="str">
        <x:v>1</x:v>
      </x:c>
      <x:c r="G3850" s="6" t="str"/>
      <x:c r="H3850" s="6" t="str">
        <x:f>IF(B3850="平","平",IF(B3850="","","仄"))</x:f>
        <x:v>平</x:v>
      </x:c>
      <x:c r="I3850" s="6" t="str">
        <x:f>IF(D3835="","",IF(AND(ISNUMBER(SEARCH("平",D3835)),OR(ISNUMBER(SEARCH("上",D3835)),ISNUMBER(SEARCH("去",D3835)),ISNUMBER(SEARCH("入",D3835)))),"Ambiguous",IF(ISNUMBER(SEARCH("平",D3835)),"平","仄")))</x:f>
        <x:v>平</x:v>
      </x:c>
      <x:c r="J3850" s="7" t="str"/>
    </x:row>
    <x:row r="3851">
      <x:c r="A3851" s="5" t="str">
        <x:v>讐</x:v>
      </x:c>
      <x:c r="B3851" s="6" t="str">
        <x:v>平</x:v>
      </x:c>
      <x:c r="C3851" s="6" t="str">
        <x:f>IF(B3851="","Needs decision","Ready")</x:f>
        <x:v>Ready</x:v>
      </x:c>
      <x:c r="D3851" s="6" t="str"/>
      <x:c r="E3851" s="6" t="str"/>
      <x:c r="F3851" s="6" t="str"/>
      <x:c r="G3851" s="6" t="str">
        <x:v>Missing from current table and Xun Gong source; needs manual lookup</x:v>
      </x:c>
      <x:c r="H3851" s="6" t="str">
        <x:f>IF(B3851="平","平",IF(B3851="","","仄"))</x:f>
        <x:v>平</x:v>
      </x:c>
      <x:c r="I3851" s="6" t="str">
        <x:f>IF(D3836="","",IF(AND(ISNUMBER(SEARCH("平",D3836)),OR(ISNUMBER(SEARCH("上",D3836)),ISNUMBER(SEARCH("去",D3836)),ISNUMBER(SEARCH("入",D3836)))),"Ambiguous",IF(ISNUMBER(SEARCH("平",D3836)),"平","仄")))</x:f>
        <x:v>仄</x:v>
      </x:c>
      <x:c r="J3851" s="7" t="str"/>
    </x:row>
    <x:row r="3852">
      <x:c r="A3852" s="5" t="str">
        <x:v>讒</x:v>
      </x:c>
      <x:c r="B3852" s="6" t="str">
        <x:v>平</x:v>
      </x:c>
      <x:c r="C3852" s="6" t="str">
        <x:f>IF(B3852="","Needs decision","Ready")</x:f>
        <x:v>Ready</x:v>
      </x:c>
      <x:c r="D3852" s="6" t="str">
        <x:v>平</x:v>
      </x:c>
      <x:c r="E3852" s="6" t="str"/>
      <x:c r="F3852" s="6" t="str"/>
      <x:c r="G3852" s="6" t="str">
        <x:v>Manual user correction/addition</x:v>
      </x:c>
      <x:c r="H3852" s="6" t="str">
        <x:f>IF(B3852="平","平",IF(B3852="","","仄"))</x:f>
        <x:v>平</x:v>
      </x:c>
      <x:c r="I3852" s="6" t="str">
        <x:f>IF(D3837="","",IF(AND(ISNUMBER(SEARCH("平",D3837)),OR(ISNUMBER(SEARCH("上",D3837)),ISNUMBER(SEARCH("去",D3837)),ISNUMBER(SEARCH("入",D3837)))),"Ambiguous",IF(ISNUMBER(SEARCH("平",D3837)),"平","仄")))</x:f>
        <x:v>仄</x:v>
      </x:c>
      <x:c r="J3852" s="7" t="str">
        <x:v>manual user correction</x:v>
      </x:c>
    </x:row>
    <x:row r="3853">
      <x:c r="A3853" s="5" t="str">
        <x:v>讓</x:v>
      </x:c>
      <x:c r="B3853" s="6" t="str">
        <x:v>去</x:v>
      </x:c>
      <x:c r="C3853" s="6" t="str">
        <x:f>IF(B3853="","Needs decision","Ready")</x:f>
        <x:v>Ready</x:v>
      </x:c>
      <x:c r="D3853" s="6" t="str">
        <x:v>去</x:v>
      </x:c>
      <x:c r="E3853" s="6" t="str">
        <x:v>nyangH (C)</x:v>
      </x:c>
      <x:c r="F3853" s="6" t="str">
        <x:v>1</x:v>
      </x:c>
      <x:c r="G3853" s="6" t="str"/>
      <x:c r="H3853" s="6" t="str">
        <x:f>IF(B3853="平","平",IF(B3853="","","仄"))</x:f>
        <x:v>仄</x:v>
      </x:c>
      <x:c r="I3853" s="6" t="str">
        <x:f>IF(D3838="","",IF(AND(ISNUMBER(SEARCH("平",D3838)),OR(ISNUMBER(SEARCH("上",D3838)),ISNUMBER(SEARCH("去",D3838)),ISNUMBER(SEARCH("入",D3838)))),"Ambiguous",IF(ISNUMBER(SEARCH("平",D3838)),"平","仄")))</x:f>
        <x:v>仄</x:v>
      </x:c>
      <x:c r="J3853" s="7" t="str"/>
    </x:row>
    <x:row r="3854">
      <x:c r="A3854" s="5" t="str">
        <x:v>讙</x:v>
      </x:c>
      <x:c r="B3854" s="6" t="str">
        <x:v>平</x:v>
      </x:c>
      <x:c r="C3854" s="6" t="str">
        <x:f>IF(B3854="","Needs decision","Ready")</x:f>
        <x:v>Ready</x:v>
      </x:c>
      <x:c r="D3854" s="6" t="str">
        <x:v>平</x:v>
      </x:c>
      <x:c r="E3854" s="6" t="str">
        <x:v>xjwon (A)</x:v>
      </x:c>
      <x:c r="F3854" s="6" t="str">
        <x:v>1</x:v>
      </x:c>
      <x:c r="G3854" s="6" t="str"/>
      <x:c r="H3854" s="6" t="str">
        <x:f>IF(B3854="平","平",IF(B3854="","","仄"))</x:f>
        <x:v>平</x:v>
      </x:c>
      <x:c r="I3854" s="6" t="str">
        <x:f>IF(D3839="","",IF(AND(ISNUMBER(SEARCH("平",D3839)),OR(ISNUMBER(SEARCH("上",D3839)),ISNUMBER(SEARCH("去",D3839)),ISNUMBER(SEARCH("入",D3839)))),"Ambiguous",IF(ISNUMBER(SEARCH("平",D3839)),"平","仄")))</x:f>
        <x:v>Ambiguous</x:v>
      </x:c>
      <x:c r="J3854" s="7" t="str"/>
    </x:row>
    <x:row r="3855">
      <x:c r="A3855" s="5" t="str">
        <x:v>讚</x:v>
      </x:c>
      <x:c r="B3855" s="6" t="str">
        <x:v>去</x:v>
      </x:c>
      <x:c r="C3855" s="6" t="str">
        <x:f>IF(B3855="","Needs decision","Ready")</x:f>
        <x:v>Ready</x:v>
      </x:c>
      <x:c r="D3855" s="6" t="str">
        <x:v>去</x:v>
      </x:c>
      <x:c r="E3855" s="6" t="str"/>
      <x:c r="F3855" s="6" t="str"/>
      <x:c r="G3855" s="6" t="str">
        <x:v>Manual user correction/addition</x:v>
      </x:c>
      <x:c r="H3855" s="6" t="str">
        <x:f>IF(B3855="平","平",IF(B3855="","","仄"))</x:f>
        <x:v>仄</x:v>
      </x:c>
      <x:c r="I3855" s="6" t="str">
        <x:v>仄</x:v>
      </x:c>
      <x:c r="J3855" s="7" t="str">
        <x:v>manual user correction</x:v>
      </x:c>
    </x:row>
    <x:row r="3856">
      <x:c r="A3856" s="5" t="str">
        <x:v>讞</x:v>
      </x:c>
      <x:c r="B3856" s="6" t="str">
        <x:v>去</x:v>
      </x:c>
      <x:c r="C3856" s="6" t="str">
        <x:f>IF(B3856="","Needs decision","Ready")</x:f>
        <x:v>Ready</x:v>
      </x:c>
      <x:c r="D3856" s="6" t="str">
        <x:v>去/入</x:v>
      </x:c>
      <x:c r="E3856" s="6" t="str">
        <x:v>ngjenH (C); ngjet (D)</x:v>
      </x:c>
      <x:c r="F3856" s="6" t="str">
        <x:v>2</x:v>
      </x:c>
      <x:c r="G3856" s="6" t="str"/>
      <x:c r="H3856" s="6" t="str">
        <x:f>IF(B3856="平","平",IF(B3856="","","仄"))</x:f>
        <x:v>仄</x:v>
      </x:c>
      <x:c r="I3856" s="6" t="str">
        <x:f>IF(D3840="","",IF(AND(ISNUMBER(SEARCH("平",D3840)),OR(ISNUMBER(SEARCH("上",D3840)),ISNUMBER(SEARCH("去",D3840)),ISNUMBER(SEARCH("入",D3840)))),"Ambiguous",IF(ISNUMBER(SEARCH("平",D3840)),"平","仄")))</x:f>
        <x:v>仄</x:v>
      </x:c>
      <x:c r="J3856" s="7" t="str"/>
    </x:row>
    <x:row r="3857">
      <x:c r="A3857" s="5" t="str">
        <x:v>谷</x:v>
      </x:c>
      <x:c r="B3857" s="6" t="str">
        <x:v>入</x:v>
      </x:c>
      <x:c r="C3857" s="6" t="str">
        <x:f>IF(B3857="","Needs decision","Ready")</x:f>
        <x:v>Ready</x:v>
      </x:c>
      <x:c r="D3857" s="6" t="str">
        <x:v>入</x:v>
      </x:c>
      <x:c r="E3857" s="6" t="str">
        <x:v>kuwk (D)</x:v>
      </x:c>
      <x:c r="F3857" s="6" t="str">
        <x:v>1</x:v>
      </x:c>
      <x:c r="G3857" s="6" t="str"/>
      <x:c r="H3857" s="6" t="str">
        <x:f>IF(B3857="平","平",IF(B3857="","","仄"))</x:f>
        <x:v>仄</x:v>
      </x:c>
      <x:c r="I3857" s="6" t="str">
        <x:f>IF(D3841="","",IF(AND(ISNUMBER(SEARCH("平",D3841)),OR(ISNUMBER(SEARCH("上",D3841)),ISNUMBER(SEARCH("去",D3841)),ISNUMBER(SEARCH("入",D3841)))),"Ambiguous",IF(ISNUMBER(SEARCH("平",D3841)),"平","仄")))</x:f>
        <x:v>仄</x:v>
      </x:c>
      <x:c r="J3857" s="7" t="str"/>
    </x:row>
    <x:row r="3858">
      <x:c r="A3858" s="5" t="str">
        <x:v>谿</x:v>
      </x:c>
      <x:c r="B3858" s="6" t="str">
        <x:v>平</x:v>
      </x:c>
      <x:c r="C3858" s="6" t="str">
        <x:f>IF(B3858="","Needs decision","Ready")</x:f>
        <x:v>Ready</x:v>
      </x:c>
      <x:c r="D3858" s="6" t="str">
        <x:v>平</x:v>
      </x:c>
      <x:c r="E3858" s="6" t="str">
        <x:v>khej (A)</x:v>
      </x:c>
      <x:c r="F3858" s="6" t="str">
        <x:v>1</x:v>
      </x:c>
      <x:c r="G3858" s="6" t="str"/>
      <x:c r="H3858" s="6" t="str">
        <x:f>IF(B3858="平","平",IF(B3858="","","仄"))</x:f>
        <x:v>平</x:v>
      </x:c>
      <x:c r="I3858" s="6" t="str">
        <x:f>IF(D3842="","",IF(AND(ISNUMBER(SEARCH("平",D3842)),OR(ISNUMBER(SEARCH("上",D3842)),ISNUMBER(SEARCH("去",D3842)),ISNUMBER(SEARCH("入",D3842)))),"Ambiguous",IF(ISNUMBER(SEARCH("平",D3842)),"平","仄")))</x:f>
        <x:v>仄</x:v>
      </x:c>
      <x:c r="J3858" s="7" t="str"/>
    </x:row>
    <x:row r="3859">
      <x:c r="A3859" s="5" t="str">
        <x:v>豆</x:v>
      </x:c>
      <x:c r="B3859" s="6" t="str">
        <x:v>去</x:v>
      </x:c>
      <x:c r="C3859" s="6" t="str">
        <x:f>IF(B3859="","Needs decision","Ready")</x:f>
        <x:v>Ready</x:v>
      </x:c>
      <x:c r="D3859" s="6" t="str">
        <x:v>去</x:v>
      </x:c>
      <x:c r="E3859" s="6" t="str">
        <x:v>duwH (C)</x:v>
      </x:c>
      <x:c r="F3859" s="6" t="str">
        <x:v>1</x:v>
      </x:c>
      <x:c r="G3859" s="6" t="str"/>
      <x:c r="H3859" s="6" t="str">
        <x:f>IF(B3859="平","平",IF(B3859="","","仄"))</x:f>
        <x:v>仄</x:v>
      </x:c>
      <x:c r="I3859" s="6" t="str">
        <x:f>IF(D3843="","",IF(AND(ISNUMBER(SEARCH("平",D3843)),OR(ISNUMBER(SEARCH("上",D3843)),ISNUMBER(SEARCH("去",D3843)),ISNUMBER(SEARCH("入",D3843)))),"Ambiguous",IF(ISNUMBER(SEARCH("平",D3843)),"平","仄")))</x:f>
        <x:v>仄</x:v>
      </x:c>
      <x:c r="J3859" s="7" t="str"/>
    </x:row>
    <x:row r="3860">
      <x:c r="A3860" s="5" t="str">
        <x:v>豈</x:v>
      </x:c>
      <x:c r="B3860" s="6" t="str">
        <x:v>上</x:v>
      </x:c>
      <x:c r="C3860" s="6" t="str">
        <x:f>IF(B3860="","Needs decision","Ready")</x:f>
        <x:v>Ready</x:v>
      </x:c>
      <x:c r="D3860" s="6" t="str">
        <x:v>上</x:v>
      </x:c>
      <x:c r="E3860" s="6" t="str">
        <x:v>khojX (B); khj+jX (B)</x:v>
      </x:c>
      <x:c r="F3860" s="6" t="str">
        <x:v>2</x:v>
      </x:c>
      <x:c r="G3860" s="6" t="str"/>
      <x:c r="H3860" s="6" t="str">
        <x:f>IF(B3860="平","平",IF(B3860="","","仄"))</x:f>
        <x:v>仄</x:v>
      </x:c>
      <x:c r="I3860" s="6" t="str">
        <x:f>IF(D3844="","",IF(AND(ISNUMBER(SEARCH("平",D3844)),OR(ISNUMBER(SEARCH("上",D3844)),ISNUMBER(SEARCH("去",D3844)),ISNUMBER(SEARCH("入",D3844)))),"Ambiguous",IF(ISNUMBER(SEARCH("平",D3844)),"平","仄")))</x:f>
        <x:v>仄</x:v>
      </x:c>
      <x:c r="J3860" s="7" t="str"/>
    </x:row>
    <x:row r="3861">
      <x:c r="A3861" s="5" t="str">
        <x:v>豊</x:v>
      </x:c>
      <x:c r="B3861" s="6" t="str">
        <x:v>上</x:v>
      </x:c>
      <x:c r="C3861" s="6" t="str">
        <x:f>IF(B3861="","Needs decision","Ready")</x:f>
        <x:v>Ready</x:v>
      </x:c>
      <x:c r="D3861" s="6" t="str">
        <x:v>上</x:v>
      </x:c>
      <x:c r="E3861" s="6" t="str">
        <x:v>lejX (B)</x:v>
      </x:c>
      <x:c r="F3861" s="6" t="str">
        <x:v>1</x:v>
      </x:c>
      <x:c r="G3861" s="6" t="str"/>
      <x:c r="H3861" s="6" t="str">
        <x:f>IF(B3861="平","平",IF(B3861="","","仄"))</x:f>
        <x:v>仄</x:v>
      </x:c>
      <x:c r="I3861" s="6" t="str">
        <x:f>IF(D3845="","",IF(AND(ISNUMBER(SEARCH("平",D3845)),OR(ISNUMBER(SEARCH("上",D3845)),ISNUMBER(SEARCH("去",D3845)),ISNUMBER(SEARCH("入",D3845)))),"Ambiguous",IF(ISNUMBER(SEARCH("平",D3845)),"平","仄")))</x:f>
        <x:v>Ambiguous</x:v>
      </x:c>
      <x:c r="J3861" s="7" t="str"/>
    </x:row>
    <x:row r="3862">
      <x:c r="A3862" s="5" t="str">
        <x:v>豋</x:v>
      </x:c>
      <x:c r="B3862" s="6" t="str">
        <x:v>平</x:v>
      </x:c>
      <x:c r="C3862" s="6" t="str">
        <x:f>IF(B3862="","Needs decision","Ready")</x:f>
        <x:v>Ready</x:v>
      </x:c>
      <x:c r="D3862" s="6" t="str">
        <x:v>平</x:v>
      </x:c>
      <x:c r="E3862" s="6" t="str">
        <x:v>tong (A)</x:v>
      </x:c>
      <x:c r="F3862" s="6" t="str">
        <x:v>1</x:v>
      </x:c>
      <x:c r="G3862" s="6" t="str"/>
      <x:c r="H3862" s="6" t="str">
        <x:f>IF(B3862="平","平",IF(B3862="","","仄"))</x:f>
        <x:v>平</x:v>
      </x:c>
      <x:c r="I3862" s="6" t="str">
        <x:f>IF(D3846="","",IF(AND(ISNUMBER(SEARCH("平",D3846)),OR(ISNUMBER(SEARCH("上",D3846)),ISNUMBER(SEARCH("去",D3846)),ISNUMBER(SEARCH("入",D3846)))),"Ambiguous",IF(ISNUMBER(SEARCH("平",D3846)),"平","仄")))</x:f>
        <x:v>仄</x:v>
      </x:c>
      <x:c r="J3862" s="7" t="str"/>
    </x:row>
    <x:row r="3863">
      <x:c r="A3863" s="5" t="str">
        <x:v>豎</x:v>
      </x:c>
      <x:c r="B3863" s="6" t="str">
        <x:v>上</x:v>
      </x:c>
      <x:c r="C3863" s="6" t="str">
        <x:f>IF(B3863="","Needs decision","Ready")</x:f>
        <x:v>Ready</x:v>
      </x:c>
      <x:c r="D3863" s="6" t="str">
        <x:v>上</x:v>
      </x:c>
      <x:c r="E3863" s="6" t="str">
        <x:v>dzyuX (B)</x:v>
      </x:c>
      <x:c r="F3863" s="6" t="str">
        <x:v>1</x:v>
      </x:c>
      <x:c r="G3863" s="6" t="str"/>
      <x:c r="H3863" s="6" t="str">
        <x:f>IF(B3863="平","平",IF(B3863="","","仄"))</x:f>
        <x:v>仄</x:v>
      </x:c>
      <x:c r="I3863" s="6" t="str">
        <x:f>IF(D3847="","",IF(AND(ISNUMBER(SEARCH("平",D3847)),OR(ISNUMBER(SEARCH("上",D3847)),ISNUMBER(SEARCH("去",D3847)),ISNUMBER(SEARCH("入",D3847)))),"Ambiguous",IF(ISNUMBER(SEARCH("平",D3847)),"平","仄")))</x:f>
        <x:v>仄</x:v>
      </x:c>
      <x:c r="J3863" s="7" t="str"/>
    </x:row>
    <x:row r="3864">
      <x:c r="A3864" s="5" t="str">
        <x:v>豐</x:v>
      </x:c>
      <x:c r="B3864" s="6" t="str">
        <x:v>平</x:v>
      </x:c>
      <x:c r="C3864" s="6" t="str">
        <x:f>IF(B3864="","Needs decision","Ready")</x:f>
        <x:v>Ready</x:v>
      </x:c>
      <x:c r="D3864" s="6" t="str">
        <x:v>平</x:v>
      </x:c>
      <x:c r="E3864" s="6" t="str">
        <x:v>phjowng (A); phjuwng (A)</x:v>
      </x:c>
      <x:c r="F3864" s="6" t="str">
        <x:v>2</x:v>
      </x:c>
      <x:c r="G3864" s="6" t="str"/>
      <x:c r="H3864" s="6" t="str">
        <x:f>IF(B3864="平","平",IF(B3864="","","仄"))</x:f>
        <x:v>平</x:v>
      </x:c>
      <x:c r="I3864" s="6" t="str">
        <x:f>IF(D3848="","",IF(AND(ISNUMBER(SEARCH("平",D3848)),OR(ISNUMBER(SEARCH("上",D3848)),ISNUMBER(SEARCH("去",D3848)),ISNUMBER(SEARCH("入",D3848)))),"Ambiguous",IF(ISNUMBER(SEARCH("平",D3848)),"平","仄")))</x:f>
        <x:v>仄</x:v>
      </x:c>
      <x:c r="J3864" s="7" t="str"/>
    </x:row>
    <x:row r="3865">
      <x:c r="A3865" s="5" t="str">
        <x:v>豔</x:v>
      </x:c>
      <x:c r="B3865" s="6" t="str">
        <x:v>去</x:v>
      </x:c>
      <x:c r="C3865" s="6" t="str">
        <x:f>IF(B3865="","Needs decision","Ready")</x:f>
        <x:v>Ready</x:v>
      </x:c>
      <x:c r="D3865" s="6" t="str">
        <x:v>去</x:v>
      </x:c>
      <x:c r="E3865" s="6" t="str"/>
      <x:c r="F3865" s="6" t="str"/>
      <x:c r="G3865" s="6" t="str">
        <x:v>Manual user correction/addition</x:v>
      </x:c>
      <x:c r="H3865" s="6" t="str">
        <x:f>IF(B3865="平","平",IF(B3865="","","仄"))</x:f>
        <x:v>仄</x:v>
      </x:c>
      <x:c r="I3865" s="6" t="str">
        <x:f>IF(D3849="","",IF(AND(ISNUMBER(SEARCH("平",D3849)),OR(ISNUMBER(SEARCH("上",D3849)),ISNUMBER(SEARCH("去",D3849)),ISNUMBER(SEARCH("入",D3849)))),"Ambiguous",IF(ISNUMBER(SEARCH("平",D3849)),"平","仄")))</x:f>
        <x:v>仄</x:v>
      </x:c>
      <x:c r="J3865" s="7" t="str">
        <x:v>manual user correction</x:v>
      </x:c>
    </x:row>
    <x:row r="3866">
      <x:c r="A3866" s="5" t="str">
        <x:v>豕</x:v>
      </x:c>
      <x:c r="B3866" s="6" t="str">
        <x:v>上</x:v>
      </x:c>
      <x:c r="C3866" s="6" t="str">
        <x:f>IF(B3866="","Needs decision","Ready")</x:f>
        <x:v>Ready</x:v>
      </x:c>
      <x:c r="D3866" s="6" t="str">
        <x:v>上</x:v>
      </x:c>
      <x:c r="E3866" s="6" t="str">
        <x:v>syeX (B)</x:v>
      </x:c>
      <x:c r="F3866" s="6" t="str">
        <x:v>1</x:v>
      </x:c>
      <x:c r="G3866" s="6" t="str"/>
      <x:c r="H3866" s="6" t="str">
        <x:f>IF(B3866="平","平",IF(B3866="","","仄"))</x:f>
        <x:v>仄</x:v>
      </x:c>
      <x:c r="I3866" s="6" t="str">
        <x:f>IF(D3850="","",IF(AND(ISNUMBER(SEARCH("平",D3850)),OR(ISNUMBER(SEARCH("上",D3850)),ISNUMBER(SEARCH("去",D3850)),ISNUMBER(SEARCH("入",D3850)))),"Ambiguous",IF(ISNUMBER(SEARCH("平",D3850)),"平","仄")))</x:f>
        <x:v>平</x:v>
      </x:c>
      <x:c r="J3866" s="7" t="str"/>
    </x:row>
    <x:row r="3867">
      <x:c r="A3867" s="5" t="str">
        <x:v>豖</x:v>
      </x:c>
      <x:c r="B3867" s="6" t="str">
        <x:v>入</x:v>
      </x:c>
      <x:c r="C3867" s="6" t="str">
        <x:f>IF(B3867="","Needs decision","Ready")</x:f>
        <x:v>Ready</x:v>
      </x:c>
      <x:c r="D3867" s="6" t="str">
        <x:v>入</x:v>
      </x:c>
      <x:c r="E3867" s="6" t="str">
        <x:v>trhjowk (D)</x:v>
      </x:c>
      <x:c r="F3867" s="6" t="str">
        <x:v>1</x:v>
      </x:c>
      <x:c r="G3867" s="6" t="str"/>
      <x:c r="H3867" s="6" t="str">
        <x:f>IF(B3867="平","平",IF(B3867="","","仄"))</x:f>
        <x:v>仄</x:v>
      </x:c>
      <x:c r="I3867" s="6" t="str">
        <x:f>IF(D3851="","",IF(AND(ISNUMBER(SEARCH("平",D3851)),OR(ISNUMBER(SEARCH("上",D3851)),ISNUMBER(SEARCH("去",D3851)),ISNUMBER(SEARCH("入",D3851)))),"Ambiguous",IF(ISNUMBER(SEARCH("平",D3851)),"平","仄")))</x:f>
      </x:c>
      <x:c r="J3867" s="7" t="str"/>
    </x:row>
    <x:row r="3868">
      <x:c r="A3868" s="5" t="str">
        <x:v>豗</x:v>
      </x:c>
      <x:c r="B3868" s="6" t="str">
        <x:v>平</x:v>
      </x:c>
      <x:c r="C3868" s="6" t="str">
        <x:f>IF(B3868="","Needs decision","Ready")</x:f>
        <x:v>Ready</x:v>
      </x:c>
      <x:c r="D3868" s="6" t="str">
        <x:v>平</x:v>
      </x:c>
      <x:c r="E3868" s="6" t="str">
        <x:v>xwoj [χwəj] (平)</x:v>
      </x:c>
      <x:c r="F3868" s="6" t="str">
        <x:v>1</x:v>
      </x:c>
      <x:c r="G3868" s="6" t="str">
        <x:v>Tang 300 gap; frequency 1; provisional from Xun Gong</x:v>
      </x:c>
      <x:c r="H3868" s="6" t="str">
        <x:f>IF(B3868="平","平",IF(B3868="","","仄"))</x:f>
        <x:v>平</x:v>
      </x:c>
      <x:c r="I3868" s="6" t="str">
        <x:f>IF(D3852="","",IF(AND(ISNUMBER(SEARCH("平",D3852)),OR(ISNUMBER(SEARCH("上",D3852)),ISNUMBER(SEARCH("去",D3852)),ISNUMBER(SEARCH("入",D3852)))),"Ambiguous",IF(ISNUMBER(SEARCH("平",D3852)),"平","仄")))</x:f>
        <x:v>平</x:v>
      </x:c>
      <x:c r="J3868" s="7" t="str">
        <x:v>Xun Gong, Tang 300 gap fill</x:v>
      </x:c>
    </x:row>
    <x:row r="3869">
      <x:c r="A3869" s="5" t="str">
        <x:v>豙</x:v>
      </x:c>
      <x:c r="B3869" s="6" t="str">
        <x:v>去</x:v>
      </x:c>
      <x:c r="C3869" s="6" t="str">
        <x:f>IF(B3869="","Needs decision","Ready")</x:f>
        <x:v>Ready</x:v>
      </x:c>
      <x:c r="D3869" s="6" t="str">
        <x:v>去</x:v>
      </x:c>
      <x:c r="E3869" s="6" t="str">
        <x:v>ngj+jH (C)</x:v>
      </x:c>
      <x:c r="F3869" s="6" t="str">
        <x:v>1</x:v>
      </x:c>
      <x:c r="G3869" s="6" t="str"/>
      <x:c r="H3869" s="6" t="str">
        <x:f>IF(B3869="平","平",IF(B3869="","","仄"))</x:f>
        <x:v>仄</x:v>
      </x:c>
      <x:c r="I3869" s="6" t="str">
        <x:f>IF(D3853="","",IF(AND(ISNUMBER(SEARCH("平",D3853)),OR(ISNUMBER(SEARCH("上",D3853)),ISNUMBER(SEARCH("去",D3853)),ISNUMBER(SEARCH("入",D3853)))),"Ambiguous",IF(ISNUMBER(SEARCH("平",D3853)),"平","仄")))</x:f>
        <x:v>仄</x:v>
      </x:c>
      <x:c r="J3869" s="7" t="str"/>
    </x:row>
    <x:row r="3870">
      <x:c r="A3870" s="5" t="str">
        <x:v>豚</x:v>
      </x:c>
      <x:c r="B3870" s="6" t="str">
        <x:v>平</x:v>
      </x:c>
      <x:c r="C3870" s="6" t="str">
        <x:f>IF(B3870="","Needs decision","Ready")</x:f>
        <x:v>Ready</x:v>
      </x:c>
      <x:c r="D3870" s="6" t="str">
        <x:v>上/平</x:v>
      </x:c>
      <x:c r="E3870" s="6" t="str">
        <x:v>dwonX (B); dwon (A)</x:v>
      </x:c>
      <x:c r="F3870" s="6" t="str">
        <x:v>2</x:v>
      </x:c>
      <x:c r="G3870" s="6" t="str"/>
      <x:c r="H3870" s="6" t="str">
        <x:f>IF(B3870="平","平",IF(B3870="","","仄"))</x:f>
        <x:v>平</x:v>
      </x:c>
      <x:c r="I3870" s="6" t="str">
        <x:f>IF(D3854="","",IF(AND(ISNUMBER(SEARCH("平",D3854)),OR(ISNUMBER(SEARCH("上",D3854)),ISNUMBER(SEARCH("去",D3854)),ISNUMBER(SEARCH("入",D3854)))),"Ambiguous",IF(ISNUMBER(SEARCH("平",D3854)),"平","仄")))</x:f>
        <x:v>平</x:v>
      </x:c>
      <x:c r="J3870" s="7" t="str"/>
    </x:row>
    <x:row r="3871">
      <x:c r="A3871" s="5" t="str">
        <x:v>豝</x:v>
      </x:c>
      <x:c r="B3871" s="6" t="str">
        <x:v>平</x:v>
      </x:c>
      <x:c r="C3871" s="6" t="str">
        <x:f>IF(B3871="","Needs decision","Ready")</x:f>
        <x:v>Ready</x:v>
      </x:c>
      <x:c r="D3871" s="6" t="str">
        <x:v>平</x:v>
      </x:c>
      <x:c r="E3871" s="6" t="str">
        <x:v>pae (A)</x:v>
      </x:c>
      <x:c r="F3871" s="6" t="str">
        <x:v>1</x:v>
      </x:c>
      <x:c r="G3871" s="6" t="str"/>
      <x:c r="H3871" s="6" t="str">
        <x:f>IF(B3871="平","平",IF(B3871="","","仄"))</x:f>
        <x:v>平</x:v>
      </x:c>
      <x:c r="I3871" s="6" t="str">
        <x:f>IF(D3855="","",IF(AND(ISNUMBER(SEARCH("平",D3855)),OR(ISNUMBER(SEARCH("上",D3855)),ISNUMBER(SEARCH("去",D3855)),ISNUMBER(SEARCH("入",D3855)))),"Ambiguous",IF(ISNUMBER(SEARCH("平",D3855)),"平","仄")))</x:f>
        <x:v>仄</x:v>
      </x:c>
      <x:c r="J3871" s="7" t="str"/>
    </x:row>
    <x:row r="3872">
      <x:c r="A3872" s="5" t="str">
        <x:v>象</x:v>
      </x:c>
      <x:c r="B3872" s="6" t="str">
        <x:v>上</x:v>
      </x:c>
      <x:c r="C3872" s="6" t="str">
        <x:f>IF(B3872="","Needs decision","Ready")</x:f>
        <x:v>Ready</x:v>
      </x:c>
      <x:c r="D3872" s="6" t="str">
        <x:v>上</x:v>
      </x:c>
      <x:c r="E3872" s="6" t="str">
        <x:v>zjangX (B)</x:v>
      </x:c>
      <x:c r="F3872" s="6" t="str">
        <x:v>1</x:v>
      </x:c>
      <x:c r="G3872" s="6" t="str"/>
      <x:c r="H3872" s="6" t="str">
        <x:f>IF(B3872="平","平",IF(B3872="","","仄"))</x:f>
        <x:v>仄</x:v>
      </x:c>
      <x:c r="I3872" s="6" t="str">
        <x:f>IF(D3856="","",IF(AND(ISNUMBER(SEARCH("平",D3856)),OR(ISNUMBER(SEARCH("上",D3856)),ISNUMBER(SEARCH("去",D3856)),ISNUMBER(SEARCH("入",D3856)))),"Ambiguous",IF(ISNUMBER(SEARCH("平",D3856)),"平","仄")))</x:f>
        <x:v>仄</x:v>
      </x:c>
      <x:c r="J3872" s="7" t="str"/>
    </x:row>
    <x:row r="3873">
      <x:c r="A3873" s="5" t="str">
        <x:v>豣</x:v>
      </x:c>
      <x:c r="B3873" s="6" t="str">
        <x:v>平</x:v>
      </x:c>
      <x:c r="C3873" s="6" t="str">
        <x:f>IF(B3873="","Needs decision","Ready")</x:f>
        <x:v>Ready</x:v>
      </x:c>
      <x:c r="D3873" s="6" t="str">
        <x:v>平</x:v>
      </x:c>
      <x:c r="E3873" s="6" t="str">
        <x:v>ken (A)</x:v>
      </x:c>
      <x:c r="F3873" s="6" t="str">
        <x:v>1</x:v>
      </x:c>
      <x:c r="G3873" s="6" t="str"/>
      <x:c r="H3873" s="6" t="str">
        <x:f>IF(B3873="平","平",IF(B3873="","","仄"))</x:f>
        <x:v>平</x:v>
      </x:c>
      <x:c r="I3873" s="6" t="str">
        <x:f>IF(D3857="","",IF(AND(ISNUMBER(SEARCH("平",D3857)),OR(ISNUMBER(SEARCH("上",D3857)),ISNUMBER(SEARCH("去",D3857)),ISNUMBER(SEARCH("入",D3857)))),"Ambiguous",IF(ISNUMBER(SEARCH("平",D3857)),"平","仄")))</x:f>
        <x:v>仄</x:v>
      </x:c>
      <x:c r="J3873" s="7" t="str"/>
    </x:row>
    <x:row r="3874">
      <x:c r="A3874" s="5" t="str">
        <x:v>豨</x:v>
      </x:c>
      <x:c r="B3874" s="6" t="str"/>
      <x:c r="C3874" s="6" t="str">
        <x:f>IF(B3874="","Needs decision","Ready")</x:f>
        <x:v>Needs decision</x:v>
      </x:c>
      <x:c r="D3874" s="6" t="str">
        <x:v>平/上</x:v>
      </x:c>
      <x:c r="E3874" s="6" t="str">
        <x:v>xj+j (A); xj+jX (B)</x:v>
      </x:c>
      <x:c r="F3874" s="6" t="str">
        <x:v>2</x:v>
      </x:c>
      <x:c r="G3874" s="6" t="str"/>
      <x:c r="H3874" s="6" t="str">
        <x:f>IF(B3874="平","平",IF(B3874="","","仄"))</x:f>
      </x:c>
      <x:c r="I3874" s="6" t="str">
        <x:f>IF(D3858="","",IF(AND(ISNUMBER(SEARCH("平",D3858)),OR(ISNUMBER(SEARCH("上",D3858)),ISNUMBER(SEARCH("去",D3858)),ISNUMBER(SEARCH("入",D3858)))),"Ambiguous",IF(ISNUMBER(SEARCH("平",D3858)),"平","仄")))</x:f>
        <x:v>平</x:v>
      </x:c>
      <x:c r="J3874" s="7" t="str"/>
    </x:row>
    <x:row r="3875">
      <x:c r="A3875" s="5" t="str">
        <x:v>豪</x:v>
      </x:c>
      <x:c r="B3875" s="6" t="str">
        <x:v>平</x:v>
      </x:c>
      <x:c r="C3875" s="6" t="str">
        <x:f>IF(B3875="","Needs decision","Ready")</x:f>
        <x:v>Ready</x:v>
      </x:c>
      <x:c r="D3875" s="6" t="str">
        <x:v>平</x:v>
      </x:c>
      <x:c r="E3875" s="6" t="str">
        <x:v>haw (A)</x:v>
      </x:c>
      <x:c r="F3875" s="6" t="str">
        <x:v>1</x:v>
      </x:c>
      <x:c r="G3875" s="6" t="str"/>
      <x:c r="H3875" s="6" t="str">
        <x:f>IF(B3875="平","平",IF(B3875="","","仄"))</x:f>
        <x:v>平</x:v>
      </x:c>
      <x:c r="I3875" s="6" t="str">
        <x:f>IF(D3859="","",IF(AND(ISNUMBER(SEARCH("平",D3859)),OR(ISNUMBER(SEARCH("上",D3859)),ISNUMBER(SEARCH("去",D3859)),ISNUMBER(SEARCH("入",D3859)))),"Ambiguous",IF(ISNUMBER(SEARCH("平",D3859)),"平","仄")))</x:f>
        <x:v>仄</x:v>
      </x:c>
      <x:c r="J3875" s="7" t="str"/>
    </x:row>
    <x:row r="3876">
      <x:c r="A3876" s="5" t="str">
        <x:v>豫</x:v>
      </x:c>
      <x:c r="B3876" s="6" t="str">
        <x:v>去</x:v>
      </x:c>
      <x:c r="C3876" s="6" t="str">
        <x:f>IF(B3876="","Needs decision","Ready")</x:f>
        <x:v>Ready</x:v>
      </x:c>
      <x:c r="D3876" s="6" t="str">
        <x:v>去</x:v>
      </x:c>
      <x:c r="E3876" s="6" t="str">
        <x:v>yoH (C)</x:v>
      </x:c>
      <x:c r="F3876" s="6" t="str">
        <x:v>1</x:v>
      </x:c>
      <x:c r="G3876" s="6" t="str"/>
      <x:c r="H3876" s="6" t="str">
        <x:f>IF(B3876="平","平",IF(B3876="","","仄"))</x:f>
        <x:v>仄</x:v>
      </x:c>
      <x:c r="I3876" s="6" t="str">
        <x:f>IF(D3860="","",IF(AND(ISNUMBER(SEARCH("平",D3860)),OR(ISNUMBER(SEARCH("上",D3860)),ISNUMBER(SEARCH("去",D3860)),ISNUMBER(SEARCH("入",D3860)))),"Ambiguous",IF(ISNUMBER(SEARCH("平",D3860)),"平","仄")))</x:f>
        <x:v>仄</x:v>
      </x:c>
      <x:c r="J3876" s="7" t="str"/>
    </x:row>
    <x:row r="3877">
      <x:c r="A3877" s="5" t="str">
        <x:v>豬</x:v>
      </x:c>
      <x:c r="B3877" s="6" t="str">
        <x:v>平</x:v>
      </x:c>
      <x:c r="C3877" s="6" t="str">
        <x:f>IF(B3877="","Needs decision","Ready")</x:f>
        <x:v>Ready</x:v>
      </x:c>
      <x:c r="D3877" s="6" t="str">
        <x:v>平</x:v>
      </x:c>
      <x:c r="E3877" s="6" t="str">
        <x:v>trjo (A)</x:v>
      </x:c>
      <x:c r="F3877" s="6" t="str">
        <x:v>1</x:v>
      </x:c>
      <x:c r="G3877" s="6" t="str"/>
      <x:c r="H3877" s="6" t="str">
        <x:f>IF(B3877="平","平",IF(B3877="","","仄"))</x:f>
        <x:v>平</x:v>
      </x:c>
      <x:c r="I3877" s="6" t="str">
        <x:f>IF(D3861="","",IF(AND(ISNUMBER(SEARCH("平",D3861)),OR(ISNUMBER(SEARCH("上",D3861)),ISNUMBER(SEARCH("去",D3861)),ISNUMBER(SEARCH("入",D3861)))),"Ambiguous",IF(ISNUMBER(SEARCH("平",D3861)),"平","仄")))</x:f>
        <x:v>仄</x:v>
      </x:c>
      <x:c r="J3877" s="7" t="str"/>
    </x:row>
    <x:row r="3878">
      <x:c r="A3878" s="5" t="str">
        <x:v>豭</x:v>
      </x:c>
      <x:c r="B3878" s="6" t="str">
        <x:v>平</x:v>
      </x:c>
      <x:c r="C3878" s="6" t="str">
        <x:f>IF(B3878="","Needs decision","Ready")</x:f>
        <x:v>Ready</x:v>
      </x:c>
      <x:c r="D3878" s="6" t="str">
        <x:v>平</x:v>
      </x:c>
      <x:c r="E3878" s="6" t="str">
        <x:v>kae (A)</x:v>
      </x:c>
      <x:c r="F3878" s="6" t="str">
        <x:v>1</x:v>
      </x:c>
      <x:c r="G3878" s="6" t="str"/>
      <x:c r="H3878" s="6" t="str">
        <x:f>IF(B3878="平","平",IF(B3878="","","仄"))</x:f>
        <x:v>平</x:v>
      </x:c>
      <x:c r="I3878" s="6" t="str">
        <x:f>IF(D3862="","",IF(AND(ISNUMBER(SEARCH("平",D3862)),OR(ISNUMBER(SEARCH("上",D3862)),ISNUMBER(SEARCH("去",D3862)),ISNUMBER(SEARCH("入",D3862)))),"Ambiguous",IF(ISNUMBER(SEARCH("平",D3862)),"平","仄")))</x:f>
        <x:v>平</x:v>
      </x:c>
      <x:c r="J3878" s="7" t="str"/>
    </x:row>
    <x:row r="3879">
      <x:c r="A3879" s="5" t="str">
        <x:v>豳</x:v>
      </x:c>
      <x:c r="B3879" s="6" t="str">
        <x:v>平</x:v>
      </x:c>
      <x:c r="C3879" s="6" t="str">
        <x:f>IF(B3879="","Needs decision","Ready")</x:f>
        <x:v>Ready</x:v>
      </x:c>
      <x:c r="D3879" s="6" t="str">
        <x:v>平</x:v>
      </x:c>
      <x:c r="E3879" s="6" t="str">
        <x:v>pin (A)</x:v>
      </x:c>
      <x:c r="F3879" s="6" t="str">
        <x:v>1</x:v>
      </x:c>
      <x:c r="G3879" s="6" t="str"/>
      <x:c r="H3879" s="6" t="str">
        <x:f>IF(B3879="平","平",IF(B3879="","","仄"))</x:f>
        <x:v>平</x:v>
      </x:c>
      <x:c r="I3879" s="6" t="str">
        <x:f>IF(D3863="","",IF(AND(ISNUMBER(SEARCH("平",D3863)),OR(ISNUMBER(SEARCH("上",D3863)),ISNUMBER(SEARCH("去",D3863)),ISNUMBER(SEARCH("入",D3863)))),"Ambiguous",IF(ISNUMBER(SEARCH("平",D3863)),"平","仄")))</x:f>
        <x:v>仄</x:v>
      </x:c>
      <x:c r="J3879" s="7" t="str"/>
    </x:row>
    <x:row r="3880">
      <x:c r="A3880" s="5" t="str">
        <x:v>豵</x:v>
      </x:c>
      <x:c r="B3880" s="6" t="str">
        <x:v>平</x:v>
      </x:c>
      <x:c r="C3880" s="6" t="str">
        <x:f>IF(B3880="","Needs decision","Ready")</x:f>
        <x:v>Ready</x:v>
      </x:c>
      <x:c r="D3880" s="6" t="str">
        <x:v>平</x:v>
      </x:c>
      <x:c r="E3880" s="6" t="str">
        <x:v>tsuwng (A)</x:v>
      </x:c>
      <x:c r="F3880" s="6" t="str">
        <x:v>1</x:v>
      </x:c>
      <x:c r="G3880" s="6" t="str"/>
      <x:c r="H3880" s="6" t="str">
        <x:f>IF(B3880="平","平",IF(B3880="","","仄"))</x:f>
        <x:v>平</x:v>
      </x:c>
      <x:c r="I3880" s="6" t="str">
        <x:f>IF(D3864="","",IF(AND(ISNUMBER(SEARCH("平",D3864)),OR(ISNUMBER(SEARCH("上",D3864)),ISNUMBER(SEARCH("去",D3864)),ISNUMBER(SEARCH("入",D3864)))),"Ambiguous",IF(ISNUMBER(SEARCH("平",D3864)),"平","仄")))</x:f>
        <x:v>平</x:v>
      </x:c>
      <x:c r="J3880" s="7" t="str"/>
    </x:row>
    <x:row r="3881">
      <x:c r="A3881" s="5" t="str">
        <x:v>豸</x:v>
      </x:c>
      <x:c r="B3881" s="6" t="str">
        <x:v>上</x:v>
      </x:c>
      <x:c r="C3881" s="6" t="str">
        <x:f>IF(B3881="","Needs decision","Ready")</x:f>
        <x:v>Ready</x:v>
      </x:c>
      <x:c r="D3881" s="6" t="str">
        <x:v>上</x:v>
      </x:c>
      <x:c r="E3881" s="6" t="str">
        <x:v>dreaX (B); drjeX (B)</x:v>
      </x:c>
      <x:c r="F3881" s="6" t="str">
        <x:v>2</x:v>
      </x:c>
      <x:c r="G3881" s="6" t="str"/>
      <x:c r="H3881" s="6" t="str">
        <x:f>IF(B3881="平","平",IF(B3881="","","仄"))</x:f>
        <x:v>仄</x:v>
      </x:c>
      <x:c r="I3881" s="6" t="str">
        <x:f>IF(D3865="","",IF(AND(ISNUMBER(SEARCH("平",D3865)),OR(ISNUMBER(SEARCH("上",D3865)),ISNUMBER(SEARCH("去",D3865)),ISNUMBER(SEARCH("入",D3865)))),"Ambiguous",IF(ISNUMBER(SEARCH("平",D3865)),"平","仄")))</x:f>
        <x:v>仄</x:v>
      </x:c>
      <x:c r="J3881" s="7" t="str"/>
    </x:row>
    <x:row r="3882">
      <x:c r="A3882" s="5" t="str">
        <x:v>豹</x:v>
      </x:c>
      <x:c r="B3882" s="6" t="str">
        <x:v>去</x:v>
      </x:c>
      <x:c r="C3882" s="6" t="str">
        <x:f>IF(B3882="","Needs decision","Ready")</x:f>
        <x:v>Ready</x:v>
      </x:c>
      <x:c r="D3882" s="6" t="str">
        <x:v>去</x:v>
      </x:c>
      <x:c r="E3882" s="6" t="str">
        <x:v>paewH (C)</x:v>
      </x:c>
      <x:c r="F3882" s="6" t="str">
        <x:v>1</x:v>
      </x:c>
      <x:c r="G3882" s="6" t="str"/>
      <x:c r="H3882" s="6" t="str">
        <x:f>IF(B3882="平","平",IF(B3882="","","仄"))</x:f>
        <x:v>仄</x:v>
      </x:c>
      <x:c r="I3882" s="6" t="str">
        <x:f>IF(D3866="","",IF(AND(ISNUMBER(SEARCH("平",D3866)),OR(ISNUMBER(SEARCH("上",D3866)),ISNUMBER(SEARCH("去",D3866)),ISNUMBER(SEARCH("入",D3866)))),"Ambiguous",IF(ISNUMBER(SEARCH("平",D3866)),"平","仄")))</x:f>
        <x:v>仄</x:v>
      </x:c>
      <x:c r="J3882" s="7" t="str"/>
    </x:row>
    <x:row r="3883">
      <x:c r="A3883" s="5" t="str">
        <x:v>豺</x:v>
      </x:c>
      <x:c r="B3883" s="6" t="str">
        <x:v>平</x:v>
      </x:c>
      <x:c r="C3883" s="6" t="str">
        <x:f>IF(B3883="","Needs decision","Ready")</x:f>
        <x:v>Ready</x:v>
      </x:c>
      <x:c r="D3883" s="6" t="str">
        <x:v>平</x:v>
      </x:c>
      <x:c r="E3883" s="6" t="str">
        <x:v>dzreaj (A)</x:v>
      </x:c>
      <x:c r="F3883" s="6" t="str">
        <x:v>1</x:v>
      </x:c>
      <x:c r="G3883" s="6" t="str"/>
      <x:c r="H3883" s="6" t="str">
        <x:f>IF(B3883="平","平",IF(B3883="","","仄"))</x:f>
        <x:v>平</x:v>
      </x:c>
      <x:c r="I3883" s="6" t="str">
        <x:f>IF(D3867="","",IF(AND(ISNUMBER(SEARCH("平",D3867)),OR(ISNUMBER(SEARCH("上",D3867)),ISNUMBER(SEARCH("去",D3867)),ISNUMBER(SEARCH("入",D3867)))),"Ambiguous",IF(ISNUMBER(SEARCH("平",D3867)),"平","仄")))</x:f>
        <x:v>仄</x:v>
      </x:c>
      <x:c r="J3883" s="7" t="str"/>
    </x:row>
    <x:row r="3884">
      <x:c r="A3884" s="5" t="str">
        <x:v>豻</x:v>
      </x:c>
      <x:c r="B3884" s="6" t="str">
        <x:v>去</x:v>
      </x:c>
      <x:c r="C3884" s="6" t="str">
        <x:f>IF(B3884="","Needs decision","Ready")</x:f>
        <x:v>Ready</x:v>
      </x:c>
      <x:c r="D3884" s="6" t="str">
        <x:v>去</x:v>
      </x:c>
      <x:c r="E3884" s="6" t="str">
        <x:v>nganH (C)</x:v>
      </x:c>
      <x:c r="F3884" s="6" t="str">
        <x:v>1</x:v>
      </x:c>
      <x:c r="G3884" s="6" t="str"/>
      <x:c r="H3884" s="6" t="str">
        <x:f>IF(B3884="平","平",IF(B3884="","","仄"))</x:f>
        <x:v>仄</x:v>
      </x:c>
      <x:c r="I3884" s="6" t="str">
        <x:f>IF(D3868="","",IF(AND(ISNUMBER(SEARCH("平",D3868)),OR(ISNUMBER(SEARCH("上",D3868)),ISNUMBER(SEARCH("去",D3868)),ISNUMBER(SEARCH("入",D3868)))),"Ambiguous",IF(ISNUMBER(SEARCH("平",D3868)),"平","仄")))</x:f>
        <x:v>平</x:v>
      </x:c>
      <x:c r="J3884" s="7" t="str"/>
    </x:row>
    <x:row r="3885">
      <x:c r="A3885" s="5" t="str">
        <x:v>貂</x:v>
      </x:c>
      <x:c r="B3885" s="6" t="str">
        <x:v>平</x:v>
      </x:c>
      <x:c r="C3885" s="6" t="str">
        <x:f>IF(B3885="","Needs decision","Ready")</x:f>
        <x:v>Ready</x:v>
      </x:c>
      <x:c r="D3885" s="6" t="str">
        <x:v>平</x:v>
      </x:c>
      <x:c r="E3885" s="6" t="str">
        <x:v>tew [t̙ew] (平)</x:v>
      </x:c>
      <x:c r="F3885" s="6" t="str">
        <x:v>1</x:v>
      </x:c>
      <x:c r="G3885" s="6" t="str">
        <x:v>Tang 300 gap; frequency 1; provisional from Xun Gong</x:v>
      </x:c>
      <x:c r="H3885" s="6" t="str">
        <x:f>IF(B3885="平","平",IF(B3885="","","仄"))</x:f>
        <x:v>平</x:v>
      </x:c>
      <x:c r="I3885" s="6" t="str">
        <x:f>IF(D3869="","",IF(AND(ISNUMBER(SEARCH("平",D3869)),OR(ISNUMBER(SEARCH("上",D3869)),ISNUMBER(SEARCH("去",D3869)),ISNUMBER(SEARCH("入",D3869)))),"Ambiguous",IF(ISNUMBER(SEARCH("平",D3869)),"平","仄")))</x:f>
        <x:v>仄</x:v>
      </x:c>
      <x:c r="J3885" s="7" t="str">
        <x:v>Xun Gong, Tang 300 gap fill</x:v>
      </x:c>
    </x:row>
    <x:row r="3886">
      <x:c r="A3886" s="5" t="str">
        <x:v>貆</x:v>
      </x:c>
      <x:c r="B3886" s="6" t="str">
        <x:v>平</x:v>
      </x:c>
      <x:c r="C3886" s="6" t="str">
        <x:f>IF(B3886="","Needs decision","Ready")</x:f>
        <x:v>Ready</x:v>
      </x:c>
      <x:c r="D3886" s="6" t="str">
        <x:v>平</x:v>
      </x:c>
      <x:c r="E3886" s="6" t="str">
        <x:v>xjwon (A)</x:v>
      </x:c>
      <x:c r="F3886" s="6" t="str">
        <x:v>1</x:v>
      </x:c>
      <x:c r="G3886" s="6" t="str"/>
      <x:c r="H3886" s="6" t="str">
        <x:f>IF(B3886="平","平",IF(B3886="","","仄"))</x:f>
        <x:v>平</x:v>
      </x:c>
      <x:c r="I3886" s="6" t="str">
        <x:f>IF(D3870="","",IF(AND(ISNUMBER(SEARCH("平",D3870)),OR(ISNUMBER(SEARCH("上",D3870)),ISNUMBER(SEARCH("去",D3870)),ISNUMBER(SEARCH("入",D3870)))),"Ambiguous",IF(ISNUMBER(SEARCH("平",D3870)),"平","仄")))</x:f>
        <x:v>Ambiguous</x:v>
      </x:c>
      <x:c r="J3886" s="7" t="str"/>
    </x:row>
    <x:row r="3887">
      <x:c r="A3887" s="5" t="str">
        <x:v>貉</x:v>
      </x:c>
      <x:c r="B3887" s="6" t="str">
        <x:v>入</x:v>
      </x:c>
      <x:c r="C3887" s="6" t="str">
        <x:f>IF(B3887="","Needs decision","Ready")</x:f>
        <x:v>Ready</x:v>
      </x:c>
      <x:c r="D3887" s="6" t="str">
        <x:v>入</x:v>
      </x:c>
      <x:c r="E3887" s="6" t="str">
        <x:v>maek (D)</x:v>
      </x:c>
      <x:c r="F3887" s="6" t="str">
        <x:v>1</x:v>
      </x:c>
      <x:c r="G3887" s="6" t="str"/>
      <x:c r="H3887" s="6" t="str">
        <x:f>IF(B3887="平","平",IF(B3887="","","仄"))</x:f>
        <x:v>仄</x:v>
      </x:c>
      <x:c r="I3887" s="6" t="str">
        <x:f>IF(D3871="","",IF(AND(ISNUMBER(SEARCH("平",D3871)),OR(ISNUMBER(SEARCH("上",D3871)),ISNUMBER(SEARCH("去",D3871)),ISNUMBER(SEARCH("入",D3871)))),"Ambiguous",IF(ISNUMBER(SEARCH("平",D3871)),"平","仄")))</x:f>
        <x:v>平</x:v>
      </x:c>
      <x:c r="J3887" s="7" t="str"/>
    </x:row>
    <x:row r="3888">
      <x:c r="A3888" s="5" t="str">
        <x:v>貌</x:v>
      </x:c>
      <x:c r="B3888" s="6" t="str">
        <x:v>去</x:v>
      </x:c>
      <x:c r="C3888" s="6" t="str">
        <x:f>IF(B3888="","Needs decision","Ready")</x:f>
        <x:v>Ready</x:v>
      </x:c>
      <x:c r="D3888" s="6" t="str">
        <x:v>去</x:v>
      </x:c>
      <x:c r="E3888" s="6" t="str">
        <x:v>maewH (C)</x:v>
      </x:c>
      <x:c r="F3888" s="6" t="str">
        <x:v>1</x:v>
      </x:c>
      <x:c r="G3888" s="6" t="str"/>
      <x:c r="H3888" s="6" t="str">
        <x:f>IF(B3888="平","平",IF(B3888="","","仄"))</x:f>
        <x:v>仄</x:v>
      </x:c>
      <x:c r="I3888" s="6" t="str">
        <x:f>IF(D3872="","",IF(AND(ISNUMBER(SEARCH("平",D3872)),OR(ISNUMBER(SEARCH("上",D3872)),ISNUMBER(SEARCH("去",D3872)),ISNUMBER(SEARCH("入",D3872)))),"Ambiguous",IF(ISNUMBER(SEARCH("平",D3872)),"平","仄")))</x:f>
        <x:v>仄</x:v>
      </x:c>
      <x:c r="J3888" s="7" t="str"/>
    </x:row>
    <x:row r="3889">
      <x:c r="A3889" s="5" t="str">
        <x:v>貍</x:v>
      </x:c>
      <x:c r="B3889" s="6" t="str">
        <x:v>平</x:v>
      </x:c>
      <x:c r="C3889" s="6" t="str">
        <x:f>IF(B3889="","Needs decision","Ready")</x:f>
        <x:v>Ready</x:v>
      </x:c>
      <x:c r="D3889" s="6" t="str">
        <x:v>平</x:v>
      </x:c>
      <x:c r="E3889" s="6" t="str">
        <x:v>li (A)</x:v>
      </x:c>
      <x:c r="F3889" s="6" t="str">
        <x:v>1</x:v>
      </x:c>
      <x:c r="G3889" s="6" t="str"/>
      <x:c r="H3889" s="6" t="str">
        <x:f>IF(B3889="平","平",IF(B3889="","","仄"))</x:f>
        <x:v>平</x:v>
      </x:c>
      <x:c r="I3889" s="6" t="str">
        <x:f>IF(D3873="","",IF(AND(ISNUMBER(SEARCH("平",D3873)),OR(ISNUMBER(SEARCH("上",D3873)),ISNUMBER(SEARCH("去",D3873)),ISNUMBER(SEARCH("入",D3873)))),"Ambiguous",IF(ISNUMBER(SEARCH("平",D3873)),"平","仄")))</x:f>
        <x:v>平</x:v>
      </x:c>
      <x:c r="J3889" s="7" t="str"/>
    </x:row>
    <x:row r="3890">
      <x:c r="A3890" s="5" t="str">
        <x:v>貓</x:v>
      </x:c>
      <x:c r="B3890" s="6" t="str">
        <x:v>平</x:v>
      </x:c>
      <x:c r="C3890" s="6" t="str">
        <x:f>IF(B3890="","Needs decision","Ready")</x:f>
        <x:v>Ready</x:v>
      </x:c>
      <x:c r="D3890" s="6" t="str">
        <x:v>平</x:v>
      </x:c>
      <x:c r="E3890" s="6" t="str">
        <x:v>maew (A)</x:v>
      </x:c>
      <x:c r="F3890" s="6" t="str">
        <x:v>1</x:v>
      </x:c>
      <x:c r="G3890" s="6" t="str"/>
      <x:c r="H3890" s="6" t="str">
        <x:f>IF(B3890="平","平",IF(B3890="","","仄"))</x:f>
        <x:v>平</x:v>
      </x:c>
      <x:c r="I3890" s="6" t="str">
        <x:f>IF(D3874="","",IF(AND(ISNUMBER(SEARCH("平",D3874)),OR(ISNUMBER(SEARCH("上",D3874)),ISNUMBER(SEARCH("去",D3874)),ISNUMBER(SEARCH("入",D3874)))),"Ambiguous",IF(ISNUMBER(SEARCH("平",D3874)),"平","仄")))</x:f>
        <x:v>Ambiguous</x:v>
      </x:c>
      <x:c r="J3890" s="7" t="str"/>
    </x:row>
    <x:row r="3891">
      <x:c r="A3891" s="5" t="str">
        <x:v>貔</x:v>
      </x:c>
      <x:c r="B3891" s="6" t="str">
        <x:v>平</x:v>
      </x:c>
      <x:c r="C3891" s="6" t="str">
        <x:f>IF(B3891="","Needs decision","Ready")</x:f>
        <x:v>Ready</x:v>
      </x:c>
      <x:c r="D3891" s="6" t="str">
        <x:v>平</x:v>
      </x:c>
      <x:c r="E3891" s="6" t="str">
        <x:v>bjij (A)</x:v>
      </x:c>
      <x:c r="F3891" s="6" t="str">
        <x:v>1</x:v>
      </x:c>
      <x:c r="G3891" s="6" t="str"/>
      <x:c r="H3891" s="6" t="str">
        <x:f>IF(B3891="平","平",IF(B3891="","","仄"))</x:f>
        <x:v>平</x:v>
      </x:c>
      <x:c r="I3891" s="6" t="str">
        <x:f>IF(D3875="","",IF(AND(ISNUMBER(SEARCH("平",D3875)),OR(ISNUMBER(SEARCH("上",D3875)),ISNUMBER(SEARCH("去",D3875)),ISNUMBER(SEARCH("入",D3875)))),"Ambiguous",IF(ISNUMBER(SEARCH("平",D3875)),"平","仄")))</x:f>
        <x:v>平</x:v>
      </x:c>
      <x:c r="J3891" s="7" t="str"/>
    </x:row>
    <x:row r="3892">
      <x:c r="A3892" s="5" t="str">
        <x:v>貙</x:v>
      </x:c>
      <x:c r="B3892" s="6" t="str">
        <x:v>平</x:v>
      </x:c>
      <x:c r="C3892" s="6" t="str">
        <x:f>IF(B3892="","Needs decision","Ready")</x:f>
        <x:v>Ready</x:v>
      </x:c>
      <x:c r="D3892" s="6" t="str">
        <x:v>平</x:v>
      </x:c>
      <x:c r="E3892" s="6" t="str">
        <x:v>trhju [ʈʰjo] (平)</x:v>
      </x:c>
      <x:c r="F3892" s="6" t="str">
        <x:v>1</x:v>
      </x:c>
      <x:c r="G3892" s="6" t="str">
        <x:v>Tang 300 gap; frequency 2; provisional from Xun Gong</x:v>
      </x:c>
      <x:c r="H3892" s="6" t="str">
        <x:f>IF(B3892="平","平",IF(B3892="","","仄"))</x:f>
        <x:v>平</x:v>
      </x:c>
      <x:c r="I3892" s="6" t="str">
        <x:f>IF(D3876="","",IF(AND(ISNUMBER(SEARCH("平",D3876)),OR(ISNUMBER(SEARCH("上",D3876)),ISNUMBER(SEARCH("去",D3876)),ISNUMBER(SEARCH("入",D3876)))),"Ambiguous",IF(ISNUMBER(SEARCH("平",D3876)),"平","仄")))</x:f>
        <x:v>仄</x:v>
      </x:c>
      <x:c r="J3892" s="7" t="str">
        <x:v>Xun Gong, Tang 300 gap fill</x:v>
      </x:c>
    </x:row>
    <x:row r="3893">
      <x:c r="A3893" s="5" t="str">
        <x:v>貝</x:v>
      </x:c>
      <x:c r="B3893" s="6" t="str">
        <x:v>去</x:v>
      </x:c>
      <x:c r="C3893" s="6" t="str">
        <x:f>IF(B3893="","Needs decision","Ready")</x:f>
        <x:v>Ready</x:v>
      </x:c>
      <x:c r="D3893" s="6" t="str">
        <x:v>去</x:v>
      </x:c>
      <x:c r="E3893" s="6" t="str">
        <x:v>pajH (C)</x:v>
      </x:c>
      <x:c r="F3893" s="6" t="str">
        <x:v>1</x:v>
      </x:c>
      <x:c r="G3893" s="6" t="str"/>
      <x:c r="H3893" s="6" t="str">
        <x:f>IF(B3893="平","平",IF(B3893="","","仄"))</x:f>
        <x:v>仄</x:v>
      </x:c>
      <x:c r="I3893" s="6" t="str">
        <x:f>IF(D3877="","",IF(AND(ISNUMBER(SEARCH("平",D3877)),OR(ISNUMBER(SEARCH("上",D3877)),ISNUMBER(SEARCH("去",D3877)),ISNUMBER(SEARCH("入",D3877)))),"Ambiguous",IF(ISNUMBER(SEARCH("平",D3877)),"平","仄")))</x:f>
        <x:v>平</x:v>
      </x:c>
      <x:c r="J3893" s="7" t="str"/>
    </x:row>
    <x:row r="3894">
      <x:c r="A3894" s="5" t="str">
        <x:v>貞</x:v>
      </x:c>
      <x:c r="B3894" s="6" t="str">
        <x:v>平</x:v>
      </x:c>
      <x:c r="C3894" s="6" t="str">
        <x:f>IF(B3894="","Needs decision","Ready")</x:f>
        <x:v>Ready</x:v>
      </x:c>
      <x:c r="D3894" s="6" t="str">
        <x:v>平</x:v>
      </x:c>
      <x:c r="E3894" s="6" t="str">
        <x:v>trjeng (A)</x:v>
      </x:c>
      <x:c r="F3894" s="6" t="str">
        <x:v>1</x:v>
      </x:c>
      <x:c r="G3894" s="6" t="str"/>
      <x:c r="H3894" s="6" t="str">
        <x:f>IF(B3894="平","平",IF(B3894="","","仄"))</x:f>
        <x:v>平</x:v>
      </x:c>
      <x:c r="I3894" s="6" t="str">
        <x:f>IF(D3878="","",IF(AND(ISNUMBER(SEARCH("平",D3878)),OR(ISNUMBER(SEARCH("上",D3878)),ISNUMBER(SEARCH("去",D3878)),ISNUMBER(SEARCH("入",D3878)))),"Ambiguous",IF(ISNUMBER(SEARCH("平",D3878)),"平","仄")))</x:f>
        <x:v>平</x:v>
      </x:c>
      <x:c r="J3894" s="7" t="str"/>
    </x:row>
    <x:row r="3895">
      <x:c r="A3895" s="5" t="str">
        <x:v>負</x:v>
      </x:c>
      <x:c r="B3895" s="6" t="str">
        <x:v>上</x:v>
      </x:c>
      <x:c r="C3895" s="6" t="str">
        <x:f>IF(B3895="","Needs decision","Ready")</x:f>
        <x:v>Ready</x:v>
      </x:c>
      <x:c r="D3895" s="6" t="str">
        <x:v>上</x:v>
      </x:c>
      <x:c r="E3895" s="6" t="str">
        <x:v>bjuwX (B)</x:v>
      </x:c>
      <x:c r="F3895" s="6" t="str">
        <x:v>1</x:v>
      </x:c>
      <x:c r="G3895" s="6" t="str"/>
      <x:c r="H3895" s="6" t="str">
        <x:f>IF(B3895="平","平",IF(B3895="","","仄"))</x:f>
        <x:v>仄</x:v>
      </x:c>
      <x:c r="I3895" s="6" t="str">
        <x:f>IF(D3879="","",IF(AND(ISNUMBER(SEARCH("平",D3879)),OR(ISNUMBER(SEARCH("上",D3879)),ISNUMBER(SEARCH("去",D3879)),ISNUMBER(SEARCH("入",D3879)))),"Ambiguous",IF(ISNUMBER(SEARCH("平",D3879)),"平","仄")))</x:f>
        <x:v>平</x:v>
      </x:c>
      <x:c r="J3895" s="7" t="str"/>
    </x:row>
    <x:row r="3896">
      <x:c r="A3896" s="5" t="str">
        <x:v>財</x:v>
      </x:c>
      <x:c r="B3896" s="6" t="str">
        <x:v>平</x:v>
      </x:c>
      <x:c r="C3896" s="6" t="str">
        <x:f>IF(B3896="","Needs decision","Ready")</x:f>
        <x:v>Ready</x:v>
      </x:c>
      <x:c r="D3896" s="6" t="str">
        <x:v>平</x:v>
      </x:c>
      <x:c r="E3896" s="6" t="str">
        <x:v>dzoj (A)</x:v>
      </x:c>
      <x:c r="F3896" s="6" t="str">
        <x:v>1</x:v>
      </x:c>
      <x:c r="G3896" s="6" t="str"/>
      <x:c r="H3896" s="6" t="str">
        <x:f>IF(B3896="平","平",IF(B3896="","","仄"))</x:f>
        <x:v>平</x:v>
      </x:c>
      <x:c r="I3896" s="6" t="str">
        <x:f>IF(D3880="","",IF(AND(ISNUMBER(SEARCH("平",D3880)),OR(ISNUMBER(SEARCH("上",D3880)),ISNUMBER(SEARCH("去",D3880)),ISNUMBER(SEARCH("入",D3880)))),"Ambiguous",IF(ISNUMBER(SEARCH("平",D3880)),"平","仄")))</x:f>
        <x:v>平</x:v>
      </x:c>
      <x:c r="J3896" s="7" t="str"/>
    </x:row>
    <x:row r="3897">
      <x:c r="A3897" s="5" t="str">
        <x:v>貢</x:v>
      </x:c>
      <x:c r="B3897" s="6" t="str">
        <x:v>去</x:v>
      </x:c>
      <x:c r="C3897" s="6" t="str">
        <x:f>IF(B3897="","Needs decision","Ready")</x:f>
        <x:v>Ready</x:v>
      </x:c>
      <x:c r="D3897" s="6" t="str">
        <x:v>去</x:v>
      </x:c>
      <x:c r="E3897" s="6" t="str">
        <x:v>kuwngH (C)</x:v>
      </x:c>
      <x:c r="F3897" s="6" t="str">
        <x:v>1</x:v>
      </x:c>
      <x:c r="G3897" s="6" t="str"/>
      <x:c r="H3897" s="6" t="str">
        <x:f>IF(B3897="平","平",IF(B3897="","","仄"))</x:f>
        <x:v>仄</x:v>
      </x:c>
      <x:c r="I3897" s="6" t="str">
        <x:f>IF(D3881="","",IF(AND(ISNUMBER(SEARCH("平",D3881)),OR(ISNUMBER(SEARCH("上",D3881)),ISNUMBER(SEARCH("去",D3881)),ISNUMBER(SEARCH("入",D3881)))),"Ambiguous",IF(ISNUMBER(SEARCH("平",D3881)),"平","仄")))</x:f>
        <x:v>仄</x:v>
      </x:c>
      <x:c r="J3897" s="7" t="str"/>
    </x:row>
    <x:row r="3898">
      <x:c r="A3898" s="5" t="str">
        <x:v>貧</x:v>
      </x:c>
      <x:c r="B3898" s="6" t="str">
        <x:v>平</x:v>
      </x:c>
      <x:c r="C3898" s="6" t="str">
        <x:f>IF(B3898="","Needs decision","Ready")</x:f>
        <x:v>Ready</x:v>
      </x:c>
      <x:c r="D3898" s="6" t="str">
        <x:v>平</x:v>
      </x:c>
      <x:c r="E3898" s="6" t="str">
        <x:v>bin (A)</x:v>
      </x:c>
      <x:c r="F3898" s="6" t="str">
        <x:v>1</x:v>
      </x:c>
      <x:c r="G3898" s="6" t="str"/>
      <x:c r="H3898" s="6" t="str">
        <x:f>IF(B3898="平","平",IF(B3898="","","仄"))</x:f>
        <x:v>平</x:v>
      </x:c>
      <x:c r="I3898" s="6" t="str">
        <x:f>IF(D3882="","",IF(AND(ISNUMBER(SEARCH("平",D3882)),OR(ISNUMBER(SEARCH("上",D3882)),ISNUMBER(SEARCH("去",D3882)),ISNUMBER(SEARCH("入",D3882)))),"Ambiguous",IF(ISNUMBER(SEARCH("平",D3882)),"平","仄")))</x:f>
        <x:v>仄</x:v>
      </x:c>
      <x:c r="J3898" s="7" t="str"/>
    </x:row>
    <x:row r="3899">
      <x:c r="A3899" s="5" t="str">
        <x:v>貨</x:v>
      </x:c>
      <x:c r="B3899" s="6" t="str">
        <x:v>去</x:v>
      </x:c>
      <x:c r="C3899" s="6" t="str">
        <x:f>IF(B3899="","Needs decision","Ready")</x:f>
        <x:v>Ready</x:v>
      </x:c>
      <x:c r="D3899" s="6" t="str">
        <x:v>去</x:v>
      </x:c>
      <x:c r="E3899" s="6" t="str">
        <x:v>xwaH (C)</x:v>
      </x:c>
      <x:c r="F3899" s="6" t="str">
        <x:v>1</x:v>
      </x:c>
      <x:c r="G3899" s="6" t="str"/>
      <x:c r="H3899" s="6" t="str">
        <x:f>IF(B3899="平","平",IF(B3899="","","仄"))</x:f>
        <x:v>仄</x:v>
      </x:c>
      <x:c r="I3899" s="6" t="str">
        <x:f>IF(D3883="","",IF(AND(ISNUMBER(SEARCH("平",D3883)),OR(ISNUMBER(SEARCH("上",D3883)),ISNUMBER(SEARCH("去",D3883)),ISNUMBER(SEARCH("入",D3883)))),"Ambiguous",IF(ISNUMBER(SEARCH("平",D3883)),"平","仄")))</x:f>
        <x:v>平</x:v>
      </x:c>
      <x:c r="J3899" s="7" t="str"/>
    </x:row>
    <x:row r="3900">
      <x:c r="A3900" s="5" t="str">
        <x:v>貪</x:v>
      </x:c>
      <x:c r="B3900" s="6" t="str">
        <x:v>平</x:v>
      </x:c>
      <x:c r="C3900" s="6" t="str">
        <x:f>IF(B3900="","Needs decision","Ready")</x:f>
        <x:v>Ready</x:v>
      </x:c>
      <x:c r="D3900" s="6" t="str">
        <x:v>平</x:v>
      </x:c>
      <x:c r="E3900" s="6" t="str">
        <x:v>thom (A)</x:v>
      </x:c>
      <x:c r="F3900" s="6" t="str">
        <x:v>1</x:v>
      </x:c>
      <x:c r="G3900" s="6" t="str"/>
      <x:c r="H3900" s="6" t="str">
        <x:f>IF(B3900="平","平",IF(B3900="","","仄"))</x:f>
        <x:v>平</x:v>
      </x:c>
      <x:c r="I3900" s="6" t="str">
        <x:f>IF(D3884="","",IF(AND(ISNUMBER(SEARCH("平",D3884)),OR(ISNUMBER(SEARCH("上",D3884)),ISNUMBER(SEARCH("去",D3884)),ISNUMBER(SEARCH("入",D3884)))),"Ambiguous",IF(ISNUMBER(SEARCH("平",D3884)),"平","仄")))</x:f>
        <x:v>仄</x:v>
      </x:c>
      <x:c r="J3900" s="7" t="str"/>
    </x:row>
    <x:row r="3901">
      <x:c r="A3901" s="5" t="str">
        <x:v>貫</x:v>
      </x:c>
      <x:c r="B3901" s="6" t="str">
        <x:v>去</x:v>
      </x:c>
      <x:c r="C3901" s="6" t="str">
        <x:f>IF(B3901="","Needs decision","Ready")</x:f>
        <x:v>Ready</x:v>
      </x:c>
      <x:c r="D3901" s="6" t="str">
        <x:v>平/去</x:v>
      </x:c>
      <x:c r="E3901" s="6" t="str">
        <x:v>kwan (A); kwanH (C)</x:v>
      </x:c>
      <x:c r="F3901" s="6" t="str">
        <x:v>2</x:v>
      </x:c>
      <x:c r="G3901" s="6" t="str">
        <x:v>User workbook edit 2026-09-03</x:v>
      </x:c>
      <x:c r="H3901" s="6" t="str">
        <x:f>IF(B3901="平","平",IF(B3901="","","仄"))</x:f>
        <x:v>仄</x:v>
      </x:c>
      <x:c r="I3901" s="6" t="str">
        <x:f>IF(D3885="","",IF(AND(ISNUMBER(SEARCH("平",D3885)),OR(ISNUMBER(SEARCH("上",D3885)),ISNUMBER(SEARCH("去",D3885)),ISNUMBER(SEARCH("入",D3885)))),"Ambiguous",IF(ISNUMBER(SEARCH("平",D3885)),"平","仄")))</x:f>
        <x:v>平</x:v>
      </x:c>
      <x:c r="J3901" s="7" t="str">
        <x:v>manual user correction</x:v>
      </x:c>
    </x:row>
    <x:row r="3902">
      <x:c r="A3902" s="5" t="str">
        <x:v>責</x:v>
      </x:c>
      <x:c r="B3902" s="6" t="str"/>
      <x:c r="C3902" s="6" t="str">
        <x:f>IF(B3902="","Needs decision","Ready")</x:f>
        <x:v>Needs decision</x:v>
      </x:c>
      <x:c r="D3902" s="6" t="str">
        <x:v>入/去</x:v>
      </x:c>
      <x:c r="E3902" s="6" t="str">
        <x:v>tsreak (D); tsreaH (C)</x:v>
      </x:c>
      <x:c r="F3902" s="6" t="str">
        <x:v>2</x:v>
      </x:c>
      <x:c r="G3902" s="6" t="str"/>
      <x:c r="H3902" s="6" t="str">
        <x:f>IF(B3902="平","平",IF(B3902="","","仄"))</x:f>
      </x:c>
      <x:c r="I3902" s="6" t="str">
        <x:f>IF(D3886="","",IF(AND(ISNUMBER(SEARCH("平",D3886)),OR(ISNUMBER(SEARCH("上",D3886)),ISNUMBER(SEARCH("去",D3886)),ISNUMBER(SEARCH("入",D3886)))),"Ambiguous",IF(ISNUMBER(SEARCH("平",D3886)),"平","仄")))</x:f>
        <x:v>平</x:v>
      </x:c>
      <x:c r="J3902" s="7" t="str"/>
    </x:row>
    <x:row r="3903">
      <x:c r="A3903" s="5" t="str">
        <x:v>貯</x:v>
      </x:c>
      <x:c r="B3903" s="6" t="str">
        <x:v>上</x:v>
      </x:c>
      <x:c r="C3903" s="6" t="str">
        <x:f>IF(B3903="","Needs decision","Ready")</x:f>
        <x:v>Ready</x:v>
      </x:c>
      <x:c r="D3903" s="6" t="str">
        <x:v>上</x:v>
      </x:c>
      <x:c r="E3903" s="6" t="str">
        <x:v>trjoX [ʈjəʔ] (上)</x:v>
      </x:c>
      <x:c r="F3903" s="6" t="str">
        <x:v>1</x:v>
      </x:c>
      <x:c r="G3903" s="6" t="str">
        <x:v>Tang 300 gap; frequency 1; provisional from Xun Gong</x:v>
      </x:c>
      <x:c r="H3903" s="6" t="str">
        <x:f>IF(B3903="平","平",IF(B3903="","","仄"))</x:f>
        <x:v>仄</x:v>
      </x:c>
      <x:c r="I3903" s="6" t="str">
        <x:f>IF(D3887="","",IF(AND(ISNUMBER(SEARCH("平",D3887)),OR(ISNUMBER(SEARCH("上",D3887)),ISNUMBER(SEARCH("去",D3887)),ISNUMBER(SEARCH("入",D3887)))),"Ambiguous",IF(ISNUMBER(SEARCH("平",D3887)),"平","仄")))</x:f>
        <x:v>仄</x:v>
      </x:c>
      <x:c r="J3903" s="7" t="str">
        <x:v>Xun Gong, Tang 300 gap fill</x:v>
      </x:c>
    </x:row>
    <x:row r="3904">
      <x:c r="A3904" s="5" t="str">
        <x:v>貰</x:v>
      </x:c>
      <x:c r="B3904" s="6" t="str">
        <x:v>去</x:v>
      </x:c>
      <x:c r="C3904" s="6" t="str">
        <x:f>IF(B3904="","Needs decision","Ready")</x:f>
        <x:v>Ready</x:v>
      </x:c>
      <x:c r="D3904" s="6" t="str">
        <x:v>去</x:v>
      </x:c>
      <x:c r="E3904" s="6" t="str">
        <x:v>syejH (C)</x:v>
      </x:c>
      <x:c r="F3904" s="6" t="str">
        <x:v>1</x:v>
      </x:c>
      <x:c r="G3904" s="6" t="str"/>
      <x:c r="H3904" s="6" t="str">
        <x:f>IF(B3904="平","平",IF(B3904="","","仄"))</x:f>
        <x:v>仄</x:v>
      </x:c>
      <x:c r="I3904" s="6" t="str">
        <x:f>IF(D3888="","",IF(AND(ISNUMBER(SEARCH("平",D3888)),OR(ISNUMBER(SEARCH("上",D3888)),ISNUMBER(SEARCH("去",D3888)),ISNUMBER(SEARCH("入",D3888)))),"Ambiguous",IF(ISNUMBER(SEARCH("平",D3888)),"平","仄")))</x:f>
        <x:v>仄</x:v>
      </x:c>
      <x:c r="J3904" s="7" t="str"/>
    </x:row>
    <x:row r="3905">
      <x:c r="A3905" s="5" t="str">
        <x:v>貳</x:v>
      </x:c>
      <x:c r="B3905" s="6" t="str">
        <x:v>去</x:v>
      </x:c>
      <x:c r="C3905" s="6" t="str">
        <x:f>IF(B3905="","Needs decision","Ready")</x:f>
        <x:v>Ready</x:v>
      </x:c>
      <x:c r="D3905" s="6" t="str">
        <x:v>去</x:v>
      </x:c>
      <x:c r="E3905" s="6" t="str">
        <x:v>nyijH (C)</x:v>
      </x:c>
      <x:c r="F3905" s="6" t="str">
        <x:v>1</x:v>
      </x:c>
      <x:c r="G3905" s="6" t="str"/>
      <x:c r="H3905" s="6" t="str">
        <x:f>IF(B3905="平","平",IF(B3905="","","仄"))</x:f>
        <x:v>仄</x:v>
      </x:c>
      <x:c r="I3905" s="6" t="str">
        <x:f>IF(D3889="","",IF(AND(ISNUMBER(SEARCH("平",D3889)),OR(ISNUMBER(SEARCH("上",D3889)),ISNUMBER(SEARCH("去",D3889)),ISNUMBER(SEARCH("入",D3889)))),"Ambiguous",IF(ISNUMBER(SEARCH("平",D3889)),"平","仄")))</x:f>
        <x:v>平</x:v>
      </x:c>
      <x:c r="J3905" s="7" t="str"/>
    </x:row>
    <x:row r="3906">
      <x:c r="A3906" s="5" t="str">
        <x:v>貴</x:v>
      </x:c>
      <x:c r="B3906" s="6" t="str">
        <x:v>去</x:v>
      </x:c>
      <x:c r="C3906" s="6" t="str">
        <x:f>IF(B3906="","Needs decision","Ready")</x:f>
        <x:v>Ready</x:v>
      </x:c>
      <x:c r="D3906" s="6" t="str">
        <x:v>去</x:v>
      </x:c>
      <x:c r="E3906" s="6" t="str">
        <x:v>kjw+jH (C)</x:v>
      </x:c>
      <x:c r="F3906" s="6" t="str">
        <x:v>1</x:v>
      </x:c>
      <x:c r="G3906" s="6" t="str"/>
      <x:c r="H3906" s="6" t="str">
        <x:f>IF(B3906="平","平",IF(B3906="","","仄"))</x:f>
        <x:v>仄</x:v>
      </x:c>
      <x:c r="I3906" s="6" t="str">
        <x:f>IF(D3890="","",IF(AND(ISNUMBER(SEARCH("平",D3890)),OR(ISNUMBER(SEARCH("上",D3890)),ISNUMBER(SEARCH("去",D3890)),ISNUMBER(SEARCH("入",D3890)))),"Ambiguous",IF(ISNUMBER(SEARCH("平",D3890)),"平","仄")))</x:f>
        <x:v>平</x:v>
      </x:c>
      <x:c r="J3906" s="7" t="str"/>
    </x:row>
    <x:row r="3907">
      <x:c r="A3907" s="5" t="str">
        <x:v>貶</x:v>
      </x:c>
      <x:c r="B3907" s="6" t="str">
        <x:v>上</x:v>
      </x:c>
      <x:c r="C3907" s="6" t="str">
        <x:f>IF(B3907="","Needs decision","Ready")</x:f>
        <x:v>Ready</x:v>
      </x:c>
      <x:c r="D3907" s="6" t="str">
        <x:v>上</x:v>
      </x:c>
      <x:c r="E3907" s="6" t="str">
        <x:v>pjemX (B)</x:v>
      </x:c>
      <x:c r="F3907" s="6" t="str">
        <x:v>1</x:v>
      </x:c>
      <x:c r="G3907" s="6" t="str"/>
      <x:c r="H3907" s="6" t="str">
        <x:f>IF(B3907="平","平",IF(B3907="","","仄"))</x:f>
        <x:v>仄</x:v>
      </x:c>
      <x:c r="I3907" s="6" t="str">
        <x:f>IF(D3891="","",IF(AND(ISNUMBER(SEARCH("平",D3891)),OR(ISNUMBER(SEARCH("上",D3891)),ISNUMBER(SEARCH("去",D3891)),ISNUMBER(SEARCH("入",D3891)))),"Ambiguous",IF(ISNUMBER(SEARCH("平",D3891)),"平","仄")))</x:f>
        <x:v>平</x:v>
      </x:c>
      <x:c r="J3907" s="7" t="str"/>
    </x:row>
    <x:row r="3908">
      <x:c r="A3908" s="5" t="str">
        <x:v>買</x:v>
      </x:c>
      <x:c r="B3908" s="6" t="str">
        <x:v>上</x:v>
      </x:c>
      <x:c r="C3908" s="6" t="str">
        <x:f>IF(B3908="","Needs decision","Ready")</x:f>
        <x:v>Ready</x:v>
      </x:c>
      <x:c r="D3908" s="6" t="str">
        <x:v>上</x:v>
      </x:c>
      <x:c r="E3908" s="6" t="str">
        <x:v>meaX (B)</x:v>
      </x:c>
      <x:c r="F3908" s="6" t="str">
        <x:v>1</x:v>
      </x:c>
      <x:c r="G3908" s="6" t="str"/>
      <x:c r="H3908" s="6" t="str">
        <x:f>IF(B3908="平","平",IF(B3908="","","仄"))</x:f>
        <x:v>仄</x:v>
      </x:c>
      <x:c r="I3908" s="6" t="str">
        <x:f>IF(D3892="","",IF(AND(ISNUMBER(SEARCH("平",D3892)),OR(ISNUMBER(SEARCH("上",D3892)),ISNUMBER(SEARCH("去",D3892)),ISNUMBER(SEARCH("入",D3892)))),"Ambiguous",IF(ISNUMBER(SEARCH("平",D3892)),"平","仄")))</x:f>
        <x:v>平</x:v>
      </x:c>
      <x:c r="J3908" s="7" t="str"/>
    </x:row>
    <x:row r="3909">
      <x:c r="A3909" s="5" t="str">
        <x:v>貸</x:v>
      </x:c>
      <x:c r="B3909" s="6" t="str">
        <x:v>去</x:v>
      </x:c>
      <x:c r="C3909" s="6" t="str">
        <x:f>IF(B3909="","Needs decision","Ready")</x:f>
        <x:v>Ready</x:v>
      </x:c>
      <x:c r="D3909" s="6" t="str">
        <x:v>去</x:v>
      </x:c>
      <x:c r="E3909" s="6" t="str">
        <x:v>thojH (C)</x:v>
      </x:c>
      <x:c r="F3909" s="6" t="str">
        <x:v>1</x:v>
      </x:c>
      <x:c r="G3909" s="6" t="str"/>
      <x:c r="H3909" s="6" t="str">
        <x:f>IF(B3909="平","平",IF(B3909="","","仄"))</x:f>
        <x:v>仄</x:v>
      </x:c>
      <x:c r="I3909" s="6" t="str">
        <x:f>IF(D3893="","",IF(AND(ISNUMBER(SEARCH("平",D3893)),OR(ISNUMBER(SEARCH("上",D3893)),ISNUMBER(SEARCH("去",D3893)),ISNUMBER(SEARCH("入",D3893)))),"Ambiguous",IF(ISNUMBER(SEARCH("平",D3893)),"平","仄")))</x:f>
        <x:v>仄</x:v>
      </x:c>
      <x:c r="J3909" s="7" t="str"/>
    </x:row>
    <x:row r="3910">
      <x:c r="A3910" s="5" t="str">
        <x:v>費</x:v>
      </x:c>
      <x:c r="B3910" s="6" t="str">
        <x:v>去</x:v>
      </x:c>
      <x:c r="C3910" s="6" t="str">
        <x:f>IF(B3910="","Needs decision","Ready")</x:f>
        <x:v>Ready</x:v>
      </x:c>
      <x:c r="D3910" s="6" t="str">
        <x:v>去</x:v>
      </x:c>
      <x:c r="E3910" s="6" t="str">
        <x:v>phj+jH (C)</x:v>
      </x:c>
      <x:c r="F3910" s="6" t="str">
        <x:v>1</x:v>
      </x:c>
      <x:c r="G3910" s="6" t="str"/>
      <x:c r="H3910" s="6" t="str">
        <x:f>IF(B3910="平","平",IF(B3910="","","仄"))</x:f>
        <x:v>仄</x:v>
      </x:c>
      <x:c r="I3910" s="6" t="str">
        <x:f>IF(D3894="","",IF(AND(ISNUMBER(SEARCH("平",D3894)),OR(ISNUMBER(SEARCH("上",D3894)),ISNUMBER(SEARCH("去",D3894)),ISNUMBER(SEARCH("入",D3894)))),"Ambiguous",IF(ISNUMBER(SEARCH("平",D3894)),"平","仄")))</x:f>
        <x:v>平</x:v>
      </x:c>
      <x:c r="J3910" s="7" t="str"/>
    </x:row>
    <x:row r="3911">
      <x:c r="A3911" s="5" t="str">
        <x:v>貼</x:v>
      </x:c>
      <x:c r="B3911" s="6" t="str">
        <x:v>入</x:v>
      </x:c>
      <x:c r="C3911" s="6" t="str">
        <x:f>IF(B3911="","Needs decision","Ready")</x:f>
        <x:v>Ready</x:v>
      </x:c>
      <x:c r="D3911" s="6" t="str">
        <x:v>入</x:v>
      </x:c>
      <x:c r="E3911" s="6" t="str">
        <x:v>thep (D)</x:v>
      </x:c>
      <x:c r="F3911" s="6" t="str">
        <x:v>1</x:v>
      </x:c>
      <x:c r="G3911" s="6" t="str"/>
      <x:c r="H3911" s="6" t="str">
        <x:f>IF(B3911="平","平",IF(B3911="","","仄"))</x:f>
        <x:v>仄</x:v>
      </x:c>
      <x:c r="I3911" s="6" t="str">
        <x:f>IF(D3895="","",IF(AND(ISNUMBER(SEARCH("平",D3895)),OR(ISNUMBER(SEARCH("上",D3895)),ISNUMBER(SEARCH("去",D3895)),ISNUMBER(SEARCH("入",D3895)))),"Ambiguous",IF(ISNUMBER(SEARCH("平",D3895)),"平","仄")))</x:f>
        <x:v>仄</x:v>
      </x:c>
      <x:c r="J3911" s="7" t="str"/>
    </x:row>
    <x:row r="3912">
      <x:c r="A3912" s="5" t="str">
        <x:v>貽</x:v>
      </x:c>
      <x:c r="B3912" s="6" t="str">
        <x:v>平</x:v>
      </x:c>
      <x:c r="C3912" s="6" t="str">
        <x:f>IF(B3912="","Needs decision","Ready")</x:f>
        <x:v>Ready</x:v>
      </x:c>
      <x:c r="D3912" s="6" t="str">
        <x:v>平</x:v>
      </x:c>
      <x:c r="E3912" s="6" t="str">
        <x:v>yi (A)</x:v>
      </x:c>
      <x:c r="F3912" s="6" t="str">
        <x:v>1</x:v>
      </x:c>
      <x:c r="G3912" s="6" t="str"/>
      <x:c r="H3912" s="6" t="str">
        <x:f>IF(B3912="平","平",IF(B3912="","","仄"))</x:f>
        <x:v>平</x:v>
      </x:c>
      <x:c r="I3912" s="6" t="str">
        <x:f>IF(D3896="","",IF(AND(ISNUMBER(SEARCH("平",D3896)),OR(ISNUMBER(SEARCH("上",D3896)),ISNUMBER(SEARCH("去",D3896)),ISNUMBER(SEARCH("入",D3896)))),"Ambiguous",IF(ISNUMBER(SEARCH("平",D3896)),"平","仄")))</x:f>
        <x:v>平</x:v>
      </x:c>
      <x:c r="J3912" s="7" t="str"/>
    </x:row>
    <x:row r="3913">
      <x:c r="A3913" s="5" t="str">
        <x:v>貿</x:v>
      </x:c>
      <x:c r="B3913" s="6" t="str">
        <x:v>去</x:v>
      </x:c>
      <x:c r="C3913" s="6" t="str">
        <x:f>IF(B3913="","Needs decision","Ready")</x:f>
        <x:v>Ready</x:v>
      </x:c>
      <x:c r="D3913" s="6" t="str">
        <x:v>去</x:v>
      </x:c>
      <x:c r="E3913" s="6" t="str">
        <x:v>muwH (C)</x:v>
      </x:c>
      <x:c r="F3913" s="6" t="str">
        <x:v>1</x:v>
      </x:c>
      <x:c r="G3913" s="6" t="str"/>
      <x:c r="H3913" s="6" t="str">
        <x:f>IF(B3913="平","平",IF(B3913="","","仄"))</x:f>
        <x:v>仄</x:v>
      </x:c>
      <x:c r="I3913" s="6" t="str">
        <x:f>IF(D3897="","",IF(AND(ISNUMBER(SEARCH("平",D3897)),OR(ISNUMBER(SEARCH("上",D3897)),ISNUMBER(SEARCH("去",D3897)),ISNUMBER(SEARCH("入",D3897)))),"Ambiguous",IF(ISNUMBER(SEARCH("平",D3897)),"平","仄")))</x:f>
        <x:v>仄</x:v>
      </x:c>
      <x:c r="J3913" s="7" t="str"/>
    </x:row>
    <x:row r="3914">
      <x:c r="A3914" s="5" t="str">
        <x:v>賀</x:v>
      </x:c>
      <x:c r="B3914" s="6" t="str">
        <x:v>去</x:v>
      </x:c>
      <x:c r="C3914" s="6" t="str">
        <x:f>IF(B3914="","Needs decision","Ready")</x:f>
        <x:v>Ready</x:v>
      </x:c>
      <x:c r="D3914" s="6" t="str">
        <x:v>去</x:v>
      </x:c>
      <x:c r="E3914" s="6" t="str">
        <x:v>haH (C)</x:v>
      </x:c>
      <x:c r="F3914" s="6" t="str">
        <x:v>1</x:v>
      </x:c>
      <x:c r="G3914" s="6" t="str"/>
      <x:c r="H3914" s="6" t="str">
        <x:f>IF(B3914="平","平",IF(B3914="","","仄"))</x:f>
        <x:v>仄</x:v>
      </x:c>
      <x:c r="I3914" s="6" t="str">
        <x:f>IF(D3898="","",IF(AND(ISNUMBER(SEARCH("平",D3898)),OR(ISNUMBER(SEARCH("上",D3898)),ISNUMBER(SEARCH("去",D3898)),ISNUMBER(SEARCH("入",D3898)))),"Ambiguous",IF(ISNUMBER(SEARCH("平",D3898)),"平","仄")))</x:f>
        <x:v>平</x:v>
      </x:c>
      <x:c r="J3914" s="7" t="str"/>
    </x:row>
    <x:row r="3915">
      <x:c r="A3915" s="5" t="str">
        <x:v>賁</x:v>
      </x:c>
      <x:c r="B3915" s="6" t="str"/>
      <x:c r="C3915" s="6" t="str">
        <x:f>IF(B3915="","Needs decision","Ready")</x:f>
        <x:v>Needs decision</x:v>
      </x:c>
      <x:c r="D3915" s="6" t="str">
        <x:v>平/去</x:v>
      </x:c>
      <x:c r="E3915" s="6" t="str">
        <x:v>pwon (A); pjeH (C); bjun (A)</x:v>
      </x:c>
      <x:c r="F3915" s="6" t="str">
        <x:v>3</x:v>
      </x:c>
      <x:c r="G3915" s="6" t="str"/>
      <x:c r="H3915" s="6" t="str">
        <x:f>IF(B3915="平","平",IF(B3915="","","仄"))</x:f>
      </x:c>
      <x:c r="I3915" s="6" t="str">
        <x:f>IF(D3899="","",IF(AND(ISNUMBER(SEARCH("平",D3899)),OR(ISNUMBER(SEARCH("上",D3899)),ISNUMBER(SEARCH("去",D3899)),ISNUMBER(SEARCH("入",D3899)))),"Ambiguous",IF(ISNUMBER(SEARCH("平",D3899)),"平","仄")))</x:f>
        <x:v>仄</x:v>
      </x:c>
      <x:c r="J3915" s="7" t="str"/>
    </x:row>
    <x:row r="3916">
      <x:c r="A3916" s="5" t="str">
        <x:v>賂</x:v>
      </x:c>
      <x:c r="B3916" s="6" t="str">
        <x:v>去</x:v>
      </x:c>
      <x:c r="C3916" s="6" t="str">
        <x:f>IF(B3916="","Needs decision","Ready")</x:f>
        <x:v>Ready</x:v>
      </x:c>
      <x:c r="D3916" s="6" t="str">
        <x:v>去</x:v>
      </x:c>
      <x:c r="E3916" s="6" t="str">
        <x:v>luH (C)</x:v>
      </x:c>
      <x:c r="F3916" s="6" t="str">
        <x:v>1</x:v>
      </x:c>
      <x:c r="G3916" s="6" t="str"/>
      <x:c r="H3916" s="6" t="str">
        <x:f>IF(B3916="平","平",IF(B3916="","","仄"))</x:f>
        <x:v>仄</x:v>
      </x:c>
      <x:c r="I3916" s="6" t="str">
        <x:f>IF(D3900="","",IF(AND(ISNUMBER(SEARCH("平",D3900)),OR(ISNUMBER(SEARCH("上",D3900)),ISNUMBER(SEARCH("去",D3900)),ISNUMBER(SEARCH("入",D3900)))),"Ambiguous",IF(ISNUMBER(SEARCH("平",D3900)),"平","仄")))</x:f>
        <x:v>平</x:v>
      </x:c>
      <x:c r="J3916" s="7" t="str"/>
    </x:row>
    <x:row r="3917">
      <x:c r="A3917" s="5" t="str">
        <x:v>賄</x:v>
      </x:c>
      <x:c r="B3917" s="6" t="str">
        <x:v>上</x:v>
      </x:c>
      <x:c r="C3917" s="6" t="str">
        <x:f>IF(B3917="","Needs decision","Ready")</x:f>
        <x:v>Ready</x:v>
      </x:c>
      <x:c r="D3917" s="6" t="str">
        <x:v>上</x:v>
      </x:c>
      <x:c r="E3917" s="6" t="str">
        <x:v>xwojX (B)</x:v>
      </x:c>
      <x:c r="F3917" s="6" t="str">
        <x:v>1</x:v>
      </x:c>
      <x:c r="G3917" s="6" t="str"/>
      <x:c r="H3917" s="6" t="str">
        <x:f>IF(B3917="平","平",IF(B3917="","","仄"))</x:f>
        <x:v>仄</x:v>
      </x:c>
      <x:c r="I3917" s="6" t="str">
        <x:f>IF(D3901="","",IF(AND(ISNUMBER(SEARCH("平",D3901)),OR(ISNUMBER(SEARCH("上",D3901)),ISNUMBER(SEARCH("去",D3901)),ISNUMBER(SEARCH("入",D3901)))),"Ambiguous",IF(ISNUMBER(SEARCH("平",D3901)),"平","仄")))</x:f>
        <x:v>Ambiguous</x:v>
      </x:c>
      <x:c r="J3917" s="7" t="str"/>
    </x:row>
    <x:row r="3918">
      <x:c r="A3918" s="5" t="str">
        <x:v>資</x:v>
      </x:c>
      <x:c r="B3918" s="6" t="str">
        <x:v>平</x:v>
      </x:c>
      <x:c r="C3918" s="6" t="str">
        <x:f>IF(B3918="","Needs decision","Ready")</x:f>
        <x:v>Ready</x:v>
      </x:c>
      <x:c r="D3918" s="6" t="str">
        <x:v>平</x:v>
      </x:c>
      <x:c r="E3918" s="6" t="str">
        <x:v>tsij (A)</x:v>
      </x:c>
      <x:c r="F3918" s="6" t="str">
        <x:v>1</x:v>
      </x:c>
      <x:c r="G3918" s="6" t="str"/>
      <x:c r="H3918" s="6" t="str">
        <x:f>IF(B3918="平","平",IF(B3918="","","仄"))</x:f>
        <x:v>平</x:v>
      </x:c>
      <x:c r="I3918" s="6" t="str">
        <x:f>IF(D3902="","",IF(AND(ISNUMBER(SEARCH("平",D3902)),OR(ISNUMBER(SEARCH("上",D3902)),ISNUMBER(SEARCH("去",D3902)),ISNUMBER(SEARCH("入",D3902)))),"Ambiguous",IF(ISNUMBER(SEARCH("平",D3902)),"平","仄")))</x:f>
        <x:v>仄</x:v>
      </x:c>
      <x:c r="J3918" s="7" t="str"/>
    </x:row>
    <x:row r="3919">
      <x:c r="A3919" s="5" t="str">
        <x:v>賈</x:v>
      </x:c>
      <x:c r="B3919" s="6" t="str"/>
      <x:c r="C3919" s="6" t="str">
        <x:f>IF(B3919="","Needs decision","Ready")</x:f>
        <x:v>Needs decision</x:v>
      </x:c>
      <x:c r="D3919" s="6" t="str">
        <x:v>上/去</x:v>
      </x:c>
      <x:c r="E3919" s="6" t="str">
        <x:v>kuX (B); kaeH (C)</x:v>
      </x:c>
      <x:c r="F3919" s="6" t="str">
        <x:v>2</x:v>
      </x:c>
      <x:c r="G3919" s="6" t="str"/>
      <x:c r="H3919" s="6" t="str">
        <x:f>IF(B3919="平","平",IF(B3919="","","仄"))</x:f>
      </x:c>
      <x:c r="I3919" s="6" t="str">
        <x:f>IF(D3903="","",IF(AND(ISNUMBER(SEARCH("平",D3903)),OR(ISNUMBER(SEARCH("上",D3903)),ISNUMBER(SEARCH("去",D3903)),ISNUMBER(SEARCH("入",D3903)))),"Ambiguous",IF(ISNUMBER(SEARCH("平",D3903)),"平","仄")))</x:f>
        <x:v>仄</x:v>
      </x:c>
      <x:c r="J3919" s="7" t="str"/>
    </x:row>
    <x:row r="3920">
      <x:c r="A3920" s="5" t="str">
        <x:v>賊</x:v>
      </x:c>
      <x:c r="B3920" s="6" t="str">
        <x:v>入</x:v>
      </x:c>
      <x:c r="C3920" s="6" t="str">
        <x:f>IF(B3920="","Needs decision","Ready")</x:f>
        <x:v>Ready</x:v>
      </x:c>
      <x:c r="D3920" s="6" t="str">
        <x:v>入</x:v>
      </x:c>
      <x:c r="E3920" s="6" t="str">
        <x:v>dzok (D)</x:v>
      </x:c>
      <x:c r="F3920" s="6" t="str">
        <x:v>1</x:v>
      </x:c>
      <x:c r="G3920" s="6" t="str"/>
      <x:c r="H3920" s="6" t="str">
        <x:f>IF(B3920="平","平",IF(B3920="","","仄"))</x:f>
        <x:v>仄</x:v>
      </x:c>
      <x:c r="I3920" s="6" t="str">
        <x:f>IF(D3904="","",IF(AND(ISNUMBER(SEARCH("平",D3904)),OR(ISNUMBER(SEARCH("上",D3904)),ISNUMBER(SEARCH("去",D3904)),ISNUMBER(SEARCH("入",D3904)))),"Ambiguous",IF(ISNUMBER(SEARCH("平",D3904)),"平","仄")))</x:f>
        <x:v>仄</x:v>
      </x:c>
      <x:c r="J3920" s="7" t="str"/>
    </x:row>
    <x:row r="3921">
      <x:c r="A3921" s="5" t="str">
        <x:v>賑</x:v>
      </x:c>
      <x:c r="B3921" s="6" t="str"/>
      <x:c r="C3921" s="6" t="str">
        <x:f>IF(B3921="","Needs decision","Ready")</x:f>
        <x:v>Needs decision</x:v>
      </x:c>
      <x:c r="D3921" s="6" t="str">
        <x:v>上/去</x:v>
      </x:c>
      <x:c r="E3921" s="6" t="str">
        <x:v>tsyinX [章開三真上] tɕinʔ; tsyinH [章開三真去] tɕinh</x:v>
      </x:c>
      <x:c r="F3921" s="6" t="str">
        <x:v>2</x:v>
      </x:c>
      <x:c r="G3921" s="6" t="str">
        <x:v>Targeted preliminary fill from Xun Gong; review if uncertain</x:v>
      </x:c>
      <x:c r="H3921" s="6" t="str">
        <x:f>IF(B3921="平","平",IF(B3921="","","仄"))</x:f>
      </x:c>
      <x:c r="I3921" s="6" t="str">
        <x:f>IF(D3905="","",IF(AND(ISNUMBER(SEARCH("平",D3905)),OR(ISNUMBER(SEARCH("上",D3905)),ISNUMBER(SEARCH("去",D3905)),ISNUMBER(SEARCH("入",D3905)))),"Ambiguous",IF(ISNUMBER(SEARCH("平",D3905)),"平","仄")))</x:f>
        <x:v>仄</x:v>
      </x:c>
      <x:c r="J3921" s="7" t="str">
        <x:v>Xun Gong character-readings.csv</x:v>
      </x:c>
    </x:row>
    <x:row r="3922">
      <x:c r="A3922" s="5" t="str">
        <x:v>賒</x:v>
      </x:c>
      <x:c r="B3922" s="6" t="str">
        <x:v>平</x:v>
      </x:c>
      <x:c r="C3922" s="6" t="str">
        <x:f>IF(B3922="","Needs decision","Ready")</x:f>
        <x:v>Ready</x:v>
      </x:c>
      <x:c r="D3922" s="6" t="str">
        <x:v>平</x:v>
      </x:c>
      <x:c r="E3922" s="6" t="str">
        <x:v>syae (A)</x:v>
      </x:c>
      <x:c r="F3922" s="6" t="str">
        <x:v>1</x:v>
      </x:c>
      <x:c r="G3922" s="6" t="str"/>
      <x:c r="H3922" s="6" t="str">
        <x:f>IF(B3922="平","平",IF(B3922="","","仄"))</x:f>
        <x:v>平</x:v>
      </x:c>
      <x:c r="I3922" s="6" t="str">
        <x:f>IF(D3906="","",IF(AND(ISNUMBER(SEARCH("平",D3906)),OR(ISNUMBER(SEARCH("上",D3906)),ISNUMBER(SEARCH("去",D3906)),ISNUMBER(SEARCH("入",D3906)))),"Ambiguous",IF(ISNUMBER(SEARCH("平",D3906)),"平","仄")))</x:f>
        <x:v>仄</x:v>
      </x:c>
      <x:c r="J3922" s="7" t="str"/>
    </x:row>
    <x:row r="3923">
      <x:c r="A3923" s="5" t="str">
        <x:v>賓</x:v>
      </x:c>
      <x:c r="B3923" s="6" t="str">
        <x:v>平</x:v>
      </x:c>
      <x:c r="C3923" s="6" t="str">
        <x:f>IF(B3923="","Needs decision","Ready")</x:f>
        <x:v>Ready</x:v>
      </x:c>
      <x:c r="D3923" s="6" t="str">
        <x:v>平</x:v>
      </x:c>
      <x:c r="E3923" s="6" t="str">
        <x:v>pjin (A)</x:v>
      </x:c>
      <x:c r="F3923" s="6" t="str">
        <x:v>1</x:v>
      </x:c>
      <x:c r="G3923" s="6" t="str"/>
      <x:c r="H3923" s="6" t="str">
        <x:f>IF(B3923="平","平",IF(B3923="","","仄"))</x:f>
        <x:v>平</x:v>
      </x:c>
      <x:c r="I3923" s="6" t="str">
        <x:f>IF(D3907="","",IF(AND(ISNUMBER(SEARCH("平",D3907)),OR(ISNUMBER(SEARCH("上",D3907)),ISNUMBER(SEARCH("去",D3907)),ISNUMBER(SEARCH("入",D3907)))),"Ambiguous",IF(ISNUMBER(SEARCH("平",D3907)),"平","仄")))</x:f>
        <x:v>仄</x:v>
      </x:c>
      <x:c r="J3923" s="7" t="str"/>
    </x:row>
    <x:row r="3924">
      <x:c r="A3924" s="5" t="str">
        <x:v>賖</x:v>
      </x:c>
      <x:c r="B3924" s="6" t="str">
        <x:v>平</x:v>
      </x:c>
      <x:c r="C3924" s="6" t="str">
        <x:f>IF(B3924="","Needs decision","Ready")</x:f>
        <x:v>Ready</x:v>
      </x:c>
      <x:c r="D3924" s="6" t="str">
        <x:v>平</x:v>
      </x:c>
      <x:c r="E3924" s="6" t="str">
        <x:v>syae (A)</x:v>
      </x:c>
      <x:c r="F3924" s="6" t="str">
        <x:v>1</x:v>
      </x:c>
      <x:c r="G3924" s="6" t="str"/>
      <x:c r="H3924" s="6" t="str">
        <x:f>IF(B3924="平","平",IF(B3924="","","仄"))</x:f>
        <x:v>平</x:v>
      </x:c>
      <x:c r="I3924" s="6" t="str">
        <x:f>IF(D3908="","",IF(AND(ISNUMBER(SEARCH("平",D3908)),OR(ISNUMBER(SEARCH("上",D3908)),ISNUMBER(SEARCH("去",D3908)),ISNUMBER(SEARCH("入",D3908)))),"Ambiguous",IF(ISNUMBER(SEARCH("平",D3908)),"平","仄")))</x:f>
        <x:v>仄</x:v>
      </x:c>
      <x:c r="J3924" s="7" t="str"/>
    </x:row>
    <x:row r="3925">
      <x:c r="A3925" s="5" t="str">
        <x:v>賚</x:v>
      </x:c>
      <x:c r="B3925" s="6" t="str">
        <x:v>去</x:v>
      </x:c>
      <x:c r="C3925" s="6" t="str">
        <x:f>IF(B3925="","Needs decision","Ready")</x:f>
        <x:v>Ready</x:v>
      </x:c>
      <x:c r="D3925" s="6" t="str">
        <x:v>去</x:v>
      </x:c>
      <x:c r="E3925" s="6" t="str">
        <x:v>lojH (C)</x:v>
      </x:c>
      <x:c r="F3925" s="6" t="str">
        <x:v>1</x:v>
      </x:c>
      <x:c r="G3925" s="6" t="str"/>
      <x:c r="H3925" s="6" t="str">
        <x:f>IF(B3925="平","平",IF(B3925="","","仄"))</x:f>
        <x:v>仄</x:v>
      </x:c>
      <x:c r="I3925" s="6" t="str">
        <x:f>IF(D3909="","",IF(AND(ISNUMBER(SEARCH("平",D3909)),OR(ISNUMBER(SEARCH("上",D3909)),ISNUMBER(SEARCH("去",D3909)),ISNUMBER(SEARCH("入",D3909)))),"Ambiguous",IF(ISNUMBER(SEARCH("平",D3909)),"平","仄")))</x:f>
        <x:v>仄</x:v>
      </x:c>
      <x:c r="J3925" s="7" t="str"/>
    </x:row>
    <x:row r="3926">
      <x:c r="A3926" s="5" t="str">
        <x:v>賜</x:v>
      </x:c>
      <x:c r="B3926" s="6" t="str">
        <x:v>去</x:v>
      </x:c>
      <x:c r="C3926" s="6" t="str">
        <x:f>IF(B3926="","Needs decision","Ready")</x:f>
        <x:v>Ready</x:v>
      </x:c>
      <x:c r="D3926" s="6" t="str">
        <x:v>去</x:v>
      </x:c>
      <x:c r="E3926" s="6" t="str">
        <x:v>sjeH (C)</x:v>
      </x:c>
      <x:c r="F3926" s="6" t="str">
        <x:v>1</x:v>
      </x:c>
      <x:c r="G3926" s="6" t="str"/>
      <x:c r="H3926" s="6" t="str">
        <x:f>IF(B3926="平","平",IF(B3926="","","仄"))</x:f>
        <x:v>仄</x:v>
      </x:c>
      <x:c r="I3926" s="6" t="str">
        <x:f>IF(D3910="","",IF(AND(ISNUMBER(SEARCH("平",D3910)),OR(ISNUMBER(SEARCH("上",D3910)),ISNUMBER(SEARCH("去",D3910)),ISNUMBER(SEARCH("入",D3910)))),"Ambiguous",IF(ISNUMBER(SEARCH("平",D3910)),"平","仄")))</x:f>
        <x:v>仄</x:v>
      </x:c>
      <x:c r="J3926" s="7" t="str"/>
    </x:row>
    <x:row r="3927">
      <x:c r="A3927" s="5" t="str">
        <x:v>賞</x:v>
      </x:c>
      <x:c r="B3927" s="6" t="str">
        <x:v>上</x:v>
      </x:c>
      <x:c r="C3927" s="6" t="str">
        <x:f>IF(B3927="","Needs decision","Ready")</x:f>
        <x:v>Ready</x:v>
      </x:c>
      <x:c r="D3927" s="6" t="str">
        <x:v>上</x:v>
      </x:c>
      <x:c r="E3927" s="6" t="str">
        <x:v>syangX (B)</x:v>
      </x:c>
      <x:c r="F3927" s="6" t="str">
        <x:v>1</x:v>
      </x:c>
      <x:c r="G3927" s="6" t="str"/>
      <x:c r="H3927" s="6" t="str">
        <x:f>IF(B3927="平","平",IF(B3927="","","仄"))</x:f>
        <x:v>仄</x:v>
      </x:c>
      <x:c r="I3927" s="6" t="str">
        <x:f>IF(D3911="","",IF(AND(ISNUMBER(SEARCH("平",D3911)),OR(ISNUMBER(SEARCH("上",D3911)),ISNUMBER(SEARCH("去",D3911)),ISNUMBER(SEARCH("入",D3911)))),"Ambiguous",IF(ISNUMBER(SEARCH("平",D3911)),"平","仄")))</x:f>
        <x:v>仄</x:v>
      </x:c>
      <x:c r="J3927" s="7" t="str"/>
    </x:row>
    <x:row r="3928">
      <x:c r="A3928" s="5" t="str">
        <x:v>賢</x:v>
      </x:c>
      <x:c r="B3928" s="6" t="str">
        <x:v>平</x:v>
      </x:c>
      <x:c r="C3928" s="6" t="str">
        <x:f>IF(B3928="","Needs decision","Ready")</x:f>
        <x:v>Ready</x:v>
      </x:c>
      <x:c r="D3928" s="6" t="str">
        <x:v>平</x:v>
      </x:c>
      <x:c r="E3928" s="6" t="str">
        <x:v>hen (A)</x:v>
      </x:c>
      <x:c r="F3928" s="6" t="str">
        <x:v>1</x:v>
      </x:c>
      <x:c r="G3928" s="6" t="str"/>
      <x:c r="H3928" s="6" t="str">
        <x:f>IF(B3928="平","平",IF(B3928="","","仄"))</x:f>
        <x:v>平</x:v>
      </x:c>
      <x:c r="I3928" s="6" t="str">
        <x:f>IF(D3912="","",IF(AND(ISNUMBER(SEARCH("平",D3912)),OR(ISNUMBER(SEARCH("上",D3912)),ISNUMBER(SEARCH("去",D3912)),ISNUMBER(SEARCH("入",D3912)))),"Ambiguous",IF(ISNUMBER(SEARCH("平",D3912)),"平","仄")))</x:f>
        <x:v>平</x:v>
      </x:c>
      <x:c r="J3928" s="7" t="str"/>
    </x:row>
    <x:row r="3929">
      <x:c r="A3929" s="5" t="str">
        <x:v>賣</x:v>
      </x:c>
      <x:c r="B3929" s="6" t="str">
        <x:v>去</x:v>
      </x:c>
      <x:c r="C3929" s="6" t="str">
        <x:f>IF(B3929="","Needs decision","Ready")</x:f>
        <x:v>Ready</x:v>
      </x:c>
      <x:c r="D3929" s="6" t="str">
        <x:v>去</x:v>
      </x:c>
      <x:c r="E3929" s="6" t="str">
        <x:v>meaH (C)</x:v>
      </x:c>
      <x:c r="F3929" s="6" t="str">
        <x:v>1</x:v>
      </x:c>
      <x:c r="G3929" s="6" t="str"/>
      <x:c r="H3929" s="6" t="str">
        <x:f>IF(B3929="平","平",IF(B3929="","","仄"))</x:f>
        <x:v>仄</x:v>
      </x:c>
      <x:c r="I3929" s="6" t="str">
        <x:f>IF(D3913="","",IF(AND(ISNUMBER(SEARCH("平",D3913)),OR(ISNUMBER(SEARCH("上",D3913)),ISNUMBER(SEARCH("去",D3913)),ISNUMBER(SEARCH("入",D3913)))),"Ambiguous",IF(ISNUMBER(SEARCH("平",D3913)),"平","仄")))</x:f>
        <x:v>仄</x:v>
      </x:c>
      <x:c r="J3929" s="7" t="str"/>
    </x:row>
    <x:row r="3930">
      <x:c r="A3930" s="5" t="str">
        <x:v>賤</x:v>
      </x:c>
      <x:c r="B3930" s="6" t="str">
        <x:v>去</x:v>
      </x:c>
      <x:c r="C3930" s="6" t="str">
        <x:f>IF(B3930="","Needs decision","Ready")</x:f>
        <x:v>Ready</x:v>
      </x:c>
      <x:c r="D3930" s="6" t="str">
        <x:v>去</x:v>
      </x:c>
      <x:c r="E3930" s="6" t="str">
        <x:v>dzjenH (C)</x:v>
      </x:c>
      <x:c r="F3930" s="6" t="str">
        <x:v>1</x:v>
      </x:c>
      <x:c r="G3930" s="6" t="str"/>
      <x:c r="H3930" s="6" t="str">
        <x:f>IF(B3930="平","平",IF(B3930="","","仄"))</x:f>
        <x:v>仄</x:v>
      </x:c>
      <x:c r="I3930" s="6" t="str">
        <x:f>IF(D3914="","",IF(AND(ISNUMBER(SEARCH("平",D3914)),OR(ISNUMBER(SEARCH("上",D3914)),ISNUMBER(SEARCH("去",D3914)),ISNUMBER(SEARCH("入",D3914)))),"Ambiguous",IF(ISNUMBER(SEARCH("平",D3914)),"平","仄")))</x:f>
        <x:v>仄</x:v>
      </x:c>
      <x:c r="J3930" s="7" t="str"/>
    </x:row>
    <x:row r="3931">
      <x:c r="A3931" s="5" t="str">
        <x:v>賦</x:v>
      </x:c>
      <x:c r="B3931" s="6" t="str">
        <x:v>去</x:v>
      </x:c>
      <x:c r="C3931" s="6" t="str">
        <x:f>IF(B3931="","Needs decision","Ready")</x:f>
        <x:v>Ready</x:v>
      </x:c>
      <x:c r="D3931" s="6" t="str">
        <x:v>去</x:v>
      </x:c>
      <x:c r="E3931" s="6" t="str">
        <x:v>pjuH (C)</x:v>
      </x:c>
      <x:c r="F3931" s="6" t="str">
        <x:v>1</x:v>
      </x:c>
      <x:c r="G3931" s="6" t="str"/>
      <x:c r="H3931" s="6" t="str">
        <x:f>IF(B3931="平","平",IF(B3931="","","仄"))</x:f>
        <x:v>仄</x:v>
      </x:c>
      <x:c r="I3931" s="6" t="str">
        <x:f>IF(D3915="","",IF(AND(ISNUMBER(SEARCH("平",D3915)),OR(ISNUMBER(SEARCH("上",D3915)),ISNUMBER(SEARCH("去",D3915)),ISNUMBER(SEARCH("入",D3915)))),"Ambiguous",IF(ISNUMBER(SEARCH("平",D3915)),"平","仄")))</x:f>
        <x:v>Ambiguous</x:v>
      </x:c>
      <x:c r="J3931" s="7" t="str"/>
    </x:row>
    <x:row r="3932">
      <x:c r="A3932" s="5" t="str">
        <x:v>質</x:v>
      </x:c>
      <x:c r="B3932" s="6" t="str">
        <x:v>入</x:v>
      </x:c>
      <x:c r="C3932" s="6" t="str">
        <x:f>IF(B3932="","Needs decision","Ready")</x:f>
        <x:v>Ready</x:v>
      </x:c>
      <x:c r="D3932" s="6" t="str">
        <x:v>去/入</x:v>
      </x:c>
      <x:c r="E3932" s="6" t="str">
        <x:v>trijH (C); tsyit (D)</x:v>
      </x:c>
      <x:c r="F3932" s="6" t="str">
        <x:v>2</x:v>
      </x:c>
      <x:c r="G3932" s="6" t="str">
        <x:v>User workbook edit 2026-09-03</x:v>
      </x:c>
      <x:c r="H3932" s="6" t="str">
        <x:f>IF(B3932="平","平",IF(B3932="","","仄"))</x:f>
        <x:v>仄</x:v>
      </x:c>
      <x:c r="I3932" s="6" t="str">
        <x:f>IF(D3916="","",IF(AND(ISNUMBER(SEARCH("平",D3916)),OR(ISNUMBER(SEARCH("上",D3916)),ISNUMBER(SEARCH("去",D3916)),ISNUMBER(SEARCH("入",D3916)))),"Ambiguous",IF(ISNUMBER(SEARCH("平",D3916)),"平","仄")))</x:f>
        <x:v>仄</x:v>
      </x:c>
      <x:c r="J3932" s="7" t="str">
        <x:v>manual user correction</x:v>
      </x:c>
    </x:row>
    <x:row r="3933">
      <x:c r="A3933" s="5" t="str">
        <x:v>賭</x:v>
      </x:c>
      <x:c r="B3933" s="6" t="str">
        <x:v>上</x:v>
      </x:c>
      <x:c r="C3933" s="6" t="str">
        <x:f>IF(B3933="","Needs decision","Ready")</x:f>
        <x:v>Ready</x:v>
      </x:c>
      <x:c r="D3933" s="6" t="str">
        <x:v>上</x:v>
      </x:c>
      <x:c r="E3933" s="6" t="str">
        <x:v>tuX (B)</x:v>
      </x:c>
      <x:c r="F3933" s="6" t="str">
        <x:v>1</x:v>
      </x:c>
      <x:c r="G3933" s="6" t="str"/>
      <x:c r="H3933" s="6" t="str">
        <x:f>IF(B3933="平","平",IF(B3933="","","仄"))</x:f>
        <x:v>仄</x:v>
      </x:c>
      <x:c r="I3933" s="6" t="str">
        <x:f>IF(D3917="","",IF(AND(ISNUMBER(SEARCH("平",D3917)),OR(ISNUMBER(SEARCH("上",D3917)),ISNUMBER(SEARCH("去",D3917)),ISNUMBER(SEARCH("入",D3917)))),"Ambiguous",IF(ISNUMBER(SEARCH("平",D3917)),"平","仄")))</x:f>
        <x:v>仄</x:v>
      </x:c>
      <x:c r="J3933" s="7" t="str"/>
    </x:row>
    <x:row r="3934">
      <x:c r="A3934" s="5" t="str">
        <x:v>賴</x:v>
      </x:c>
      <x:c r="B3934" s="6" t="str">
        <x:v>去</x:v>
      </x:c>
      <x:c r="C3934" s="6" t="str">
        <x:f>IF(B3934="","Needs decision","Ready")</x:f>
        <x:v>Ready</x:v>
      </x:c>
      <x:c r="D3934" s="6" t="str">
        <x:v>去</x:v>
      </x:c>
      <x:c r="E3934" s="6" t="str">
        <x:v>lajH (C)</x:v>
      </x:c>
      <x:c r="F3934" s="6" t="str">
        <x:v>1</x:v>
      </x:c>
      <x:c r="G3934" s="6" t="str"/>
      <x:c r="H3934" s="6" t="str">
        <x:f>IF(B3934="平","平",IF(B3934="","","仄"))</x:f>
        <x:v>仄</x:v>
      </x:c>
      <x:c r="I3934" s="6" t="str">
        <x:f>IF(D3918="","",IF(AND(ISNUMBER(SEARCH("平",D3918)),OR(ISNUMBER(SEARCH("上",D3918)),ISNUMBER(SEARCH("去",D3918)),ISNUMBER(SEARCH("入",D3918)))),"Ambiguous",IF(ISNUMBER(SEARCH("平",D3918)),"平","仄")))</x:f>
        <x:v>平</x:v>
      </x:c>
      <x:c r="J3934" s="7" t="str"/>
    </x:row>
    <x:row r="3935">
      <x:c r="A3935" s="5" t="str">
        <x:v>賵</x:v>
      </x:c>
      <x:c r="B3935" s="6" t="str">
        <x:v>去</x:v>
      </x:c>
      <x:c r="C3935" s="6" t="str">
        <x:f>IF(B3935="","Needs decision","Ready")</x:f>
        <x:v>Ready</x:v>
      </x:c>
      <x:c r="D3935" s="6" t="str">
        <x:v>去</x:v>
      </x:c>
      <x:c r="E3935" s="6" t="str">
        <x:v>phjuwngH (C)</x:v>
      </x:c>
      <x:c r="F3935" s="6" t="str">
        <x:v>1</x:v>
      </x:c>
      <x:c r="G3935" s="6" t="str"/>
      <x:c r="H3935" s="6" t="str">
        <x:f>IF(B3935="平","平",IF(B3935="","","仄"))</x:f>
        <x:v>仄</x:v>
      </x:c>
      <x:c r="I3935" s="6" t="str">
        <x:f>IF(D3919="","",IF(AND(ISNUMBER(SEARCH("平",D3919)),OR(ISNUMBER(SEARCH("上",D3919)),ISNUMBER(SEARCH("去",D3919)),ISNUMBER(SEARCH("入",D3919)))),"Ambiguous",IF(ISNUMBER(SEARCH("平",D3919)),"平","仄")))</x:f>
        <x:v>仄</x:v>
      </x:c>
      <x:c r="J3935" s="7" t="str"/>
    </x:row>
    <x:row r="3936">
      <x:c r="A3936" s="5" t="str">
        <x:v>購</x:v>
      </x:c>
      <x:c r="B3936" s="6" t="str">
        <x:v>去</x:v>
      </x:c>
      <x:c r="C3936" s="6" t="str">
        <x:f>IF(B3936="","Needs decision","Ready")</x:f>
        <x:v>Ready</x:v>
      </x:c>
      <x:c r="D3936" s="6" t="str">
        <x:v>去</x:v>
      </x:c>
      <x:c r="E3936" s="6" t="str">
        <x:v>kuwH (C)</x:v>
      </x:c>
      <x:c r="F3936" s="6" t="str">
        <x:v>1</x:v>
      </x:c>
      <x:c r="G3936" s="6" t="str"/>
      <x:c r="H3936" s="6" t="str">
        <x:f>IF(B3936="平","平",IF(B3936="","","仄"))</x:f>
        <x:v>仄</x:v>
      </x:c>
      <x:c r="I3936" s="6" t="str">
        <x:f>IF(D3920="","",IF(AND(ISNUMBER(SEARCH("平",D3920)),OR(ISNUMBER(SEARCH("上",D3920)),ISNUMBER(SEARCH("去",D3920)),ISNUMBER(SEARCH("入",D3920)))),"Ambiguous",IF(ISNUMBER(SEARCH("平",D3920)),"平","仄")))</x:f>
        <x:v>仄</x:v>
      </x:c>
      <x:c r="J3936" s="7" t="str"/>
    </x:row>
    <x:row r="3937">
      <x:c r="A3937" s="5" t="str">
        <x:v>贈</x:v>
      </x:c>
      <x:c r="B3937" s="6" t="str">
        <x:v>去</x:v>
      </x:c>
      <x:c r="C3937" s="6" t="str">
        <x:f>IF(B3937="","Needs decision","Ready")</x:f>
        <x:v>Ready</x:v>
      </x:c>
      <x:c r="D3937" s="6" t="str">
        <x:v>去</x:v>
      </x:c>
      <x:c r="E3937" s="6" t="str">
        <x:v>dzongH (C)</x:v>
      </x:c>
      <x:c r="F3937" s="6" t="str">
        <x:v>1</x:v>
      </x:c>
      <x:c r="G3937" s="6" t="str"/>
      <x:c r="H3937" s="6" t="str">
        <x:f>IF(B3937="平","平",IF(B3937="","","仄"))</x:f>
        <x:v>仄</x:v>
      </x:c>
      <x:c r="I3937" s="6" t="str">
        <x:f>IF(D3921="","",IF(AND(ISNUMBER(SEARCH("平",D3921)),OR(ISNUMBER(SEARCH("上",D3921)),ISNUMBER(SEARCH("去",D3921)),ISNUMBER(SEARCH("入",D3921)))),"Ambiguous",IF(ISNUMBER(SEARCH("平",D3921)),"平","仄")))</x:f>
        <x:v>仄</x:v>
      </x:c>
      <x:c r="J3937" s="7" t="str"/>
    </x:row>
    <x:row r="3938">
      <x:c r="A3938" s="5" t="str">
        <x:v>贊</x:v>
      </x:c>
      <x:c r="B3938" s="6" t="str">
        <x:v>去</x:v>
      </x:c>
      <x:c r="C3938" s="6" t="str">
        <x:f>IF(B3938="","Needs decision","Ready")</x:f>
        <x:v>Ready</x:v>
      </x:c>
      <x:c r="D3938" s="6" t="str">
        <x:v>去</x:v>
      </x:c>
      <x:c r="E3938" s="6" t="str">
        <x:v>tsanH (C)</x:v>
      </x:c>
      <x:c r="F3938" s="6" t="str">
        <x:v>1</x:v>
      </x:c>
      <x:c r="G3938" s="6" t="str"/>
      <x:c r="H3938" s="6" t="str">
        <x:f>IF(B3938="平","平",IF(B3938="","","仄"))</x:f>
        <x:v>仄</x:v>
      </x:c>
      <x:c r="I3938" s="6" t="str">
        <x:f>IF(D3922="","",IF(AND(ISNUMBER(SEARCH("平",D3922)),OR(ISNUMBER(SEARCH("上",D3922)),ISNUMBER(SEARCH("去",D3922)),ISNUMBER(SEARCH("入",D3922)))),"Ambiguous",IF(ISNUMBER(SEARCH("平",D3922)),"平","仄")))</x:f>
        <x:v>平</x:v>
      </x:c>
      <x:c r="J3938" s="7" t="str"/>
    </x:row>
    <x:row r="3939">
      <x:c r="A3939" s="5" t="str">
        <x:v>贍</x:v>
      </x:c>
      <x:c r="B3939" s="6" t="str">
        <x:v>去</x:v>
      </x:c>
      <x:c r="C3939" s="6" t="str">
        <x:f>IF(B3939="","Needs decision","Ready")</x:f>
        <x:v>Ready</x:v>
      </x:c>
      <x:c r="D3939" s="6" t="str">
        <x:v>去</x:v>
      </x:c>
      <x:c r="E3939" s="6" t="str">
        <x:v>dzyemH (C)</x:v>
      </x:c>
      <x:c r="F3939" s="6" t="str">
        <x:v>1</x:v>
      </x:c>
      <x:c r="G3939" s="6" t="str"/>
      <x:c r="H3939" s="6" t="str">
        <x:f>IF(B3939="平","平",IF(B3939="","","仄"))</x:f>
        <x:v>仄</x:v>
      </x:c>
      <x:c r="I3939" s="6" t="str">
        <x:f>IF(D3923="","",IF(AND(ISNUMBER(SEARCH("平",D3923)),OR(ISNUMBER(SEARCH("上",D3923)),ISNUMBER(SEARCH("去",D3923)),ISNUMBER(SEARCH("入",D3923)))),"Ambiguous",IF(ISNUMBER(SEARCH("平",D3923)),"平","仄")))</x:f>
        <x:v>平</x:v>
      </x:c>
      <x:c r="J3939" s="7" t="str"/>
    </x:row>
    <x:row r="3940">
      <x:c r="A3940" s="5" t="str">
        <x:v>贏</x:v>
      </x:c>
      <x:c r="B3940" s="6" t="str">
        <x:v>平</x:v>
      </x:c>
      <x:c r="C3940" s="6" t="str">
        <x:f>IF(B3940="","Needs decision","Ready")</x:f>
        <x:v>Ready</x:v>
      </x:c>
      <x:c r="D3940" s="6" t="str">
        <x:v>平</x:v>
      </x:c>
      <x:c r="E3940" s="6" t="str">
        <x:v>yeng (A)</x:v>
      </x:c>
      <x:c r="F3940" s="6" t="str">
        <x:v>1</x:v>
      </x:c>
      <x:c r="G3940" s="6" t="str"/>
      <x:c r="H3940" s="6" t="str">
        <x:f>IF(B3940="平","平",IF(B3940="","","仄"))</x:f>
        <x:v>平</x:v>
      </x:c>
      <x:c r="I3940" s="6" t="str">
        <x:f>IF(D3924="","",IF(AND(ISNUMBER(SEARCH("平",D3924)),OR(ISNUMBER(SEARCH("上",D3924)),ISNUMBER(SEARCH("去",D3924)),ISNUMBER(SEARCH("入",D3924)))),"Ambiguous",IF(ISNUMBER(SEARCH("平",D3924)),"平","仄")))</x:f>
        <x:v>平</x:v>
      </x:c>
      <x:c r="J3940" s="7" t="str"/>
    </x:row>
    <x:row r="3941">
      <x:c r="A3941" s="5" t="str">
        <x:v>贓</x:v>
      </x:c>
      <x:c r="B3941" s="6" t="str">
        <x:v>平</x:v>
      </x:c>
      <x:c r="C3941" s="6" t="str">
        <x:f>IF(B3941="","Needs decision","Ready")</x:f>
        <x:v>Ready</x:v>
      </x:c>
      <x:c r="D3941" s="6" t="str">
        <x:v>平</x:v>
      </x:c>
      <x:c r="E3941" s="6" t="str">
        <x:v>tsang (A)</x:v>
      </x:c>
      <x:c r="F3941" s="6" t="str">
        <x:v>1</x:v>
      </x:c>
      <x:c r="G3941" s="6" t="str"/>
      <x:c r="H3941" s="6" t="str">
        <x:f>IF(B3941="平","平",IF(B3941="","","仄"))</x:f>
        <x:v>平</x:v>
      </x:c>
      <x:c r="I3941" s="6" t="str">
        <x:f>IF(D3925="","",IF(AND(ISNUMBER(SEARCH("平",D3925)),OR(ISNUMBER(SEARCH("上",D3925)),ISNUMBER(SEARCH("去",D3925)),ISNUMBER(SEARCH("入",D3925)))),"Ambiguous",IF(ISNUMBER(SEARCH("平",D3925)),"平","仄")))</x:f>
        <x:v>仄</x:v>
      </x:c>
      <x:c r="J3941" s="7" t="str"/>
    </x:row>
    <x:row r="3942">
      <x:c r="A3942" s="5" t="str">
        <x:v>贖</x:v>
      </x:c>
      <x:c r="B3942" s="6" t="str">
        <x:v>入</x:v>
      </x:c>
      <x:c r="C3942" s="6" t="str">
        <x:f>IF(B3942="","Needs decision","Ready")</x:f>
        <x:v>Ready</x:v>
      </x:c>
      <x:c r="D3942" s="6" t="str">
        <x:v>入</x:v>
      </x:c>
      <x:c r="E3942" s="6" t="str">
        <x:v>zyowk (D)</x:v>
      </x:c>
      <x:c r="F3942" s="6" t="str">
        <x:v>1</x:v>
      </x:c>
      <x:c r="G3942" s="6" t="str"/>
      <x:c r="H3942" s="6" t="str">
        <x:f>IF(B3942="平","平",IF(B3942="","","仄"))</x:f>
        <x:v>仄</x:v>
      </x:c>
      <x:c r="I3942" s="6" t="str">
        <x:f>IF(D3926="","",IF(AND(ISNUMBER(SEARCH("平",D3926)),OR(ISNUMBER(SEARCH("上",D3926)),ISNUMBER(SEARCH("去",D3926)),ISNUMBER(SEARCH("入",D3926)))),"Ambiguous",IF(ISNUMBER(SEARCH("平",D3926)),"平","仄")))</x:f>
        <x:v>仄</x:v>
      </x:c>
      <x:c r="J3942" s="7" t="str"/>
    </x:row>
    <x:row r="3943">
      <x:c r="A3943" s="5" t="str">
        <x:v>贛</x:v>
      </x:c>
      <x:c r="B3943" s="6" t="str"/>
      <x:c r="C3943" s="6" t="str">
        <x:f>IF(B3943="","Needs decision","Ready")</x:f>
        <x:v>Needs decision</x:v>
      </x:c>
      <x:c r="D3943" s="6" t="str">
        <x:v>上/去</x:v>
      </x:c>
      <x:c r="E3943" s="6" t="str">
        <x:v>komX (B); komH (C); kuwngH (C)</x:v>
      </x:c>
      <x:c r="F3943" s="6" t="str">
        <x:v>3</x:v>
      </x:c>
      <x:c r="G3943" s="6" t="str"/>
      <x:c r="H3943" s="6" t="str">
        <x:f>IF(B3943="平","平",IF(B3943="","","仄"))</x:f>
      </x:c>
      <x:c r="I3943" s="6" t="str">
        <x:f>IF(D3927="","",IF(AND(ISNUMBER(SEARCH("平",D3927)),OR(ISNUMBER(SEARCH("上",D3927)),ISNUMBER(SEARCH("去",D3927)),ISNUMBER(SEARCH("入",D3927)))),"Ambiguous",IF(ISNUMBER(SEARCH("平",D3927)),"平","仄")))</x:f>
        <x:v>仄</x:v>
      </x:c>
      <x:c r="J3943" s="7" t="str"/>
    </x:row>
    <x:row r="3944">
      <x:c r="A3944" s="5" t="str">
        <x:v>赤</x:v>
      </x:c>
      <x:c r="B3944" s="6" t="str">
        <x:v>入</x:v>
      </x:c>
      <x:c r="C3944" s="6" t="str">
        <x:f>IF(B3944="","Needs decision","Ready")</x:f>
        <x:v>Ready</x:v>
      </x:c>
      <x:c r="D3944" s="6" t="str">
        <x:v>入</x:v>
      </x:c>
      <x:c r="E3944" s="6" t="str">
        <x:v>tsyhek (D)</x:v>
      </x:c>
      <x:c r="F3944" s="6" t="str">
        <x:v>1</x:v>
      </x:c>
      <x:c r="G3944" s="6" t="str"/>
      <x:c r="H3944" s="6" t="str">
        <x:f>IF(B3944="平","平",IF(B3944="","","仄"))</x:f>
        <x:v>仄</x:v>
      </x:c>
      <x:c r="I3944" s="6" t="str">
        <x:f>IF(D3928="","",IF(AND(ISNUMBER(SEARCH("平",D3928)),OR(ISNUMBER(SEARCH("上",D3928)),ISNUMBER(SEARCH("去",D3928)),ISNUMBER(SEARCH("入",D3928)))),"Ambiguous",IF(ISNUMBER(SEARCH("平",D3928)),"平","仄")))</x:f>
        <x:v>平</x:v>
      </x:c>
      <x:c r="J3944" s="7" t="str"/>
    </x:row>
    <x:row r="3945">
      <x:c r="A3945" s="5" t="str">
        <x:v>赦</x:v>
      </x:c>
      <x:c r="B3945" s="6" t="str">
        <x:v>去</x:v>
      </x:c>
      <x:c r="C3945" s="6" t="str">
        <x:f>IF(B3945="","Needs decision","Ready")</x:f>
        <x:v>Ready</x:v>
      </x:c>
      <x:c r="D3945" s="6" t="str">
        <x:v>去</x:v>
      </x:c>
      <x:c r="E3945" s="6" t="str">
        <x:v>syaeH (C)</x:v>
      </x:c>
      <x:c r="F3945" s="6" t="str">
        <x:v>1</x:v>
      </x:c>
      <x:c r="G3945" s="6" t="str"/>
      <x:c r="H3945" s="6" t="str">
        <x:f>IF(B3945="平","平",IF(B3945="","","仄"))</x:f>
        <x:v>仄</x:v>
      </x:c>
      <x:c r="I3945" s="6" t="str">
        <x:f>IF(D3929="","",IF(AND(ISNUMBER(SEARCH("平",D3929)),OR(ISNUMBER(SEARCH("上",D3929)),ISNUMBER(SEARCH("去",D3929)),ISNUMBER(SEARCH("入",D3929)))),"Ambiguous",IF(ISNUMBER(SEARCH("平",D3929)),"平","仄")))</x:f>
        <x:v>仄</x:v>
      </x:c>
      <x:c r="J3945" s="7" t="str"/>
    </x:row>
    <x:row r="3946">
      <x:c r="A3946" s="5" t="str">
        <x:v>赫</x:v>
      </x:c>
      <x:c r="B3946" s="6" t="str">
        <x:v>入</x:v>
      </x:c>
      <x:c r="C3946" s="6" t="str">
        <x:f>IF(B3946="","Needs decision","Ready")</x:f>
        <x:v>Ready</x:v>
      </x:c>
      <x:c r="D3946" s="6" t="str">
        <x:v>入</x:v>
      </x:c>
      <x:c r="E3946" s="6" t="str">
        <x:v>xaek (D)</x:v>
      </x:c>
      <x:c r="F3946" s="6" t="str">
        <x:v>1</x:v>
      </x:c>
      <x:c r="G3946" s="6" t="str"/>
      <x:c r="H3946" s="6" t="str">
        <x:f>IF(B3946="平","平",IF(B3946="","","仄"))</x:f>
        <x:v>仄</x:v>
      </x:c>
      <x:c r="I3946" s="6" t="str">
        <x:f>IF(D3930="","",IF(AND(ISNUMBER(SEARCH("平",D3930)),OR(ISNUMBER(SEARCH("上",D3930)),ISNUMBER(SEARCH("去",D3930)),ISNUMBER(SEARCH("入",D3930)))),"Ambiguous",IF(ISNUMBER(SEARCH("平",D3930)),"平","仄")))</x:f>
        <x:v>仄</x:v>
      </x:c>
      <x:c r="J3946" s="7" t="str"/>
    </x:row>
    <x:row r="3947">
      <x:c r="A3947" s="5" t="str">
        <x:v>赬</x:v>
      </x:c>
      <x:c r="B3947" s="6" t="str">
        <x:v>平</x:v>
      </x:c>
      <x:c r="C3947" s="6" t="str">
        <x:f>IF(B3947="","Needs decision","Ready")</x:f>
        <x:v>Ready</x:v>
      </x:c>
      <x:c r="D3947" s="6" t="str">
        <x:v>平</x:v>
      </x:c>
      <x:c r="E3947" s="6" t="str">
        <x:v>trhjeng (A)</x:v>
      </x:c>
      <x:c r="F3947" s="6" t="str">
        <x:v>1</x:v>
      </x:c>
      <x:c r="G3947" s="6" t="str"/>
      <x:c r="H3947" s="6" t="str">
        <x:f>IF(B3947="平","平",IF(B3947="","","仄"))</x:f>
        <x:v>平</x:v>
      </x:c>
      <x:c r="I3947" s="6" t="str">
        <x:f>IF(D3931="","",IF(AND(ISNUMBER(SEARCH("平",D3931)),OR(ISNUMBER(SEARCH("上",D3931)),ISNUMBER(SEARCH("去",D3931)),ISNUMBER(SEARCH("入",D3931)))),"Ambiguous",IF(ISNUMBER(SEARCH("平",D3931)),"平","仄")))</x:f>
        <x:v>仄</x:v>
      </x:c>
      <x:c r="J3947" s="7" t="str"/>
    </x:row>
    <x:row r="3948">
      <x:c r="A3948" s="5" t="str">
        <x:v>赭</x:v>
      </x:c>
      <x:c r="B3948" s="6" t="str">
        <x:v>上</x:v>
      </x:c>
      <x:c r="C3948" s="6" t="str">
        <x:f>IF(B3948="","Needs decision","Ready")</x:f>
        <x:v>Ready</x:v>
      </x:c>
      <x:c r="D3948" s="6" t="str">
        <x:v>上</x:v>
      </x:c>
      <x:c r="E3948" s="6" t="str">
        <x:v>tsyaeX (B)</x:v>
      </x:c>
      <x:c r="F3948" s="6" t="str">
        <x:v>1</x:v>
      </x:c>
      <x:c r="G3948" s="6" t="str"/>
      <x:c r="H3948" s="6" t="str">
        <x:f>IF(B3948="平","平",IF(B3948="","","仄"))</x:f>
        <x:v>仄</x:v>
      </x:c>
      <x:c r="I3948" s="6" t="str">
        <x:f>IF(D3932="","",IF(AND(ISNUMBER(SEARCH("平",D3932)),OR(ISNUMBER(SEARCH("上",D3932)),ISNUMBER(SEARCH("去",D3932)),ISNUMBER(SEARCH("入",D3932)))),"Ambiguous",IF(ISNUMBER(SEARCH("平",D3932)),"平","仄")))</x:f>
        <x:v>仄</x:v>
      </x:c>
      <x:c r="J3948" s="7" t="str"/>
    </x:row>
    <x:row r="3949">
      <x:c r="A3949" s="5" t="str">
        <x:v>走</x:v>
      </x:c>
      <x:c r="B3949" s="6" t="str">
        <x:v>上</x:v>
      </x:c>
      <x:c r="C3949" s="6" t="str">
        <x:f>IF(B3949="","Needs decision","Ready")</x:f>
        <x:v>Ready</x:v>
      </x:c>
      <x:c r="D3949" s="6" t="str">
        <x:v>上</x:v>
      </x:c>
      <x:c r="E3949" s="6" t="str">
        <x:v>tsuwX (B)</x:v>
      </x:c>
      <x:c r="F3949" s="6" t="str">
        <x:v>1</x:v>
      </x:c>
      <x:c r="G3949" s="6" t="str"/>
      <x:c r="H3949" s="6" t="str">
        <x:f>IF(B3949="平","平",IF(B3949="","","仄"))</x:f>
        <x:v>仄</x:v>
      </x:c>
      <x:c r="I3949" s="6" t="str">
        <x:f>IF(D3933="","",IF(AND(ISNUMBER(SEARCH("平",D3933)),OR(ISNUMBER(SEARCH("上",D3933)),ISNUMBER(SEARCH("去",D3933)),ISNUMBER(SEARCH("入",D3933)))),"Ambiguous",IF(ISNUMBER(SEARCH("平",D3933)),"平","仄")))</x:f>
        <x:v>仄</x:v>
      </x:c>
      <x:c r="J3949" s="7" t="str"/>
    </x:row>
    <x:row r="3950">
      <x:c r="A3950" s="5" t="str">
        <x:v>赴</x:v>
      </x:c>
      <x:c r="B3950" s="6" t="str">
        <x:v>去</x:v>
      </x:c>
      <x:c r="C3950" s="6" t="str">
        <x:f>IF(B3950="","Needs decision","Ready")</x:f>
        <x:v>Ready</x:v>
      </x:c>
      <x:c r="D3950" s="6" t="str">
        <x:v>去</x:v>
      </x:c>
      <x:c r="E3950" s="6" t="str">
        <x:v>phjuH (C)</x:v>
      </x:c>
      <x:c r="F3950" s="6" t="str">
        <x:v>1</x:v>
      </x:c>
      <x:c r="G3950" s="6" t="str"/>
      <x:c r="H3950" s="6" t="str">
        <x:f>IF(B3950="平","平",IF(B3950="","","仄"))</x:f>
        <x:v>仄</x:v>
      </x:c>
      <x:c r="I3950" s="6" t="str">
        <x:f>IF(D3934="","",IF(AND(ISNUMBER(SEARCH("平",D3934)),OR(ISNUMBER(SEARCH("上",D3934)),ISNUMBER(SEARCH("去",D3934)),ISNUMBER(SEARCH("入",D3934)))),"Ambiguous",IF(ISNUMBER(SEARCH("平",D3934)),"平","仄")))</x:f>
        <x:v>仄</x:v>
      </x:c>
      <x:c r="J3950" s="7" t="str"/>
    </x:row>
    <x:row r="3951">
      <x:c r="A3951" s="5" t="str">
        <x:v>起</x:v>
      </x:c>
      <x:c r="B3951" s="6" t="str">
        <x:v>上</x:v>
      </x:c>
      <x:c r="C3951" s="6" t="str">
        <x:f>IF(B3951="","Needs decision","Ready")</x:f>
        <x:v>Ready</x:v>
      </x:c>
      <x:c r="D3951" s="6" t="str">
        <x:v>上</x:v>
      </x:c>
      <x:c r="E3951" s="6" t="str">
        <x:v>khiX (B)</x:v>
      </x:c>
      <x:c r="F3951" s="6" t="str">
        <x:v>1</x:v>
      </x:c>
      <x:c r="G3951" s="6" t="str"/>
      <x:c r="H3951" s="6" t="str">
        <x:f>IF(B3951="平","平",IF(B3951="","","仄"))</x:f>
        <x:v>仄</x:v>
      </x:c>
      <x:c r="I3951" s="6" t="str">
        <x:f>IF(D3935="","",IF(AND(ISNUMBER(SEARCH("平",D3935)),OR(ISNUMBER(SEARCH("上",D3935)),ISNUMBER(SEARCH("去",D3935)),ISNUMBER(SEARCH("入",D3935)))),"Ambiguous",IF(ISNUMBER(SEARCH("平",D3935)),"平","仄")))</x:f>
        <x:v>仄</x:v>
      </x:c>
      <x:c r="J3951" s="7" t="str"/>
    </x:row>
    <x:row r="3952">
      <x:c r="A3952" s="5" t="str">
        <x:v>趁</x:v>
      </x:c>
      <x:c r="B3952" s="6" t="str"/>
      <x:c r="C3952" s="6" t="str">
        <x:f>IF(B3952="","Needs decision","Ready")</x:f>
        <x:v>Needs decision</x:v>
      </x:c>
      <x:c r="D3952" s="6" t="str">
        <x:v>平/上/去</x:v>
      </x:c>
      <x:c r="E3952" s="6" t="str">
        <x:v>drin [ɖin] (平); nrjenX [ɳjenʔ] (上); trhinH [ʈʰinh] (去)</x:v>
      </x:c>
      <x:c r="F3952" s="6" t="str">
        <x:v>3</x:v>
      </x:c>
      <x:c r="G3952" s="6" t="str">
        <x:v>Tang 300 gap; frequency 1; ambiguous in Xun Gong</x:v>
      </x:c>
      <x:c r="H3952" s="6" t="str">
        <x:f>IF(B3952="平","平",IF(B3952="","","仄"))</x:f>
      </x:c>
      <x:c r="I3952" s="6" t="str">
        <x:f>IF(D3936="","",IF(AND(ISNUMBER(SEARCH("平",D3936)),OR(ISNUMBER(SEARCH("上",D3936)),ISNUMBER(SEARCH("去",D3936)),ISNUMBER(SEARCH("入",D3936)))),"Ambiguous",IF(ISNUMBER(SEARCH("平",D3936)),"平","仄")))</x:f>
        <x:v>仄</x:v>
      </x:c>
      <x:c r="J3952" s="7" t="str">
        <x:v>Xun Gong, Tang 300 gap fill</x:v>
      </x:c>
    </x:row>
    <x:row r="3953">
      <x:c r="A3953" s="5" t="str">
        <x:v>超</x:v>
      </x:c>
      <x:c r="B3953" s="6" t="str">
        <x:v>平</x:v>
      </x:c>
      <x:c r="C3953" s="6" t="str">
        <x:f>IF(B3953="","Needs decision","Ready")</x:f>
        <x:v>Ready</x:v>
      </x:c>
      <x:c r="D3953" s="6" t="str">
        <x:v>平</x:v>
      </x:c>
      <x:c r="E3953" s="6" t="str">
        <x:v>trhjew (A)</x:v>
      </x:c>
      <x:c r="F3953" s="6" t="str">
        <x:v>1</x:v>
      </x:c>
      <x:c r="G3953" s="6" t="str"/>
      <x:c r="H3953" s="6" t="str">
        <x:f>IF(B3953="平","平",IF(B3953="","","仄"))</x:f>
        <x:v>平</x:v>
      </x:c>
      <x:c r="I3953" s="6" t="str">
        <x:f>IF(D3937="","",IF(AND(ISNUMBER(SEARCH("平",D3937)),OR(ISNUMBER(SEARCH("上",D3937)),ISNUMBER(SEARCH("去",D3937)),ISNUMBER(SEARCH("入",D3937)))),"Ambiguous",IF(ISNUMBER(SEARCH("平",D3937)),"平","仄")))</x:f>
        <x:v>仄</x:v>
      </x:c>
      <x:c r="J3953" s="7" t="str"/>
    </x:row>
    <x:row r="3954">
      <x:c r="A3954" s="5" t="str">
        <x:v>越</x:v>
      </x:c>
      <x:c r="B3954" s="6" t="str">
        <x:v>入</x:v>
      </x:c>
      <x:c r="C3954" s="6" t="str">
        <x:f>IF(B3954="","Needs decision","Ready")</x:f>
        <x:v>Ready</x:v>
      </x:c>
      <x:c r="D3954" s="6" t="str">
        <x:v>入</x:v>
      </x:c>
      <x:c r="E3954" s="6" t="str">
        <x:v>hjwot (D)</x:v>
      </x:c>
      <x:c r="F3954" s="6" t="str">
        <x:v>1</x:v>
      </x:c>
      <x:c r="G3954" s="6" t="str"/>
      <x:c r="H3954" s="6" t="str">
        <x:f>IF(B3954="平","平",IF(B3954="","","仄"))</x:f>
        <x:v>仄</x:v>
      </x:c>
      <x:c r="I3954" s="6" t="str">
        <x:f>IF(D3938="","",IF(AND(ISNUMBER(SEARCH("平",D3938)),OR(ISNUMBER(SEARCH("上",D3938)),ISNUMBER(SEARCH("去",D3938)),ISNUMBER(SEARCH("入",D3938)))),"Ambiguous",IF(ISNUMBER(SEARCH("平",D3938)),"平","仄")))</x:f>
        <x:v>仄</x:v>
      </x:c>
      <x:c r="J3954" s="7" t="str"/>
    </x:row>
    <x:row r="3955">
      <x:c r="A3955" s="5" t="str">
        <x:v>趙</x:v>
      </x:c>
      <x:c r="B3955" s="6" t="str">
        <x:v>上</x:v>
      </x:c>
      <x:c r="C3955" s="6" t="str">
        <x:f>IF(B3955="","Needs decision","Ready")</x:f>
        <x:v>Ready</x:v>
      </x:c>
      <x:c r="D3955" s="6" t="str">
        <x:v>上</x:v>
      </x:c>
      <x:c r="E3955" s="6" t="str">
        <x:v>drjewX (B)</x:v>
      </x:c>
      <x:c r="F3955" s="6" t="str">
        <x:v>1</x:v>
      </x:c>
      <x:c r="G3955" s="6" t="str"/>
      <x:c r="H3955" s="6" t="str">
        <x:f>IF(B3955="平","平",IF(B3955="","","仄"))</x:f>
        <x:v>仄</x:v>
      </x:c>
      <x:c r="I3955" s="6" t="str">
        <x:f>IF(D3939="","",IF(AND(ISNUMBER(SEARCH("平",D3939)),OR(ISNUMBER(SEARCH("上",D3939)),ISNUMBER(SEARCH("去",D3939)),ISNUMBER(SEARCH("入",D3939)))),"Ambiguous",IF(ISNUMBER(SEARCH("平",D3939)),"平","仄")))</x:f>
        <x:v>仄</x:v>
      </x:c>
      <x:c r="J3955" s="7" t="str"/>
    </x:row>
    <x:row r="3956">
      <x:c r="A3956" s="5" t="str">
        <x:v>趣</x:v>
      </x:c>
      <x:c r="B3956" s="6" t="str"/>
      <x:c r="C3956" s="6" t="str">
        <x:f>IF(B3956="","Needs decision","Ready")</x:f>
        <x:v>Needs decision</x:v>
      </x:c>
      <x:c r="D3956" s="6" t="str">
        <x:v>入/去</x:v>
      </x:c>
      <x:c r="E3956" s="6" t="str">
        <x:v>tshjowk (D); tshjuH (C)</x:v>
      </x:c>
      <x:c r="F3956" s="6" t="str">
        <x:v>2</x:v>
      </x:c>
      <x:c r="G3956" s="6" t="str"/>
      <x:c r="H3956" s="6" t="str">
        <x:f>IF(B3956="平","平",IF(B3956="","","仄"))</x:f>
      </x:c>
      <x:c r="I3956" s="6" t="str">
        <x:f>IF(D3940="","",IF(AND(ISNUMBER(SEARCH("平",D3940)),OR(ISNUMBER(SEARCH("上",D3940)),ISNUMBER(SEARCH("去",D3940)),ISNUMBER(SEARCH("入",D3940)))),"Ambiguous",IF(ISNUMBER(SEARCH("平",D3940)),"平","仄")))</x:f>
        <x:v>平</x:v>
      </x:c>
      <x:c r="J3956" s="7" t="str"/>
    </x:row>
    <x:row r="3957">
      <x:c r="A3957" s="5" t="str">
        <x:v>趨</x:v>
      </x:c>
      <x:c r="B3957" s="6" t="str">
        <x:v>平</x:v>
      </x:c>
      <x:c r="C3957" s="6" t="str">
        <x:f>IF(B3957="","Needs decision","Ready")</x:f>
        <x:v>Ready</x:v>
      </x:c>
      <x:c r="D3957" s="6" t="str">
        <x:v>平</x:v>
      </x:c>
      <x:c r="E3957" s="6" t="str">
        <x:v>tsrhju (A)</x:v>
      </x:c>
      <x:c r="F3957" s="6" t="str">
        <x:v>1</x:v>
      </x:c>
      <x:c r="G3957" s="6" t="str"/>
      <x:c r="H3957" s="6" t="str">
        <x:f>IF(B3957="平","平",IF(B3957="","","仄"))</x:f>
        <x:v>平</x:v>
      </x:c>
      <x:c r="I3957" s="6" t="str">
        <x:f>IF(D3941="","",IF(AND(ISNUMBER(SEARCH("平",D3941)),OR(ISNUMBER(SEARCH("上",D3941)),ISNUMBER(SEARCH("去",D3941)),ISNUMBER(SEARCH("入",D3941)))),"Ambiguous",IF(ISNUMBER(SEARCH("平",D3941)),"平","仄")))</x:f>
        <x:v>平</x:v>
      </x:c>
      <x:c r="J3957" s="7" t="str"/>
    </x:row>
    <x:row r="3958">
      <x:c r="A3958" s="5" t="str">
        <x:v>足</x:v>
      </x:c>
      <x:c r="B3958" s="6" t="str"/>
      <x:c r="C3958" s="6" t="str">
        <x:f>IF(B3958="","Needs decision","Ready")</x:f>
        <x:v>Needs decision</x:v>
      </x:c>
      <x:c r="D3958" s="6" t="str">
        <x:v>去/入</x:v>
      </x:c>
      <x:c r="E3958" s="6" t="str">
        <x:v>tsjuH (C); tsjowk (D)</x:v>
      </x:c>
      <x:c r="F3958" s="6" t="str">
        <x:v>2</x:v>
      </x:c>
      <x:c r="G3958" s="6" t="str"/>
      <x:c r="H3958" s="6" t="str">
        <x:f>IF(B3958="平","平",IF(B3958="","","仄"))</x:f>
      </x:c>
      <x:c r="I3958" s="6" t="str">
        <x:f>IF(D3942="","",IF(AND(ISNUMBER(SEARCH("平",D3942)),OR(ISNUMBER(SEARCH("上",D3942)),ISNUMBER(SEARCH("去",D3942)),ISNUMBER(SEARCH("入",D3942)))),"Ambiguous",IF(ISNUMBER(SEARCH("平",D3942)),"平","仄")))</x:f>
        <x:v>仄</x:v>
      </x:c>
      <x:c r="J3958" s="7" t="str"/>
    </x:row>
    <x:row r="3959">
      <x:c r="A3959" s="5" t="str">
        <x:v>趾</x:v>
      </x:c>
      <x:c r="B3959" s="6" t="str">
        <x:v>上</x:v>
      </x:c>
      <x:c r="C3959" s="6" t="str">
        <x:f>IF(B3959="","Needs decision","Ready")</x:f>
        <x:v>Ready</x:v>
      </x:c>
      <x:c r="D3959" s="6" t="str">
        <x:v>上</x:v>
      </x:c>
      <x:c r="E3959" s="6" t="str">
        <x:v>tsyiX (B)</x:v>
      </x:c>
      <x:c r="F3959" s="6" t="str">
        <x:v>1</x:v>
      </x:c>
      <x:c r="G3959" s="6" t="str"/>
      <x:c r="H3959" s="6" t="str">
        <x:f>IF(B3959="平","平",IF(B3959="","","仄"))</x:f>
        <x:v>仄</x:v>
      </x:c>
      <x:c r="I3959" s="6" t="str">
        <x:f>IF(D3943="","",IF(AND(ISNUMBER(SEARCH("平",D3943)),OR(ISNUMBER(SEARCH("上",D3943)),ISNUMBER(SEARCH("去",D3943)),ISNUMBER(SEARCH("入",D3943)))),"Ambiguous",IF(ISNUMBER(SEARCH("平",D3943)),"平","仄")))</x:f>
        <x:v>仄</x:v>
      </x:c>
      <x:c r="J3959" s="7" t="str"/>
    </x:row>
    <x:row r="3960">
      <x:c r="A3960" s="5" t="str">
        <x:v>跌</x:v>
      </x:c>
      <x:c r="B3960" s="6" t="str">
        <x:v>入</x:v>
      </x:c>
      <x:c r="C3960" s="6" t="str">
        <x:f>IF(B3960="","Needs decision","Ready")</x:f>
        <x:v>Ready</x:v>
      </x:c>
      <x:c r="D3960" s="6" t="str">
        <x:v>入</x:v>
      </x:c>
      <x:c r="E3960" s="6" t="str">
        <x:v>det (D)</x:v>
      </x:c>
      <x:c r="F3960" s="6" t="str">
        <x:v>1</x:v>
      </x:c>
      <x:c r="G3960" s="6" t="str"/>
      <x:c r="H3960" s="6" t="str">
        <x:f>IF(B3960="平","平",IF(B3960="","","仄"))</x:f>
        <x:v>仄</x:v>
      </x:c>
      <x:c r="I3960" s="6" t="str">
        <x:f>IF(D3944="","",IF(AND(ISNUMBER(SEARCH("平",D3944)),OR(ISNUMBER(SEARCH("上",D3944)),ISNUMBER(SEARCH("去",D3944)),ISNUMBER(SEARCH("入",D3944)))),"Ambiguous",IF(ISNUMBER(SEARCH("平",D3944)),"平","仄")))</x:f>
        <x:v>仄</x:v>
      </x:c>
      <x:c r="J3960" s="7" t="str"/>
    </x:row>
    <x:row r="3961">
      <x:c r="A3961" s="5" t="str">
        <x:v>跎</x:v>
      </x:c>
      <x:c r="B3961" s="6" t="str">
        <x:v>平</x:v>
      </x:c>
      <x:c r="C3961" s="6" t="str">
        <x:f>IF(B3961="","Needs decision","Ready")</x:f>
        <x:v>Ready</x:v>
      </x:c>
      <x:c r="D3961" s="6" t="str">
        <x:v>平</x:v>
      </x:c>
      <x:c r="E3961" s="6" t="str">
        <x:v>da [d̙ɑ] (平)</x:v>
      </x:c>
      <x:c r="F3961" s="6" t="str">
        <x:v>1</x:v>
      </x:c>
      <x:c r="G3961" s="6" t="str">
        <x:v>Tang 300 gap; frequency 3; provisional from Xun Gong</x:v>
      </x:c>
      <x:c r="H3961" s="6" t="str">
        <x:f>IF(B3961="平","平",IF(B3961="","","仄"))</x:f>
        <x:v>平</x:v>
      </x:c>
      <x:c r="I3961" s="6" t="str">
        <x:f>IF(D3945="","",IF(AND(ISNUMBER(SEARCH("平",D3945)),OR(ISNUMBER(SEARCH("上",D3945)),ISNUMBER(SEARCH("去",D3945)),ISNUMBER(SEARCH("入",D3945)))),"Ambiguous",IF(ISNUMBER(SEARCH("平",D3945)),"平","仄")))</x:f>
        <x:v>仄</x:v>
      </x:c>
      <x:c r="J3961" s="7" t="str">
        <x:v>Xun Gong, Tang 300 gap fill</x:v>
      </x:c>
    </x:row>
    <x:row r="3962">
      <x:c r="A3962" s="5" t="str">
        <x:v>跛</x:v>
      </x:c>
      <x:c r="B3962" s="6" t="str">
        <x:v>上</x:v>
      </x:c>
      <x:c r="C3962" s="6" t="str">
        <x:f>IF(B3962="","Needs decision","Ready")</x:f>
        <x:v>Ready</x:v>
      </x:c>
      <x:c r="D3962" s="6" t="str">
        <x:v>上</x:v>
      </x:c>
      <x:c r="E3962" s="6" t="str">
        <x:v>paX (B)</x:v>
      </x:c>
      <x:c r="F3962" s="6" t="str">
        <x:v>1</x:v>
      </x:c>
      <x:c r="G3962" s="6" t="str"/>
      <x:c r="H3962" s="6" t="str">
        <x:f>IF(B3962="平","平",IF(B3962="","","仄"))</x:f>
        <x:v>仄</x:v>
      </x:c>
      <x:c r="I3962" s="6" t="str">
        <x:f>IF(D3946="","",IF(AND(ISNUMBER(SEARCH("平",D3946)),OR(ISNUMBER(SEARCH("上",D3946)),ISNUMBER(SEARCH("去",D3946)),ISNUMBER(SEARCH("入",D3946)))),"Ambiguous",IF(ISNUMBER(SEARCH("平",D3946)),"平","仄")))</x:f>
        <x:v>仄</x:v>
      </x:c>
      <x:c r="J3962" s="7" t="str"/>
    </x:row>
    <x:row r="3963">
      <x:c r="A3963" s="5" t="str">
        <x:v>距</x:v>
      </x:c>
      <x:c r="B3963" s="6" t="str">
        <x:v>上</x:v>
      </x:c>
      <x:c r="C3963" s="6" t="str">
        <x:f>IF(B3963="","Needs decision","Ready")</x:f>
        <x:v>Ready</x:v>
      </x:c>
      <x:c r="D3963" s="6" t="str">
        <x:v>上</x:v>
      </x:c>
      <x:c r="E3963" s="6" t="str"/>
      <x:c r="F3963" s="6" t="str"/>
      <x:c r="G3963" s="6" t="str">
        <x:v>Manual user correction/addition</x:v>
      </x:c>
      <x:c r="H3963" s="6" t="str">
        <x:f>IF(B3963="平","平",IF(B3963="","","仄"))</x:f>
        <x:v>仄</x:v>
      </x:c>
      <x:c r="I3963" s="6" t="str">
        <x:f>IF(D3947="","",IF(AND(ISNUMBER(SEARCH("平",D3947)),OR(ISNUMBER(SEARCH("上",D3947)),ISNUMBER(SEARCH("去",D3947)),ISNUMBER(SEARCH("入",D3947)))),"Ambiguous",IF(ISNUMBER(SEARCH("平",D3947)),"平","仄")))</x:f>
        <x:v>平</x:v>
      </x:c>
      <x:c r="J3963" s="7" t="str">
        <x:v>manual user correction</x:v>
      </x:c>
    </x:row>
    <x:row r="3964">
      <x:c r="A3964" s="5" t="str">
        <x:v>跡</x:v>
      </x:c>
      <x:c r="B3964" s="6" t="str">
        <x:v>入</x:v>
      </x:c>
      <x:c r="C3964" s="6" t="str">
        <x:f>IF(B3964="","Needs decision","Ready")</x:f>
        <x:v>Ready</x:v>
      </x:c>
      <x:c r="D3964" s="6" t="str">
        <x:v>入</x:v>
      </x:c>
      <x:c r="E3964" s="6" t="str">
        <x:v>tsjek (D)</x:v>
      </x:c>
      <x:c r="F3964" s="6" t="str">
        <x:v>1</x:v>
      </x:c>
      <x:c r="G3964" s="6" t="str"/>
      <x:c r="H3964" s="6" t="str">
        <x:f>IF(B3964="平","平",IF(B3964="","","仄"))</x:f>
        <x:v>仄</x:v>
      </x:c>
      <x:c r="I3964" s="6" t="str">
        <x:f>IF(D3948="","",IF(AND(ISNUMBER(SEARCH("平",D3948)),OR(ISNUMBER(SEARCH("上",D3948)),ISNUMBER(SEARCH("去",D3948)),ISNUMBER(SEARCH("入",D3948)))),"Ambiguous",IF(ISNUMBER(SEARCH("平",D3948)),"平","仄")))</x:f>
        <x:v>仄</x:v>
      </x:c>
      <x:c r="J3964" s="7" t="str"/>
    </x:row>
    <x:row r="3965">
      <x:c r="A3965" s="5" t="str">
        <x:v>跨</x:v>
      </x:c>
      <x:c r="B3965" s="6" t="str"/>
      <x:c r="C3965" s="6" t="str">
        <x:f>IF(B3965="","Needs decision","Ready")</x:f>
        <x:v>Needs decision</x:v>
      </x:c>
      <x:c r="D3965" s="6" t="str">
        <x:v>平/上/去</x:v>
      </x:c>
      <x:c r="E3965" s="6" t="str">
        <x:v>khuH [qʰoh] (去); khwae [qʰwaˤ] (平); khwaeH [qʰwaˤh] (去); khwaeX [qʰwaˤʔ] (上)</x:v>
      </x:c>
      <x:c r="F3965" s="6" t="str">
        <x:v>4</x:v>
      </x:c>
      <x:c r="G3965" s="6" t="str">
        <x:v>Tang 300 gap; frequency 1; ambiguous in Xun Gong</x:v>
      </x:c>
      <x:c r="H3965" s="6" t="str">
        <x:f>IF(B3965="平","平",IF(B3965="","","仄"))</x:f>
      </x:c>
      <x:c r="I3965" s="6" t="str">
        <x:f>IF(D3949="","",IF(AND(ISNUMBER(SEARCH("平",D3949)),OR(ISNUMBER(SEARCH("上",D3949)),ISNUMBER(SEARCH("去",D3949)),ISNUMBER(SEARCH("入",D3949)))),"Ambiguous",IF(ISNUMBER(SEARCH("平",D3949)),"平","仄")))</x:f>
        <x:v>仄</x:v>
      </x:c>
      <x:c r="J3965" s="7" t="str">
        <x:v>Xun Gong, Tang 300 gap fill</x:v>
      </x:c>
    </x:row>
    <x:row r="3966">
      <x:c r="A3966" s="5" t="str">
        <x:v>跪</x:v>
      </x:c>
      <x:c r="B3966" s="6" t="str">
        <x:v>上</x:v>
      </x:c>
      <x:c r="C3966" s="6" t="str">
        <x:f>IF(B3966="","Needs decision","Ready")</x:f>
        <x:v>Ready</x:v>
      </x:c>
      <x:c r="D3966" s="6" t="str">
        <x:v>上</x:v>
      </x:c>
      <x:c r="E3966" s="6" t="str">
        <x:v>gjweX (B)</x:v>
      </x:c>
      <x:c r="F3966" s="6" t="str">
        <x:v>1</x:v>
      </x:c>
      <x:c r="G3966" s="6" t="str"/>
      <x:c r="H3966" s="6" t="str">
        <x:f>IF(B3966="平","平",IF(B3966="","","仄"))</x:f>
        <x:v>仄</x:v>
      </x:c>
      <x:c r="I3966" s="6" t="str">
        <x:f>IF(D3950="","",IF(AND(ISNUMBER(SEARCH("平",D3950)),OR(ISNUMBER(SEARCH("上",D3950)),ISNUMBER(SEARCH("去",D3950)),ISNUMBER(SEARCH("入",D3950)))),"Ambiguous",IF(ISNUMBER(SEARCH("平",D3950)),"平","仄")))</x:f>
        <x:v>仄</x:v>
      </x:c>
      <x:c r="J3966" s="7" t="str"/>
    </x:row>
    <x:row r="3967">
      <x:c r="A3967" s="5" t="str">
        <x:v>路</x:v>
      </x:c>
      <x:c r="B3967" s="6" t="str">
        <x:v>去</x:v>
      </x:c>
      <x:c r="C3967" s="6" t="str">
        <x:f>IF(B3967="","Needs decision","Ready")</x:f>
        <x:v>Ready</x:v>
      </x:c>
      <x:c r="D3967" s="6" t="str">
        <x:v>去</x:v>
      </x:c>
      <x:c r="E3967" s="6" t="str">
        <x:v>luH (C)</x:v>
      </x:c>
      <x:c r="F3967" s="6" t="str">
        <x:v>1</x:v>
      </x:c>
      <x:c r="G3967" s="6" t="str"/>
      <x:c r="H3967" s="6" t="str">
        <x:f>IF(B3967="平","平",IF(B3967="","","仄"))</x:f>
        <x:v>仄</x:v>
      </x:c>
      <x:c r="I3967" s="6" t="str">
        <x:f>IF(D3951="","",IF(AND(ISNUMBER(SEARCH("平",D3951)),OR(ISNUMBER(SEARCH("上",D3951)),ISNUMBER(SEARCH("去",D3951)),ISNUMBER(SEARCH("入",D3951)))),"Ambiguous",IF(ISNUMBER(SEARCH("平",D3951)),"平","仄")))</x:f>
        <x:v>仄</x:v>
      </x:c>
      <x:c r="J3967" s="7" t="str"/>
    </x:row>
    <x:row r="3968">
      <x:c r="A3968" s="5" t="str">
        <x:v>跲</x:v>
      </x:c>
      <x:c r="B3968" s="6" t="str">
        <x:v>入</x:v>
      </x:c>
      <x:c r="C3968" s="6" t="str">
        <x:f>IF(B3968="","Needs decision","Ready")</x:f>
        <x:v>Ready</x:v>
      </x:c>
      <x:c r="D3968" s="6" t="str">
        <x:v>入</x:v>
      </x:c>
      <x:c r="E3968" s="6" t="str">
        <x:v>kjaep (D)</x:v>
      </x:c>
      <x:c r="F3968" s="6" t="str">
        <x:v>1</x:v>
      </x:c>
      <x:c r="G3968" s="6" t="str"/>
      <x:c r="H3968" s="6" t="str">
        <x:f>IF(B3968="平","平",IF(B3968="","","仄"))</x:f>
        <x:v>仄</x:v>
      </x:c>
      <x:c r="I3968" s="6" t="str">
        <x:f>IF(D3952="","",IF(AND(ISNUMBER(SEARCH("平",D3952)),OR(ISNUMBER(SEARCH("上",D3952)),ISNUMBER(SEARCH("去",D3952)),ISNUMBER(SEARCH("入",D3952)))),"Ambiguous",IF(ISNUMBER(SEARCH("平",D3952)),"平","仄")))</x:f>
        <x:v>Ambiguous</x:v>
      </x:c>
      <x:c r="J3968" s="7" t="str"/>
    </x:row>
    <x:row r="3969">
      <x:c r="A3969" s="5" t="str">
        <x:v>跳</x:v>
      </x:c>
      <x:c r="B3969" s="6" t="str">
        <x:v>平</x:v>
      </x:c>
      <x:c r="C3969" s="6" t="str">
        <x:f>IF(B3969="","Needs decision","Ready")</x:f>
        <x:v>Ready</x:v>
      </x:c>
      <x:c r="D3969" s="6" t="str">
        <x:v>平</x:v>
      </x:c>
      <x:c r="E3969" s="6" t="str">
        <x:v>dew (A)</x:v>
      </x:c>
      <x:c r="F3969" s="6" t="str">
        <x:v>1</x:v>
      </x:c>
      <x:c r="G3969" s="6" t="str"/>
      <x:c r="H3969" s="6" t="str">
        <x:f>IF(B3969="平","平",IF(B3969="","","仄"))</x:f>
        <x:v>平</x:v>
      </x:c>
      <x:c r="I3969" s="6" t="str">
        <x:f>IF(D3953="","",IF(AND(ISNUMBER(SEARCH("平",D3953)),OR(ISNUMBER(SEARCH("上",D3953)),ISNUMBER(SEARCH("去",D3953)),ISNUMBER(SEARCH("入",D3953)))),"Ambiguous",IF(ISNUMBER(SEARCH("平",D3953)),"平","仄")))</x:f>
        <x:v>平</x:v>
      </x:c>
      <x:c r="J3969" s="7" t="str"/>
    </x:row>
    <x:row r="3970">
      <x:c r="A3970" s="5" t="str">
        <x:v>跼</x:v>
      </x:c>
      <x:c r="B3970" s="6" t="str">
        <x:v>入</x:v>
      </x:c>
      <x:c r="C3970" s="6" t="str">
        <x:f>IF(B3970="","Needs decision","Ready")</x:f>
        <x:v>Ready</x:v>
      </x:c>
      <x:c r="D3970" s="6" t="str">
        <x:v>入</x:v>
      </x:c>
      <x:c r="E3970" s="6" t="str">
        <x:v>gjowk [ɡɨ̯ok] (入)</x:v>
      </x:c>
      <x:c r="F3970" s="6" t="str">
        <x:v>1</x:v>
      </x:c>
      <x:c r="G3970" s="6" t="str">
        <x:v>Tang 300 gap; frequency 1; provisional from Xun Gong</x:v>
      </x:c>
      <x:c r="H3970" s="6" t="str">
        <x:f>IF(B3970="平","平",IF(B3970="","","仄"))</x:f>
        <x:v>仄</x:v>
      </x:c>
      <x:c r="I3970" s="6" t="str">
        <x:f>IF(D3954="","",IF(AND(ISNUMBER(SEARCH("平",D3954)),OR(ISNUMBER(SEARCH("上",D3954)),ISNUMBER(SEARCH("去",D3954)),ISNUMBER(SEARCH("入",D3954)))),"Ambiguous",IF(ISNUMBER(SEARCH("平",D3954)),"平","仄")))</x:f>
        <x:v>仄</x:v>
      </x:c>
      <x:c r="J3970" s="7" t="str">
        <x:v>Xun Gong, Tang 300 gap fill</x:v>
      </x:c>
    </x:row>
    <x:row r="3971">
      <x:c r="A3971" s="5" t="str">
        <x:v>踂</x:v>
      </x:c>
      <x:c r="B3971" s="6" t="str">
        <x:v>入</x:v>
      </x:c>
      <x:c r="C3971" s="6" t="str">
        <x:f>IF(B3971="","Needs decision","Ready")</x:f>
        <x:v>Ready</x:v>
      </x:c>
      <x:c r="D3971" s="6" t="str">
        <x:v>入</x:v>
      </x:c>
      <x:c r="E3971" s="6" t="str">
        <x:v>nrjep (D)</x:v>
      </x:c>
      <x:c r="F3971" s="6" t="str">
        <x:v>1</x:v>
      </x:c>
      <x:c r="G3971" s="6" t="str"/>
      <x:c r="H3971" s="6" t="str">
        <x:f>IF(B3971="平","平",IF(B3971="","","仄"))</x:f>
        <x:v>仄</x:v>
      </x:c>
      <x:c r="I3971" s="6" t="str">
        <x:f>IF(D3955="","",IF(AND(ISNUMBER(SEARCH("平",D3955)),OR(ISNUMBER(SEARCH("上",D3955)),ISNUMBER(SEARCH("去",D3955)),ISNUMBER(SEARCH("入",D3955)))),"Ambiguous",IF(ISNUMBER(SEARCH("平",D3955)),"平","仄")))</x:f>
        <x:v>仄</x:v>
      </x:c>
      <x:c r="J3971" s="7" t="str"/>
    </x:row>
    <x:row r="3972">
      <x:c r="A3972" s="5" t="str">
        <x:v>踊</x:v>
      </x:c>
      <x:c r="B3972" s="6" t="str">
        <x:v>上</x:v>
      </x:c>
      <x:c r="C3972" s="6" t="str">
        <x:f>IF(B3972="","Needs decision","Ready")</x:f>
        <x:v>Ready</x:v>
      </x:c>
      <x:c r="D3972" s="6" t="str">
        <x:v>上</x:v>
      </x:c>
      <x:c r="E3972" s="6" t="str">
        <x:v>yowngX (B)</x:v>
      </x:c>
      <x:c r="F3972" s="6" t="str">
        <x:v>1</x:v>
      </x:c>
      <x:c r="G3972" s="6" t="str"/>
      <x:c r="H3972" s="6" t="str">
        <x:f>IF(B3972="平","平",IF(B3972="","","仄"))</x:f>
        <x:v>仄</x:v>
      </x:c>
      <x:c r="I3972" s="6" t="str">
        <x:f>IF(D3956="","",IF(AND(ISNUMBER(SEARCH("平",D3956)),OR(ISNUMBER(SEARCH("上",D3956)),ISNUMBER(SEARCH("去",D3956)),ISNUMBER(SEARCH("入",D3956)))),"Ambiguous",IF(ISNUMBER(SEARCH("平",D3956)),"平","仄")))</x:f>
        <x:v>仄</x:v>
      </x:c>
      <x:c r="J3972" s="7" t="str"/>
    </x:row>
    <x:row r="3973">
      <x:c r="A3973" s="5" t="str">
        <x:v>踏</x:v>
      </x:c>
      <x:c r="B3973" s="6" t="str">
        <x:v>入</x:v>
      </x:c>
      <x:c r="C3973" s="6" t="str">
        <x:f>IF(B3973="","Needs decision","Ready")</x:f>
        <x:v>Ready</x:v>
      </x:c>
      <x:c r="D3973" s="6" t="str">
        <x:v>入</x:v>
      </x:c>
      <x:c r="E3973" s="6" t="str">
        <x:v>thop [t̙ʰəp] (入)</x:v>
      </x:c>
      <x:c r="F3973" s="6" t="str">
        <x:v>1</x:v>
      </x:c>
      <x:c r="G3973" s="6" t="str">
        <x:v>Tang 300 gap; frequency 2; provisional from Xun Gong</x:v>
      </x:c>
      <x:c r="H3973" s="6" t="str">
        <x:f>IF(B3973="平","平",IF(B3973="","","仄"))</x:f>
        <x:v>仄</x:v>
      </x:c>
      <x:c r="I3973" s="6" t="str">
        <x:f>IF(D3957="","",IF(AND(ISNUMBER(SEARCH("平",D3957)),OR(ISNUMBER(SEARCH("上",D3957)),ISNUMBER(SEARCH("去",D3957)),ISNUMBER(SEARCH("入",D3957)))),"Ambiguous",IF(ISNUMBER(SEARCH("平",D3957)),"平","仄")))</x:f>
        <x:v>平</x:v>
      </x:c>
      <x:c r="J3973" s="7" t="str">
        <x:v>Xun Gong, Tang 300 gap fill</x:v>
      </x:c>
    </x:row>
    <x:row r="3974">
      <x:c r="A3974" s="5" t="str">
        <x:v>踐</x:v>
      </x:c>
      <x:c r="B3974" s="6" t="str">
        <x:v>上</x:v>
      </x:c>
      <x:c r="C3974" s="6" t="str">
        <x:f>IF(B3974="","Needs decision","Ready")</x:f>
        <x:v>Ready</x:v>
      </x:c>
      <x:c r="D3974" s="6" t="str">
        <x:v>上</x:v>
      </x:c>
      <x:c r="E3974" s="6" t="str">
        <x:v>dzjenX (B)</x:v>
      </x:c>
      <x:c r="F3974" s="6" t="str">
        <x:v>1</x:v>
      </x:c>
      <x:c r="G3974" s="6" t="str"/>
      <x:c r="H3974" s="6" t="str">
        <x:f>IF(B3974="平","平",IF(B3974="","","仄"))</x:f>
        <x:v>仄</x:v>
      </x:c>
      <x:c r="I3974" s="6" t="str">
        <x:f>IF(D3958="","",IF(AND(ISNUMBER(SEARCH("平",D3958)),OR(ISNUMBER(SEARCH("上",D3958)),ISNUMBER(SEARCH("去",D3958)),ISNUMBER(SEARCH("入",D3958)))),"Ambiguous",IF(ISNUMBER(SEARCH("平",D3958)),"平","仄")))</x:f>
        <x:v>仄</x:v>
      </x:c>
      <x:c r="J3974" s="7" t="str"/>
    </x:row>
    <x:row r="3975">
      <x:c r="A3975" s="5" t="str">
        <x:v>踝</x:v>
      </x:c>
      <x:c r="B3975" s="6" t="str">
        <x:v>上</x:v>
      </x:c>
      <x:c r="C3975" s="6" t="str">
        <x:f>IF(B3975="","Needs decision","Ready")</x:f>
        <x:v>Ready</x:v>
      </x:c>
      <x:c r="D3975" s="6" t="str">
        <x:v>上</x:v>
      </x:c>
      <x:c r="E3975" s="6" t="str">
        <x:v>hwaeX (B)</x:v>
      </x:c>
      <x:c r="F3975" s="6" t="str">
        <x:v>1</x:v>
      </x:c>
      <x:c r="G3975" s="6" t="str"/>
      <x:c r="H3975" s="6" t="str">
        <x:f>IF(B3975="平","平",IF(B3975="","","仄"))</x:f>
        <x:v>仄</x:v>
      </x:c>
      <x:c r="I3975" s="6" t="str">
        <x:f>IF(D3959="","",IF(AND(ISNUMBER(SEARCH("平",D3959)),OR(ISNUMBER(SEARCH("上",D3959)),ISNUMBER(SEARCH("去",D3959)),ISNUMBER(SEARCH("入",D3959)))),"Ambiguous",IF(ISNUMBER(SEARCH("平",D3959)),"平","仄")))</x:f>
        <x:v>仄</x:v>
      </x:c>
      <x:c r="J3975" s="7" t="str"/>
    </x:row>
    <x:row r="3976">
      <x:c r="A3976" s="5" t="str">
        <x:v>踟</x:v>
      </x:c>
      <x:c r="B3976" s="6" t="str">
        <x:v>平</x:v>
      </x:c>
      <x:c r="C3976" s="6" t="str">
        <x:f>IF(B3976="","Needs decision","Ready")</x:f>
        <x:v>Ready</x:v>
      </x:c>
      <x:c r="D3976" s="6" t="str">
        <x:v>平</x:v>
      </x:c>
      <x:c r="E3976" s="6" t="str">
        <x:v>drje (A)</x:v>
      </x:c>
      <x:c r="F3976" s="6" t="str">
        <x:v>1</x:v>
      </x:c>
      <x:c r="G3976" s="6" t="str"/>
      <x:c r="H3976" s="6" t="str">
        <x:f>IF(B3976="平","平",IF(B3976="","","仄"))</x:f>
        <x:v>平</x:v>
      </x:c>
      <x:c r="I3976" s="6" t="str">
        <x:f>IF(D3960="","",IF(AND(ISNUMBER(SEARCH("平",D3960)),OR(ISNUMBER(SEARCH("上",D3960)),ISNUMBER(SEARCH("去",D3960)),ISNUMBER(SEARCH("入",D3960)))),"Ambiguous",IF(ISNUMBER(SEARCH("平",D3960)),"平","仄")))</x:f>
        <x:v>仄</x:v>
      </x:c>
      <x:c r="J3976" s="7" t="str"/>
    </x:row>
    <x:row r="3977">
      <x:c r="A3977" s="5" t="str">
        <x:v>踦</x:v>
      </x:c>
      <x:c r="B3977" s="6" t="str">
        <x:v>上</x:v>
      </x:c>
      <x:c r="C3977" s="6" t="str">
        <x:f>IF(B3977="","Needs decision","Ready")</x:f>
        <x:v>Ready</x:v>
      </x:c>
      <x:c r="D3977" s="6" t="str">
        <x:v>上</x:v>
      </x:c>
      <x:c r="E3977" s="6" t="str">
        <x:v>gjeX (B)</x:v>
      </x:c>
      <x:c r="F3977" s="6" t="str">
        <x:v>1</x:v>
      </x:c>
      <x:c r="G3977" s="6" t="str"/>
      <x:c r="H3977" s="6" t="str">
        <x:f>IF(B3977="平","平",IF(B3977="","","仄"))</x:f>
        <x:v>仄</x:v>
      </x:c>
      <x:c r="I3977" s="6" t="str">
        <x:f>IF(D3961="","",IF(AND(ISNUMBER(SEARCH("平",D3961)),OR(ISNUMBER(SEARCH("上",D3961)),ISNUMBER(SEARCH("去",D3961)),ISNUMBER(SEARCH("入",D3961)))),"Ambiguous",IF(ISNUMBER(SEARCH("平",D3961)),"平","仄")))</x:f>
        <x:v>平</x:v>
      </x:c>
      <x:c r="J3977" s="7" t="str"/>
    </x:row>
    <x:row r="3978">
      <x:c r="A3978" s="5" t="str">
        <x:v>踰</x:v>
      </x:c>
      <x:c r="B3978" s="6" t="str">
        <x:v>平</x:v>
      </x:c>
      <x:c r="C3978" s="6" t="str">
        <x:f>IF(B3978="","Needs decision","Ready")</x:f>
        <x:v>Ready</x:v>
      </x:c>
      <x:c r="D3978" s="6" t="str">
        <x:v>平</x:v>
      </x:c>
      <x:c r="E3978" s="6" t="str">
        <x:v>yu (A)</x:v>
      </x:c>
      <x:c r="F3978" s="6" t="str">
        <x:v>1</x:v>
      </x:c>
      <x:c r="G3978" s="6" t="str"/>
      <x:c r="H3978" s="6" t="str">
        <x:f>IF(B3978="平","平",IF(B3978="","","仄"))</x:f>
        <x:v>平</x:v>
      </x:c>
      <x:c r="I3978" s="6" t="str">
        <x:f>IF(D3962="","",IF(AND(ISNUMBER(SEARCH("平",D3962)),OR(ISNUMBER(SEARCH("上",D3962)),ISNUMBER(SEARCH("去",D3962)),ISNUMBER(SEARCH("入",D3962)))),"Ambiguous",IF(ISNUMBER(SEARCH("平",D3962)),"平","仄")))</x:f>
        <x:v>仄</x:v>
      </x:c>
      <x:c r="J3978" s="7" t="str"/>
    </x:row>
    <x:row r="3979">
      <x:c r="A3979" s="5" t="str">
        <x:v>踵</x:v>
      </x:c>
      <x:c r="B3979" s="6" t="str">
        <x:v>上</x:v>
      </x:c>
      <x:c r="C3979" s="6" t="str">
        <x:f>IF(B3979="","Needs decision","Ready")</x:f>
        <x:v>Ready</x:v>
      </x:c>
      <x:c r="D3979" s="6" t="str">
        <x:v>上</x:v>
      </x:c>
      <x:c r="E3979" s="6" t="str">
        <x:v>tsyowngX [章三鍾上] tɕoŋʔ</x:v>
      </x:c>
      <x:c r="F3979" s="6" t="str">
        <x:v>1</x:v>
      </x:c>
      <x:c r="G3979" s="6" t="str">
        <x:v>Targeted preliminary fill from Xun Gong; review if uncertain</x:v>
      </x:c>
      <x:c r="H3979" s="6" t="str">
        <x:f>IF(B3979="平","平",IF(B3979="","","仄"))</x:f>
        <x:v>仄</x:v>
      </x:c>
      <x:c r="I3979" s="6" t="str">
        <x:f>IF(D3963="","",IF(AND(ISNUMBER(SEARCH("平",D3963)),OR(ISNUMBER(SEARCH("上",D3963)),ISNUMBER(SEARCH("去",D3963)),ISNUMBER(SEARCH("入",D3963)))),"Ambiguous",IF(ISNUMBER(SEARCH("平",D3963)),"平","仄")))</x:f>
        <x:v>仄</x:v>
      </x:c>
      <x:c r="J3979" s="7" t="str">
        <x:v>Xun Gong character-readings.csv</x:v>
      </x:c>
    </x:row>
    <x:row r="3980">
      <x:c r="A3980" s="5" t="str">
        <x:v>蹁</x:v>
      </x:c>
      <x:c r="B3980" s="6" t="str">
        <x:v>平</x:v>
      </x:c>
      <x:c r="C3980" s="6" t="str">
        <x:f>IF(B3980="","Needs decision","Ready")</x:f>
        <x:v>Ready</x:v>
      </x:c>
      <x:c r="D3980" s="6" t="str">
        <x:v>平</x:v>
      </x:c>
      <x:c r="E3980" s="6" t="str">
        <x:v>ben (A)</x:v>
      </x:c>
      <x:c r="F3980" s="6" t="str">
        <x:v>1</x:v>
      </x:c>
      <x:c r="G3980" s="6" t="str"/>
      <x:c r="H3980" s="6" t="str">
        <x:f>IF(B3980="平","平",IF(B3980="","","仄"))</x:f>
        <x:v>平</x:v>
      </x:c>
      <x:c r="I3980" s="6" t="str">
        <x:f>IF(D3964="","",IF(AND(ISNUMBER(SEARCH("平",D3964)),OR(ISNUMBER(SEARCH("上",D3964)),ISNUMBER(SEARCH("去",D3964)),ISNUMBER(SEARCH("入",D3964)))),"Ambiguous",IF(ISNUMBER(SEARCH("平",D3964)),"平","仄")))</x:f>
        <x:v>仄</x:v>
      </x:c>
      <x:c r="J3980" s="7" t="str"/>
    </x:row>
    <x:row r="3981">
      <x:c r="A3981" s="5" t="str">
        <x:v>蹄</x:v>
      </x:c>
      <x:c r="B3981" s="6" t="str">
        <x:v>平</x:v>
      </x:c>
      <x:c r="C3981" s="6" t="str">
        <x:f>IF(B3981="","Needs decision","Ready")</x:f>
        <x:v>Ready</x:v>
      </x:c>
      <x:c r="D3981" s="6" t="str">
        <x:v>平</x:v>
      </x:c>
      <x:c r="E3981" s="6" t="str">
        <x:v>dej [d̙ej] (平)</x:v>
      </x:c>
      <x:c r="F3981" s="6" t="str">
        <x:v>1</x:v>
      </x:c>
      <x:c r="G3981" s="6" t="str">
        <x:v>Tang 300 gap; frequency 3; provisional from Xun Gong</x:v>
      </x:c>
      <x:c r="H3981" s="6" t="str">
        <x:f>IF(B3981="平","平",IF(B3981="","","仄"))</x:f>
        <x:v>平</x:v>
      </x:c>
      <x:c r="I3981" s="6" t="str">
        <x:f>IF(D3965="","",IF(AND(ISNUMBER(SEARCH("平",D3965)),OR(ISNUMBER(SEARCH("上",D3965)),ISNUMBER(SEARCH("去",D3965)),ISNUMBER(SEARCH("入",D3965)))),"Ambiguous",IF(ISNUMBER(SEARCH("平",D3965)),"平","仄")))</x:f>
        <x:v>Ambiguous</x:v>
      </x:c>
      <x:c r="J3981" s="7" t="str">
        <x:v>Xun Gong, Tang 300 gap fill</x:v>
      </x:c>
    </x:row>
    <x:row r="3982">
      <x:c r="A3982" s="5" t="str">
        <x:v>蹈</x:v>
      </x:c>
      <x:c r="B3982" s="6" t="str">
        <x:v>去</x:v>
      </x:c>
      <x:c r="C3982" s="6" t="str">
        <x:f>IF(B3982="","Needs decision","Ready")</x:f>
        <x:v>Ready</x:v>
      </x:c>
      <x:c r="D3982" s="6" t="str">
        <x:v>去</x:v>
      </x:c>
      <x:c r="E3982" s="6" t="str">
        <x:v>dawH [d̙əwh] (去)</x:v>
      </x:c>
      <x:c r="F3982" s="6" t="str">
        <x:v>1</x:v>
      </x:c>
      <x:c r="G3982" s="6" t="str">
        <x:v>Tang 300 gap; frequency 1; provisional from Xun Gong</x:v>
      </x:c>
      <x:c r="H3982" s="6" t="str">
        <x:f>IF(B3982="平","平",IF(B3982="","","仄"))</x:f>
        <x:v>仄</x:v>
      </x:c>
      <x:c r="I3982" s="6" t="str">
        <x:f>IF(D3966="","",IF(AND(ISNUMBER(SEARCH("平",D3966)),OR(ISNUMBER(SEARCH("上",D3966)),ISNUMBER(SEARCH("去",D3966)),ISNUMBER(SEARCH("入",D3966)))),"Ambiguous",IF(ISNUMBER(SEARCH("平",D3966)),"平","仄")))</x:f>
        <x:v>仄</x:v>
      </x:c>
      <x:c r="J3982" s="7" t="str">
        <x:v>Xun Gong, Tang 300 gap fill</x:v>
      </x:c>
    </x:row>
    <x:row r="3983">
      <x:c r="A3983" s="5" t="str">
        <x:v>蹉</x:v>
      </x:c>
      <x:c r="B3983" s="6" t="str">
        <x:v>平</x:v>
      </x:c>
      <x:c r="C3983" s="6" t="str">
        <x:f>IF(B3983="","Needs decision","Ready")</x:f>
        <x:v>Ready</x:v>
      </x:c>
      <x:c r="D3983" s="6" t="str">
        <x:v>平</x:v>
      </x:c>
      <x:c r="E3983" s="6" t="str">
        <x:v>tsha [t̙s̙ʰɑ] (平)</x:v>
      </x:c>
      <x:c r="F3983" s="6" t="str">
        <x:v>1</x:v>
      </x:c>
      <x:c r="G3983" s="6" t="str">
        <x:v>Tang 300 gap; frequency 3; provisional from Xun Gong</x:v>
      </x:c>
      <x:c r="H3983" s="6" t="str">
        <x:f>IF(B3983="平","平",IF(B3983="","","仄"))</x:f>
        <x:v>平</x:v>
      </x:c>
      <x:c r="I3983" s="6" t="str">
        <x:f>IF(D3967="","",IF(AND(ISNUMBER(SEARCH("平",D3967)),OR(ISNUMBER(SEARCH("上",D3967)),ISNUMBER(SEARCH("去",D3967)),ISNUMBER(SEARCH("入",D3967)))),"Ambiguous",IF(ISNUMBER(SEARCH("平",D3967)),"平","仄")))</x:f>
        <x:v>仄</x:v>
      </x:c>
      <x:c r="J3983" s="7" t="str">
        <x:v>Xun Gong, Tang 300 gap fill</x:v>
      </x:c>
    </x:row>
    <x:row r="3984">
      <x:c r="A3984" s="5" t="str">
        <x:v>蹊</x:v>
      </x:c>
      <x:c r="B3984" s="6" t="str">
        <x:v>平</x:v>
      </x:c>
      <x:c r="C3984" s="6" t="str">
        <x:f>IF(B3984="","Needs decision","Ready")</x:f>
        <x:v>Ready</x:v>
      </x:c>
      <x:c r="D3984" s="6" t="str">
        <x:v>平</x:v>
      </x:c>
      <x:c r="E3984" s="6" t="str">
        <x:v>hej (A)</x:v>
      </x:c>
      <x:c r="F3984" s="6" t="str">
        <x:v>1</x:v>
      </x:c>
      <x:c r="G3984" s="6" t="str"/>
      <x:c r="H3984" s="6" t="str">
        <x:f>IF(B3984="平","平",IF(B3984="","","仄"))</x:f>
        <x:v>平</x:v>
      </x:c>
      <x:c r="I3984" s="6" t="str">
        <x:f>IF(D3968="","",IF(AND(ISNUMBER(SEARCH("平",D3968)),OR(ISNUMBER(SEARCH("上",D3968)),ISNUMBER(SEARCH("去",D3968)),ISNUMBER(SEARCH("入",D3968)))),"Ambiguous",IF(ISNUMBER(SEARCH("平",D3968)),"平","仄")))</x:f>
        <x:v>仄</x:v>
      </x:c>
      <x:c r="J3984" s="7" t="str"/>
    </x:row>
    <x:row r="3985">
      <x:c r="A3985" s="5" t="str">
        <x:v>蹋</x:v>
      </x:c>
      <x:c r="B3985" s="6" t="str">
        <x:v>入</x:v>
      </x:c>
      <x:c r="C3985" s="6" t="str">
        <x:f>IF(B3985="","Needs decision","Ready")</x:f>
        <x:v>Ready</x:v>
      </x:c>
      <x:c r="D3985" s="6" t="str">
        <x:v>入</x:v>
      </x:c>
      <x:c r="E3985" s="6" t="str">
        <x:v>dap (D)</x:v>
      </x:c>
      <x:c r="F3985" s="6" t="str">
        <x:v>1</x:v>
      </x:c>
      <x:c r="G3985" s="6" t="str"/>
      <x:c r="H3985" s="6" t="str">
        <x:f>IF(B3985="平","平",IF(B3985="","","仄"))</x:f>
        <x:v>仄</x:v>
      </x:c>
      <x:c r="I3985" s="6" t="str">
        <x:f>IF(D3969="","",IF(AND(ISNUMBER(SEARCH("平",D3969)),OR(ISNUMBER(SEARCH("上",D3969)),ISNUMBER(SEARCH("去",D3969)),ISNUMBER(SEARCH("入",D3969)))),"Ambiguous",IF(ISNUMBER(SEARCH("平",D3969)),"平","仄")))</x:f>
        <x:v>平</x:v>
      </x:c>
      <x:c r="J3985" s="7" t="str"/>
    </x:row>
    <x:row r="3986">
      <x:c r="A3986" s="5" t="str">
        <x:v>蹍</x:v>
      </x:c>
      <x:c r="B3986" s="6" t="str">
        <x:v>上</x:v>
      </x:c>
      <x:c r="C3986" s="6" t="str">
        <x:f>IF(B3986="","Needs decision","Ready")</x:f>
        <x:v>Ready</x:v>
      </x:c>
      <x:c r="D3986" s="6" t="str">
        <x:v>上</x:v>
      </x:c>
      <x:c r="E3986" s="6" t="str">
        <x:v>nrjenX (B)</x:v>
      </x:c>
      <x:c r="F3986" s="6" t="str">
        <x:v>1</x:v>
      </x:c>
      <x:c r="G3986" s="6" t="str"/>
      <x:c r="H3986" s="6" t="str">
        <x:f>IF(B3986="平","平",IF(B3986="","","仄"))</x:f>
        <x:v>仄</x:v>
      </x:c>
      <x:c r="I3986" s="6" t="str">
        <x:f>IF(D3970="","",IF(AND(ISNUMBER(SEARCH("平",D3970)),OR(ISNUMBER(SEARCH("上",D3970)),ISNUMBER(SEARCH("去",D3970)),ISNUMBER(SEARCH("入",D3970)))),"Ambiguous",IF(ISNUMBER(SEARCH("平",D3970)),"平","仄")))</x:f>
        <x:v>仄</x:v>
      </x:c>
      <x:c r="J3986" s="7" t="str"/>
    </x:row>
    <x:row r="3987">
      <x:c r="A3987" s="5" t="str">
        <x:v>蹕</x:v>
      </x:c>
      <x:c r="B3987" s="6" t="str">
        <x:v>入</x:v>
      </x:c>
      <x:c r="C3987" s="6" t="str">
        <x:f>IF(B3987="","Needs decision","Ready")</x:f>
        <x:v>Ready</x:v>
      </x:c>
      <x:c r="D3987" s="6" t="str">
        <x:v>入</x:v>
      </x:c>
      <x:c r="E3987" s="6" t="str">
        <x:v>pjit (D)</x:v>
      </x:c>
      <x:c r="F3987" s="6" t="str">
        <x:v>1</x:v>
      </x:c>
      <x:c r="G3987" s="6" t="str"/>
      <x:c r="H3987" s="6" t="str">
        <x:f>IF(B3987="平","平",IF(B3987="","","仄"))</x:f>
        <x:v>仄</x:v>
      </x:c>
      <x:c r="I3987" s="6" t="str">
        <x:f>IF(D3971="","",IF(AND(ISNUMBER(SEARCH("平",D3971)),OR(ISNUMBER(SEARCH("上",D3971)),ISNUMBER(SEARCH("去",D3971)),ISNUMBER(SEARCH("入",D3971)))),"Ambiguous",IF(ISNUMBER(SEARCH("平",D3971)),"平","仄")))</x:f>
        <x:v>仄</x:v>
      </x:c>
      <x:c r="J3987" s="7" t="str"/>
    </x:row>
    <x:row r="3988">
      <x:c r="A3988" s="5" t="str">
        <x:v>蹙</x:v>
      </x:c>
      <x:c r="B3988" s="6" t="str">
        <x:v>入</x:v>
      </x:c>
      <x:c r="C3988" s="6" t="str">
        <x:f>IF(B3988="","Needs decision","Ready")</x:f>
        <x:v>Ready</x:v>
      </x:c>
      <x:c r="D3988" s="6" t="str">
        <x:v>入</x:v>
      </x:c>
      <x:c r="E3988" s="6" t="str">
        <x:v>tsjuwk [tsjuk] (入)</x:v>
      </x:c>
      <x:c r="F3988" s="6" t="str">
        <x:v>1</x:v>
      </x:c>
      <x:c r="G3988" s="6" t="str">
        <x:v>Tang 300 gap; frequency 1; provisional from Xun Gong</x:v>
      </x:c>
      <x:c r="H3988" s="6" t="str">
        <x:f>IF(B3988="平","平",IF(B3988="","","仄"))</x:f>
        <x:v>仄</x:v>
      </x:c>
      <x:c r="I3988" s="6" t="str">
        <x:f>IF(D3972="","",IF(AND(ISNUMBER(SEARCH("平",D3972)),OR(ISNUMBER(SEARCH("上",D3972)),ISNUMBER(SEARCH("去",D3972)),ISNUMBER(SEARCH("入",D3972)))),"Ambiguous",IF(ISNUMBER(SEARCH("平",D3972)),"平","仄")))</x:f>
        <x:v>仄</x:v>
      </x:c>
      <x:c r="J3988" s="7" t="str">
        <x:v>Xun Gong, Tang 300 gap fill</x:v>
      </x:c>
    </x:row>
    <x:row r="3989">
      <x:c r="A3989" s="5" t="str">
        <x:v>蹟</x:v>
      </x:c>
      <x:c r="B3989" s="6" t="str">
        <x:v>入</x:v>
      </x:c>
      <x:c r="C3989" s="6" t="str">
        <x:f>IF(B3989="","Needs decision","Ready")</x:f>
        <x:v>Ready</x:v>
      </x:c>
      <x:c r="D3989" s="6" t="str">
        <x:v>入</x:v>
      </x:c>
      <x:c r="E3989" s="6" t="str">
        <x:v>tsjek (D)</x:v>
      </x:c>
      <x:c r="F3989" s="6" t="str">
        <x:v>1</x:v>
      </x:c>
      <x:c r="G3989" s="6" t="str"/>
      <x:c r="H3989" s="6" t="str">
        <x:f>IF(B3989="平","平",IF(B3989="","","仄"))</x:f>
        <x:v>仄</x:v>
      </x:c>
      <x:c r="I3989" s="6" t="str">
        <x:f>IF(D3973="","",IF(AND(ISNUMBER(SEARCH("平",D3973)),OR(ISNUMBER(SEARCH("上",D3973)),ISNUMBER(SEARCH("去",D3973)),ISNUMBER(SEARCH("入",D3973)))),"Ambiguous",IF(ISNUMBER(SEARCH("平",D3973)),"平","仄")))</x:f>
        <x:v>仄</x:v>
      </x:c>
      <x:c r="J3989" s="7" t="str"/>
    </x:row>
    <x:row r="3990">
      <x:c r="A3990" s="5" t="str">
        <x:v>蹠</x:v>
      </x:c>
      <x:c r="B3990" s="6" t="str">
        <x:v>入</x:v>
      </x:c>
      <x:c r="C3990" s="6" t="str">
        <x:f>IF(B3990="","Needs decision","Ready")</x:f>
        <x:v>Ready</x:v>
      </x:c>
      <x:c r="D3990" s="6" t="str">
        <x:v>入</x:v>
      </x:c>
      <x:c r="E3990" s="6" t="str"/>
      <x:c r="F3990" s="6" t="str"/>
      <x:c r="G3990" s="6" t="str">
        <x:v>Manual user correction/addition</x:v>
      </x:c>
      <x:c r="H3990" s="6" t="str">
        <x:f>IF(B3990="平","平",IF(B3990="","","仄"))</x:f>
        <x:v>仄</x:v>
      </x:c>
      <x:c r="I3990" s="6" t="str">
        <x:f>IF(D3974="","",IF(AND(ISNUMBER(SEARCH("平",D3974)),OR(ISNUMBER(SEARCH("上",D3974)),ISNUMBER(SEARCH("去",D3974)),ISNUMBER(SEARCH("入",D3974)))),"Ambiguous",IF(ISNUMBER(SEARCH("平",D3974)),"平","仄")))</x:f>
        <x:v>仄</x:v>
      </x:c>
      <x:c r="J3990" s="7" t="str">
        <x:v>manual user correction</x:v>
      </x:c>
    </x:row>
    <x:row r="3991">
      <x:c r="A3991" s="5" t="str">
        <x:v>蹢</x:v>
      </x:c>
      <x:c r="B3991" s="6" t="str">
        <x:v>入</x:v>
      </x:c>
      <x:c r="C3991" s="6" t="str">
        <x:f>IF(B3991="","Needs decision","Ready")</x:f>
        <x:v>Ready</x:v>
      </x:c>
      <x:c r="D3991" s="6" t="str">
        <x:v>入</x:v>
      </x:c>
      <x:c r="E3991" s="6" t="str">
        <x:v>tek (D)</x:v>
      </x:c>
      <x:c r="F3991" s="6" t="str">
        <x:v>1</x:v>
      </x:c>
      <x:c r="G3991" s="6" t="str"/>
      <x:c r="H3991" s="6" t="str">
        <x:f>IF(B3991="平","平",IF(B3991="","","仄"))</x:f>
        <x:v>仄</x:v>
      </x:c>
      <x:c r="I3991" s="6" t="str">
        <x:f>IF(D3975="","",IF(AND(ISNUMBER(SEARCH("平",D3975)),OR(ISNUMBER(SEARCH("上",D3975)),ISNUMBER(SEARCH("去",D3975)),ISNUMBER(SEARCH("入",D3975)))),"Ambiguous",IF(ISNUMBER(SEARCH("平",D3975)),"平","仄")))</x:f>
        <x:v>仄</x:v>
      </x:c>
      <x:c r="J3991" s="7" t="str"/>
    </x:row>
    <x:row r="3992">
      <x:c r="A3992" s="5" t="str">
        <x:v>蹤</x:v>
      </x:c>
      <x:c r="B3992" s="6" t="str">
        <x:v>平</x:v>
      </x:c>
      <x:c r="C3992" s="6" t="str">
        <x:f>IF(B3992="","Needs decision","Ready")</x:f>
        <x:v>Ready</x:v>
      </x:c>
      <x:c r="D3992" s="6" t="str">
        <x:v>平</x:v>
      </x:c>
      <x:c r="E3992" s="6" t="str">
        <x:v>tsjowng [tsjoŋ] (平)</x:v>
      </x:c>
      <x:c r="F3992" s="6" t="str">
        <x:v>1</x:v>
      </x:c>
      <x:c r="G3992" s="6" t="str">
        <x:v>Tang 300 gap; frequency 2; provisional from Xun Gong</x:v>
      </x:c>
      <x:c r="H3992" s="6" t="str">
        <x:f>IF(B3992="平","平",IF(B3992="","","仄"))</x:f>
        <x:v>平</x:v>
      </x:c>
      <x:c r="I3992" s="6" t="str">
        <x:f>IF(D3976="","",IF(AND(ISNUMBER(SEARCH("平",D3976)),OR(ISNUMBER(SEARCH("上",D3976)),ISNUMBER(SEARCH("去",D3976)),ISNUMBER(SEARCH("入",D3976)))),"Ambiguous",IF(ISNUMBER(SEARCH("平",D3976)),"平","仄")))</x:f>
        <x:v>平</x:v>
      </x:c>
      <x:c r="J3992" s="7" t="str">
        <x:v>Xun Gong, Tang 300 gap fill</x:v>
      </x:c>
    </x:row>
    <x:row r="3993">
      <x:c r="A3993" s="5" t="str">
        <x:v>蹮</x:v>
      </x:c>
      <x:c r="B3993" s="6" t="str">
        <x:v>平</x:v>
      </x:c>
      <x:c r="C3993" s="6" t="str">
        <x:f>IF(B3993="","Needs decision","Ready")</x:f>
        <x:v>Ready</x:v>
      </x:c>
      <x:c r="D3993" s="6" t="str">
        <x:v>平</x:v>
      </x:c>
      <x:c r="E3993" s="6" t="str">
        <x:v>sen (A)</x:v>
      </x:c>
      <x:c r="F3993" s="6" t="str">
        <x:v>1</x:v>
      </x:c>
      <x:c r="G3993" s="6" t="str"/>
      <x:c r="H3993" s="6" t="str">
        <x:f>IF(B3993="平","平",IF(B3993="","","仄"))</x:f>
        <x:v>平</x:v>
      </x:c>
      <x:c r="I3993" s="6" t="str">
        <x:f>IF(D3977="","",IF(AND(ISNUMBER(SEARCH("平",D3977)),OR(ISNUMBER(SEARCH("上",D3977)),ISNUMBER(SEARCH("去",D3977)),ISNUMBER(SEARCH("入",D3977)))),"Ambiguous",IF(ISNUMBER(SEARCH("平",D3977)),"平","仄")))</x:f>
        <x:v>仄</x:v>
      </x:c>
      <x:c r="J3993" s="7" t="str"/>
    </x:row>
    <x:row r="3994">
      <x:c r="A3994" s="5" t="str">
        <x:v>蹴</x:v>
      </x:c>
      <x:c r="B3994" s="6" t="str">
        <x:v>入</x:v>
      </x:c>
      <x:c r="C3994" s="6" t="str">
        <x:f>IF(B3994="","Needs decision","Ready")</x:f>
        <x:v>Ready</x:v>
      </x:c>
      <x:c r="D3994" s="6" t="str">
        <x:v>入</x:v>
      </x:c>
      <x:c r="E3994" s="6" t="str">
        <x:v>tshjuwk [tsʰjuk] (入); tsjuwk [tsjuk] (入)</x:v>
      </x:c>
      <x:c r="F3994" s="6" t="str">
        <x:v>2</x:v>
      </x:c>
      <x:c r="G3994" s="6" t="str">
        <x:v>Tang 300 gap; frequency 1; provisional from Xun Gong</x:v>
      </x:c>
      <x:c r="H3994" s="6" t="str">
        <x:f>IF(B3994="平","平",IF(B3994="","","仄"))</x:f>
        <x:v>仄</x:v>
      </x:c>
      <x:c r="I3994" s="6" t="str">
        <x:f>IF(D3978="","",IF(AND(ISNUMBER(SEARCH("平",D3978)),OR(ISNUMBER(SEARCH("上",D3978)),ISNUMBER(SEARCH("去",D3978)),ISNUMBER(SEARCH("入",D3978)))),"Ambiguous",IF(ISNUMBER(SEARCH("平",D3978)),"平","仄")))</x:f>
        <x:v>平</x:v>
      </x:c>
      <x:c r="J3994" s="7" t="str">
        <x:v>Xun Gong, Tang 300 gap fill</x:v>
      </x:c>
    </x:row>
    <x:row r="3995">
      <x:c r="A3995" s="5" t="str">
        <x:v>蹶</x:v>
      </x:c>
      <x:c r="B3995" s="6" t="str">
        <x:v>入</x:v>
      </x:c>
      <x:c r="C3995" s="6" t="str">
        <x:f>IF(B3995="","Needs decision","Ready")</x:f>
        <x:v>Ready</x:v>
      </x:c>
      <x:c r="D3995" s="6" t="str">
        <x:v>入</x:v>
      </x:c>
      <x:c r="E3995" s="6" t="str">
        <x:v>kjwot (D)</x:v>
      </x:c>
      <x:c r="F3995" s="6" t="str">
        <x:v>1</x:v>
      </x:c>
      <x:c r="G3995" s="6" t="str"/>
      <x:c r="H3995" s="6" t="str">
        <x:f>IF(B3995="平","平",IF(B3995="","","仄"))</x:f>
        <x:v>仄</x:v>
      </x:c>
      <x:c r="I3995" s="6" t="str">
        <x:f>IF(D3979="","",IF(AND(ISNUMBER(SEARCH("平",D3979)),OR(ISNUMBER(SEARCH("上",D3979)),ISNUMBER(SEARCH("去",D3979)),ISNUMBER(SEARCH("入",D3979)))),"Ambiguous",IF(ISNUMBER(SEARCH("平",D3979)),"平","仄")))</x:f>
        <x:v>仄</x:v>
      </x:c>
      <x:c r="J3995" s="7" t="str"/>
    </x:row>
    <x:row r="3996">
      <x:c r="A3996" s="5" t="str">
        <x:v>蹷</x:v>
      </x:c>
      <x:c r="B3996" s="6" t="str"/>
      <x:c r="C3996" s="6" t="str">
        <x:f>IF(B3996="","Needs decision","Ready")</x:f>
        <x:v>Needs decision</x:v>
      </x:c>
      <x:c r="D3996" s="6" t="str">
        <x:v>入/去</x:v>
      </x:c>
      <x:c r="E3996" s="6" t="str">
        <x:v>gjwot (D); kjwejH (C)</x:v>
      </x:c>
      <x:c r="F3996" s="6" t="str">
        <x:v>2</x:v>
      </x:c>
      <x:c r="G3996" s="6" t="str"/>
      <x:c r="H3996" s="6" t="str">
        <x:f>IF(B3996="平","平",IF(B3996="","","仄"))</x:f>
      </x:c>
      <x:c r="I3996" s="6" t="str">
        <x:f>IF(D3980="","",IF(AND(ISNUMBER(SEARCH("平",D3980)),OR(ISNUMBER(SEARCH("上",D3980)),ISNUMBER(SEARCH("去",D3980)),ISNUMBER(SEARCH("入",D3980)))),"Ambiguous",IF(ISNUMBER(SEARCH("平",D3980)),"平","仄")))</x:f>
        <x:v>平</x:v>
      </x:c>
      <x:c r="J3996" s="7" t="str"/>
    </x:row>
    <x:row r="3997">
      <x:c r="A3997" s="5" t="str">
        <x:v>蹻</x:v>
      </x:c>
      <x:c r="B3997" s="6" t="str"/>
      <x:c r="C3997" s="6" t="str">
        <x:f>IF(B3997="","Needs decision","Ready")</x:f>
        <x:v>Needs decision</x:v>
      </x:c>
      <x:c r="D3997" s="6" t="str">
        <x:v>上/入</x:v>
      </x:c>
      <x:c r="E3997" s="6" t="str">
        <x:v>kjewX (B); gjak (D)</x:v>
      </x:c>
      <x:c r="F3997" s="6" t="str">
        <x:v>2</x:v>
      </x:c>
      <x:c r="G3997" s="6" t="str"/>
      <x:c r="H3997" s="6" t="str">
        <x:f>IF(B3997="平","平",IF(B3997="","","仄"))</x:f>
      </x:c>
      <x:c r="I3997" s="6" t="str">
        <x:f>IF(D3981="","",IF(AND(ISNUMBER(SEARCH("平",D3981)),OR(ISNUMBER(SEARCH("上",D3981)),ISNUMBER(SEARCH("去",D3981)),ISNUMBER(SEARCH("入",D3981)))),"Ambiguous",IF(ISNUMBER(SEARCH("平",D3981)),"平","仄")))</x:f>
        <x:v>平</x:v>
      </x:c>
      <x:c r="J3997" s="7" t="str"/>
    </x:row>
    <x:row r="3998">
      <x:c r="A3998" s="5" t="str">
        <x:v>躅</x:v>
      </x:c>
      <x:c r="B3998" s="6" t="str">
        <x:v>入</x:v>
      </x:c>
      <x:c r="C3998" s="6" t="str">
        <x:f>IF(B3998="","Needs decision","Ready")</x:f>
        <x:v>Ready</x:v>
      </x:c>
      <x:c r="D3998" s="6" t="str">
        <x:v>入</x:v>
      </x:c>
      <x:c r="E3998" s="6" t="str">
        <x:v>drjowk (D)</x:v>
      </x:c>
      <x:c r="F3998" s="6" t="str">
        <x:v>1</x:v>
      </x:c>
      <x:c r="G3998" s="6" t="str"/>
      <x:c r="H3998" s="6" t="str">
        <x:f>IF(B3998="平","平",IF(B3998="","","仄"))</x:f>
        <x:v>仄</x:v>
      </x:c>
      <x:c r="I3998" s="6" t="str">
        <x:f>IF(D3982="","",IF(AND(ISNUMBER(SEARCH("平",D3982)),OR(ISNUMBER(SEARCH("上",D3982)),ISNUMBER(SEARCH("去",D3982)),ISNUMBER(SEARCH("入",D3982)))),"Ambiguous",IF(ISNUMBER(SEARCH("平",D3982)),"平","仄")))</x:f>
        <x:v>仄</x:v>
      </x:c>
      <x:c r="J3998" s="7" t="str"/>
    </x:row>
    <x:row r="3999">
      <x:c r="A3999" s="5" t="str">
        <x:v>躇</x:v>
      </x:c>
      <x:c r="B3999" s="6" t="str">
        <x:v>入</x:v>
      </x:c>
      <x:c r="C3999" s="6" t="str">
        <x:f>IF(B3999="","Needs decision","Ready")</x:f>
        <x:v>Ready</x:v>
      </x:c>
      <x:c r="D3999" s="6" t="str">
        <x:v>入</x:v>
      </x:c>
      <x:c r="E3999" s="6" t="str">
        <x:v>trhjak (D)</x:v>
      </x:c>
      <x:c r="F3999" s="6" t="str">
        <x:v>1</x:v>
      </x:c>
      <x:c r="G3999" s="6" t="str"/>
      <x:c r="H3999" s="6" t="str">
        <x:f>IF(B3999="平","平",IF(B3999="","","仄"))</x:f>
        <x:v>仄</x:v>
      </x:c>
      <x:c r="I3999" s="6" t="str">
        <x:f>IF(D3983="","",IF(AND(ISNUMBER(SEARCH("平",D3983)),OR(ISNUMBER(SEARCH("上",D3983)),ISNUMBER(SEARCH("去",D3983)),ISNUMBER(SEARCH("入",D3983)))),"Ambiguous",IF(ISNUMBER(SEARCH("平",D3983)),"平","仄")))</x:f>
        <x:v>平</x:v>
      </x:c>
      <x:c r="J3999" s="7" t="str"/>
    </x:row>
    <x:row r="4000">
      <x:c r="A4000" s="5" t="str">
        <x:v>躊</x:v>
      </x:c>
      <x:c r="B4000" s="6" t="str">
        <x:v>平</x:v>
      </x:c>
      <x:c r="C4000" s="6" t="str">
        <x:f>IF(B4000="","Needs decision","Ready")</x:f>
        <x:v>Ready</x:v>
      </x:c>
      <x:c r="D4000" s="6" t="str">
        <x:v>平</x:v>
      </x:c>
      <x:c r="E4000" s="6" t="str">
        <x:v>drjuw [ɖju] (平)</x:v>
      </x:c>
      <x:c r="F4000" s="6" t="str">
        <x:v>1</x:v>
      </x:c>
      <x:c r="G4000" s="6" t="str">
        <x:v>Tang 300 gap; frequency 2; provisional from Xun Gong</x:v>
      </x:c>
      <x:c r="H4000" s="6" t="str">
        <x:f>IF(B4000="平","平",IF(B4000="","","仄"))</x:f>
        <x:v>平</x:v>
      </x:c>
      <x:c r="I4000" s="6" t="str">
        <x:f>IF(D3984="","",IF(AND(ISNUMBER(SEARCH("平",D3984)),OR(ISNUMBER(SEARCH("上",D3984)),ISNUMBER(SEARCH("去",D3984)),ISNUMBER(SEARCH("入",D3984)))),"Ambiguous",IF(ISNUMBER(SEARCH("平",D3984)),"平","仄")))</x:f>
        <x:v>平</x:v>
      </x:c>
      <x:c r="J4000" s="7" t="str">
        <x:v>Xun Gong, Tang 300 gap fill</x:v>
      </x:c>
    </x:row>
    <x:row r="4001">
      <x:c r="A4001" s="5" t="str">
        <x:v>躋</x:v>
      </x:c>
      <x:c r="B4001" s="6" t="str">
        <x:v>平</x:v>
      </x:c>
      <x:c r="C4001" s="6" t="str">
        <x:f>IF(B4001="","Needs decision","Ready")</x:f>
        <x:v>Ready</x:v>
      </x:c>
      <x:c r="D4001" s="6" t="str">
        <x:v>平</x:v>
      </x:c>
      <x:c r="E4001" s="6" t="str">
        <x:v>tsej (A)</x:v>
      </x:c>
      <x:c r="F4001" s="6" t="str">
        <x:v>1</x:v>
      </x:c>
      <x:c r="G4001" s="6" t="str"/>
      <x:c r="H4001" s="6" t="str">
        <x:f>IF(B4001="平","平",IF(B4001="","","仄"))</x:f>
        <x:v>平</x:v>
      </x:c>
      <x:c r="I4001" s="6" t="str">
        <x:f>IF(D3985="","",IF(AND(ISNUMBER(SEARCH("平",D3985)),OR(ISNUMBER(SEARCH("上",D3985)),ISNUMBER(SEARCH("去",D3985)),ISNUMBER(SEARCH("入",D3985)))),"Ambiguous",IF(ISNUMBER(SEARCH("平",D3985)),"平","仄")))</x:f>
        <x:v>仄</x:v>
      </x:c>
      <x:c r="J4001" s="7" t="str"/>
    </x:row>
    <x:row r="4002">
      <x:c r="A4002" s="5" t="str">
        <x:v>躍</x:v>
      </x:c>
      <x:c r="B4002" s="6" t="str">
        <x:v>入</x:v>
      </x:c>
      <x:c r="C4002" s="6" t="str">
        <x:f>IF(B4002="","Needs decision","Ready")</x:f>
        <x:v>Ready</x:v>
      </x:c>
      <x:c r="D4002" s="6" t="str">
        <x:v>入</x:v>
      </x:c>
      <x:c r="E4002" s="6" t="str">
        <x:v>yak (D)</x:v>
      </x:c>
      <x:c r="F4002" s="6" t="str">
        <x:v>1</x:v>
      </x:c>
      <x:c r="G4002" s="6" t="str"/>
      <x:c r="H4002" s="6" t="str">
        <x:f>IF(B4002="平","平",IF(B4002="","","仄"))</x:f>
        <x:v>仄</x:v>
      </x:c>
      <x:c r="I4002" s="6" t="str">
        <x:f>IF(D3986="","",IF(AND(ISNUMBER(SEARCH("平",D3986)),OR(ISNUMBER(SEARCH("上",D3986)),ISNUMBER(SEARCH("去",D3986)),ISNUMBER(SEARCH("入",D3986)))),"Ambiguous",IF(ISNUMBER(SEARCH("平",D3986)),"平","仄")))</x:f>
        <x:v>仄</x:v>
      </x:c>
      <x:c r="J4002" s="7" t="str"/>
    </x:row>
    <x:row r="4003">
      <x:c r="A4003" s="5" t="str">
        <x:v>躐</x:v>
      </x:c>
      <x:c r="B4003" s="6" t="str">
        <x:v>入</x:v>
      </x:c>
      <x:c r="C4003" s="6" t="str">
        <x:f>IF(B4003="","Needs decision","Ready")</x:f>
        <x:v>Ready</x:v>
      </x:c>
      <x:c r="D4003" s="6" t="str">
        <x:v>入</x:v>
      </x:c>
      <x:c r="E4003" s="6" t="str">
        <x:v>ljep (D)</x:v>
      </x:c>
      <x:c r="F4003" s="6" t="str">
        <x:v>1</x:v>
      </x:c>
      <x:c r="G4003" s="6" t="str"/>
      <x:c r="H4003" s="6" t="str">
        <x:f>IF(B4003="平","平",IF(B4003="","","仄"))</x:f>
        <x:v>仄</x:v>
      </x:c>
      <x:c r="I4003" s="6" t="str">
        <x:f>IF(D3987="","",IF(AND(ISNUMBER(SEARCH("平",D3987)),OR(ISNUMBER(SEARCH("上",D3987)),ISNUMBER(SEARCH("去",D3987)),ISNUMBER(SEARCH("入",D3987)))),"Ambiguous",IF(ISNUMBER(SEARCH("平",D3987)),"平","仄")))</x:f>
        <x:v>仄</x:v>
      </x:c>
      <x:c r="J4003" s="7" t="str"/>
    </x:row>
    <x:row r="4004">
      <x:c r="A4004" s="5" t="str">
        <x:v>躑</x:v>
      </x:c>
      <x:c r="B4004" s="6" t="str">
        <x:v>入</x:v>
      </x:c>
      <x:c r="C4004" s="6" t="str">
        <x:f>IF(B4004="","Needs decision","Ready")</x:f>
        <x:v>Ready</x:v>
      </x:c>
      <x:c r="D4004" s="6" t="str">
        <x:v>入</x:v>
      </x:c>
      <x:c r="E4004" s="6" t="str">
        <x:v>drjek (D)</x:v>
      </x:c>
      <x:c r="F4004" s="6" t="str">
        <x:v>1</x:v>
      </x:c>
      <x:c r="G4004" s="6" t="str"/>
      <x:c r="H4004" s="6" t="str">
        <x:f>IF(B4004="平","平",IF(B4004="","","仄"))</x:f>
        <x:v>仄</x:v>
      </x:c>
      <x:c r="I4004" s="6" t="str">
        <x:f>IF(D3988="","",IF(AND(ISNUMBER(SEARCH("平",D3988)),OR(ISNUMBER(SEARCH("上",D3988)),ISNUMBER(SEARCH("去",D3988)),ISNUMBER(SEARCH("入",D3988)))),"Ambiguous",IF(ISNUMBER(SEARCH("平",D3988)),"平","仄")))</x:f>
        <x:v>仄</x:v>
      </x:c>
      <x:c r="J4004" s="7" t="str"/>
    </x:row>
    <x:row r="4005">
      <x:c r="A4005" s="5" t="str">
        <x:v>躔</x:v>
      </x:c>
      <x:c r="B4005" s="6" t="str">
        <x:v>平</x:v>
      </x:c>
      <x:c r="C4005" s="6" t="str">
        <x:f>IF(B4005="","Needs decision","Ready")</x:f>
        <x:v>Ready</x:v>
      </x:c>
      <x:c r="D4005" s="6" t="str">
        <x:v>平</x:v>
      </x:c>
      <x:c r="E4005" s="6" t="str">
        <x:v>drjen (A)</x:v>
      </x:c>
      <x:c r="F4005" s="6" t="str">
        <x:v>1</x:v>
      </x:c>
      <x:c r="G4005" s="6" t="str"/>
      <x:c r="H4005" s="6" t="str">
        <x:f>IF(B4005="平","平",IF(B4005="","","仄"))</x:f>
        <x:v>平</x:v>
      </x:c>
      <x:c r="I4005" s="6" t="str">
        <x:f>IF(D3989="","",IF(AND(ISNUMBER(SEARCH("平",D3989)),OR(ISNUMBER(SEARCH("上",D3989)),ISNUMBER(SEARCH("去",D3989)),ISNUMBER(SEARCH("入",D3989)))),"Ambiguous",IF(ISNUMBER(SEARCH("平",D3989)),"平","仄")))</x:f>
        <x:v>仄</x:v>
      </x:c>
      <x:c r="J4005" s="7" t="str"/>
    </x:row>
    <x:row r="4006">
      <x:c r="A4006" s="5" t="str">
        <x:v>躕</x:v>
      </x:c>
      <x:c r="B4006" s="6" t="str">
        <x:v>平</x:v>
      </x:c>
      <x:c r="C4006" s="6" t="str">
        <x:f>IF(B4006="","Needs decision","Ready")</x:f>
        <x:v>Ready</x:v>
      </x:c>
      <x:c r="D4006" s="6" t="str">
        <x:v>平</x:v>
      </x:c>
      <x:c r="E4006" s="6" t="str">
        <x:v>drju (A)</x:v>
      </x:c>
      <x:c r="F4006" s="6" t="str">
        <x:v>1</x:v>
      </x:c>
      <x:c r="G4006" s="6" t="str"/>
      <x:c r="H4006" s="6" t="str">
        <x:f>IF(B4006="平","平",IF(B4006="","","仄"))</x:f>
        <x:v>平</x:v>
      </x:c>
      <x:c r="I4006" s="6" t="str">
        <x:f>IF(D3990="","",IF(AND(ISNUMBER(SEARCH("平",D3990)),OR(ISNUMBER(SEARCH("上",D3990)),ISNUMBER(SEARCH("去",D3990)),ISNUMBER(SEARCH("入",D3990)))),"Ambiguous",IF(ISNUMBER(SEARCH("平",D3990)),"平","仄")))</x:f>
        <x:v>仄</x:v>
      </x:c>
      <x:c r="J4006" s="7" t="str"/>
    </x:row>
    <x:row r="4007">
      <x:c r="A4007" s="5" t="str">
        <x:v>躡</x:v>
      </x:c>
      <x:c r="B4007" s="6" t="str">
        <x:v>入</x:v>
      </x:c>
      <x:c r="C4007" s="6" t="str">
        <x:f>IF(B4007="","Needs decision","Ready")</x:f>
        <x:v>Ready</x:v>
      </x:c>
      <x:c r="D4007" s="6" t="str">
        <x:v>入</x:v>
      </x:c>
      <x:c r="E4007" s="6" t="str">
        <x:v>nrjep (D)</x:v>
      </x:c>
      <x:c r="F4007" s="6" t="str">
        <x:v>1</x:v>
      </x:c>
      <x:c r="G4007" s="6" t="str"/>
      <x:c r="H4007" s="6" t="str">
        <x:f>IF(B4007="平","平",IF(B4007="","","仄"))</x:f>
        <x:v>仄</x:v>
      </x:c>
      <x:c r="I4007" s="6" t="str">
        <x:f>IF(D3991="","",IF(AND(ISNUMBER(SEARCH("平",D3991)),OR(ISNUMBER(SEARCH("上",D3991)),ISNUMBER(SEARCH("去",D3991)),ISNUMBER(SEARCH("入",D3991)))),"Ambiguous",IF(ISNUMBER(SEARCH("平",D3991)),"平","仄")))</x:f>
        <x:v>仄</x:v>
      </x:c>
      <x:c r="J4007" s="7" t="str"/>
    </x:row>
    <x:row r="4008">
      <x:c r="A4008" s="5" t="str">
        <x:v>身</x:v>
      </x:c>
      <x:c r="B4008" s="6" t="str">
        <x:v>平</x:v>
      </x:c>
      <x:c r="C4008" s="6" t="str">
        <x:f>IF(B4008="","Needs decision","Ready")</x:f>
        <x:v>Ready</x:v>
      </x:c>
      <x:c r="D4008" s="6" t="str">
        <x:v>平</x:v>
      </x:c>
      <x:c r="E4008" s="6" t="str">
        <x:v>syin (A)</x:v>
      </x:c>
      <x:c r="F4008" s="6" t="str">
        <x:v>1</x:v>
      </x:c>
      <x:c r="G4008" s="6" t="str"/>
      <x:c r="H4008" s="6" t="str">
        <x:f>IF(B4008="平","平",IF(B4008="","","仄"))</x:f>
        <x:v>平</x:v>
      </x:c>
      <x:c r="I4008" s="6" t="str">
        <x:f>IF(D3992="","",IF(AND(ISNUMBER(SEARCH("平",D3992)),OR(ISNUMBER(SEARCH("上",D3992)),ISNUMBER(SEARCH("去",D3992)),ISNUMBER(SEARCH("入",D3992)))),"Ambiguous",IF(ISNUMBER(SEARCH("平",D3992)),"平","仄")))</x:f>
        <x:v>平</x:v>
      </x:c>
      <x:c r="J4008" s="7" t="str"/>
    </x:row>
    <x:row r="4009">
      <x:c r="A4009" s="5" t="str">
        <x:v>躬</x:v>
      </x:c>
      <x:c r="B4009" s="6" t="str">
        <x:v>平</x:v>
      </x:c>
      <x:c r="C4009" s="6" t="str">
        <x:f>IF(B4009="","Needs decision","Ready")</x:f>
        <x:v>Ready</x:v>
      </x:c>
      <x:c r="D4009" s="6" t="str">
        <x:v>平</x:v>
      </x:c>
      <x:c r="E4009" s="6" t="str">
        <x:v>kjuwng (A)</x:v>
      </x:c>
      <x:c r="F4009" s="6" t="str">
        <x:v>1</x:v>
      </x:c>
      <x:c r="G4009" s="6" t="str"/>
      <x:c r="H4009" s="6" t="str">
        <x:f>IF(B4009="平","平",IF(B4009="","","仄"))</x:f>
        <x:v>平</x:v>
      </x:c>
      <x:c r="I4009" s="6" t="str">
        <x:f>IF(D3993="","",IF(AND(ISNUMBER(SEARCH("平",D3993)),OR(ISNUMBER(SEARCH("上",D3993)),ISNUMBER(SEARCH("去",D3993)),ISNUMBER(SEARCH("入",D3993)))),"Ambiguous",IF(ISNUMBER(SEARCH("平",D3993)),"平","仄")))</x:f>
        <x:v>平</x:v>
      </x:c>
      <x:c r="J4009" s="7" t="str"/>
    </x:row>
    <x:row r="4010">
      <x:c r="A4010" s="5" t="str">
        <x:v>躳</x:v>
      </x:c>
      <x:c r="B4010" s="6" t="str">
        <x:v>平</x:v>
      </x:c>
      <x:c r="C4010" s="6" t="str">
        <x:f>IF(B4010="","Needs decision","Ready")</x:f>
        <x:v>Ready</x:v>
      </x:c>
      <x:c r="D4010" s="6" t="str">
        <x:v>平</x:v>
      </x:c>
      <x:c r="E4010" s="6" t="str">
        <x:v>kjuwng (A)</x:v>
      </x:c>
      <x:c r="F4010" s="6" t="str">
        <x:v>1</x:v>
      </x:c>
      <x:c r="G4010" s="6" t="str"/>
      <x:c r="H4010" s="6" t="str">
        <x:f>IF(B4010="平","平",IF(B4010="","","仄"))</x:f>
        <x:v>平</x:v>
      </x:c>
      <x:c r="I4010" s="6" t="str">
        <x:f>IF(D3994="","",IF(AND(ISNUMBER(SEARCH("平",D3994)),OR(ISNUMBER(SEARCH("上",D3994)),ISNUMBER(SEARCH("去",D3994)),ISNUMBER(SEARCH("入",D3994)))),"Ambiguous",IF(ISNUMBER(SEARCH("平",D3994)),"平","仄")))</x:f>
        <x:v>仄</x:v>
      </x:c>
      <x:c r="J4010" s="7" t="str"/>
    </x:row>
    <x:row r="4011">
      <x:c r="A4011" s="5" t="str">
        <x:v>軀</x:v>
      </x:c>
      <x:c r="B4011" s="6" t="str">
        <x:v>平</x:v>
      </x:c>
      <x:c r="C4011" s="6" t="str">
        <x:f>IF(B4011="","Needs decision","Ready")</x:f>
        <x:v>Ready</x:v>
      </x:c>
      <x:c r="D4011" s="6" t="str">
        <x:v>平</x:v>
      </x:c>
      <x:c r="E4011" s="6" t="str"/>
      <x:c r="F4011" s="6" t="str"/>
      <x:c r="G4011" s="6" t="str">
        <x:v>Manual user correction/addition</x:v>
      </x:c>
      <x:c r="H4011" s="6" t="str">
        <x:f>IF(B4011="平","平",IF(B4011="","","仄"))</x:f>
        <x:v>平</x:v>
      </x:c>
      <x:c r="I4011" s="6" t="str">
        <x:f>IF(D3995="","",IF(AND(ISNUMBER(SEARCH("平",D3995)),OR(ISNUMBER(SEARCH("上",D3995)),ISNUMBER(SEARCH("去",D3995)),ISNUMBER(SEARCH("入",D3995)))),"Ambiguous",IF(ISNUMBER(SEARCH("平",D3995)),"平","仄")))</x:f>
        <x:v>仄</x:v>
      </x:c>
      <x:c r="J4011" s="7" t="str">
        <x:v>manual user correction</x:v>
      </x:c>
    </x:row>
    <x:row r="4012">
      <x:c r="A4012" s="5" t="str">
        <x:v>車</x:v>
      </x:c>
      <x:c r="B4012" s="6" t="str">
        <x:v>平</x:v>
      </x:c>
      <x:c r="C4012" s="6" t="str">
        <x:f>IF(B4012="","Needs decision","Ready")</x:f>
        <x:v>Ready</x:v>
      </x:c>
      <x:c r="D4012" s="6" t="str">
        <x:v>平</x:v>
      </x:c>
      <x:c r="E4012" s="6" t="str">
        <x:v>tsyhae (A); kjo (A)</x:v>
      </x:c>
      <x:c r="F4012" s="6" t="str">
        <x:v>2</x:v>
      </x:c>
      <x:c r="G4012" s="6" t="str"/>
      <x:c r="H4012" s="6" t="str">
        <x:f>IF(B4012="平","平",IF(B4012="","","仄"))</x:f>
        <x:v>平</x:v>
      </x:c>
      <x:c r="I4012" s="6" t="str">
        <x:f>IF(D3996="","",IF(AND(ISNUMBER(SEARCH("平",D3996)),OR(ISNUMBER(SEARCH("上",D3996)),ISNUMBER(SEARCH("去",D3996)),ISNUMBER(SEARCH("入",D3996)))),"Ambiguous",IF(ISNUMBER(SEARCH("平",D3996)),"平","仄")))</x:f>
        <x:v>仄</x:v>
      </x:c>
      <x:c r="J4012" s="7" t="str"/>
    </x:row>
    <x:row r="4013">
      <x:c r="A4013" s="5" t="str">
        <x:v>軋</x:v>
      </x:c>
      <x:c r="B4013" s="6" t="str">
        <x:v>入</x:v>
      </x:c>
      <x:c r="C4013" s="6" t="str">
        <x:f>IF(B4013="","Needs decision","Ready")</x:f>
        <x:v>Ready</x:v>
      </x:c>
      <x:c r="D4013" s="6" t="str">
        <x:v>入</x:v>
      </x:c>
      <x:c r="E4013" s="6" t="str">
        <x:v>'eat (D)</x:v>
      </x:c>
      <x:c r="F4013" s="6" t="str">
        <x:v>1</x:v>
      </x:c>
      <x:c r="G4013" s="6" t="str"/>
      <x:c r="H4013" s="6" t="str">
        <x:f>IF(B4013="平","平",IF(B4013="","","仄"))</x:f>
        <x:v>仄</x:v>
      </x:c>
      <x:c r="I4013" s="6" t="str">
        <x:f>IF(D3997="","",IF(AND(ISNUMBER(SEARCH("平",D3997)),OR(ISNUMBER(SEARCH("上",D3997)),ISNUMBER(SEARCH("去",D3997)),ISNUMBER(SEARCH("入",D3997)))),"Ambiguous",IF(ISNUMBER(SEARCH("平",D3997)),"平","仄")))</x:f>
        <x:v>仄</x:v>
      </x:c>
      <x:c r="J4013" s="7" t="str"/>
    </x:row>
    <x:row r="4014">
      <x:c r="A4014" s="5" t="str">
        <x:v>軌</x:v>
      </x:c>
      <x:c r="B4014" s="6" t="str">
        <x:v>上</x:v>
      </x:c>
      <x:c r="C4014" s="6" t="str">
        <x:f>IF(B4014="","Needs decision","Ready")</x:f>
        <x:v>Ready</x:v>
      </x:c>
      <x:c r="D4014" s="6" t="str">
        <x:v>上</x:v>
      </x:c>
      <x:c r="E4014" s="6" t="str">
        <x:v>kwijX (B)</x:v>
      </x:c>
      <x:c r="F4014" s="6" t="str">
        <x:v>1</x:v>
      </x:c>
      <x:c r="G4014" s="6" t="str"/>
      <x:c r="H4014" s="6" t="str">
        <x:f>IF(B4014="平","平",IF(B4014="","","仄"))</x:f>
        <x:v>仄</x:v>
      </x:c>
      <x:c r="I4014" s="6" t="str">
        <x:f>IF(D3998="","",IF(AND(ISNUMBER(SEARCH("平",D3998)),OR(ISNUMBER(SEARCH("上",D3998)),ISNUMBER(SEARCH("去",D3998)),ISNUMBER(SEARCH("入",D3998)))),"Ambiguous",IF(ISNUMBER(SEARCH("平",D3998)),"平","仄")))</x:f>
        <x:v>仄</x:v>
      </x:c>
      <x:c r="J4014" s="7" t="str"/>
    </x:row>
    <x:row r="4015">
      <x:c r="A4015" s="5" t="str">
        <x:v>軍</x:v>
      </x:c>
      <x:c r="B4015" s="6" t="str">
        <x:v>平</x:v>
      </x:c>
      <x:c r="C4015" s="6" t="str">
        <x:f>IF(B4015="","Needs decision","Ready")</x:f>
        <x:v>Ready</x:v>
      </x:c>
      <x:c r="D4015" s="6" t="str">
        <x:v>平</x:v>
      </x:c>
      <x:c r="E4015" s="6" t="str">
        <x:v>kjun (A)</x:v>
      </x:c>
      <x:c r="F4015" s="6" t="str">
        <x:v>1</x:v>
      </x:c>
      <x:c r="G4015" s="6" t="str"/>
      <x:c r="H4015" s="6" t="str">
        <x:f>IF(B4015="平","平",IF(B4015="","","仄"))</x:f>
        <x:v>平</x:v>
      </x:c>
      <x:c r="I4015" s="6" t="str">
        <x:f>IF(D3999="","",IF(AND(ISNUMBER(SEARCH("平",D3999)),OR(ISNUMBER(SEARCH("上",D3999)),ISNUMBER(SEARCH("去",D3999)),ISNUMBER(SEARCH("入",D3999)))),"Ambiguous",IF(ISNUMBER(SEARCH("平",D3999)),"平","仄")))</x:f>
        <x:v>仄</x:v>
      </x:c>
      <x:c r="J4015" s="7" t="str"/>
    </x:row>
    <x:row r="4016">
      <x:c r="A4016" s="5" t="str">
        <x:v>軑</x:v>
      </x:c>
      <x:c r="B4016" s="6" t="str">
        <x:v>去</x:v>
      </x:c>
      <x:c r="C4016" s="6" t="str">
        <x:f>IF(B4016="","Needs decision","Ready")</x:f>
        <x:v>Ready</x:v>
      </x:c>
      <x:c r="D4016" s="6" t="str">
        <x:v>去</x:v>
      </x:c>
      <x:c r="E4016" s="6" t="str">
        <x:v>dejH (C)</x:v>
      </x:c>
      <x:c r="F4016" s="6" t="str">
        <x:v>1</x:v>
      </x:c>
      <x:c r="G4016" s="6" t="str"/>
      <x:c r="H4016" s="6" t="str">
        <x:f>IF(B4016="平","平",IF(B4016="","","仄"))</x:f>
        <x:v>仄</x:v>
      </x:c>
      <x:c r="I4016" s="6" t="str">
        <x:f>IF(D4000="","",IF(AND(ISNUMBER(SEARCH("平",D4000)),OR(ISNUMBER(SEARCH("上",D4000)),ISNUMBER(SEARCH("去",D4000)),ISNUMBER(SEARCH("入",D4000)))),"Ambiguous",IF(ISNUMBER(SEARCH("平",D4000)),"平","仄")))</x:f>
        <x:v>平</x:v>
      </x:c>
      <x:c r="J4016" s="7" t="str"/>
    </x:row>
    <x:row r="4017">
      <x:c r="A4017" s="5" t="str">
        <x:v>軒</x:v>
      </x:c>
      <x:c r="B4017" s="6" t="str">
        <x:v>平</x:v>
      </x:c>
      <x:c r="C4017" s="6" t="str">
        <x:f>IF(B4017="","Needs decision","Ready")</x:f>
        <x:v>Ready</x:v>
      </x:c>
      <x:c r="D4017" s="6" t="str">
        <x:v>平</x:v>
      </x:c>
      <x:c r="E4017" s="6" t="str">
        <x:v>xjon (A)</x:v>
      </x:c>
      <x:c r="F4017" s="6" t="str">
        <x:v>1</x:v>
      </x:c>
      <x:c r="G4017" s="6" t="str"/>
      <x:c r="H4017" s="6" t="str">
        <x:f>IF(B4017="平","平",IF(B4017="","","仄"))</x:f>
        <x:v>平</x:v>
      </x:c>
      <x:c r="I4017" s="6" t="str">
        <x:f>IF(D4001="","",IF(AND(ISNUMBER(SEARCH("平",D4001)),OR(ISNUMBER(SEARCH("上",D4001)),ISNUMBER(SEARCH("去",D4001)),ISNUMBER(SEARCH("入",D4001)))),"Ambiguous",IF(ISNUMBER(SEARCH("平",D4001)),"平","仄")))</x:f>
        <x:v>平</x:v>
      </x:c>
      <x:c r="J4017" s="7" t="str"/>
    </x:row>
    <x:row r="4018">
      <x:c r="A4018" s="5" t="str">
        <x:v>軔</x:v>
      </x:c>
      <x:c r="B4018" s="6" t="str">
        <x:v>去</x:v>
      </x:c>
      <x:c r="C4018" s="6" t="str">
        <x:f>IF(B4018="","Needs decision","Ready")</x:f>
        <x:v>Ready</x:v>
      </x:c>
      <x:c r="D4018" s="6" t="str">
        <x:v>去</x:v>
      </x:c>
      <x:c r="E4018" s="6" t="str">
        <x:v>nyinH (C)</x:v>
      </x:c>
      <x:c r="F4018" s="6" t="str">
        <x:v>1</x:v>
      </x:c>
      <x:c r="G4018" s="6" t="str"/>
      <x:c r="H4018" s="6" t="str">
        <x:f>IF(B4018="平","平",IF(B4018="","","仄"))</x:f>
        <x:v>仄</x:v>
      </x:c>
      <x:c r="I4018" s="6" t="str">
        <x:f>IF(D4002="","",IF(AND(ISNUMBER(SEARCH("平",D4002)),OR(ISNUMBER(SEARCH("上",D4002)),ISNUMBER(SEARCH("去",D4002)),ISNUMBER(SEARCH("入",D4002)))),"Ambiguous",IF(ISNUMBER(SEARCH("平",D4002)),"平","仄")))</x:f>
        <x:v>仄</x:v>
      </x:c>
      <x:c r="J4018" s="7" t="str"/>
    </x:row>
    <x:row r="4019">
      <x:c r="A4019" s="5" t="str">
        <x:v>軛</x:v>
      </x:c>
      <x:c r="B4019" s="6" t="str">
        <x:v>入</x:v>
      </x:c>
      <x:c r="C4019" s="6" t="str">
        <x:f>IF(B4019="","Needs decision","Ready")</x:f>
        <x:v>Ready</x:v>
      </x:c>
      <x:c r="D4019" s="6" t="str">
        <x:v>入</x:v>
      </x:c>
      <x:c r="E4019" s="6" t="str">
        <x:v>'eak (D)</x:v>
      </x:c>
      <x:c r="F4019" s="6" t="str">
        <x:v>1</x:v>
      </x:c>
      <x:c r="G4019" s="6" t="str"/>
      <x:c r="H4019" s="6" t="str">
        <x:f>IF(B4019="平","平",IF(B4019="","","仄"))</x:f>
        <x:v>仄</x:v>
      </x:c>
      <x:c r="I4019" s="6" t="str">
        <x:f>IF(D4003="","",IF(AND(ISNUMBER(SEARCH("平",D4003)),OR(ISNUMBER(SEARCH("上",D4003)),ISNUMBER(SEARCH("去",D4003)),ISNUMBER(SEARCH("入",D4003)))),"Ambiguous",IF(ISNUMBER(SEARCH("平",D4003)),"平","仄")))</x:f>
        <x:v>仄</x:v>
      </x:c>
      <x:c r="J4019" s="7" t="str"/>
    </x:row>
    <x:row r="4020">
      <x:c r="A4020" s="5" t="str">
        <x:v>軨</x:v>
      </x:c>
      <x:c r="B4020" s="6" t="str">
        <x:v>平</x:v>
      </x:c>
      <x:c r="C4020" s="6" t="str">
        <x:f>IF(B4020="","Needs decision","Ready")</x:f>
        <x:v>Ready</x:v>
      </x:c>
      <x:c r="D4020" s="6" t="str">
        <x:v>平</x:v>
      </x:c>
      <x:c r="E4020" s="6" t="str"/>
      <x:c r="F4020" s="6" t="str"/>
      <x:c r="G4020" s="6" t="str">
        <x:v>Manual user correction/addition</x:v>
      </x:c>
      <x:c r="H4020" s="6" t="str">
        <x:f>IF(B4020="平","平",IF(B4020="","","仄"))</x:f>
        <x:v>平</x:v>
      </x:c>
      <x:c r="I4020" s="6" t="str">
        <x:f>IF(D4004="","",IF(AND(ISNUMBER(SEARCH("平",D4004)),OR(ISNUMBER(SEARCH("上",D4004)),ISNUMBER(SEARCH("去",D4004)),ISNUMBER(SEARCH("入",D4004)))),"Ambiguous",IF(ISNUMBER(SEARCH("平",D4004)),"平","仄")))</x:f>
        <x:v>仄</x:v>
      </x:c>
      <x:c r="J4020" s="7" t="str">
        <x:v>manual user correction</x:v>
      </x:c>
    </x:row>
    <x:row r="4021">
      <x:c r="A4021" s="5" t="str">
        <x:v>軫</x:v>
      </x:c>
      <x:c r="B4021" s="6" t="str">
        <x:v>上</x:v>
      </x:c>
      <x:c r="C4021" s="6" t="str">
        <x:f>IF(B4021="","Needs decision","Ready")</x:f>
        <x:v>Ready</x:v>
      </x:c>
      <x:c r="D4021" s="6" t="str">
        <x:v>上</x:v>
      </x:c>
      <x:c r="E4021" s="6" t="str">
        <x:v>tsyinX (B)</x:v>
      </x:c>
      <x:c r="F4021" s="6" t="str">
        <x:v>1</x:v>
      </x:c>
      <x:c r="G4021" s="6" t="str"/>
      <x:c r="H4021" s="6" t="str">
        <x:f>IF(B4021="平","平",IF(B4021="","","仄"))</x:f>
        <x:v>仄</x:v>
      </x:c>
      <x:c r="I4021" s="6" t="str">
        <x:f>IF(D4005="","",IF(AND(ISNUMBER(SEARCH("平",D4005)),OR(ISNUMBER(SEARCH("上",D4005)),ISNUMBER(SEARCH("去",D4005)),ISNUMBER(SEARCH("入",D4005)))),"Ambiguous",IF(ISNUMBER(SEARCH("平",D4005)),"平","仄")))</x:f>
        <x:v>平</x:v>
      </x:c>
      <x:c r="J4021" s="7" t="str"/>
    </x:row>
    <x:row r="4022">
      <x:c r="A4022" s="5" t="str">
        <x:v>軷</x:v>
      </x:c>
      <x:c r="B4022" s="6" t="str">
        <x:v>入</x:v>
      </x:c>
      <x:c r="C4022" s="6" t="str">
        <x:f>IF(B4022="","Needs decision","Ready")</x:f>
        <x:v>Ready</x:v>
      </x:c>
      <x:c r="D4022" s="6" t="str">
        <x:v>入</x:v>
      </x:c>
      <x:c r="E4022" s="6" t="str">
        <x:v>bat (D)</x:v>
      </x:c>
      <x:c r="F4022" s="6" t="str">
        <x:v>1</x:v>
      </x:c>
      <x:c r="G4022" s="6" t="str"/>
      <x:c r="H4022" s="6" t="str">
        <x:f>IF(B4022="平","平",IF(B4022="","","仄"))</x:f>
        <x:v>仄</x:v>
      </x:c>
      <x:c r="I4022" s="6" t="str">
        <x:f>IF(D4006="","",IF(AND(ISNUMBER(SEARCH("平",D4006)),OR(ISNUMBER(SEARCH("上",D4006)),ISNUMBER(SEARCH("去",D4006)),ISNUMBER(SEARCH("入",D4006)))),"Ambiguous",IF(ISNUMBER(SEARCH("平",D4006)),"平","仄")))</x:f>
        <x:v>平</x:v>
      </x:c>
      <x:c r="J4022" s="7" t="str"/>
    </x:row>
    <x:row r="4023">
      <x:c r="A4023" s="5" t="str">
        <x:v>軸</x:v>
      </x:c>
      <x:c r="B4023" s="6" t="str">
        <x:v>入</x:v>
      </x:c>
      <x:c r="C4023" s="6" t="str">
        <x:f>IF(B4023="","Needs decision","Ready")</x:f>
        <x:v>Ready</x:v>
      </x:c>
      <x:c r="D4023" s="6" t="str">
        <x:v>入</x:v>
      </x:c>
      <x:c r="E4023" s="6" t="str">
        <x:v>drjuwk (D)</x:v>
      </x:c>
      <x:c r="F4023" s="6" t="str">
        <x:v>1</x:v>
      </x:c>
      <x:c r="G4023" s="6" t="str"/>
      <x:c r="H4023" s="6" t="str">
        <x:f>IF(B4023="平","平",IF(B4023="","","仄"))</x:f>
        <x:v>仄</x:v>
      </x:c>
      <x:c r="I4023" s="6" t="str">
        <x:f>IF(D4007="","",IF(AND(ISNUMBER(SEARCH("平",D4007)),OR(ISNUMBER(SEARCH("上",D4007)),ISNUMBER(SEARCH("去",D4007)),ISNUMBER(SEARCH("入",D4007)))),"Ambiguous",IF(ISNUMBER(SEARCH("平",D4007)),"平","仄")))</x:f>
        <x:v>仄</x:v>
      </x:c>
      <x:c r="J4023" s="7" t="str"/>
    </x:row>
    <x:row r="4024">
      <x:c r="A4024" s="5" t="str">
        <x:v>軻</x:v>
      </x:c>
      <x:c r="B4024" s="6" t="str"/>
      <x:c r="C4024" s="6" t="str">
        <x:f>IF(B4024="","Needs decision","Ready")</x:f>
        <x:v>Needs decision</x:v>
      </x:c>
      <x:c r="D4024" s="6" t="str">
        <x:v>平/上/去</x:v>
      </x:c>
      <x:c r="E4024" s="6" t="str">
        <x:v>kha [qʰɑ] (平); khaH [qʰɑh] (去); khaX [qʰɑʔ] (上)</x:v>
      </x:c>
      <x:c r="F4024" s="6" t="str">
        <x:v>3</x:v>
      </x:c>
      <x:c r="G4024" s="6" t="str">
        <x:v>Tang 300 gap; frequency 2; ambiguous in Xun Gong</x:v>
      </x:c>
      <x:c r="H4024" s="6" t="str">
        <x:f>IF(B4024="平","平",IF(B4024="","","仄"))</x:f>
      </x:c>
      <x:c r="I4024" s="6" t="str">
        <x:f>IF(D4008="","",IF(AND(ISNUMBER(SEARCH("平",D4008)),OR(ISNUMBER(SEARCH("上",D4008)),ISNUMBER(SEARCH("去",D4008)),ISNUMBER(SEARCH("入",D4008)))),"Ambiguous",IF(ISNUMBER(SEARCH("平",D4008)),"平","仄")))</x:f>
        <x:v>平</x:v>
      </x:c>
      <x:c r="J4024" s="7" t="str">
        <x:v>Xun Gong, Tang 300 gap fill</x:v>
      </x:c>
    </x:row>
    <x:row r="4025">
      <x:c r="A4025" s="5" t="str">
        <x:v>軾</x:v>
      </x:c>
      <x:c r="B4025" s="6" t="str">
        <x:v>入</x:v>
      </x:c>
      <x:c r="C4025" s="6" t="str">
        <x:f>IF(B4025="","Needs decision","Ready")</x:f>
        <x:v>Ready</x:v>
      </x:c>
      <x:c r="D4025" s="6" t="str">
        <x:v>入</x:v>
      </x:c>
      <x:c r="E4025" s="6" t="str"/>
      <x:c r="F4025" s="6" t="str"/>
      <x:c r="G4025" s="6" t="str">
        <x:v>Manual user correction/addition</x:v>
      </x:c>
      <x:c r="H4025" s="6" t="str">
        <x:f>IF(B4025="平","平",IF(B4025="","","仄"))</x:f>
        <x:v>仄</x:v>
      </x:c>
      <x:c r="I4025" s="6" t="str">
        <x:f>IF(D4009="","",IF(AND(ISNUMBER(SEARCH("平",D4009)),OR(ISNUMBER(SEARCH("上",D4009)),ISNUMBER(SEARCH("去",D4009)),ISNUMBER(SEARCH("入",D4009)))),"Ambiguous",IF(ISNUMBER(SEARCH("平",D4009)),"平","仄")))</x:f>
        <x:v>平</x:v>
      </x:c>
      <x:c r="J4025" s="7" t="str">
        <x:v>manual user correction</x:v>
      </x:c>
    </x:row>
    <x:row r="4026">
      <x:c r="A4026" s="5" t="str">
        <x:v>較</x:v>
      </x:c>
      <x:c r="B4026" s="6" t="str">
        <x:v>去</x:v>
      </x:c>
      <x:c r="C4026" s="6" t="str">
        <x:f>IF(B4026="","Needs decision","Ready")</x:f>
        <x:v>Ready</x:v>
      </x:c>
      <x:c r="D4026" s="6" t="str">
        <x:v>去</x:v>
      </x:c>
      <x:c r="E4026" s="6" t="str"/>
      <x:c r="F4026" s="6" t="str"/>
      <x:c r="G4026" s="6" t="str">
        <x:v>Manual user correction/addition</x:v>
      </x:c>
      <x:c r="H4026" s="6" t="str">
        <x:f>IF(B4026="平","平",IF(B4026="","","仄"))</x:f>
        <x:v>仄</x:v>
      </x:c>
      <x:c r="I4026" s="6" t="str">
        <x:f>IF(D4010="","",IF(AND(ISNUMBER(SEARCH("平",D4010)),OR(ISNUMBER(SEARCH("上",D4010)),ISNUMBER(SEARCH("去",D4010)),ISNUMBER(SEARCH("入",D4010)))),"Ambiguous",IF(ISNUMBER(SEARCH("平",D4010)),"平","仄")))</x:f>
        <x:v>平</x:v>
      </x:c>
      <x:c r="J4026" s="7" t="str">
        <x:v>manual user correction</x:v>
      </x:c>
    </x:row>
    <x:row r="4027">
      <x:c r="A4027" s="5" t="str">
        <x:v>載</x:v>
      </x:c>
      <x:c r="B4027" s="6" t="str"/>
      <x:c r="C4027" s="6" t="str">
        <x:f>IF(B4027="","Needs decision","Ready")</x:f>
        <x:v>Needs decision</x:v>
      </x:c>
      <x:c r="D4027" s="6" t="str">
        <x:v>上/去</x:v>
      </x:c>
      <x:c r="E4027" s="6" t="str">
        <x:v>tsojX (B); dzojH (C); tsojH (C)</x:v>
      </x:c>
      <x:c r="F4027" s="6" t="str">
        <x:v>3</x:v>
      </x:c>
      <x:c r="G4027" s="6" t="str"/>
      <x:c r="H4027" s="6" t="str">
        <x:f>IF(B4027="平","平",IF(B4027="","","仄"))</x:f>
      </x:c>
      <x:c r="I4027" s="6" t="str">
        <x:f>IF(D4011="","",IF(AND(ISNUMBER(SEARCH("平",D4011)),OR(ISNUMBER(SEARCH("上",D4011)),ISNUMBER(SEARCH("去",D4011)),ISNUMBER(SEARCH("入",D4011)))),"Ambiguous",IF(ISNUMBER(SEARCH("平",D4011)),"平","仄")))</x:f>
        <x:v>平</x:v>
      </x:c>
      <x:c r="J4027" s="7" t="str"/>
    </x:row>
    <x:row r="4028">
      <x:c r="A4028" s="5" t="str">
        <x:v>輒</x:v>
      </x:c>
      <x:c r="B4028" s="6" t="str">
        <x:v>入</x:v>
      </x:c>
      <x:c r="C4028" s="6" t="str">
        <x:f>IF(B4028="","Needs decision","Ready")</x:f>
        <x:v>Ready</x:v>
      </x:c>
      <x:c r="D4028" s="6" t="str">
        <x:v>入</x:v>
      </x:c>
      <x:c r="E4028" s="6" t="str">
        <x:v>tep (D); trjep (D)</x:v>
      </x:c>
      <x:c r="F4028" s="6" t="str">
        <x:v>2</x:v>
      </x:c>
      <x:c r="G4028" s="6" t="str"/>
      <x:c r="H4028" s="6" t="str">
        <x:f>IF(B4028="平","平",IF(B4028="","","仄"))</x:f>
        <x:v>仄</x:v>
      </x:c>
      <x:c r="I4028" s="6" t="str">
        <x:f>IF(D4012="","",IF(AND(ISNUMBER(SEARCH("平",D4012)),OR(ISNUMBER(SEARCH("上",D4012)),ISNUMBER(SEARCH("去",D4012)),ISNUMBER(SEARCH("入",D4012)))),"Ambiguous",IF(ISNUMBER(SEARCH("平",D4012)),"平","仄")))</x:f>
        <x:v>平</x:v>
      </x:c>
      <x:c r="J4028" s="7" t="str"/>
    </x:row>
    <x:row r="4029">
      <x:c r="A4029" s="5" t="str">
        <x:v>輔</x:v>
      </x:c>
      <x:c r="B4029" s="6" t="str">
        <x:v>上</x:v>
      </x:c>
      <x:c r="C4029" s="6" t="str">
        <x:f>IF(B4029="","Needs decision","Ready")</x:f>
        <x:v>Ready</x:v>
      </x:c>
      <x:c r="D4029" s="6" t="str">
        <x:v>上</x:v>
      </x:c>
      <x:c r="E4029" s="6" t="str">
        <x:v>bjuX (B)</x:v>
      </x:c>
      <x:c r="F4029" s="6" t="str">
        <x:v>1</x:v>
      </x:c>
      <x:c r="G4029" s="6" t="str"/>
      <x:c r="H4029" s="6" t="str">
        <x:f>IF(B4029="平","平",IF(B4029="","","仄"))</x:f>
        <x:v>仄</x:v>
      </x:c>
      <x:c r="I4029" s="6" t="str">
        <x:f>IF(D4013="","",IF(AND(ISNUMBER(SEARCH("平",D4013)),OR(ISNUMBER(SEARCH("上",D4013)),ISNUMBER(SEARCH("去",D4013)),ISNUMBER(SEARCH("入",D4013)))),"Ambiguous",IF(ISNUMBER(SEARCH("平",D4013)),"平","仄")))</x:f>
        <x:v>仄</x:v>
      </x:c>
      <x:c r="J4029" s="7" t="str"/>
    </x:row>
    <x:row r="4030">
      <x:c r="A4030" s="5" t="str">
        <x:v>輕</x:v>
      </x:c>
      <x:c r="B4030" s="6" t="str">
        <x:v>平</x:v>
      </x:c>
      <x:c r="C4030" s="6" t="str">
        <x:f>IF(B4030="","Needs decision","Ready")</x:f>
        <x:v>Ready</x:v>
      </x:c>
      <x:c r="D4030" s="6" t="str">
        <x:v>平</x:v>
      </x:c>
      <x:c r="E4030" s="6" t="str">
        <x:v>khjieng (A)</x:v>
      </x:c>
      <x:c r="F4030" s="6" t="str">
        <x:v>1</x:v>
      </x:c>
      <x:c r="G4030" s="6" t="str"/>
      <x:c r="H4030" s="6" t="str">
        <x:f>IF(B4030="平","平",IF(B4030="","","仄"))</x:f>
        <x:v>平</x:v>
      </x:c>
      <x:c r="I4030" s="6" t="str">
        <x:f>IF(D4014="","",IF(AND(ISNUMBER(SEARCH("平",D4014)),OR(ISNUMBER(SEARCH("上",D4014)),ISNUMBER(SEARCH("去",D4014)),ISNUMBER(SEARCH("入",D4014)))),"Ambiguous",IF(ISNUMBER(SEARCH("平",D4014)),"平","仄")))</x:f>
        <x:v>仄</x:v>
      </x:c>
      <x:c r="J4030" s="7" t="str"/>
    </x:row>
    <x:row r="4031">
      <x:c r="A4031" s="5" t="str">
        <x:v>輜</x:v>
      </x:c>
      <x:c r="B4031" s="6" t="str">
        <x:v>平</x:v>
      </x:c>
      <x:c r="C4031" s="6" t="str">
        <x:f>IF(B4031="","Needs decision","Ready")</x:f>
        <x:v>Ready</x:v>
      </x:c>
      <x:c r="D4031" s="6" t="str">
        <x:v>平</x:v>
      </x:c>
      <x:c r="E4031" s="6" t="str"/>
      <x:c r="F4031" s="6" t="str"/>
      <x:c r="G4031" s="6" t="str">
        <x:v>Manual user correction/addition</x:v>
      </x:c>
      <x:c r="H4031" s="6" t="str">
        <x:f>IF(B4031="平","平",IF(B4031="","","仄"))</x:f>
        <x:v>平</x:v>
      </x:c>
      <x:c r="I4031" s="6" t="str">
        <x:f>IF(D4015="","",IF(AND(ISNUMBER(SEARCH("平",D4015)),OR(ISNUMBER(SEARCH("上",D4015)),ISNUMBER(SEARCH("去",D4015)),ISNUMBER(SEARCH("入",D4015)))),"Ambiguous",IF(ISNUMBER(SEARCH("平",D4015)),"平","仄")))</x:f>
        <x:v>平</x:v>
      </x:c>
      <x:c r="J4031" s="7" t="str">
        <x:v>manual user correction</x:v>
      </x:c>
    </x:row>
    <x:row r="4032">
      <x:c r="A4032" s="5" t="str">
        <x:v>輝</x:v>
      </x:c>
      <x:c r="B4032" s="6" t="str">
        <x:v>平</x:v>
      </x:c>
      <x:c r="C4032" s="6" t="str">
        <x:f>IF(B4032="","Needs decision","Ready")</x:f>
        <x:v>Ready</x:v>
      </x:c>
      <x:c r="D4032" s="6" t="str">
        <x:v>平</x:v>
      </x:c>
      <x:c r="E4032" s="6" t="str">
        <x:v>xjw+j (A)</x:v>
      </x:c>
      <x:c r="F4032" s="6" t="str">
        <x:v>1</x:v>
      </x:c>
      <x:c r="G4032" s="6" t="str"/>
      <x:c r="H4032" s="6" t="str">
        <x:f>IF(B4032="平","平",IF(B4032="","","仄"))</x:f>
        <x:v>平</x:v>
      </x:c>
      <x:c r="I4032" s="6" t="str">
        <x:f>IF(D4016="","",IF(AND(ISNUMBER(SEARCH("平",D4016)),OR(ISNUMBER(SEARCH("上",D4016)),ISNUMBER(SEARCH("去",D4016)),ISNUMBER(SEARCH("入",D4016)))),"Ambiguous",IF(ISNUMBER(SEARCH("平",D4016)),"平","仄")))</x:f>
        <x:v>仄</x:v>
      </x:c>
      <x:c r="J4032" s="7" t="str"/>
    </x:row>
    <x:row r="4033">
      <x:c r="A4033" s="5" t="str">
        <x:v>輟</x:v>
      </x:c>
      <x:c r="B4033" s="6" t="str">
        <x:v>入</x:v>
      </x:c>
      <x:c r="C4033" s="6" t="str">
        <x:f>IF(B4033="","Needs decision","Ready")</x:f>
        <x:v>Ready</x:v>
      </x:c>
      <x:c r="D4033" s="6" t="str">
        <x:v>入</x:v>
      </x:c>
      <x:c r="E4033" s="6" t="str">
        <x:v>trjwet (D)</x:v>
      </x:c>
      <x:c r="F4033" s="6" t="str">
        <x:v>1</x:v>
      </x:c>
      <x:c r="G4033" s="6" t="str"/>
      <x:c r="H4033" s="6" t="str">
        <x:f>IF(B4033="平","平",IF(B4033="","","仄"))</x:f>
        <x:v>仄</x:v>
      </x:c>
      <x:c r="I4033" s="6" t="str">
        <x:f>IF(D4017="","",IF(AND(ISNUMBER(SEARCH("平",D4017)),OR(ISNUMBER(SEARCH("上",D4017)),ISNUMBER(SEARCH("去",D4017)),ISNUMBER(SEARCH("入",D4017)))),"Ambiguous",IF(ISNUMBER(SEARCH("平",D4017)),"平","仄")))</x:f>
        <x:v>平</x:v>
      </x:c>
      <x:c r="J4033" s="7" t="str"/>
    </x:row>
    <x:row r="4034">
      <x:c r="A4034" s="5" t="str">
        <x:v>輠</x:v>
      </x:c>
      <x:c r="B4034" s="6" t="str">
        <x:v>上</x:v>
      </x:c>
      <x:c r="C4034" s="6" t="str">
        <x:f>IF(B4034="","Needs decision","Ready")</x:f>
        <x:v>Ready</x:v>
      </x:c>
      <x:c r="D4034" s="6" t="str">
        <x:v>上</x:v>
      </x:c>
      <x:c r="E4034" s="6" t="str">
        <x:v>hwaeX (B); hwanX (B); hwojX (B)</x:v>
      </x:c>
      <x:c r="F4034" s="6" t="str">
        <x:v>3</x:v>
      </x:c>
      <x:c r="G4034" s="6" t="str"/>
      <x:c r="H4034" s="6" t="str">
        <x:f>IF(B4034="平","平",IF(B4034="","","仄"))</x:f>
        <x:v>仄</x:v>
      </x:c>
      <x:c r="I4034" s="6" t="str">
        <x:f>IF(D4018="","",IF(AND(ISNUMBER(SEARCH("平",D4018)),OR(ISNUMBER(SEARCH("上",D4018)),ISNUMBER(SEARCH("去",D4018)),ISNUMBER(SEARCH("入",D4018)))),"Ambiguous",IF(ISNUMBER(SEARCH("平",D4018)),"平","仄")))</x:f>
        <x:v>仄</x:v>
      </x:c>
      <x:c r="J4034" s="7" t="str"/>
    </x:row>
    <x:row r="4035">
      <x:c r="A4035" s="5" t="str">
        <x:v>輦</x:v>
      </x:c>
      <x:c r="B4035" s="6" t="str">
        <x:v>上</x:v>
      </x:c>
      <x:c r="C4035" s="6" t="str">
        <x:f>IF(B4035="","Needs decision","Ready")</x:f>
        <x:v>Ready</x:v>
      </x:c>
      <x:c r="D4035" s="6" t="str">
        <x:v>上</x:v>
      </x:c>
      <x:c r="E4035" s="6" t="str">
        <x:v>ljenX (B)</x:v>
      </x:c>
      <x:c r="F4035" s="6" t="str">
        <x:v>1</x:v>
      </x:c>
      <x:c r="G4035" s="6" t="str"/>
      <x:c r="H4035" s="6" t="str">
        <x:f>IF(B4035="平","平",IF(B4035="","","仄"))</x:f>
        <x:v>仄</x:v>
      </x:c>
      <x:c r="I4035" s="6" t="str">
        <x:f>IF(D4019="","",IF(AND(ISNUMBER(SEARCH("平",D4019)),OR(ISNUMBER(SEARCH("上",D4019)),ISNUMBER(SEARCH("去",D4019)),ISNUMBER(SEARCH("入",D4019)))),"Ambiguous",IF(ISNUMBER(SEARCH("平",D4019)),"平","仄")))</x:f>
        <x:v>仄</x:v>
      </x:c>
      <x:c r="J4035" s="7" t="str"/>
    </x:row>
    <x:row r="4036">
      <x:c r="A4036" s="5" t="str">
        <x:v>輩</x:v>
      </x:c>
      <x:c r="B4036" s="6" t="str">
        <x:v>去</x:v>
      </x:c>
      <x:c r="C4036" s="6" t="str">
        <x:f>IF(B4036="","Needs decision","Ready")</x:f>
        <x:v>Ready</x:v>
      </x:c>
      <x:c r="D4036" s="6" t="str">
        <x:v>去</x:v>
      </x:c>
      <x:c r="E4036" s="6" t="str">
        <x:v>pwojH [幫一灰去] p̙wəjh</x:v>
      </x:c>
      <x:c r="F4036" s="6" t="str">
        <x:v>1</x:v>
      </x:c>
      <x:c r="G4036" s="6" t="str">
        <x:v>Targeted preliminary fill from Xun Gong; review if uncertain</x:v>
      </x:c>
      <x:c r="H4036" s="6" t="str">
        <x:f>IF(B4036="平","平",IF(B4036="","","仄"))</x:f>
        <x:v>仄</x:v>
      </x:c>
      <x:c r="I4036" s="6" t="str">
        <x:f>IF(D4020="","",IF(AND(ISNUMBER(SEARCH("平",D4020)),OR(ISNUMBER(SEARCH("上",D4020)),ISNUMBER(SEARCH("去",D4020)),ISNUMBER(SEARCH("入",D4020)))),"Ambiguous",IF(ISNUMBER(SEARCH("平",D4020)),"平","仄")))</x:f>
        <x:v>平</x:v>
      </x:c>
      <x:c r="J4036" s="7" t="str">
        <x:v>Xun Gong character-readings.csv</x:v>
      </x:c>
    </x:row>
    <x:row r="4037">
      <x:c r="A4037" s="5" t="str">
        <x:v>輪</x:v>
      </x:c>
      <x:c r="B4037" s="6" t="str">
        <x:v>平</x:v>
      </x:c>
      <x:c r="C4037" s="6" t="str">
        <x:f>IF(B4037="","Needs decision","Ready")</x:f>
        <x:v>Ready</x:v>
      </x:c>
      <x:c r="D4037" s="6" t="str">
        <x:v>平</x:v>
      </x:c>
      <x:c r="E4037" s="6" t="str">
        <x:v>lwin (A)</x:v>
      </x:c>
      <x:c r="F4037" s="6" t="str">
        <x:v>1</x:v>
      </x:c>
      <x:c r="G4037" s="6" t="str"/>
      <x:c r="H4037" s="6" t="str">
        <x:f>IF(B4037="平","平",IF(B4037="","","仄"))</x:f>
        <x:v>平</x:v>
      </x:c>
      <x:c r="I4037" s="6" t="str">
        <x:f>IF(D4021="","",IF(AND(ISNUMBER(SEARCH("平",D4021)),OR(ISNUMBER(SEARCH("上",D4021)),ISNUMBER(SEARCH("去",D4021)),ISNUMBER(SEARCH("入",D4021)))),"Ambiguous",IF(ISNUMBER(SEARCH("平",D4021)),"平","仄")))</x:f>
        <x:v>仄</x:v>
      </x:c>
      <x:c r="J4037" s="7" t="str"/>
    </x:row>
    <x:row r="4038">
      <x:c r="A4038" s="5" t="str">
        <x:v>輯</x:v>
      </x:c>
      <x:c r="B4038" s="6" t="str">
        <x:v>入</x:v>
      </x:c>
      <x:c r="C4038" s="6" t="str">
        <x:f>IF(B4038="","Needs decision","Ready")</x:f>
        <x:v>Ready</x:v>
      </x:c>
      <x:c r="D4038" s="6" t="str">
        <x:v>入</x:v>
      </x:c>
      <x:c r="E4038" s="6" t="str">
        <x:v>dzip (D); tsrip (D)</x:v>
      </x:c>
      <x:c r="F4038" s="6" t="str">
        <x:v>2</x:v>
      </x:c>
      <x:c r="G4038" s="6" t="str"/>
      <x:c r="H4038" s="6" t="str">
        <x:f>IF(B4038="平","平",IF(B4038="","","仄"))</x:f>
        <x:v>仄</x:v>
      </x:c>
      <x:c r="I4038" s="6" t="str">
        <x:f>IF(D4022="","",IF(AND(ISNUMBER(SEARCH("平",D4022)),OR(ISNUMBER(SEARCH("上",D4022)),ISNUMBER(SEARCH("去",D4022)),ISNUMBER(SEARCH("入",D4022)))),"Ambiguous",IF(ISNUMBER(SEARCH("平",D4022)),"平","仄")))</x:f>
        <x:v>仄</x:v>
      </x:c>
      <x:c r="J4038" s="7" t="str"/>
    </x:row>
    <x:row r="4039">
      <x:c r="A4039" s="5" t="str">
        <x:v>輲</x:v>
      </x:c>
      <x:c r="B4039" s="6" t="str">
        <x:v>平</x:v>
      </x:c>
      <x:c r="C4039" s="6" t="str">
        <x:f>IF(B4039="","Needs decision","Ready")</x:f>
        <x:v>Ready</x:v>
      </x:c>
      <x:c r="D4039" s="6" t="str">
        <x:v>平</x:v>
      </x:c>
      <x:c r="E4039" s="6" t="str">
        <x:v>dzywen (A)</x:v>
      </x:c>
      <x:c r="F4039" s="6" t="str">
        <x:v>1</x:v>
      </x:c>
      <x:c r="G4039" s="6" t="str"/>
      <x:c r="H4039" s="6" t="str">
        <x:f>IF(B4039="平","平",IF(B4039="","","仄"))</x:f>
        <x:v>平</x:v>
      </x:c>
      <x:c r="I4039" s="6" t="str">
        <x:f>IF(D4023="","",IF(AND(ISNUMBER(SEARCH("平",D4023)),OR(ISNUMBER(SEARCH("上",D4023)),ISNUMBER(SEARCH("去",D4023)),ISNUMBER(SEARCH("入",D4023)))),"Ambiguous",IF(ISNUMBER(SEARCH("平",D4023)),"平","仄")))</x:f>
        <x:v>仄</x:v>
      </x:c>
      <x:c r="J4039" s="7" t="str"/>
    </x:row>
    <x:row r="4040">
      <x:c r="A4040" s="5" t="str">
        <x:v>輴</x:v>
      </x:c>
      <x:c r="B4040" s="6" t="str">
        <x:v>平</x:v>
      </x:c>
      <x:c r="C4040" s="6" t="str">
        <x:f>IF(B4040="","Needs decision","Ready")</x:f>
        <x:v>Ready</x:v>
      </x:c>
      <x:c r="D4040" s="6" t="str">
        <x:v>平</x:v>
      </x:c>
      <x:c r="E4040" s="6" t="str">
        <x:v>trhwin (A)</x:v>
      </x:c>
      <x:c r="F4040" s="6" t="str">
        <x:v>1</x:v>
      </x:c>
      <x:c r="G4040" s="6" t="str"/>
      <x:c r="H4040" s="6" t="str">
        <x:f>IF(B4040="平","平",IF(B4040="","","仄"))</x:f>
        <x:v>平</x:v>
      </x:c>
      <x:c r="I4040" s="6" t="str">
        <x:f>IF(D4024="","",IF(AND(ISNUMBER(SEARCH("平",D4024)),OR(ISNUMBER(SEARCH("上",D4024)),ISNUMBER(SEARCH("去",D4024)),ISNUMBER(SEARCH("入",D4024)))),"Ambiguous",IF(ISNUMBER(SEARCH("平",D4024)),"平","仄")))</x:f>
        <x:v>Ambiguous</x:v>
      </x:c>
      <x:c r="J4040" s="7" t="str"/>
    </x:row>
    <x:row r="4041">
      <x:c r="A4041" s="5" t="str">
        <x:v>輸</x:v>
      </x:c>
      <x:c r="B4041" s="6" t="str">
        <x:v>平</x:v>
      </x:c>
      <x:c r="C4041" s="6" t="str">
        <x:f>IF(B4041="","Needs decision","Ready")</x:f>
        <x:v>Ready</x:v>
      </x:c>
      <x:c r="D4041" s="6" t="str">
        <x:v>平</x:v>
      </x:c>
      <x:c r="E4041" s="6" t="str">
        <x:v>syu (A)</x:v>
      </x:c>
      <x:c r="F4041" s="6" t="str">
        <x:v>1</x:v>
      </x:c>
      <x:c r="G4041" s="6" t="str"/>
      <x:c r="H4041" s="6" t="str">
        <x:f>IF(B4041="平","平",IF(B4041="","","仄"))</x:f>
        <x:v>平</x:v>
      </x:c>
      <x:c r="I4041" s="6" t="str">
        <x:f>IF(D4025="","",IF(AND(ISNUMBER(SEARCH("平",D4025)),OR(ISNUMBER(SEARCH("上",D4025)),ISNUMBER(SEARCH("去",D4025)),ISNUMBER(SEARCH("入",D4025)))),"Ambiguous",IF(ISNUMBER(SEARCH("平",D4025)),"平","仄")))</x:f>
        <x:v>仄</x:v>
      </x:c>
      <x:c r="J4041" s="7" t="str"/>
    </x:row>
    <x:row r="4042">
      <x:c r="A4042" s="5" t="str">
        <x:v>輹</x:v>
      </x:c>
      <x:c r="B4042" s="6" t="str">
        <x:v>入</x:v>
      </x:c>
      <x:c r="C4042" s="6" t="str">
        <x:f>IF(B4042="","Needs decision","Ready")</x:f>
        <x:v>Ready</x:v>
      </x:c>
      <x:c r="D4042" s="6" t="str">
        <x:v>入</x:v>
      </x:c>
      <x:c r="E4042" s="6" t="str">
        <x:v>bjuwk (D)</x:v>
      </x:c>
      <x:c r="F4042" s="6" t="str">
        <x:v>1</x:v>
      </x:c>
      <x:c r="G4042" s="6" t="str"/>
      <x:c r="H4042" s="6" t="str">
        <x:f>IF(B4042="平","平",IF(B4042="","","仄"))</x:f>
        <x:v>仄</x:v>
      </x:c>
      <x:c r="I4042" s="6" t="str">
        <x:f>IF(D4026="","",IF(AND(ISNUMBER(SEARCH("平",D4026)),OR(ISNUMBER(SEARCH("上",D4026)),ISNUMBER(SEARCH("去",D4026)),ISNUMBER(SEARCH("入",D4026)))),"Ambiguous",IF(ISNUMBER(SEARCH("平",D4026)),"平","仄")))</x:f>
        <x:v>仄</x:v>
      </x:c>
      <x:c r="J4042" s="7" t="str"/>
    </x:row>
    <x:row r="4043">
      <x:c r="A4043" s="5" t="str">
        <x:v>輻</x:v>
      </x:c>
      <x:c r="B4043" s="6" t="str">
        <x:v>入</x:v>
      </x:c>
      <x:c r="C4043" s="6" t="str">
        <x:f>IF(B4043="","Needs decision","Ready")</x:f>
        <x:v>Ready</x:v>
      </x:c>
      <x:c r="D4043" s="6" t="str">
        <x:v>入</x:v>
      </x:c>
      <x:c r="E4043" s="6" t="str">
        <x:v>pjuwk (D)</x:v>
      </x:c>
      <x:c r="F4043" s="6" t="str">
        <x:v>1</x:v>
      </x:c>
      <x:c r="G4043" s="6" t="str"/>
      <x:c r="H4043" s="6" t="str">
        <x:f>IF(B4043="平","平",IF(B4043="","","仄"))</x:f>
        <x:v>仄</x:v>
      </x:c>
      <x:c r="I4043" s="6" t="str">
        <x:f>IF(D4027="","",IF(AND(ISNUMBER(SEARCH("平",D4027)),OR(ISNUMBER(SEARCH("上",D4027)),ISNUMBER(SEARCH("去",D4027)),ISNUMBER(SEARCH("入",D4027)))),"Ambiguous",IF(ISNUMBER(SEARCH("平",D4027)),"平","仄")))</x:f>
        <x:v>仄</x:v>
      </x:c>
      <x:c r="J4043" s="7" t="str"/>
    </x:row>
    <x:row r="4044">
      <x:c r="A4044" s="5" t="str">
        <x:v>輾</x:v>
      </x:c>
      <x:c r="B4044" s="6" t="str">
        <x:v>上</x:v>
      </x:c>
      <x:c r="C4044" s="6" t="str">
        <x:f>IF(B4044="","Needs decision","Ready")</x:f>
        <x:v>Ready</x:v>
      </x:c>
      <x:c r="D4044" s="6" t="str">
        <x:v>上</x:v>
      </x:c>
      <x:c r="E4044" s="6" t="str">
        <x:v>trjenX (B)</x:v>
      </x:c>
      <x:c r="F4044" s="6" t="str">
        <x:v>1</x:v>
      </x:c>
      <x:c r="G4044" s="6" t="str"/>
      <x:c r="H4044" s="6" t="str">
        <x:f>IF(B4044="平","平",IF(B4044="","","仄"))</x:f>
        <x:v>仄</x:v>
      </x:c>
      <x:c r="I4044" s="6" t="str">
        <x:f>IF(D4028="","",IF(AND(ISNUMBER(SEARCH("平",D4028)),OR(ISNUMBER(SEARCH("上",D4028)),ISNUMBER(SEARCH("去",D4028)),ISNUMBER(SEARCH("入",D4028)))),"Ambiguous",IF(ISNUMBER(SEARCH("平",D4028)),"平","仄")))</x:f>
        <x:v>仄</x:v>
      </x:c>
      <x:c r="J4044" s="7" t="str"/>
    </x:row>
    <x:row r="4045">
      <x:c r="A4045" s="5" t="str">
        <x:v>輿</x:v>
      </x:c>
      <x:c r="B4045" s="6" t="str">
        <x:v>平</x:v>
      </x:c>
      <x:c r="C4045" s="6" t="str">
        <x:f>IF(B4045="","Needs decision","Ready")</x:f>
        <x:v>Ready</x:v>
      </x:c>
      <x:c r="D4045" s="6" t="str">
        <x:v>平</x:v>
      </x:c>
      <x:c r="E4045" s="6" t="str">
        <x:v>yo (A)</x:v>
      </x:c>
      <x:c r="F4045" s="6" t="str">
        <x:v>1</x:v>
      </x:c>
      <x:c r="G4045" s="6" t="str"/>
      <x:c r="H4045" s="6" t="str">
        <x:f>IF(B4045="平","平",IF(B4045="","","仄"))</x:f>
        <x:v>平</x:v>
      </x:c>
      <x:c r="I4045" s="6" t="str">
        <x:f>IF(D4029="","",IF(AND(ISNUMBER(SEARCH("平",D4029)),OR(ISNUMBER(SEARCH("上",D4029)),ISNUMBER(SEARCH("去",D4029)),ISNUMBER(SEARCH("入",D4029)))),"Ambiguous",IF(ISNUMBER(SEARCH("平",D4029)),"平","仄")))</x:f>
        <x:v>仄</x:v>
      </x:c>
      <x:c r="J4045" s="7" t="str"/>
    </x:row>
    <x:row r="4046">
      <x:c r="A4046" s="5" t="str">
        <x:v>轂</x:v>
      </x:c>
      <x:c r="B4046" s="6" t="str">
        <x:v>入</x:v>
      </x:c>
      <x:c r="C4046" s="6" t="str">
        <x:f>IF(B4046="","Needs decision","Ready")</x:f>
        <x:v>Ready</x:v>
      </x:c>
      <x:c r="D4046" s="6" t="str">
        <x:v>入</x:v>
      </x:c>
      <x:c r="E4046" s="6" t="str">
        <x:v>kuwk (D)</x:v>
      </x:c>
      <x:c r="F4046" s="6" t="str">
        <x:v>1</x:v>
      </x:c>
      <x:c r="G4046" s="6" t="str"/>
      <x:c r="H4046" s="6" t="str">
        <x:f>IF(B4046="平","平",IF(B4046="","","仄"))</x:f>
        <x:v>仄</x:v>
      </x:c>
      <x:c r="I4046" s="6" t="str">
        <x:f>IF(D4030="","",IF(AND(ISNUMBER(SEARCH("平",D4030)),OR(ISNUMBER(SEARCH("上",D4030)),ISNUMBER(SEARCH("去",D4030)),ISNUMBER(SEARCH("入",D4030)))),"Ambiguous",IF(ISNUMBER(SEARCH("平",D4030)),"平","仄")))</x:f>
        <x:v>平</x:v>
      </x:c>
      <x:c r="J4046" s="7" t="str"/>
    </x:row>
    <x:row r="4047">
      <x:c r="A4047" s="5" t="str">
        <x:v>轄</x:v>
      </x:c>
      <x:c r="B4047" s="6" t="str">
        <x:v>入</x:v>
      </x:c>
      <x:c r="C4047" s="6" t="str">
        <x:f>IF(B4047="","Needs decision","Ready")</x:f>
        <x:v>Ready</x:v>
      </x:c>
      <x:c r="D4047" s="6" t="str">
        <x:v>入</x:v>
      </x:c>
      <x:c r="E4047" s="6" t="str">
        <x:v>haet (D)</x:v>
      </x:c>
      <x:c r="F4047" s="6" t="str">
        <x:v>1</x:v>
      </x:c>
      <x:c r="G4047" s="6" t="str"/>
      <x:c r="H4047" s="6" t="str">
        <x:f>IF(B4047="平","平",IF(B4047="","","仄"))</x:f>
        <x:v>仄</x:v>
      </x:c>
      <x:c r="I4047" s="6" t="str">
        <x:f>IF(D4031="","",IF(AND(ISNUMBER(SEARCH("平",D4031)),OR(ISNUMBER(SEARCH("上",D4031)),ISNUMBER(SEARCH("去",D4031)),ISNUMBER(SEARCH("入",D4031)))),"Ambiguous",IF(ISNUMBER(SEARCH("平",D4031)),"平","仄")))</x:f>
        <x:v>平</x:v>
      </x:c>
      <x:c r="J4047" s="7" t="str"/>
    </x:row>
    <x:row r="4048">
      <x:c r="A4048" s="5" t="str">
        <x:v>轅</x:v>
      </x:c>
      <x:c r="B4048" s="6" t="str">
        <x:v>平</x:v>
      </x:c>
      <x:c r="C4048" s="6" t="str">
        <x:f>IF(B4048="","Needs decision","Ready")</x:f>
        <x:v>Ready</x:v>
      </x:c>
      <x:c r="D4048" s="6" t="str">
        <x:v>平</x:v>
      </x:c>
      <x:c r="E4048" s="6" t="str">
        <x:v>hjwon (A)</x:v>
      </x:c>
      <x:c r="F4048" s="6" t="str">
        <x:v>1</x:v>
      </x:c>
      <x:c r="G4048" s="6" t="str"/>
      <x:c r="H4048" s="6" t="str">
        <x:f>IF(B4048="平","平",IF(B4048="","","仄"))</x:f>
        <x:v>平</x:v>
      </x:c>
      <x:c r="I4048" s="6" t="str">
        <x:f>IF(D4032="","",IF(AND(ISNUMBER(SEARCH("平",D4032)),OR(ISNUMBER(SEARCH("上",D4032)),ISNUMBER(SEARCH("去",D4032)),ISNUMBER(SEARCH("入",D4032)))),"Ambiguous",IF(ISNUMBER(SEARCH("平",D4032)),"平","仄")))</x:f>
        <x:v>平</x:v>
      </x:c>
      <x:c r="J4048" s="7" t="str"/>
    </x:row>
    <x:row r="4049">
      <x:c r="A4049" s="5" t="str">
        <x:v>轉</x:v>
      </x:c>
      <x:c r="B4049" s="6" t="str">
        <x:v>上</x:v>
      </x:c>
      <x:c r="C4049" s="6" t="str">
        <x:f>IF(B4049="","Needs decision","Ready")</x:f>
        <x:v>Ready</x:v>
      </x:c>
      <x:c r="D4049" s="6" t="str">
        <x:v>上</x:v>
      </x:c>
      <x:c r="E4049" s="6" t="str">
        <x:v>trjwenX (B)</x:v>
      </x:c>
      <x:c r="F4049" s="6" t="str">
        <x:v>1</x:v>
      </x:c>
      <x:c r="G4049" s="6" t="str"/>
      <x:c r="H4049" s="6" t="str">
        <x:f>IF(B4049="平","平",IF(B4049="","","仄"))</x:f>
        <x:v>仄</x:v>
      </x:c>
      <x:c r="I4049" s="6" t="str">
        <x:f>IF(D4033="","",IF(AND(ISNUMBER(SEARCH("平",D4033)),OR(ISNUMBER(SEARCH("上",D4033)),ISNUMBER(SEARCH("去",D4033)),ISNUMBER(SEARCH("入",D4033)))),"Ambiguous",IF(ISNUMBER(SEARCH("平",D4033)),"平","仄")))</x:f>
        <x:v>仄</x:v>
      </x:c>
      <x:c r="J4049" s="7" t="str"/>
    </x:row>
    <x:row r="4050">
      <x:c r="A4050" s="5" t="str">
        <x:v>轍</x:v>
      </x:c>
      <x:c r="B4050" s="6" t="str">
        <x:v>入</x:v>
      </x:c>
      <x:c r="C4050" s="6" t="str">
        <x:f>IF(B4050="","Needs decision","Ready")</x:f>
        <x:v>Ready</x:v>
      </x:c>
      <x:c r="D4050" s="6" t="str">
        <x:v>入</x:v>
      </x:c>
      <x:c r="E4050" s="6" t="str">
        <x:v>drjet (D)</x:v>
      </x:c>
      <x:c r="F4050" s="6" t="str">
        <x:v>1</x:v>
      </x:c>
      <x:c r="G4050" s="6" t="str"/>
      <x:c r="H4050" s="6" t="str">
        <x:f>IF(B4050="平","平",IF(B4050="","","仄"))</x:f>
        <x:v>仄</x:v>
      </x:c>
      <x:c r="I4050" s="6" t="str">
        <x:f>IF(D4034="","",IF(AND(ISNUMBER(SEARCH("平",D4034)),OR(ISNUMBER(SEARCH("上",D4034)),ISNUMBER(SEARCH("去",D4034)),ISNUMBER(SEARCH("入",D4034)))),"Ambiguous",IF(ISNUMBER(SEARCH("平",D4034)),"平","仄")))</x:f>
        <x:v>仄</x:v>
      </x:c>
      <x:c r="J4050" s="7" t="str"/>
    </x:row>
    <x:row r="4051">
      <x:c r="A4051" s="5" t="str">
        <x:v>轏</x:v>
      </x:c>
      <x:c r="B4051" s="6" t="str">
        <x:v>上</x:v>
      </x:c>
      <x:c r="C4051" s="6" t="str">
        <x:f>IF(B4051="","Needs decision","Ready")</x:f>
        <x:v>Ready</x:v>
      </x:c>
      <x:c r="D4051" s="6" t="str">
        <x:v>上</x:v>
      </x:c>
      <x:c r="E4051" s="6" t="str">
        <x:v>dzreanX (B)</x:v>
      </x:c>
      <x:c r="F4051" s="6" t="str">
        <x:v>1</x:v>
      </x:c>
      <x:c r="G4051" s="6" t="str"/>
      <x:c r="H4051" s="6" t="str">
        <x:f>IF(B4051="平","平",IF(B4051="","","仄"))</x:f>
        <x:v>仄</x:v>
      </x:c>
      <x:c r="I4051" s="6" t="str">
        <x:f>IF(D4035="","",IF(AND(ISNUMBER(SEARCH("平",D4035)),OR(ISNUMBER(SEARCH("上",D4035)),ISNUMBER(SEARCH("去",D4035)),ISNUMBER(SEARCH("入",D4035)))),"Ambiguous",IF(ISNUMBER(SEARCH("平",D4035)),"平","仄")))</x:f>
        <x:v>仄</x:v>
      </x:c>
      <x:c r="J4051" s="7" t="str"/>
    </x:row>
    <x:row r="4052">
      <x:c r="A4052" s="5" t="str">
        <x:v>轔</x:v>
      </x:c>
      <x:c r="B4052" s="6" t="str">
        <x:v>平</x:v>
      </x:c>
      <x:c r="C4052" s="6" t="str">
        <x:f>IF(B4052="","Needs decision","Ready")</x:f>
        <x:v>Ready</x:v>
      </x:c>
      <x:c r="D4052" s="6" t="str">
        <x:v>平</x:v>
      </x:c>
      <x:c r="E4052" s="6" t="str"/>
      <x:c r="F4052" s="6" t="str"/>
      <x:c r="G4052" s="6" t="str">
        <x:v>Manual user correction/addition</x:v>
      </x:c>
      <x:c r="H4052" s="6" t="str">
        <x:f>IF(B4052="平","平",IF(B4052="","","仄"))</x:f>
        <x:v>平</x:v>
      </x:c>
      <x:c r="I4052" s="6" t="str">
        <x:f>IF(D4036="","",IF(AND(ISNUMBER(SEARCH("平",D4036)),OR(ISNUMBER(SEARCH("上",D4036)),ISNUMBER(SEARCH("去",D4036)),ISNUMBER(SEARCH("入",D4036)))),"Ambiguous",IF(ISNUMBER(SEARCH("平",D4036)),"平","仄")))</x:f>
        <x:v>仄</x:v>
      </x:c>
      <x:c r="J4052" s="7" t="str">
        <x:v>manual user correction</x:v>
      </x:c>
    </x:row>
    <x:row r="4053">
      <x:c r="A4053" s="5" t="str">
        <x:v>轛</x:v>
      </x:c>
      <x:c r="B4053" s="6" t="str">
        <x:v>去</x:v>
      </x:c>
      <x:c r="C4053" s="6" t="str">
        <x:f>IF(B4053="","Needs decision","Ready")</x:f>
        <x:v>Ready</x:v>
      </x:c>
      <x:c r="D4053" s="6" t="str">
        <x:v>去</x:v>
      </x:c>
      <x:c r="E4053" s="6" t="str">
        <x:v>trwijH (C)</x:v>
      </x:c>
      <x:c r="F4053" s="6" t="str">
        <x:v>1</x:v>
      </x:c>
      <x:c r="G4053" s="6" t="str"/>
      <x:c r="H4053" s="6" t="str">
        <x:f>IF(B4053="平","平",IF(B4053="","","仄"))</x:f>
        <x:v>仄</x:v>
      </x:c>
      <x:c r="I4053" s="6" t="str">
        <x:f>IF(D4037="","",IF(AND(ISNUMBER(SEARCH("平",D4037)),OR(ISNUMBER(SEARCH("上",D4037)),ISNUMBER(SEARCH("去",D4037)),ISNUMBER(SEARCH("入",D4037)))),"Ambiguous",IF(ISNUMBER(SEARCH("平",D4037)),"平","仄")))</x:f>
        <x:v>平</x:v>
      </x:c>
      <x:c r="J4053" s="7" t="str"/>
    </x:row>
    <x:row r="4054">
      <x:c r="A4054" s="5" t="str">
        <x:v>轡</x:v>
      </x:c>
      <x:c r="B4054" s="6" t="str">
        <x:v>去</x:v>
      </x:c>
      <x:c r="C4054" s="6" t="str">
        <x:f>IF(B4054="","Needs decision","Ready")</x:f>
        <x:v>Ready</x:v>
      </x:c>
      <x:c r="D4054" s="6" t="str">
        <x:v>去</x:v>
      </x:c>
      <x:c r="E4054" s="6" t="str">
        <x:v>pijH (C)</x:v>
      </x:c>
      <x:c r="F4054" s="6" t="str">
        <x:v>1</x:v>
      </x:c>
      <x:c r="G4054" s="6" t="str"/>
      <x:c r="H4054" s="6" t="str">
        <x:f>IF(B4054="平","平",IF(B4054="","","仄"))</x:f>
        <x:v>仄</x:v>
      </x:c>
      <x:c r="I4054" s="6" t="str">
        <x:f>IF(D4038="","",IF(AND(ISNUMBER(SEARCH("平",D4038)),OR(ISNUMBER(SEARCH("上",D4038)),ISNUMBER(SEARCH("去",D4038)),ISNUMBER(SEARCH("入",D4038)))),"Ambiguous",IF(ISNUMBER(SEARCH("平",D4038)),"平","仄")))</x:f>
        <x:v>仄</x:v>
      </x:c>
      <x:c r="J4054" s="7" t="str"/>
    </x:row>
    <x:row r="4055">
      <x:c r="A4055" s="5" t="str">
        <x:v>轢</x:v>
      </x:c>
      <x:c r="B4055" s="6" t="str">
        <x:v>入</x:v>
      </x:c>
      <x:c r="C4055" s="6" t="str">
        <x:f>IF(B4055="","Needs decision","Ready")</x:f>
        <x:v>Ready</x:v>
      </x:c>
      <x:c r="D4055" s="6" t="str">
        <x:v>入</x:v>
      </x:c>
      <x:c r="E4055" s="6" t="str">
        <x:v>lak (D); lek (D)</x:v>
      </x:c>
      <x:c r="F4055" s="6" t="str">
        <x:v>2</x:v>
      </x:c>
      <x:c r="G4055" s="6" t="str"/>
      <x:c r="H4055" s="6" t="str">
        <x:f>IF(B4055="平","平",IF(B4055="","","仄"))</x:f>
        <x:v>仄</x:v>
      </x:c>
      <x:c r="I4055" s="6" t="str">
        <x:f>IF(D4039="","",IF(AND(ISNUMBER(SEARCH("平",D4039)),OR(ISNUMBER(SEARCH("上",D4039)),ISNUMBER(SEARCH("去",D4039)),ISNUMBER(SEARCH("入",D4039)))),"Ambiguous",IF(ISNUMBER(SEARCH("平",D4039)),"平","仄")))</x:f>
        <x:v>平</x:v>
      </x:c>
      <x:c r="J4055" s="7" t="str"/>
    </x:row>
    <x:row r="4056">
      <x:c r="A4056" s="5" t="str">
        <x:v>辛</x:v>
      </x:c>
      <x:c r="B4056" s="6" t="str">
        <x:v>平</x:v>
      </x:c>
      <x:c r="C4056" s="6" t="str">
        <x:f>IF(B4056="","Needs decision","Ready")</x:f>
        <x:v>Ready</x:v>
      </x:c>
      <x:c r="D4056" s="6" t="str">
        <x:v>平</x:v>
      </x:c>
      <x:c r="E4056" s="6" t="str">
        <x:v>sin (A)</x:v>
      </x:c>
      <x:c r="F4056" s="6" t="str">
        <x:v>1</x:v>
      </x:c>
      <x:c r="G4056" s="6" t="str"/>
      <x:c r="H4056" s="6" t="str">
        <x:f>IF(B4056="平","平",IF(B4056="","","仄"))</x:f>
        <x:v>平</x:v>
      </x:c>
      <x:c r="I4056" s="6" t="str">
        <x:f>IF(D4040="","",IF(AND(ISNUMBER(SEARCH("平",D4040)),OR(ISNUMBER(SEARCH("上",D4040)),ISNUMBER(SEARCH("去",D4040)),ISNUMBER(SEARCH("入",D4040)))),"Ambiguous",IF(ISNUMBER(SEARCH("平",D4040)),"平","仄")))</x:f>
        <x:v>平</x:v>
      </x:c>
      <x:c r="J4056" s="7" t="str"/>
    </x:row>
    <x:row r="4057">
      <x:c r="A4057" s="5" t="str">
        <x:v>辜</x:v>
      </x:c>
      <x:c r="B4057" s="6" t="str">
        <x:v>平</x:v>
      </x:c>
      <x:c r="C4057" s="6" t="str">
        <x:f>IF(B4057="","Needs decision","Ready")</x:f>
        <x:v>Ready</x:v>
      </x:c>
      <x:c r="D4057" s="6" t="str">
        <x:v>平</x:v>
      </x:c>
      <x:c r="E4057" s="6" t="str">
        <x:v>ku [qo] (平)</x:v>
      </x:c>
      <x:c r="F4057" s="6" t="str">
        <x:v>1</x:v>
      </x:c>
      <x:c r="G4057" s="6" t="str">
        <x:v>Tang 300 gap; frequency 1; provisional from Xun Gong</x:v>
      </x:c>
      <x:c r="H4057" s="6" t="str">
        <x:f>IF(B4057="平","平",IF(B4057="","","仄"))</x:f>
        <x:v>平</x:v>
      </x:c>
      <x:c r="I4057" s="6" t="str">
        <x:f>IF(D4041="","",IF(AND(ISNUMBER(SEARCH("平",D4041)),OR(ISNUMBER(SEARCH("上",D4041)),ISNUMBER(SEARCH("去",D4041)),ISNUMBER(SEARCH("入",D4041)))),"Ambiguous",IF(ISNUMBER(SEARCH("平",D4041)),"平","仄")))</x:f>
        <x:v>平</x:v>
      </x:c>
      <x:c r="J4057" s="7" t="str">
        <x:v>Xun Gong, Tang 300 gap fill</x:v>
      </x:c>
    </x:row>
    <x:row r="4058">
      <x:c r="A4058" s="5" t="str">
        <x:v>辟</x:v>
      </x:c>
      <x:c r="B4058" s="6" t="str">
        <x:v>入</x:v>
      </x:c>
      <x:c r="C4058" s="6" t="str">
        <x:f>IF(B4058="","Needs decision","Ready")</x:f>
        <x:v>Ready</x:v>
      </x:c>
      <x:c r="D4058" s="6" t="str">
        <x:v>入</x:v>
      </x:c>
      <x:c r="E4058" s="6" t="str">
        <x:v>bek (D); bjiek (D); pjiek (D)</x:v>
      </x:c>
      <x:c r="F4058" s="6" t="str">
        <x:v>3</x:v>
      </x:c>
      <x:c r="G4058" s="6" t="str"/>
      <x:c r="H4058" s="6" t="str">
        <x:f>IF(B4058="平","平",IF(B4058="","","仄"))</x:f>
        <x:v>仄</x:v>
      </x:c>
      <x:c r="I4058" s="6" t="str">
        <x:f>IF(D4042="","",IF(AND(ISNUMBER(SEARCH("平",D4042)),OR(ISNUMBER(SEARCH("上",D4042)),ISNUMBER(SEARCH("去",D4042)),ISNUMBER(SEARCH("入",D4042)))),"Ambiguous",IF(ISNUMBER(SEARCH("平",D4042)),"平","仄")))</x:f>
        <x:v>仄</x:v>
      </x:c>
      <x:c r="J4058" s="7" t="str"/>
    </x:row>
    <x:row r="4059">
      <x:c r="A4059" s="5" t="str">
        <x:v>辡</x:v>
      </x:c>
      <x:c r="B4059" s="6" t="str">
        <x:v>上</x:v>
      </x:c>
      <x:c r="C4059" s="6" t="str">
        <x:f>IF(B4059="","Needs decision","Ready")</x:f>
        <x:v>Ready</x:v>
      </x:c>
      <x:c r="D4059" s="6" t="str">
        <x:v>上</x:v>
      </x:c>
      <x:c r="E4059" s="6" t="str">
        <x:v>pjenX (B)</x:v>
      </x:c>
      <x:c r="F4059" s="6" t="str">
        <x:v>1</x:v>
      </x:c>
      <x:c r="G4059" s="6" t="str"/>
      <x:c r="H4059" s="6" t="str">
        <x:f>IF(B4059="平","平",IF(B4059="","","仄"))</x:f>
        <x:v>仄</x:v>
      </x:c>
      <x:c r="I4059" s="6" t="str">
        <x:f>IF(D4043="","",IF(AND(ISNUMBER(SEARCH("平",D4043)),OR(ISNUMBER(SEARCH("上",D4043)),ISNUMBER(SEARCH("去",D4043)),ISNUMBER(SEARCH("入",D4043)))),"Ambiguous",IF(ISNUMBER(SEARCH("平",D4043)),"平","仄")))</x:f>
        <x:v>仄</x:v>
      </x:c>
      <x:c r="J4059" s="7" t="str"/>
    </x:row>
    <x:row r="4060">
      <x:c r="A4060" s="5" t="str">
        <x:v>辣</x:v>
      </x:c>
      <x:c r="B4060" s="6" t="str">
        <x:v>入</x:v>
      </x:c>
      <x:c r="C4060" s="6" t="str">
        <x:f>IF(B4060="","Needs decision","Ready")</x:f>
        <x:v>Ready</x:v>
      </x:c>
      <x:c r="D4060" s="6" t="str">
        <x:v>入</x:v>
      </x:c>
      <x:c r="E4060" s="6" t="str">
        <x:v>lat (D)</x:v>
      </x:c>
      <x:c r="F4060" s="6" t="str">
        <x:v>1</x:v>
      </x:c>
      <x:c r="G4060" s="6" t="str"/>
      <x:c r="H4060" s="6" t="str">
        <x:f>IF(B4060="平","平",IF(B4060="","","仄"))</x:f>
        <x:v>仄</x:v>
      </x:c>
      <x:c r="I4060" s="6" t="str">
        <x:f>IF(D4044="","",IF(AND(ISNUMBER(SEARCH("平",D4044)),OR(ISNUMBER(SEARCH("上",D4044)),ISNUMBER(SEARCH("去",D4044)),ISNUMBER(SEARCH("入",D4044)))),"Ambiguous",IF(ISNUMBER(SEARCH("平",D4044)),"平","仄")))</x:f>
        <x:v>仄</x:v>
      </x:c>
      <x:c r="J4060" s="7" t="str"/>
    </x:row>
    <x:row r="4061">
      <x:c r="A4061" s="5" t="str">
        <x:v>辥</x:v>
      </x:c>
      <x:c r="B4061" s="6" t="str">
        <x:v>入</x:v>
      </x:c>
      <x:c r="C4061" s="6" t="str">
        <x:f>IF(B4061="","Needs decision","Ready")</x:f>
        <x:v>Ready</x:v>
      </x:c>
      <x:c r="D4061" s="6" t="str">
        <x:v>入</x:v>
      </x:c>
      <x:c r="E4061" s="6" t="str">
        <x:v>sjet (D)</x:v>
      </x:c>
      <x:c r="F4061" s="6" t="str">
        <x:v>1</x:v>
      </x:c>
      <x:c r="G4061" s="6" t="str"/>
      <x:c r="H4061" s="6" t="str">
        <x:f>IF(B4061="平","平",IF(B4061="","","仄"))</x:f>
        <x:v>仄</x:v>
      </x:c>
      <x:c r="I4061" s="6" t="str">
        <x:f>IF(D4045="","",IF(AND(ISNUMBER(SEARCH("平",D4045)),OR(ISNUMBER(SEARCH("上",D4045)),ISNUMBER(SEARCH("去",D4045)),ISNUMBER(SEARCH("入",D4045)))),"Ambiguous",IF(ISNUMBER(SEARCH("平",D4045)),"平","仄")))</x:f>
        <x:v>平</x:v>
      </x:c>
      <x:c r="J4061" s="7" t="str"/>
    </x:row>
    <x:row r="4062">
      <x:c r="A4062" s="5" t="str">
        <x:v>辦</x:v>
      </x:c>
      <x:c r="B4062" s="6" t="str">
        <x:v>去</x:v>
      </x:c>
      <x:c r="C4062" s="6" t="str">
        <x:f>IF(B4062="","Needs decision","Ready")</x:f>
        <x:v>Ready</x:v>
      </x:c>
      <x:c r="D4062" s="6" t="str">
        <x:v>去</x:v>
      </x:c>
      <x:c r="E4062" s="6" t="str">
        <x:v>beanH (C)</x:v>
      </x:c>
      <x:c r="F4062" s="6" t="str">
        <x:v>1</x:v>
      </x:c>
      <x:c r="G4062" s="6" t="str"/>
      <x:c r="H4062" s="6" t="str">
        <x:f>IF(B4062="平","平",IF(B4062="","","仄"))</x:f>
        <x:v>仄</x:v>
      </x:c>
      <x:c r="I4062" s="6" t="str">
        <x:f>IF(D4046="","",IF(AND(ISNUMBER(SEARCH("平",D4046)),OR(ISNUMBER(SEARCH("上",D4046)),ISNUMBER(SEARCH("去",D4046)),ISNUMBER(SEARCH("入",D4046)))),"Ambiguous",IF(ISNUMBER(SEARCH("平",D4046)),"平","仄")))</x:f>
        <x:v>仄</x:v>
      </x:c>
      <x:c r="J4062" s="7" t="str"/>
    </x:row>
    <x:row r="4063">
      <x:c r="A4063" s="5" t="str">
        <x:v>辨</x:v>
      </x:c>
      <x:c r="B4063" s="6" t="str">
        <x:v>上</x:v>
      </x:c>
      <x:c r="C4063" s="6" t="str">
        <x:f>IF(B4063="","Needs decision","Ready")</x:f>
        <x:v>Ready</x:v>
      </x:c>
      <x:c r="D4063" s="6" t="str">
        <x:v>上</x:v>
      </x:c>
      <x:c r="E4063" s="6" t="str">
        <x:v>bjenX (B)</x:v>
      </x:c>
      <x:c r="F4063" s="6" t="str">
        <x:v>1</x:v>
      </x:c>
      <x:c r="G4063" s="6" t="str"/>
      <x:c r="H4063" s="6" t="str">
        <x:f>IF(B4063="平","平",IF(B4063="","","仄"))</x:f>
        <x:v>仄</x:v>
      </x:c>
      <x:c r="I4063" s="6" t="str">
        <x:f>IF(D4047="","",IF(AND(ISNUMBER(SEARCH("平",D4047)),OR(ISNUMBER(SEARCH("上",D4047)),ISNUMBER(SEARCH("去",D4047)),ISNUMBER(SEARCH("入",D4047)))),"Ambiguous",IF(ISNUMBER(SEARCH("平",D4047)),"平","仄")))</x:f>
        <x:v>仄</x:v>
      </x:c>
      <x:c r="J4063" s="7" t="str"/>
    </x:row>
    <x:row r="4064">
      <x:c r="A4064" s="5" t="str">
        <x:v>辭</x:v>
      </x:c>
      <x:c r="B4064" s="6" t="str">
        <x:v>平</x:v>
      </x:c>
      <x:c r="C4064" s="6" t="str">
        <x:f>IF(B4064="","Needs decision","Ready")</x:f>
        <x:v>Ready</x:v>
      </x:c>
      <x:c r="D4064" s="6" t="str">
        <x:v>平</x:v>
      </x:c>
      <x:c r="E4064" s="6" t="str">
        <x:v>zi (A)</x:v>
      </x:c>
      <x:c r="F4064" s="6" t="str">
        <x:v>1</x:v>
      </x:c>
      <x:c r="G4064" s="6" t="str"/>
      <x:c r="H4064" s="6" t="str">
        <x:f>IF(B4064="平","平",IF(B4064="","","仄"))</x:f>
        <x:v>平</x:v>
      </x:c>
      <x:c r="I4064" s="6" t="str">
        <x:f>IF(D4048="","",IF(AND(ISNUMBER(SEARCH("平",D4048)),OR(ISNUMBER(SEARCH("上",D4048)),ISNUMBER(SEARCH("去",D4048)),ISNUMBER(SEARCH("入",D4048)))),"Ambiguous",IF(ISNUMBER(SEARCH("平",D4048)),"平","仄")))</x:f>
        <x:v>平</x:v>
      </x:c>
      <x:c r="J4064" s="7" t="str"/>
    </x:row>
    <x:row r="4065">
      <x:c r="A4065" s="5" t="str">
        <x:v>辮</x:v>
      </x:c>
      <x:c r="B4065" s="6" t="str">
        <x:v>上</x:v>
      </x:c>
      <x:c r="C4065" s="6" t="str">
        <x:f>IF(B4065="","Needs decision","Ready")</x:f>
        <x:v>Ready</x:v>
      </x:c>
      <x:c r="D4065" s="6" t="str">
        <x:v>上</x:v>
      </x:c>
      <x:c r="E4065" s="6" t="str">
        <x:v>benX (B)</x:v>
      </x:c>
      <x:c r="F4065" s="6" t="str">
        <x:v>1</x:v>
      </x:c>
      <x:c r="G4065" s="6" t="str"/>
      <x:c r="H4065" s="6" t="str">
        <x:f>IF(B4065="平","平",IF(B4065="","","仄"))</x:f>
        <x:v>仄</x:v>
      </x:c>
      <x:c r="I4065" s="6" t="str">
        <x:f>IF(D4049="","",IF(AND(ISNUMBER(SEARCH("平",D4049)),OR(ISNUMBER(SEARCH("上",D4049)),ISNUMBER(SEARCH("去",D4049)),ISNUMBER(SEARCH("入",D4049)))),"Ambiguous",IF(ISNUMBER(SEARCH("平",D4049)),"平","仄")))</x:f>
        <x:v>仄</x:v>
      </x:c>
      <x:c r="J4065" s="7" t="str"/>
    </x:row>
    <x:row r="4066">
      <x:c r="A4066" s="5" t="str">
        <x:v>辯</x:v>
      </x:c>
      <x:c r="B4066" s="6" t="str">
        <x:v>上</x:v>
      </x:c>
      <x:c r="C4066" s="6" t="str">
        <x:f>IF(B4066="","Needs decision","Ready")</x:f>
        <x:v>Ready</x:v>
      </x:c>
      <x:c r="D4066" s="6" t="str">
        <x:v>上</x:v>
      </x:c>
      <x:c r="E4066" s="6" t="str">
        <x:v>bjenX (B)</x:v>
      </x:c>
      <x:c r="F4066" s="6" t="str">
        <x:v>1</x:v>
      </x:c>
      <x:c r="G4066" s="6" t="str"/>
      <x:c r="H4066" s="6" t="str">
        <x:f>IF(B4066="平","平",IF(B4066="","","仄"))</x:f>
        <x:v>仄</x:v>
      </x:c>
      <x:c r="I4066" s="6" t="str">
        <x:f>IF(D4050="","",IF(AND(ISNUMBER(SEARCH("平",D4050)),OR(ISNUMBER(SEARCH("上",D4050)),ISNUMBER(SEARCH("去",D4050)),ISNUMBER(SEARCH("入",D4050)))),"Ambiguous",IF(ISNUMBER(SEARCH("平",D4050)),"平","仄")))</x:f>
        <x:v>仄</x:v>
      </x:c>
      <x:c r="J4066" s="7" t="str"/>
    </x:row>
    <x:row r="4067">
      <x:c r="A4067" s="5" t="str">
        <x:v>辰</x:v>
      </x:c>
      <x:c r="B4067" s="6" t="str">
        <x:v>平</x:v>
      </x:c>
      <x:c r="C4067" s="6" t="str">
        <x:f>IF(B4067="","Needs decision","Ready")</x:f>
        <x:v>Ready</x:v>
      </x:c>
      <x:c r="D4067" s="6" t="str">
        <x:v>平</x:v>
      </x:c>
      <x:c r="E4067" s="6" t="str">
        <x:v>dzyin (A)</x:v>
      </x:c>
      <x:c r="F4067" s="6" t="str">
        <x:v>1</x:v>
      </x:c>
      <x:c r="G4067" s="6" t="str"/>
      <x:c r="H4067" s="6" t="str">
        <x:f>IF(B4067="平","平",IF(B4067="","","仄"))</x:f>
        <x:v>平</x:v>
      </x:c>
      <x:c r="I4067" s="6" t="str">
        <x:f>IF(D4051="","",IF(AND(ISNUMBER(SEARCH("平",D4051)),OR(ISNUMBER(SEARCH("上",D4051)),ISNUMBER(SEARCH("去",D4051)),ISNUMBER(SEARCH("入",D4051)))),"Ambiguous",IF(ISNUMBER(SEARCH("平",D4051)),"平","仄")))</x:f>
        <x:v>仄</x:v>
      </x:c>
      <x:c r="J4067" s="7" t="str"/>
    </x:row>
    <x:row r="4068">
      <x:c r="A4068" s="5" t="str">
        <x:v>辱</x:v>
      </x:c>
      <x:c r="B4068" s="6" t="str">
        <x:v>入</x:v>
      </x:c>
      <x:c r="C4068" s="6" t="str">
        <x:f>IF(B4068="","Needs decision","Ready")</x:f>
        <x:v>Ready</x:v>
      </x:c>
      <x:c r="D4068" s="6" t="str">
        <x:v>入</x:v>
      </x:c>
      <x:c r="E4068" s="6" t="str">
        <x:v>nyowk (D)</x:v>
      </x:c>
      <x:c r="F4068" s="6" t="str">
        <x:v>1</x:v>
      </x:c>
      <x:c r="G4068" s="6" t="str"/>
      <x:c r="H4068" s="6" t="str">
        <x:f>IF(B4068="平","平",IF(B4068="","","仄"))</x:f>
        <x:v>仄</x:v>
      </x:c>
      <x:c r="I4068" s="6" t="str">
        <x:f>IF(D4052="","",IF(AND(ISNUMBER(SEARCH("平",D4052)),OR(ISNUMBER(SEARCH("上",D4052)),ISNUMBER(SEARCH("去",D4052)),ISNUMBER(SEARCH("入",D4052)))),"Ambiguous",IF(ISNUMBER(SEARCH("平",D4052)),"平","仄")))</x:f>
        <x:v>平</x:v>
      </x:c>
      <x:c r="J4068" s="7" t="str"/>
    </x:row>
    <x:row r="4069">
      <x:c r="A4069" s="5" t="str">
        <x:v>農</x:v>
      </x:c>
      <x:c r="B4069" s="6" t="str">
        <x:v>平</x:v>
      </x:c>
      <x:c r="C4069" s="6" t="str">
        <x:f>IF(B4069="","Needs decision","Ready")</x:f>
        <x:v>Ready</x:v>
      </x:c>
      <x:c r="D4069" s="6" t="str">
        <x:v>平</x:v>
      </x:c>
      <x:c r="E4069" s="6" t="str">
        <x:v>nowng (A)</x:v>
      </x:c>
      <x:c r="F4069" s="6" t="str">
        <x:v>1</x:v>
      </x:c>
      <x:c r="G4069" s="6" t="str"/>
      <x:c r="H4069" s="6" t="str">
        <x:f>IF(B4069="平","平",IF(B4069="","","仄"))</x:f>
        <x:v>平</x:v>
      </x:c>
      <x:c r="I4069" s="6" t="str">
        <x:f>IF(D4053="","",IF(AND(ISNUMBER(SEARCH("平",D4053)),OR(ISNUMBER(SEARCH("上",D4053)),ISNUMBER(SEARCH("去",D4053)),ISNUMBER(SEARCH("入",D4053)))),"Ambiguous",IF(ISNUMBER(SEARCH("平",D4053)),"平","仄")))</x:f>
        <x:v>仄</x:v>
      </x:c>
      <x:c r="J4069" s="7" t="str"/>
    </x:row>
    <x:row r="4070">
      <x:c r="A4070" s="5" t="str">
        <x:v>辴</x:v>
      </x:c>
      <x:c r="B4070" s="6" t="str"/>
      <x:c r="C4070" s="6" t="str">
        <x:f>IF(B4070="","Needs decision","Ready")</x:f>
        <x:v>Needs decision</x:v>
      </x:c>
      <x:c r="D4070" s="6" t="str">
        <x:v>平/上</x:v>
      </x:c>
      <x:c r="E4070" s="6" t="str">
        <x:v>trhij (A); trhinX (B)</x:v>
      </x:c>
      <x:c r="F4070" s="6" t="str">
        <x:v>2</x:v>
      </x:c>
      <x:c r="G4070" s="6" t="str"/>
      <x:c r="H4070" s="6" t="str">
        <x:f>IF(B4070="平","平",IF(B4070="","","仄"))</x:f>
      </x:c>
      <x:c r="I4070" s="6" t="str">
        <x:f>IF(D4054="","",IF(AND(ISNUMBER(SEARCH("平",D4054)),OR(ISNUMBER(SEARCH("上",D4054)),ISNUMBER(SEARCH("去",D4054)),ISNUMBER(SEARCH("入",D4054)))),"Ambiguous",IF(ISNUMBER(SEARCH("平",D4054)),"平","仄")))</x:f>
        <x:v>仄</x:v>
      </x:c>
      <x:c r="J4070" s="7" t="str"/>
    </x:row>
    <x:row r="4071">
      <x:c r="A4071" s="5" t="str">
        <x:v>迂</x:v>
      </x:c>
      <x:c r="B4071" s="6" t="str">
        <x:v>平</x:v>
      </x:c>
      <x:c r="C4071" s="6" t="str">
        <x:f>IF(B4071="","Needs decision","Ready")</x:f>
        <x:v>Ready</x:v>
      </x:c>
      <x:c r="D4071" s="6" t="str">
        <x:v>平</x:v>
      </x:c>
      <x:c r="E4071" s="6" t="str">
        <x:v>'ju (A); hju (A)</x:v>
      </x:c>
      <x:c r="F4071" s="6" t="str">
        <x:v>2</x:v>
      </x:c>
      <x:c r="G4071" s="6" t="str"/>
      <x:c r="H4071" s="6" t="str">
        <x:f>IF(B4071="平","平",IF(B4071="","","仄"))</x:f>
        <x:v>平</x:v>
      </x:c>
      <x:c r="I4071" s="6" t="str">
        <x:f>IF(D4055="","",IF(AND(ISNUMBER(SEARCH("平",D4055)),OR(ISNUMBER(SEARCH("上",D4055)),ISNUMBER(SEARCH("去",D4055)),ISNUMBER(SEARCH("入",D4055)))),"Ambiguous",IF(ISNUMBER(SEARCH("平",D4055)),"平","仄")))</x:f>
        <x:v>仄</x:v>
      </x:c>
      <x:c r="J4071" s="7" t="str"/>
    </x:row>
    <x:row r="4072">
      <x:c r="A4072" s="5" t="str">
        <x:v>迅</x:v>
      </x:c>
      <x:c r="B4072" s="6" t="str">
        <x:v>去</x:v>
      </x:c>
      <x:c r="C4072" s="6" t="str">
        <x:f>IF(B4072="","Needs decision","Ready")</x:f>
        <x:v>Ready</x:v>
      </x:c>
      <x:c r="D4072" s="6" t="str">
        <x:v>去</x:v>
      </x:c>
      <x:c r="E4072" s="6" t="str">
        <x:v>swinH [心合三真去] sjwinh; sinH [心開三真去] sinh</x:v>
      </x:c>
      <x:c r="F4072" s="6" t="str">
        <x:v>2</x:v>
      </x:c>
      <x:c r="G4072" s="6" t="str">
        <x:v>Targeted preliminary fill from Xun Gong; review if uncertain</x:v>
      </x:c>
      <x:c r="H4072" s="6" t="str">
        <x:f>IF(B4072="平","平",IF(B4072="","","仄"))</x:f>
        <x:v>仄</x:v>
      </x:c>
      <x:c r="I4072" s="6" t="str">
        <x:f>IF(D4056="","",IF(AND(ISNUMBER(SEARCH("平",D4056)),OR(ISNUMBER(SEARCH("上",D4056)),ISNUMBER(SEARCH("去",D4056)),ISNUMBER(SEARCH("入",D4056)))),"Ambiguous",IF(ISNUMBER(SEARCH("平",D4056)),"平","仄")))</x:f>
        <x:v>平</x:v>
      </x:c>
      <x:c r="J4072" s="7" t="str">
        <x:v>Xun Gong character-readings.csv</x:v>
      </x:c>
    </x:row>
    <x:row r="4073">
      <x:c r="A4073" s="5" t="str">
        <x:v>迋</x:v>
      </x:c>
      <x:c r="B4073" s="6" t="str"/>
      <x:c r="C4073" s="6" t="str">
        <x:f>IF(B4073="","Needs decision","Ready")</x:f>
        <x:v>Needs decision</x:v>
      </x:c>
      <x:c r="D4073" s="6" t="str">
        <x:v>上/去</x:v>
      </x:c>
      <x:c r="E4073" s="6" t="str">
        <x:v>hjwangX (B); hjwangH (C)</x:v>
      </x:c>
      <x:c r="F4073" s="6" t="str">
        <x:v>2</x:v>
      </x:c>
      <x:c r="G4073" s="6" t="str"/>
      <x:c r="H4073" s="6" t="str">
        <x:f>IF(B4073="平","平",IF(B4073="","","仄"))</x:f>
      </x:c>
      <x:c r="I4073" s="6" t="str">
        <x:f>IF(D4057="","",IF(AND(ISNUMBER(SEARCH("平",D4057)),OR(ISNUMBER(SEARCH("上",D4057)),ISNUMBER(SEARCH("去",D4057)),ISNUMBER(SEARCH("入",D4057)))),"Ambiguous",IF(ISNUMBER(SEARCH("平",D4057)),"平","仄")))</x:f>
        <x:v>平</x:v>
      </x:c>
      <x:c r="J4073" s="7" t="str"/>
    </x:row>
    <x:row r="4074">
      <x:c r="A4074" s="5" t="str">
        <x:v>迎</x:v>
      </x:c>
      <x:c r="B4074" s="6" t="str">
        <x:v>平</x:v>
      </x:c>
      <x:c r="C4074" s="6" t="str">
        <x:f>IF(B4074="","Needs decision","Ready")</x:f>
        <x:v>Ready</x:v>
      </x:c>
      <x:c r="D4074" s="6" t="str">
        <x:v>平/去</x:v>
      </x:c>
      <x:c r="E4074" s="6" t="str">
        <x:v>ngjaeng (A); ngjaengH (C)</x:v>
      </x:c>
      <x:c r="F4074" s="6" t="str">
        <x:v>2</x:v>
      </x:c>
      <x:c r="G4074" s="6" t="str">
        <x:v>User workbook edit 2026-09-03</x:v>
      </x:c>
      <x:c r="H4074" s="6" t="str">
        <x:f>IF(B4074="平","平",IF(B4074="","","仄"))</x:f>
        <x:v>平</x:v>
      </x:c>
      <x:c r="I4074" s="6" t="str">
        <x:f>IF(D4058="","",IF(AND(ISNUMBER(SEARCH("平",D4058)),OR(ISNUMBER(SEARCH("上",D4058)),ISNUMBER(SEARCH("去",D4058)),ISNUMBER(SEARCH("入",D4058)))),"Ambiguous",IF(ISNUMBER(SEARCH("平",D4058)),"平","仄")))</x:f>
        <x:v>仄</x:v>
      </x:c>
      <x:c r="J4074" s="7" t="str">
        <x:v>manual user correction</x:v>
      </x:c>
    </x:row>
    <x:row r="4075">
      <x:c r="A4075" s="5" t="str">
        <x:v>近</x:v>
      </x:c>
      <x:c r="B4075" s="6" t="str"/>
      <x:c r="C4075" s="6" t="str">
        <x:f>IF(B4075="","Needs decision","Ready")</x:f>
        <x:v>Needs decision</x:v>
      </x:c>
      <x:c r="D4075" s="6" t="str">
        <x:v>上/去</x:v>
      </x:c>
      <x:c r="E4075" s="6" t="str">
        <x:v>gj+nX (B); gj+nH (C)</x:v>
      </x:c>
      <x:c r="F4075" s="6" t="str">
        <x:v>2</x:v>
      </x:c>
      <x:c r="G4075" s="6" t="str"/>
      <x:c r="H4075" s="6" t="str">
        <x:f>IF(B4075="平","平",IF(B4075="","","仄"))</x:f>
      </x:c>
      <x:c r="I4075" s="6" t="str">
        <x:f>IF(D4059="","",IF(AND(ISNUMBER(SEARCH("平",D4059)),OR(ISNUMBER(SEARCH("上",D4059)),ISNUMBER(SEARCH("去",D4059)),ISNUMBER(SEARCH("入",D4059)))),"Ambiguous",IF(ISNUMBER(SEARCH("平",D4059)),"平","仄")))</x:f>
        <x:v>仄</x:v>
      </x:c>
      <x:c r="J4075" s="7" t="str"/>
    </x:row>
    <x:row r="4076">
      <x:c r="A4076" s="5" t="str">
        <x:v>迓</x:v>
      </x:c>
      <x:c r="B4076" s="6" t="str">
        <x:v>去</x:v>
      </x:c>
      <x:c r="C4076" s="6" t="str">
        <x:f>IF(B4076="","Needs decision","Ready")</x:f>
        <x:v>Ready</x:v>
      </x:c>
      <x:c r="D4076" s="6" t="str">
        <x:v>去</x:v>
      </x:c>
      <x:c r="E4076" s="6" t="str">
        <x:v>ngaeH (C)</x:v>
      </x:c>
      <x:c r="F4076" s="6" t="str">
        <x:v>1</x:v>
      </x:c>
      <x:c r="G4076" s="6" t="str"/>
      <x:c r="H4076" s="6" t="str">
        <x:f>IF(B4076="平","平",IF(B4076="","","仄"))</x:f>
        <x:v>仄</x:v>
      </x:c>
      <x:c r="I4076" s="6" t="str">
        <x:f>IF(D4060="","",IF(AND(ISNUMBER(SEARCH("平",D4060)),OR(ISNUMBER(SEARCH("上",D4060)),ISNUMBER(SEARCH("去",D4060)),ISNUMBER(SEARCH("入",D4060)))),"Ambiguous",IF(ISNUMBER(SEARCH("平",D4060)),"平","仄")))</x:f>
        <x:v>仄</x:v>
      </x:c>
      <x:c r="J4076" s="7" t="str"/>
    </x:row>
    <x:row r="4077">
      <x:c r="A4077" s="5" t="str">
        <x:v>返</x:v>
      </x:c>
      <x:c r="B4077" s="6" t="str">
        <x:v>上</x:v>
      </x:c>
      <x:c r="C4077" s="6" t="str">
        <x:f>IF(B4077="","Needs decision","Ready")</x:f>
        <x:v>Ready</x:v>
      </x:c>
      <x:c r="D4077" s="6" t="str">
        <x:v>上</x:v>
      </x:c>
      <x:c r="E4077" s="6" t="str">
        <x:v>pjonX (B)</x:v>
      </x:c>
      <x:c r="F4077" s="6" t="str">
        <x:v>1</x:v>
      </x:c>
      <x:c r="G4077" s="6" t="str"/>
      <x:c r="H4077" s="6" t="str">
        <x:f>IF(B4077="平","平",IF(B4077="","","仄"))</x:f>
        <x:v>仄</x:v>
      </x:c>
      <x:c r="I4077" s="6" t="str">
        <x:f>IF(D4061="","",IF(AND(ISNUMBER(SEARCH("平",D4061)),OR(ISNUMBER(SEARCH("上",D4061)),ISNUMBER(SEARCH("去",D4061)),ISNUMBER(SEARCH("入",D4061)))),"Ambiguous",IF(ISNUMBER(SEARCH("平",D4061)),"平","仄")))</x:f>
        <x:v>仄</x:v>
      </x:c>
      <x:c r="J4077" s="7" t="str"/>
    </x:row>
    <x:row r="4078">
      <x:c r="A4078" s="5" t="str">
        <x:v>迢</x:v>
      </x:c>
      <x:c r="B4078" s="6" t="str">
        <x:v>平</x:v>
      </x:c>
      <x:c r="C4078" s="6" t="str">
        <x:f>IF(B4078="","Needs decision","Ready")</x:f>
        <x:v>Ready</x:v>
      </x:c>
      <x:c r="D4078" s="6" t="str">
        <x:v>平</x:v>
      </x:c>
      <x:c r="E4078" s="6" t="str"/>
      <x:c r="F4078" s="6" t="str"/>
      <x:c r="G4078" s="6" t="str">
        <x:v>Manual user correction/addition</x:v>
      </x:c>
      <x:c r="H4078" s="6" t="str">
        <x:f>IF(B4078="平","平",IF(B4078="","","仄"))</x:f>
        <x:v>平</x:v>
      </x:c>
      <x:c r="I4078" s="6" t="str">
        <x:f>IF(D4062="","",IF(AND(ISNUMBER(SEARCH("平",D4062)),OR(ISNUMBER(SEARCH("上",D4062)),ISNUMBER(SEARCH("去",D4062)),ISNUMBER(SEARCH("入",D4062)))),"Ambiguous",IF(ISNUMBER(SEARCH("平",D4062)),"平","仄")))</x:f>
        <x:v>仄</x:v>
      </x:c>
      <x:c r="J4078" s="7" t="str">
        <x:v>manual user correction</x:v>
      </x:c>
    </x:row>
    <x:row r="4079">
      <x:c r="A4079" s="5" t="str">
        <x:v>迤</x:v>
      </x:c>
      <x:c r="B4079" s="6" t="str"/>
      <x:c r="C4079" s="6" t="str">
        <x:f>IF(B4079="","Needs decision","Ready")</x:f>
        <x:v>Needs decision</x:v>
      </x:c>
      <x:c r="D4079" s="6" t="str">
        <x:v>平/上</x:v>
      </x:c>
      <x:c r="E4079" s="6" t="str"/>
      <x:c r="F4079" s="6" t="str"/>
      <x:c r="G4079" s="6" t="str">
        <x:v>Manual user correction; ambiguous 平/上</x:v>
      </x:c>
      <x:c r="H4079" s="6" t="str">
        <x:f>IF(B4079="平","平",IF(B4079="","","仄"))</x:f>
      </x:c>
      <x:c r="I4079" s="6" t="str">
        <x:f>IF(D4063="","",IF(AND(ISNUMBER(SEARCH("平",D4063)),OR(ISNUMBER(SEARCH("上",D4063)),ISNUMBER(SEARCH("去",D4063)),ISNUMBER(SEARCH("入",D4063)))),"Ambiguous",IF(ISNUMBER(SEARCH("平",D4063)),"平","仄")))</x:f>
        <x:v>仄</x:v>
      </x:c>
      <x:c r="J4079" s="7" t="str">
        <x:v>manual user correction</x:v>
      </x:c>
    </x:row>
    <x:row r="4080">
      <x:c r="A4080" s="5" t="str">
        <x:v>迥</x:v>
      </x:c>
      <x:c r="B4080" s="6" t="str">
        <x:v>上</x:v>
      </x:c>
      <x:c r="C4080" s="6" t="str">
        <x:f>IF(B4080="","Needs decision","Ready")</x:f>
        <x:v>Ready</x:v>
      </x:c>
      <x:c r="D4080" s="6" t="str">
        <x:v>上</x:v>
      </x:c>
      <x:c r="E4080" s="6" t="str">
        <x:v>hwengX [ʁweŋʔ] (上)</x:v>
      </x:c>
      <x:c r="F4080" s="6" t="str">
        <x:v>1</x:v>
      </x:c>
      <x:c r="G4080" s="6" t="str">
        <x:v>Tang 300 gap; frequency 4; provisional from Xun Gong</x:v>
      </x:c>
      <x:c r="H4080" s="6" t="str">
        <x:f>IF(B4080="平","平",IF(B4080="","","仄"))</x:f>
        <x:v>仄</x:v>
      </x:c>
      <x:c r="I4080" s="6" t="str">
        <x:f>IF(D4064="","",IF(AND(ISNUMBER(SEARCH("平",D4064)),OR(ISNUMBER(SEARCH("上",D4064)),ISNUMBER(SEARCH("去",D4064)),ISNUMBER(SEARCH("入",D4064)))),"Ambiguous",IF(ISNUMBER(SEARCH("平",D4064)),"平","仄")))</x:f>
        <x:v>平</x:v>
      </x:c>
      <x:c r="J4080" s="7" t="str">
        <x:v>Xun Gong, Tang 300 gap fill</x:v>
      </x:c>
    </x:row>
    <x:row r="4081">
      <x:c r="A4081" s="5" t="str">
        <x:v>迨</x:v>
      </x:c>
      <x:c r="B4081" s="6" t="str">
        <x:v>上</x:v>
      </x:c>
      <x:c r="C4081" s="6" t="str">
        <x:f>IF(B4081="","Needs decision","Ready")</x:f>
        <x:v>Ready</x:v>
      </x:c>
      <x:c r="D4081" s="6" t="str">
        <x:v>上</x:v>
      </x:c>
      <x:c r="E4081" s="6" t="str">
        <x:v>dojX (B)</x:v>
      </x:c>
      <x:c r="F4081" s="6" t="str">
        <x:v>1</x:v>
      </x:c>
      <x:c r="G4081" s="6" t="str"/>
      <x:c r="H4081" s="6" t="str">
        <x:f>IF(B4081="平","平",IF(B4081="","","仄"))</x:f>
        <x:v>仄</x:v>
      </x:c>
      <x:c r="I4081" s="6" t="str">
        <x:f>IF(D4065="","",IF(AND(ISNUMBER(SEARCH("平",D4065)),OR(ISNUMBER(SEARCH("上",D4065)),ISNUMBER(SEARCH("去",D4065)),ISNUMBER(SEARCH("入",D4065)))),"Ambiguous",IF(ISNUMBER(SEARCH("平",D4065)),"平","仄")))</x:f>
        <x:v>仄</x:v>
      </x:c>
      <x:c r="J4081" s="7" t="str"/>
    </x:row>
    <x:row r="4082">
      <x:c r="A4082" s="5" t="str">
        <x:v>迫</x:v>
      </x:c>
      <x:c r="B4082" s="6" t="str">
        <x:v>入</x:v>
      </x:c>
      <x:c r="C4082" s="6" t="str">
        <x:f>IF(B4082="","Needs decision","Ready")</x:f>
        <x:v>Ready</x:v>
      </x:c>
      <x:c r="D4082" s="6" t="str">
        <x:v>入</x:v>
      </x:c>
      <x:c r="E4082" s="6" t="str">
        <x:v>paek (D)</x:v>
      </x:c>
      <x:c r="F4082" s="6" t="str">
        <x:v>1</x:v>
      </x:c>
      <x:c r="G4082" s="6" t="str"/>
      <x:c r="H4082" s="6" t="str">
        <x:f>IF(B4082="平","平",IF(B4082="","","仄"))</x:f>
        <x:v>仄</x:v>
      </x:c>
      <x:c r="I4082" s="6" t="str">
        <x:f>IF(D4066="","",IF(AND(ISNUMBER(SEARCH("平",D4066)),OR(ISNUMBER(SEARCH("上",D4066)),ISNUMBER(SEARCH("去",D4066)),ISNUMBER(SEARCH("入",D4066)))),"Ambiguous",IF(ISNUMBER(SEARCH("平",D4066)),"平","仄")))</x:f>
        <x:v>仄</x:v>
      </x:c>
      <x:c r="J4082" s="7" t="str"/>
    </x:row>
    <x:row r="4083">
      <x:c r="A4083" s="5" t="str">
        <x:v>迭</x:v>
      </x:c>
      <x:c r="B4083" s="6" t="str">
        <x:v>入</x:v>
      </x:c>
      <x:c r="C4083" s="6" t="str">
        <x:f>IF(B4083="","Needs decision","Ready")</x:f>
        <x:v>Ready</x:v>
      </x:c>
      <x:c r="D4083" s="6" t="str">
        <x:v>入</x:v>
      </x:c>
      <x:c r="E4083" s="6" t="str">
        <x:v>det (D)</x:v>
      </x:c>
      <x:c r="F4083" s="6" t="str">
        <x:v>1</x:v>
      </x:c>
      <x:c r="G4083" s="6" t="str"/>
      <x:c r="H4083" s="6" t="str">
        <x:f>IF(B4083="平","平",IF(B4083="","","仄"))</x:f>
        <x:v>仄</x:v>
      </x:c>
      <x:c r="I4083" s="6" t="str">
        <x:f>IF(D4067="","",IF(AND(ISNUMBER(SEARCH("平",D4067)),OR(ISNUMBER(SEARCH("上",D4067)),ISNUMBER(SEARCH("去",D4067)),ISNUMBER(SEARCH("入",D4067)))),"Ambiguous",IF(ISNUMBER(SEARCH("平",D4067)),"平","仄")))</x:f>
        <x:v>平</x:v>
      </x:c>
      <x:c r="J4083" s="7" t="str"/>
    </x:row>
    <x:row r="4084">
      <x:c r="A4084" s="5" t="str">
        <x:v>述</x:v>
      </x:c>
      <x:c r="B4084" s="6" t="str">
        <x:v>入</x:v>
      </x:c>
      <x:c r="C4084" s="6" t="str">
        <x:f>IF(B4084="","Needs decision","Ready")</x:f>
        <x:v>Ready</x:v>
      </x:c>
      <x:c r="D4084" s="6" t="str">
        <x:v>入</x:v>
      </x:c>
      <x:c r="E4084" s="6" t="str">
        <x:v>zywit (D)</x:v>
      </x:c>
      <x:c r="F4084" s="6" t="str">
        <x:v>1</x:v>
      </x:c>
      <x:c r="G4084" s="6" t="str"/>
      <x:c r="H4084" s="6" t="str">
        <x:f>IF(B4084="平","平",IF(B4084="","","仄"))</x:f>
        <x:v>仄</x:v>
      </x:c>
      <x:c r="I4084" s="6" t="str">
        <x:f>IF(D4068="","",IF(AND(ISNUMBER(SEARCH("平",D4068)),OR(ISNUMBER(SEARCH("上",D4068)),ISNUMBER(SEARCH("去",D4068)),ISNUMBER(SEARCH("入",D4068)))),"Ambiguous",IF(ISNUMBER(SEARCH("平",D4068)),"平","仄")))</x:f>
        <x:v>仄</x:v>
      </x:c>
      <x:c r="J4084" s="7" t="str"/>
    </x:row>
    <x:row r="4085">
      <x:c r="A4085" s="5" t="str">
        <x:v>迴</x:v>
      </x:c>
      <x:c r="B4085" s="6" t="str">
        <x:v>平</x:v>
      </x:c>
      <x:c r="C4085" s="6" t="str">
        <x:f>IF(B4085="","Needs decision","Ready")</x:f>
        <x:v>Ready</x:v>
      </x:c>
      <x:c r="D4085" s="6" t="str">
        <x:v>平</x:v>
      </x:c>
      <x:c r="E4085" s="6" t="str">
        <x:v>hwoj (A)</x:v>
      </x:c>
      <x:c r="F4085" s="6" t="str">
        <x:v>1</x:v>
      </x:c>
      <x:c r="G4085" s="6" t="str"/>
      <x:c r="H4085" s="6" t="str">
        <x:f>IF(B4085="平","平",IF(B4085="","","仄"))</x:f>
        <x:v>平</x:v>
      </x:c>
      <x:c r="I4085" s="6" t="str">
        <x:f>IF(D4069="","",IF(AND(ISNUMBER(SEARCH("平",D4069)),OR(ISNUMBER(SEARCH("上",D4069)),ISNUMBER(SEARCH("去",D4069)),ISNUMBER(SEARCH("入",D4069)))),"Ambiguous",IF(ISNUMBER(SEARCH("平",D4069)),"平","仄")))</x:f>
        <x:v>平</x:v>
      </x:c>
      <x:c r="J4085" s="7" t="str"/>
    </x:row>
    <x:row r="4086">
      <x:c r="A4086" s="5" t="str">
        <x:v>迷</x:v>
      </x:c>
      <x:c r="B4086" s="6" t="str">
        <x:v>平</x:v>
      </x:c>
      <x:c r="C4086" s="6" t="str">
        <x:f>IF(B4086="","Needs decision","Ready")</x:f>
        <x:v>Ready</x:v>
      </x:c>
      <x:c r="D4086" s="6" t="str">
        <x:v>平</x:v>
      </x:c>
      <x:c r="E4086" s="6" t="str">
        <x:v>mej (A)</x:v>
      </x:c>
      <x:c r="F4086" s="6" t="str">
        <x:v>1</x:v>
      </x:c>
      <x:c r="G4086" s="6" t="str"/>
      <x:c r="H4086" s="6" t="str">
        <x:f>IF(B4086="平","平",IF(B4086="","","仄"))</x:f>
        <x:v>平</x:v>
      </x:c>
      <x:c r="I4086" s="6" t="str">
        <x:f>IF(D4070="","",IF(AND(ISNUMBER(SEARCH("平",D4070)),OR(ISNUMBER(SEARCH("上",D4070)),ISNUMBER(SEARCH("去",D4070)),ISNUMBER(SEARCH("入",D4070)))),"Ambiguous",IF(ISNUMBER(SEARCH("平",D4070)),"平","仄")))</x:f>
        <x:v>Ambiguous</x:v>
      </x:c>
      <x:c r="J4086" s="7" t="str"/>
    </x:row>
    <x:row r="4087">
      <x:c r="A4087" s="5" t="str">
        <x:v>迸</x:v>
      </x:c>
      <x:c r="B4087" s="6" t="str">
        <x:v>去</x:v>
      </x:c>
      <x:c r="C4087" s="6" t="str">
        <x:f>IF(B4087="","Needs decision","Ready")</x:f>
        <x:v>Ready</x:v>
      </x:c>
      <x:c r="D4087" s="6" t="str">
        <x:v>去</x:v>
      </x:c>
      <x:c r="E4087" s="6" t="str">
        <x:v>peangH (C)</x:v>
      </x:c>
      <x:c r="F4087" s="6" t="str">
        <x:v>1</x:v>
      </x:c>
      <x:c r="G4087" s="6" t="str"/>
      <x:c r="H4087" s="6" t="str">
        <x:f>IF(B4087="平","平",IF(B4087="","","仄"))</x:f>
        <x:v>仄</x:v>
      </x:c>
      <x:c r="I4087" s="6" t="str">
        <x:f>IF(D4071="","",IF(AND(ISNUMBER(SEARCH("平",D4071)),OR(ISNUMBER(SEARCH("上",D4071)),ISNUMBER(SEARCH("去",D4071)),ISNUMBER(SEARCH("入",D4071)))),"Ambiguous",IF(ISNUMBER(SEARCH("平",D4071)),"平","仄")))</x:f>
        <x:v>平</x:v>
      </x:c>
      <x:c r="J4087" s="7" t="str"/>
    </x:row>
    <x:row r="4088">
      <x:c r="A4088" s="5" t="str">
        <x:v>迹</x:v>
      </x:c>
      <x:c r="B4088" s="6" t="str">
        <x:v>入</x:v>
      </x:c>
      <x:c r="C4088" s="6" t="str">
        <x:f>IF(B4088="","Needs decision","Ready")</x:f>
        <x:v>Ready</x:v>
      </x:c>
      <x:c r="D4088" s="6" t="str">
        <x:v>入</x:v>
      </x:c>
      <x:c r="E4088" s="6" t="str">
        <x:v>tsjek (D)</x:v>
      </x:c>
      <x:c r="F4088" s="6" t="str">
        <x:v>1</x:v>
      </x:c>
      <x:c r="G4088" s="6" t="str"/>
      <x:c r="H4088" s="6" t="str">
        <x:f>IF(B4088="平","平",IF(B4088="","","仄"))</x:f>
        <x:v>仄</x:v>
      </x:c>
      <x:c r="I4088" s="6" t="str">
        <x:f>IF(D4072="","",IF(AND(ISNUMBER(SEARCH("平",D4072)),OR(ISNUMBER(SEARCH("上",D4072)),ISNUMBER(SEARCH("去",D4072)),ISNUMBER(SEARCH("入",D4072)))),"Ambiguous",IF(ISNUMBER(SEARCH("平",D4072)),"平","仄")))</x:f>
        <x:v>仄</x:v>
      </x:c>
      <x:c r="J4088" s="7" t="str"/>
    </x:row>
    <x:row r="4089">
      <x:c r="A4089" s="5" t="str">
        <x:v>迺</x:v>
      </x:c>
      <x:c r="B4089" s="6" t="str">
        <x:v>上</x:v>
      </x:c>
      <x:c r="C4089" s="6" t="str">
        <x:f>IF(B4089="","Needs decision","Ready")</x:f>
        <x:v>Ready</x:v>
      </x:c>
      <x:c r="D4089" s="6" t="str">
        <x:v>上</x:v>
      </x:c>
      <x:c r="E4089" s="6" t="str">
        <x:v>nojX (B)</x:v>
      </x:c>
      <x:c r="F4089" s="6" t="str">
        <x:v>1</x:v>
      </x:c>
      <x:c r="G4089" s="6" t="str"/>
      <x:c r="H4089" s="6" t="str">
        <x:f>IF(B4089="平","平",IF(B4089="","","仄"))</x:f>
        <x:v>仄</x:v>
      </x:c>
      <x:c r="I4089" s="6" t="str">
        <x:f>IF(D4073="","",IF(AND(ISNUMBER(SEARCH("平",D4073)),OR(ISNUMBER(SEARCH("上",D4073)),ISNUMBER(SEARCH("去",D4073)),ISNUMBER(SEARCH("入",D4073)))),"Ambiguous",IF(ISNUMBER(SEARCH("平",D4073)),"平","仄")))</x:f>
        <x:v>仄</x:v>
      </x:c>
      <x:c r="J4089" s="7" t="str"/>
    </x:row>
    <x:row r="4090">
      <x:c r="A4090" s="5" t="str">
        <x:v>迻</x:v>
      </x:c>
      <x:c r="B4090" s="6" t="str">
        <x:v>平</x:v>
      </x:c>
      <x:c r="C4090" s="6" t="str">
        <x:f>IF(B4090="","Needs decision","Ready")</x:f>
        <x:v>Ready</x:v>
      </x:c>
      <x:c r="D4090" s="6" t="str">
        <x:v>平</x:v>
      </x:c>
      <x:c r="E4090" s="6" t="str">
        <x:v>ye (A)</x:v>
      </x:c>
      <x:c r="F4090" s="6" t="str">
        <x:v>1</x:v>
      </x:c>
      <x:c r="G4090" s="6" t="str"/>
      <x:c r="H4090" s="6" t="str">
        <x:f>IF(B4090="平","平",IF(B4090="","","仄"))</x:f>
        <x:v>平</x:v>
      </x:c>
      <x:c r="I4090" s="6" t="str">
        <x:f>IF(D4074="","",IF(AND(ISNUMBER(SEARCH("平",D4074)),OR(ISNUMBER(SEARCH("上",D4074)),ISNUMBER(SEARCH("去",D4074)),ISNUMBER(SEARCH("入",D4074)))),"Ambiguous",IF(ISNUMBER(SEARCH("平",D4074)),"平","仄")))</x:f>
        <x:v>Ambiguous</x:v>
      </x:c>
      <x:c r="J4090" s="7" t="str"/>
    </x:row>
    <x:row r="4091">
      <x:c r="A4091" s="5" t="str">
        <x:v>追</x:v>
      </x:c>
      <x:c r="B4091" s="6" t="str">
        <x:v>平</x:v>
      </x:c>
      <x:c r="C4091" s="6" t="str">
        <x:f>IF(B4091="","Needs decision","Ready")</x:f>
        <x:v>Ready</x:v>
      </x:c>
      <x:c r="D4091" s="6" t="str">
        <x:v>平</x:v>
      </x:c>
      <x:c r="E4091" s="6" t="str">
        <x:v>trwij (A)</x:v>
      </x:c>
      <x:c r="F4091" s="6" t="str">
        <x:v>1</x:v>
      </x:c>
      <x:c r="G4091" s="6" t="str"/>
      <x:c r="H4091" s="6" t="str">
        <x:f>IF(B4091="平","平",IF(B4091="","","仄"))</x:f>
        <x:v>平</x:v>
      </x:c>
      <x:c r="I4091" s="6" t="str">
        <x:f>IF(D4075="","",IF(AND(ISNUMBER(SEARCH("平",D4075)),OR(ISNUMBER(SEARCH("上",D4075)),ISNUMBER(SEARCH("去",D4075)),ISNUMBER(SEARCH("入",D4075)))),"Ambiguous",IF(ISNUMBER(SEARCH("平",D4075)),"平","仄")))</x:f>
        <x:v>仄</x:v>
      </x:c>
      <x:c r="J4091" s="7" t="str"/>
    </x:row>
    <x:row r="4092">
      <x:c r="A4092" s="5" t="str">
        <x:v>退</x:v>
      </x:c>
      <x:c r="B4092" s="6" t="str">
        <x:v>去</x:v>
      </x:c>
      <x:c r="C4092" s="6" t="str">
        <x:f>IF(B4092="","Needs decision","Ready")</x:f>
        <x:v>Ready</x:v>
      </x:c>
      <x:c r="D4092" s="6" t="str">
        <x:v>去</x:v>
      </x:c>
      <x:c r="E4092" s="6" t="str">
        <x:v>thwojH (C)</x:v>
      </x:c>
      <x:c r="F4092" s="6" t="str">
        <x:v>1</x:v>
      </x:c>
      <x:c r="G4092" s="6" t="str"/>
      <x:c r="H4092" s="6" t="str">
        <x:f>IF(B4092="平","平",IF(B4092="","","仄"))</x:f>
        <x:v>仄</x:v>
      </x:c>
      <x:c r="I4092" s="6" t="str">
        <x:f>IF(D4076="","",IF(AND(ISNUMBER(SEARCH("平",D4076)),OR(ISNUMBER(SEARCH("上",D4076)),ISNUMBER(SEARCH("去",D4076)),ISNUMBER(SEARCH("入",D4076)))),"Ambiguous",IF(ISNUMBER(SEARCH("平",D4076)),"平","仄")))</x:f>
        <x:v>仄</x:v>
      </x:c>
      <x:c r="J4092" s="7" t="str"/>
    </x:row>
    <x:row r="4093">
      <x:c r="A4093" s="5" t="str">
        <x:v>送</x:v>
      </x:c>
      <x:c r="B4093" s="6" t="str">
        <x:v>去</x:v>
      </x:c>
      <x:c r="C4093" s="6" t="str">
        <x:f>IF(B4093="","Needs decision","Ready")</x:f>
        <x:v>Ready</x:v>
      </x:c>
      <x:c r="D4093" s="6" t="str">
        <x:v>去</x:v>
      </x:c>
      <x:c r="E4093" s="6" t="str">
        <x:v>suwngH (C)</x:v>
      </x:c>
      <x:c r="F4093" s="6" t="str">
        <x:v>1</x:v>
      </x:c>
      <x:c r="G4093" s="6" t="str"/>
      <x:c r="H4093" s="6" t="str">
        <x:f>IF(B4093="平","平",IF(B4093="","","仄"))</x:f>
        <x:v>仄</x:v>
      </x:c>
      <x:c r="I4093" s="6" t="str">
        <x:f>IF(D4077="","",IF(AND(ISNUMBER(SEARCH("平",D4077)),OR(ISNUMBER(SEARCH("上",D4077)),ISNUMBER(SEARCH("去",D4077)),ISNUMBER(SEARCH("入",D4077)))),"Ambiguous",IF(ISNUMBER(SEARCH("平",D4077)),"平","仄")))</x:f>
        <x:v>仄</x:v>
      </x:c>
      <x:c r="J4093" s="7" t="str"/>
    </x:row>
    <x:row r="4094">
      <x:c r="A4094" s="5" t="str">
        <x:v>逃</x:v>
      </x:c>
      <x:c r="B4094" s="6" t="str">
        <x:v>平</x:v>
      </x:c>
      <x:c r="C4094" s="6" t="str">
        <x:f>IF(B4094="","Needs decision","Ready")</x:f>
        <x:v>Ready</x:v>
      </x:c>
      <x:c r="D4094" s="6" t="str">
        <x:v>平</x:v>
      </x:c>
      <x:c r="E4094" s="6" t="str">
        <x:v>daw (A)</x:v>
      </x:c>
      <x:c r="F4094" s="6" t="str">
        <x:v>1</x:v>
      </x:c>
      <x:c r="G4094" s="6" t="str"/>
      <x:c r="H4094" s="6" t="str">
        <x:f>IF(B4094="平","平",IF(B4094="","","仄"))</x:f>
        <x:v>平</x:v>
      </x:c>
      <x:c r="I4094" s="6" t="str">
        <x:f>IF(D4078="","",IF(AND(ISNUMBER(SEARCH("平",D4078)),OR(ISNUMBER(SEARCH("上",D4078)),ISNUMBER(SEARCH("去",D4078)),ISNUMBER(SEARCH("入",D4078)))),"Ambiguous",IF(ISNUMBER(SEARCH("平",D4078)),"平","仄")))</x:f>
        <x:v>平</x:v>
      </x:c>
      <x:c r="J4094" s="7" t="str"/>
    </x:row>
    <x:row r="4095">
      <x:c r="A4095" s="5" t="str">
        <x:v>逅</x:v>
      </x:c>
      <x:c r="B4095" s="6" t="str">
        <x:v>去</x:v>
      </x:c>
      <x:c r="C4095" s="6" t="str">
        <x:f>IF(B4095="","Needs decision","Ready")</x:f>
        <x:v>Ready</x:v>
      </x:c>
      <x:c r="D4095" s="6" t="str">
        <x:v>去</x:v>
      </x:c>
      <x:c r="E4095" s="6" t="str">
        <x:v>huwH (C)</x:v>
      </x:c>
      <x:c r="F4095" s="6" t="str">
        <x:v>1</x:v>
      </x:c>
      <x:c r="G4095" s="6" t="str"/>
      <x:c r="H4095" s="6" t="str">
        <x:f>IF(B4095="平","平",IF(B4095="","","仄"))</x:f>
        <x:v>仄</x:v>
      </x:c>
      <x:c r="I4095" s="6" t="str">
        <x:f>IF(D4079="","",IF(AND(ISNUMBER(SEARCH("平",D4079)),OR(ISNUMBER(SEARCH("上",D4079)),ISNUMBER(SEARCH("去",D4079)),ISNUMBER(SEARCH("入",D4079)))),"Ambiguous",IF(ISNUMBER(SEARCH("平",D4079)),"平","仄")))</x:f>
        <x:v>Ambiguous</x:v>
      </x:c>
      <x:c r="J4095" s="7" t="str"/>
    </x:row>
    <x:row r="4096">
      <x:c r="A4096" s="5" t="str">
        <x:v>逆</x:v>
      </x:c>
      <x:c r="B4096" s="6" t="str">
        <x:v>入</x:v>
      </x:c>
      <x:c r="C4096" s="6" t="str">
        <x:f>IF(B4096="","Needs decision","Ready")</x:f>
        <x:v>Ready</x:v>
      </x:c>
      <x:c r="D4096" s="6" t="str">
        <x:v>入</x:v>
      </x:c>
      <x:c r="E4096" s="6" t="str">
        <x:v>ngjaek (D)</x:v>
      </x:c>
      <x:c r="F4096" s="6" t="str">
        <x:v>1</x:v>
      </x:c>
      <x:c r="G4096" s="6" t="str"/>
      <x:c r="H4096" s="6" t="str">
        <x:f>IF(B4096="平","平",IF(B4096="","","仄"))</x:f>
        <x:v>仄</x:v>
      </x:c>
      <x:c r="I4096" s="6" t="str">
        <x:f>IF(D4080="","",IF(AND(ISNUMBER(SEARCH("平",D4080)),OR(ISNUMBER(SEARCH("上",D4080)),ISNUMBER(SEARCH("去",D4080)),ISNUMBER(SEARCH("入",D4080)))),"Ambiguous",IF(ISNUMBER(SEARCH("平",D4080)),"平","仄")))</x:f>
        <x:v>仄</x:v>
      </x:c>
      <x:c r="J4096" s="7" t="str"/>
    </x:row>
    <x:row r="4097">
      <x:c r="A4097" s="5" t="str">
        <x:v>逍</x:v>
      </x:c>
      <x:c r="B4097" s="6" t="str">
        <x:v>平</x:v>
      </x:c>
      <x:c r="C4097" s="6" t="str">
        <x:f>IF(B4097="","Needs decision","Ready")</x:f>
        <x:v>Ready</x:v>
      </x:c>
      <x:c r="D4097" s="6" t="str">
        <x:v>平</x:v>
      </x:c>
      <x:c r="E4097" s="6" t="str">
        <x:v>sjew (A)</x:v>
      </x:c>
      <x:c r="F4097" s="6" t="str">
        <x:v>1</x:v>
      </x:c>
      <x:c r="G4097" s="6" t="str"/>
      <x:c r="H4097" s="6" t="str">
        <x:f>IF(B4097="平","平",IF(B4097="","","仄"))</x:f>
        <x:v>平</x:v>
      </x:c>
      <x:c r="I4097" s="6" t="str">
        <x:f>IF(D4081="","",IF(AND(ISNUMBER(SEARCH("平",D4081)),OR(ISNUMBER(SEARCH("上",D4081)),ISNUMBER(SEARCH("去",D4081)),ISNUMBER(SEARCH("入",D4081)))),"Ambiguous",IF(ISNUMBER(SEARCH("平",D4081)),"平","仄")))</x:f>
        <x:v>仄</x:v>
      </x:c>
      <x:c r="J4097" s="7" t="str"/>
    </x:row>
    <x:row r="4098">
      <x:c r="A4098" s="5" t="str">
        <x:v>透</x:v>
      </x:c>
      <x:c r="B4098" s="6" t="str">
        <x:v>去</x:v>
      </x:c>
      <x:c r="C4098" s="6" t="str">
        <x:f>IF(B4098="","Needs decision","Ready")</x:f>
        <x:v>Ready</x:v>
      </x:c>
      <x:c r="D4098" s="6" t="str">
        <x:v>去/入</x:v>
      </x:c>
      <x:c r="E4098" s="6" t="str">
        <x:v>syuwk [ɕuk] (入); thuwH [t̙ʰuh] (去)</x:v>
      </x:c>
      <x:c r="F4098" s="6" t="str">
        <x:v>2</x:v>
      </x:c>
      <x:c r="G4098" s="6" t="str">
        <x:v>Tang 300 gap; frequency 1; ambiguous in Xun Gong</x:v>
      </x:c>
      <x:c r="H4098" s="6" t="str">
        <x:f>IF(B4098="平","平",IF(B4098="","","仄"))</x:f>
        <x:v>仄</x:v>
      </x:c>
      <x:c r="I4098" s="6" t="str">
        <x:f>IF(D4082="","",IF(AND(ISNUMBER(SEARCH("平",D4082)),OR(ISNUMBER(SEARCH("上",D4082)),ISNUMBER(SEARCH("去",D4082)),ISNUMBER(SEARCH("入",D4082)))),"Ambiguous",IF(ISNUMBER(SEARCH("平",D4082)),"平","仄")))</x:f>
        <x:v>仄</x:v>
      </x:c>
      <x:c r="J4098" s="7" t="str">
        <x:v>Xun Gong, Tang 300 gap fill</x:v>
      </x:c>
    </x:row>
    <x:row r="4099">
      <x:c r="A4099" s="5" t="str">
        <x:v>逐</x:v>
      </x:c>
      <x:c r="B4099" s="6" t="str">
        <x:v>入</x:v>
      </x:c>
      <x:c r="C4099" s="6" t="str">
        <x:f>IF(B4099="","Needs decision","Ready")</x:f>
        <x:v>Ready</x:v>
      </x:c>
      <x:c r="D4099" s="6" t="str">
        <x:v>入</x:v>
      </x:c>
      <x:c r="E4099" s="6" t="str">
        <x:v>drjuwk (D)</x:v>
      </x:c>
      <x:c r="F4099" s="6" t="str">
        <x:v>1</x:v>
      </x:c>
      <x:c r="G4099" s="6" t="str"/>
      <x:c r="H4099" s="6" t="str">
        <x:f>IF(B4099="平","平",IF(B4099="","","仄"))</x:f>
        <x:v>仄</x:v>
      </x:c>
      <x:c r="I4099" s="6" t="str">
        <x:f>IF(D4083="","",IF(AND(ISNUMBER(SEARCH("平",D4083)),OR(ISNUMBER(SEARCH("上",D4083)),ISNUMBER(SEARCH("去",D4083)),ISNUMBER(SEARCH("入",D4083)))),"Ambiguous",IF(ISNUMBER(SEARCH("平",D4083)),"平","仄")))</x:f>
        <x:v>仄</x:v>
      </x:c>
      <x:c r="J4099" s="7" t="str"/>
    </x:row>
    <x:row r="4100">
      <x:c r="A4100" s="5" t="str">
        <x:v>逑</x:v>
      </x:c>
      <x:c r="B4100" s="6" t="str">
        <x:v>平</x:v>
      </x:c>
      <x:c r="C4100" s="6" t="str">
        <x:f>IF(B4100="","Needs decision","Ready")</x:f>
        <x:v>Ready</x:v>
      </x:c>
      <x:c r="D4100" s="6" t="str">
        <x:v>平</x:v>
      </x:c>
      <x:c r="E4100" s="6" t="str">
        <x:v>gjuw (A)</x:v>
      </x:c>
      <x:c r="F4100" s="6" t="str">
        <x:v>1</x:v>
      </x:c>
      <x:c r="G4100" s="6" t="str"/>
      <x:c r="H4100" s="6" t="str">
        <x:f>IF(B4100="平","平",IF(B4100="","","仄"))</x:f>
        <x:v>平</x:v>
      </x:c>
      <x:c r="I4100" s="6" t="str">
        <x:f>IF(D4084="","",IF(AND(ISNUMBER(SEARCH("平",D4084)),OR(ISNUMBER(SEARCH("上",D4084)),ISNUMBER(SEARCH("去",D4084)),ISNUMBER(SEARCH("入",D4084)))),"Ambiguous",IF(ISNUMBER(SEARCH("平",D4084)),"平","仄")))</x:f>
        <x:v>仄</x:v>
      </x:c>
      <x:c r="J4100" s="7" t="str"/>
    </x:row>
    <x:row r="4101">
      <x:c r="A4101" s="5" t="str">
        <x:v>途</x:v>
      </x:c>
      <x:c r="B4101" s="6" t="str">
        <x:v>平</x:v>
      </x:c>
      <x:c r="C4101" s="6" t="str">
        <x:f>IF(B4101="","Needs decision","Ready")</x:f>
        <x:v>Ready</x:v>
      </x:c>
      <x:c r="D4101" s="6" t="str">
        <x:v>平</x:v>
      </x:c>
      <x:c r="E4101" s="6" t="str">
        <x:v>du (A)</x:v>
      </x:c>
      <x:c r="F4101" s="6" t="str">
        <x:v>1</x:v>
      </x:c>
      <x:c r="G4101" s="6" t="str"/>
      <x:c r="H4101" s="6" t="str">
        <x:f>IF(B4101="平","平",IF(B4101="","","仄"))</x:f>
        <x:v>平</x:v>
      </x:c>
      <x:c r="I4101" s="6" t="str">
        <x:f>IF(D4085="","",IF(AND(ISNUMBER(SEARCH("平",D4085)),OR(ISNUMBER(SEARCH("上",D4085)),ISNUMBER(SEARCH("去",D4085)),ISNUMBER(SEARCH("入",D4085)))),"Ambiguous",IF(ISNUMBER(SEARCH("平",D4085)),"平","仄")))</x:f>
        <x:v>平</x:v>
      </x:c>
      <x:c r="J4101" s="7" t="str"/>
    </x:row>
    <x:row r="4102">
      <x:c r="A4102" s="5" t="str">
        <x:v>逕</x:v>
      </x:c>
      <x:c r="B4102" s="6" t="str">
        <x:v>去</x:v>
      </x:c>
      <x:c r="C4102" s="6" t="str">
        <x:f>IF(B4102="","Needs decision","Ready")</x:f>
        <x:v>Ready</x:v>
      </x:c>
      <x:c r="D4102" s="6" t="str">
        <x:v>去</x:v>
      </x:c>
      <x:c r="E4102" s="6" t="str">
        <x:v>kengH [qeŋh] (去)</x:v>
      </x:c>
      <x:c r="F4102" s="6" t="str">
        <x:v>1</x:v>
      </x:c>
      <x:c r="G4102" s="6" t="str">
        <x:v>Tang 300 gap; frequency 2; provisional from Xun Gong</x:v>
      </x:c>
      <x:c r="H4102" s="6" t="str">
        <x:f>IF(B4102="平","平",IF(B4102="","","仄"))</x:f>
        <x:v>仄</x:v>
      </x:c>
      <x:c r="I4102" s="6" t="str">
        <x:f>IF(D4086="","",IF(AND(ISNUMBER(SEARCH("平",D4086)),OR(ISNUMBER(SEARCH("上",D4086)),ISNUMBER(SEARCH("去",D4086)),ISNUMBER(SEARCH("入",D4086)))),"Ambiguous",IF(ISNUMBER(SEARCH("平",D4086)),"平","仄")))</x:f>
        <x:v>平</x:v>
      </x:c>
      <x:c r="J4102" s="7" t="str">
        <x:v>Xun Gong, Tang 300 gap fill</x:v>
      </x:c>
    </x:row>
    <x:row r="4103">
      <x:c r="A4103" s="5" t="str">
        <x:v>逗</x:v>
      </x:c>
      <x:c r="B4103" s="6" t="str">
        <x:v>去</x:v>
      </x:c>
      <x:c r="C4103" s="6" t="str">
        <x:f>IF(B4103="","Needs decision","Ready")</x:f>
        <x:v>Ready</x:v>
      </x:c>
      <x:c r="D4103" s="6" t="str">
        <x:v>去</x:v>
      </x:c>
      <x:c r="E4103" s="6" t="str">
        <x:v>drjuH [ɖjoh] (去); duwH [d̙uh] (去)</x:v>
      </x:c>
      <x:c r="F4103" s="6" t="str">
        <x:v>2</x:v>
      </x:c>
      <x:c r="G4103" s="6" t="str">
        <x:v>Tang 300 gap; frequency 1; provisional from Xun Gong</x:v>
      </x:c>
      <x:c r="H4103" s="6" t="str">
        <x:f>IF(B4103="平","平",IF(B4103="","","仄"))</x:f>
        <x:v>仄</x:v>
      </x:c>
      <x:c r="I4103" s="6" t="str">
        <x:f>IF(D4087="","",IF(AND(ISNUMBER(SEARCH("平",D4087)),OR(ISNUMBER(SEARCH("上",D4087)),ISNUMBER(SEARCH("去",D4087)),ISNUMBER(SEARCH("入",D4087)))),"Ambiguous",IF(ISNUMBER(SEARCH("平",D4087)),"平","仄")))</x:f>
        <x:v>仄</x:v>
      </x:c>
      <x:c r="J4103" s="7" t="str">
        <x:v>Xun Gong, Tang 300 gap fill</x:v>
      </x:c>
    </x:row>
    <x:row r="4104">
      <x:c r="A4104" s="5" t="str">
        <x:v>通</x:v>
      </x:c>
      <x:c r="B4104" s="6" t="str">
        <x:v>平</x:v>
      </x:c>
      <x:c r="C4104" s="6" t="str">
        <x:f>IF(B4104="","Needs decision","Ready")</x:f>
        <x:v>Ready</x:v>
      </x:c>
      <x:c r="D4104" s="6" t="str">
        <x:v>平</x:v>
      </x:c>
      <x:c r="E4104" s="6" t="str">
        <x:v>thuwng (A)</x:v>
      </x:c>
      <x:c r="F4104" s="6" t="str">
        <x:v>1</x:v>
      </x:c>
      <x:c r="G4104" s="6" t="str"/>
      <x:c r="H4104" s="6" t="str">
        <x:f>IF(B4104="平","平",IF(B4104="","","仄"))</x:f>
        <x:v>平</x:v>
      </x:c>
      <x:c r="I4104" s="6" t="str">
        <x:f>IF(D4088="","",IF(AND(ISNUMBER(SEARCH("平",D4088)),OR(ISNUMBER(SEARCH("上",D4088)),ISNUMBER(SEARCH("去",D4088)),ISNUMBER(SEARCH("入",D4088)))),"Ambiguous",IF(ISNUMBER(SEARCH("平",D4088)),"平","仄")))</x:f>
        <x:v>仄</x:v>
      </x:c>
      <x:c r="J4104" s="7" t="str"/>
    </x:row>
    <x:row r="4105">
      <x:c r="A4105" s="5" t="str">
        <x:v>逝</x:v>
      </x:c>
      <x:c r="B4105" s="6" t="str">
        <x:v>去</x:v>
      </x:c>
      <x:c r="C4105" s="6" t="str">
        <x:f>IF(B4105="","Needs decision","Ready")</x:f>
        <x:v>Ready</x:v>
      </x:c>
      <x:c r="D4105" s="6" t="str">
        <x:v>去</x:v>
      </x:c>
      <x:c r="E4105" s="6" t="str">
        <x:v>dzyejH (C)</x:v>
      </x:c>
      <x:c r="F4105" s="6" t="str">
        <x:v>1</x:v>
      </x:c>
      <x:c r="G4105" s="6" t="str"/>
      <x:c r="H4105" s="6" t="str">
        <x:f>IF(B4105="平","平",IF(B4105="","","仄"))</x:f>
        <x:v>仄</x:v>
      </x:c>
      <x:c r="I4105" s="6" t="str">
        <x:f>IF(D4089="","",IF(AND(ISNUMBER(SEARCH("平",D4089)),OR(ISNUMBER(SEARCH("上",D4089)),ISNUMBER(SEARCH("去",D4089)),ISNUMBER(SEARCH("入",D4089)))),"Ambiguous",IF(ISNUMBER(SEARCH("平",D4089)),"平","仄")))</x:f>
        <x:v>仄</x:v>
      </x:c>
      <x:c r="J4105" s="7" t="str"/>
    </x:row>
    <x:row r="4106">
      <x:c r="A4106" s="5" t="str">
        <x:v>逞</x:v>
      </x:c>
      <x:c r="B4106" s="6" t="str">
        <x:v>上</x:v>
      </x:c>
      <x:c r="C4106" s="6" t="str">
        <x:f>IF(B4106="","Needs decision","Ready")</x:f>
        <x:v>Ready</x:v>
      </x:c>
      <x:c r="D4106" s="6" t="str">
        <x:v>上</x:v>
      </x:c>
      <x:c r="E4106" s="6" t="str">
        <x:v>trhjengX (B)</x:v>
      </x:c>
      <x:c r="F4106" s="6" t="str">
        <x:v>1</x:v>
      </x:c>
      <x:c r="G4106" s="6" t="str"/>
      <x:c r="H4106" s="6" t="str">
        <x:f>IF(B4106="平","平",IF(B4106="","","仄"))</x:f>
        <x:v>仄</x:v>
      </x:c>
      <x:c r="I4106" s="6" t="str">
        <x:f>IF(D4090="","",IF(AND(ISNUMBER(SEARCH("平",D4090)),OR(ISNUMBER(SEARCH("上",D4090)),ISNUMBER(SEARCH("去",D4090)),ISNUMBER(SEARCH("入",D4090)))),"Ambiguous",IF(ISNUMBER(SEARCH("平",D4090)),"平","仄")))</x:f>
        <x:v>平</x:v>
      </x:c>
      <x:c r="J4106" s="7" t="str"/>
    </x:row>
    <x:row r="4107">
      <x:c r="A4107" s="5" t="str">
        <x:v>速</x:v>
      </x:c>
      <x:c r="B4107" s="6" t="str">
        <x:v>入</x:v>
      </x:c>
      <x:c r="C4107" s="6" t="str">
        <x:f>IF(B4107="","Needs decision","Ready")</x:f>
        <x:v>Ready</x:v>
      </x:c>
      <x:c r="D4107" s="6" t="str">
        <x:v>入</x:v>
      </x:c>
      <x:c r="E4107" s="6" t="str">
        <x:v>suwk (D)</x:v>
      </x:c>
      <x:c r="F4107" s="6" t="str">
        <x:v>1</x:v>
      </x:c>
      <x:c r="G4107" s="6" t="str"/>
      <x:c r="H4107" s="6" t="str">
        <x:f>IF(B4107="平","平",IF(B4107="","","仄"))</x:f>
        <x:v>仄</x:v>
      </x:c>
      <x:c r="I4107" s="6" t="str">
        <x:f>IF(D4091="","",IF(AND(ISNUMBER(SEARCH("平",D4091)),OR(ISNUMBER(SEARCH("上",D4091)),ISNUMBER(SEARCH("去",D4091)),ISNUMBER(SEARCH("入",D4091)))),"Ambiguous",IF(ISNUMBER(SEARCH("平",D4091)),"平","仄")))</x:f>
        <x:v>平</x:v>
      </x:c>
      <x:c r="J4107" s="7" t="str"/>
    </x:row>
    <x:row r="4108">
      <x:c r="A4108" s="5" t="str">
        <x:v>造</x:v>
      </x:c>
      <x:c r="B4108" s="6" t="str">
        <x:v>去</x:v>
      </x:c>
      <x:c r="C4108" s="6" t="str">
        <x:f>IF(B4108="","Needs decision","Ready")</x:f>
        <x:v>Ready</x:v>
      </x:c>
      <x:c r="D4108" s="6" t="str">
        <x:v>上/去</x:v>
      </x:c>
      <x:c r="E4108" s="6" t="str">
        <x:v>dzawX (B); tshawH (C)</x:v>
      </x:c>
      <x:c r="F4108" s="6" t="str">
        <x:v>2</x:v>
      </x:c>
      <x:c r="G4108" s="6" t="str"/>
      <x:c r="H4108" s="6" t="str">
        <x:f>IF(B4108="平","平",IF(B4108="","","仄"))</x:f>
        <x:v>仄</x:v>
      </x:c>
      <x:c r="I4108" s="6" t="str">
        <x:f>IF(D4092="","",IF(AND(ISNUMBER(SEARCH("平",D4092)),OR(ISNUMBER(SEARCH("上",D4092)),ISNUMBER(SEARCH("去",D4092)),ISNUMBER(SEARCH("入",D4092)))),"Ambiguous",IF(ISNUMBER(SEARCH("平",D4092)),"平","仄")))</x:f>
        <x:v>仄</x:v>
      </x:c>
      <x:c r="J4108" s="7" t="str"/>
    </x:row>
    <x:row r="4109">
      <x:c r="A4109" s="5" t="str">
        <x:v>逡</x:v>
      </x:c>
      <x:c r="B4109" s="6" t="str">
        <x:v>平</x:v>
      </x:c>
      <x:c r="C4109" s="6" t="str">
        <x:f>IF(B4109="","Needs decision","Ready")</x:f>
        <x:v>Ready</x:v>
      </x:c>
      <x:c r="D4109" s="6" t="str">
        <x:v>平</x:v>
      </x:c>
      <x:c r="E4109" s="6" t="str">
        <x:v>tshwin [tsʰjwin] (平)</x:v>
      </x:c>
      <x:c r="F4109" s="6" t="str">
        <x:v>1</x:v>
      </x:c>
      <x:c r="G4109" s="6" t="str">
        <x:v>Tang 300 gap; frequency 1; provisional from Xun Gong</x:v>
      </x:c>
      <x:c r="H4109" s="6" t="str">
        <x:f>IF(B4109="平","平",IF(B4109="","","仄"))</x:f>
        <x:v>平</x:v>
      </x:c>
      <x:c r="I4109" s="6" t="str">
        <x:f>IF(D4093="","",IF(AND(ISNUMBER(SEARCH("平",D4093)),OR(ISNUMBER(SEARCH("上",D4093)),ISNUMBER(SEARCH("去",D4093)),ISNUMBER(SEARCH("入",D4093)))),"Ambiguous",IF(ISNUMBER(SEARCH("平",D4093)),"平","仄")))</x:f>
        <x:v>仄</x:v>
      </x:c>
      <x:c r="J4109" s="7" t="str">
        <x:v>Xun Gong, Tang 300 gap fill</x:v>
      </x:c>
    </x:row>
    <x:row r="4110">
      <x:c r="A4110" s="5" t="str">
        <x:v>逢</x:v>
      </x:c>
      <x:c r="B4110" s="6" t="str">
        <x:v>平</x:v>
      </x:c>
      <x:c r="C4110" s="6" t="str">
        <x:f>IF(B4110="","Needs decision","Ready")</x:f>
        <x:v>Ready</x:v>
      </x:c>
      <x:c r="D4110" s="6" t="str">
        <x:v>平</x:v>
      </x:c>
      <x:c r="E4110" s="6" t="str">
        <x:v>bjowng (A); buwng (A)</x:v>
      </x:c>
      <x:c r="F4110" s="6" t="str">
        <x:v>2</x:v>
      </x:c>
      <x:c r="G4110" s="6" t="str"/>
      <x:c r="H4110" s="6" t="str">
        <x:f>IF(B4110="平","平",IF(B4110="","","仄"))</x:f>
        <x:v>平</x:v>
      </x:c>
      <x:c r="I4110" s="6" t="str">
        <x:f>IF(D4094="","",IF(AND(ISNUMBER(SEARCH("平",D4094)),OR(ISNUMBER(SEARCH("上",D4094)),ISNUMBER(SEARCH("去",D4094)),ISNUMBER(SEARCH("入",D4094)))),"Ambiguous",IF(ISNUMBER(SEARCH("平",D4094)),"平","仄")))</x:f>
        <x:v>平</x:v>
      </x:c>
      <x:c r="J4110" s="7" t="str"/>
    </x:row>
    <x:row r="4111">
      <x:c r="A4111" s="5" t="str">
        <x:v>連</x:v>
      </x:c>
      <x:c r="B4111" s="6" t="str">
        <x:v>平</x:v>
      </x:c>
      <x:c r="C4111" s="6" t="str">
        <x:f>IF(B4111="","Needs decision","Ready")</x:f>
        <x:v>Ready</x:v>
      </x:c>
      <x:c r="D4111" s="6" t="str">
        <x:v>平</x:v>
      </x:c>
      <x:c r="E4111" s="6" t="str">
        <x:v>ljen (A)</x:v>
      </x:c>
      <x:c r="F4111" s="6" t="str">
        <x:v>1</x:v>
      </x:c>
      <x:c r="G4111" s="6" t="str"/>
      <x:c r="H4111" s="6" t="str">
        <x:f>IF(B4111="平","平",IF(B4111="","","仄"))</x:f>
        <x:v>平</x:v>
      </x:c>
      <x:c r="I4111" s="6" t="str">
        <x:f>IF(D4095="","",IF(AND(ISNUMBER(SEARCH("平",D4095)),OR(ISNUMBER(SEARCH("上",D4095)),ISNUMBER(SEARCH("去",D4095)),ISNUMBER(SEARCH("入",D4095)))),"Ambiguous",IF(ISNUMBER(SEARCH("平",D4095)),"平","仄")))</x:f>
        <x:v>仄</x:v>
      </x:c>
      <x:c r="J4111" s="7" t="str"/>
    </x:row>
    <x:row r="4112">
      <x:c r="A4112" s="5" t="str">
        <x:v>逮</x:v>
      </x:c>
      <x:c r="B4112" s="6" t="str">
        <x:v>去</x:v>
      </x:c>
      <x:c r="C4112" s="6" t="str">
        <x:f>IF(B4112="","Needs decision","Ready")</x:f>
        <x:v>Ready</x:v>
      </x:c>
      <x:c r="D4112" s="6" t="str">
        <x:v>去</x:v>
      </x:c>
      <x:c r="E4112" s="6" t="str">
        <x:v>dojH (C)</x:v>
      </x:c>
      <x:c r="F4112" s="6" t="str">
        <x:v>1</x:v>
      </x:c>
      <x:c r="G4112" s="6" t="str"/>
      <x:c r="H4112" s="6" t="str">
        <x:f>IF(B4112="平","平",IF(B4112="","","仄"))</x:f>
        <x:v>仄</x:v>
      </x:c>
      <x:c r="I4112" s="6" t="str">
        <x:f>IF(D4096="","",IF(AND(ISNUMBER(SEARCH("平",D4096)),OR(ISNUMBER(SEARCH("上",D4096)),ISNUMBER(SEARCH("去",D4096)),ISNUMBER(SEARCH("入",D4096)))),"Ambiguous",IF(ISNUMBER(SEARCH("平",D4096)),"平","仄")))</x:f>
        <x:v>仄</x:v>
      </x:c>
      <x:c r="J4112" s="7" t="str"/>
    </x:row>
    <x:row r="4113">
      <x:c r="A4113" s="5" t="str">
        <x:v>進</x:v>
      </x:c>
      <x:c r="B4113" s="6" t="str">
        <x:v>去</x:v>
      </x:c>
      <x:c r="C4113" s="6" t="str">
        <x:f>IF(B4113="","Needs decision","Ready")</x:f>
        <x:v>Ready</x:v>
      </x:c>
      <x:c r="D4113" s="6" t="str">
        <x:v>去</x:v>
      </x:c>
      <x:c r="E4113" s="6" t="str">
        <x:v>tsinH (C)</x:v>
      </x:c>
      <x:c r="F4113" s="6" t="str">
        <x:v>1</x:v>
      </x:c>
      <x:c r="G4113" s="6" t="str"/>
      <x:c r="H4113" s="6" t="str">
        <x:f>IF(B4113="平","平",IF(B4113="","","仄"))</x:f>
        <x:v>仄</x:v>
      </x:c>
      <x:c r="I4113" s="6" t="str">
        <x:f>IF(D4097="","",IF(AND(ISNUMBER(SEARCH("平",D4097)),OR(ISNUMBER(SEARCH("上",D4097)),ISNUMBER(SEARCH("去",D4097)),ISNUMBER(SEARCH("入",D4097)))),"Ambiguous",IF(ISNUMBER(SEARCH("平",D4097)),"平","仄")))</x:f>
        <x:v>平</x:v>
      </x:c>
      <x:c r="J4113" s="7" t="str"/>
    </x:row>
    <x:row r="4114">
      <x:c r="A4114" s="5" t="str">
        <x:v>逵</x:v>
      </x:c>
      <x:c r="B4114" s="6" t="str">
        <x:v>平</x:v>
      </x:c>
      <x:c r="C4114" s="6" t="str">
        <x:f>IF(B4114="","Needs decision","Ready")</x:f>
        <x:v>Ready</x:v>
      </x:c>
      <x:c r="D4114" s="6" t="str">
        <x:v>平</x:v>
      </x:c>
      <x:c r="E4114" s="6" t="str">
        <x:v>gwij (A)</x:v>
      </x:c>
      <x:c r="F4114" s="6" t="str">
        <x:v>1</x:v>
      </x:c>
      <x:c r="G4114" s="6" t="str"/>
      <x:c r="H4114" s="6" t="str">
        <x:f>IF(B4114="平","平",IF(B4114="","","仄"))</x:f>
        <x:v>平</x:v>
      </x:c>
      <x:c r="I4114" s="6" t="str">
        <x:f>IF(D4098="","",IF(AND(ISNUMBER(SEARCH("平",D4098)),OR(ISNUMBER(SEARCH("上",D4098)),ISNUMBER(SEARCH("去",D4098)),ISNUMBER(SEARCH("入",D4098)))),"Ambiguous",IF(ISNUMBER(SEARCH("平",D4098)),"平","仄")))</x:f>
        <x:v>仄</x:v>
      </x:c>
      <x:c r="J4114" s="7" t="str"/>
    </x:row>
    <x:row r="4115">
      <x:c r="A4115" s="5" t="str">
        <x:v>逶</x:v>
      </x:c>
      <x:c r="B4115" s="6" t="str">
        <x:v>平</x:v>
      </x:c>
      <x:c r="C4115" s="6" t="str">
        <x:f>IF(B4115="","Needs decision","Ready")</x:f>
        <x:v>Ready</x:v>
      </x:c>
      <x:c r="D4115" s="6" t="str">
        <x:v>平</x:v>
      </x:c>
      <x:c r="E4115" s="6" t="str">
        <x:v>'jwe [ʔwɨ̯ie] (平)</x:v>
      </x:c>
      <x:c r="F4115" s="6" t="str">
        <x:v>1</x:v>
      </x:c>
      <x:c r="G4115" s="6" t="str">
        <x:v>Tang 300 gap; frequency 1; provisional from Xun Gong</x:v>
      </x:c>
      <x:c r="H4115" s="6" t="str">
        <x:f>IF(B4115="平","平",IF(B4115="","","仄"))</x:f>
        <x:v>平</x:v>
      </x:c>
      <x:c r="I4115" s="6" t="str">
        <x:f>IF(D4099="","",IF(AND(ISNUMBER(SEARCH("平",D4099)),OR(ISNUMBER(SEARCH("上",D4099)),ISNUMBER(SEARCH("去",D4099)),ISNUMBER(SEARCH("入",D4099)))),"Ambiguous",IF(ISNUMBER(SEARCH("平",D4099)),"平","仄")))</x:f>
        <x:v>仄</x:v>
      </x:c>
      <x:c r="J4115" s="7" t="str">
        <x:v>Xun Gong, Tang 300 gap fill</x:v>
      </x:c>
    </x:row>
    <x:row r="4116">
      <x:c r="A4116" s="5" t="str">
        <x:v>逸</x:v>
      </x:c>
      <x:c r="B4116" s="6" t="str">
        <x:v>入</x:v>
      </x:c>
      <x:c r="C4116" s="6" t="str">
        <x:f>IF(B4116="","Needs decision","Ready")</x:f>
        <x:v>Ready</x:v>
      </x:c>
      <x:c r="D4116" s="6" t="str">
        <x:v>入</x:v>
      </x:c>
      <x:c r="E4116" s="6" t="str">
        <x:v>yit (D)</x:v>
      </x:c>
      <x:c r="F4116" s="6" t="str">
        <x:v>1</x:v>
      </x:c>
      <x:c r="G4116" s="6" t="str"/>
      <x:c r="H4116" s="6" t="str">
        <x:f>IF(B4116="平","平",IF(B4116="","","仄"))</x:f>
        <x:v>仄</x:v>
      </x:c>
      <x:c r="I4116" s="6" t="str">
        <x:f>IF(D4100="","",IF(AND(ISNUMBER(SEARCH("平",D4100)),OR(ISNUMBER(SEARCH("上",D4100)),ISNUMBER(SEARCH("去",D4100)),ISNUMBER(SEARCH("入",D4100)))),"Ambiguous",IF(ISNUMBER(SEARCH("平",D4100)),"平","仄")))</x:f>
        <x:v>平</x:v>
      </x:c>
      <x:c r="J4116" s="7" t="str"/>
    </x:row>
    <x:row r="4117">
      <x:c r="A4117" s="5" t="str">
        <x:v>逼</x:v>
      </x:c>
      <x:c r="B4117" s="6" t="str">
        <x:v>入</x:v>
      </x:c>
      <x:c r="C4117" s="6" t="str">
        <x:f>IF(B4117="","Needs decision","Ready")</x:f>
        <x:v>Ready</x:v>
      </x:c>
      <x:c r="D4117" s="6" t="str">
        <x:v>入</x:v>
      </x:c>
      <x:c r="E4117" s="6" t="str">
        <x:v>pik (D)</x:v>
      </x:c>
      <x:c r="F4117" s="6" t="str">
        <x:v>1</x:v>
      </x:c>
      <x:c r="G4117" s="6" t="str"/>
      <x:c r="H4117" s="6" t="str">
        <x:f>IF(B4117="平","平",IF(B4117="","","仄"))</x:f>
        <x:v>仄</x:v>
      </x:c>
      <x:c r="I4117" s="6" t="str">
        <x:f>IF(D4101="","",IF(AND(ISNUMBER(SEARCH("平",D4101)),OR(ISNUMBER(SEARCH("上",D4101)),ISNUMBER(SEARCH("去",D4101)),ISNUMBER(SEARCH("入",D4101)))),"Ambiguous",IF(ISNUMBER(SEARCH("平",D4101)),"平","仄")))</x:f>
        <x:v>平</x:v>
      </x:c>
      <x:c r="J4117" s="7" t="str"/>
    </x:row>
    <x:row r="4118">
      <x:c r="A4118" s="5" t="str">
        <x:v>逾</x:v>
      </x:c>
      <x:c r="B4118" s="6" t="str">
        <x:v>平</x:v>
      </x:c>
      <x:c r="C4118" s="6" t="str">
        <x:f>IF(B4118="","Needs decision","Ready")</x:f>
        <x:v>Ready</x:v>
      </x:c>
      <x:c r="D4118" s="6" t="str">
        <x:v>平</x:v>
      </x:c>
      <x:c r="E4118" s="6" t="str">
        <x:v>yu (A)</x:v>
      </x:c>
      <x:c r="F4118" s="6" t="str">
        <x:v>1</x:v>
      </x:c>
      <x:c r="G4118" s="6" t="str"/>
      <x:c r="H4118" s="6" t="str">
        <x:f>IF(B4118="平","平",IF(B4118="","","仄"))</x:f>
        <x:v>平</x:v>
      </x:c>
      <x:c r="I4118" s="6" t="str">
        <x:f>IF(D4102="","",IF(AND(ISNUMBER(SEARCH("平",D4102)),OR(ISNUMBER(SEARCH("上",D4102)),ISNUMBER(SEARCH("去",D4102)),ISNUMBER(SEARCH("入",D4102)))),"Ambiguous",IF(ISNUMBER(SEARCH("平",D4102)),"平","仄")))</x:f>
        <x:v>仄</x:v>
      </x:c>
      <x:c r="J4118" s="7" t="str"/>
    </x:row>
    <x:row r="4119">
      <x:c r="A4119" s="5" t="str">
        <x:v>遁</x:v>
      </x:c>
      <x:c r="B4119" s="6" t="str"/>
      <x:c r="C4119" s="6" t="str">
        <x:f>IF(B4119="","Needs decision","Ready")</x:f>
        <x:v>Needs decision</x:v>
      </x:c>
      <x:c r="D4119" s="6" t="str">
        <x:v>上/去</x:v>
      </x:c>
      <x:c r="E4119" s="6" t="str">
        <x:v>dwonX (B); dwonH (C)</x:v>
      </x:c>
      <x:c r="F4119" s="6" t="str">
        <x:v>2</x:v>
      </x:c>
      <x:c r="G4119" s="6" t="str"/>
      <x:c r="H4119" s="6" t="str">
        <x:f>IF(B4119="平","平",IF(B4119="","","仄"))</x:f>
      </x:c>
      <x:c r="I4119" s="6" t="str">
        <x:f>IF(D4103="","",IF(AND(ISNUMBER(SEARCH("平",D4103)),OR(ISNUMBER(SEARCH("上",D4103)),ISNUMBER(SEARCH("去",D4103)),ISNUMBER(SEARCH("入",D4103)))),"Ambiguous",IF(ISNUMBER(SEARCH("平",D4103)),"平","仄")))</x:f>
        <x:v>仄</x:v>
      </x:c>
      <x:c r="J4119" s="7" t="str"/>
    </x:row>
    <x:row r="4120">
      <x:c r="A4120" s="5" t="str">
        <x:v>遂</x:v>
      </x:c>
      <x:c r="B4120" s="6" t="str">
        <x:v>去</x:v>
      </x:c>
      <x:c r="C4120" s="6" t="str">
        <x:f>IF(B4120="","Needs decision","Ready")</x:f>
        <x:v>Ready</x:v>
      </x:c>
      <x:c r="D4120" s="6" t="str">
        <x:v>去</x:v>
      </x:c>
      <x:c r="E4120" s="6" t="str">
        <x:v>zwijH (C)</x:v>
      </x:c>
      <x:c r="F4120" s="6" t="str">
        <x:v>1</x:v>
      </x:c>
      <x:c r="G4120" s="6" t="str"/>
      <x:c r="H4120" s="6" t="str">
        <x:f>IF(B4120="平","平",IF(B4120="","","仄"))</x:f>
        <x:v>仄</x:v>
      </x:c>
      <x:c r="I4120" s="6" t="str">
        <x:f>IF(D4104="","",IF(AND(ISNUMBER(SEARCH("平",D4104)),OR(ISNUMBER(SEARCH("上",D4104)),ISNUMBER(SEARCH("去",D4104)),ISNUMBER(SEARCH("入",D4104)))),"Ambiguous",IF(ISNUMBER(SEARCH("平",D4104)),"平","仄")))</x:f>
        <x:v>平</x:v>
      </x:c>
      <x:c r="J4120" s="7" t="str"/>
    </x:row>
    <x:row r="4121">
      <x:c r="A4121" s="5" t="str">
        <x:v>遇</x:v>
      </x:c>
      <x:c r="B4121" s="6" t="str">
        <x:v>去</x:v>
      </x:c>
      <x:c r="C4121" s="6" t="str">
        <x:f>IF(B4121="","Needs decision","Ready")</x:f>
        <x:v>Ready</x:v>
      </x:c>
      <x:c r="D4121" s="6" t="str">
        <x:v>去</x:v>
      </x:c>
      <x:c r="E4121" s="6" t="str">
        <x:v>ngjuH (C)</x:v>
      </x:c>
      <x:c r="F4121" s="6" t="str">
        <x:v>1</x:v>
      </x:c>
      <x:c r="G4121" s="6" t="str"/>
      <x:c r="H4121" s="6" t="str">
        <x:f>IF(B4121="平","平",IF(B4121="","","仄"))</x:f>
        <x:v>仄</x:v>
      </x:c>
      <x:c r="I4121" s="6" t="str">
        <x:f>IF(D4105="","",IF(AND(ISNUMBER(SEARCH("平",D4105)),OR(ISNUMBER(SEARCH("上",D4105)),ISNUMBER(SEARCH("去",D4105)),ISNUMBER(SEARCH("入",D4105)))),"Ambiguous",IF(ISNUMBER(SEARCH("平",D4105)),"平","仄")))</x:f>
        <x:v>仄</x:v>
      </x:c>
      <x:c r="J4121" s="7" t="str"/>
    </x:row>
    <x:row r="4122">
      <x:c r="A4122" s="5" t="str">
        <x:v>遊</x:v>
      </x:c>
      <x:c r="B4122" s="6" t="str">
        <x:v>平</x:v>
      </x:c>
      <x:c r="C4122" s="6" t="str">
        <x:f>IF(B4122="","Needs decision","Ready")</x:f>
        <x:v>Ready</x:v>
      </x:c>
      <x:c r="D4122" s="6" t="str">
        <x:v>平</x:v>
      </x:c>
      <x:c r="E4122" s="6" t="str">
        <x:v>yuw (A)</x:v>
      </x:c>
      <x:c r="F4122" s="6" t="str">
        <x:v>1</x:v>
      </x:c>
      <x:c r="G4122" s="6" t="str"/>
      <x:c r="H4122" s="6" t="str">
        <x:f>IF(B4122="平","平",IF(B4122="","","仄"))</x:f>
        <x:v>平</x:v>
      </x:c>
      <x:c r="I4122" s="6" t="str">
        <x:f>IF(D4106="","",IF(AND(ISNUMBER(SEARCH("平",D4106)),OR(ISNUMBER(SEARCH("上",D4106)),ISNUMBER(SEARCH("去",D4106)),ISNUMBER(SEARCH("入",D4106)))),"Ambiguous",IF(ISNUMBER(SEARCH("平",D4106)),"平","仄")))</x:f>
        <x:v>仄</x:v>
      </x:c>
      <x:c r="J4122" s="7" t="str"/>
    </x:row>
    <x:row r="4123">
      <x:c r="A4123" s="5" t="str">
        <x:v>運</x:v>
      </x:c>
      <x:c r="B4123" s="6" t="str">
        <x:v>去</x:v>
      </x:c>
      <x:c r="C4123" s="6" t="str">
        <x:f>IF(B4123="","Needs decision","Ready")</x:f>
        <x:v>Ready</x:v>
      </x:c>
      <x:c r="D4123" s="6" t="str">
        <x:v>去</x:v>
      </x:c>
      <x:c r="E4123" s="6" t="str">
        <x:v>hjunH (C)</x:v>
      </x:c>
      <x:c r="F4123" s="6" t="str">
        <x:v>1</x:v>
      </x:c>
      <x:c r="G4123" s="6" t="str"/>
      <x:c r="H4123" s="6" t="str">
        <x:f>IF(B4123="平","平",IF(B4123="","","仄"))</x:f>
        <x:v>仄</x:v>
      </x:c>
      <x:c r="I4123" s="6" t="str">
        <x:f>IF(D4107="","",IF(AND(ISNUMBER(SEARCH("平",D4107)),OR(ISNUMBER(SEARCH("上",D4107)),ISNUMBER(SEARCH("去",D4107)),ISNUMBER(SEARCH("入",D4107)))),"Ambiguous",IF(ISNUMBER(SEARCH("平",D4107)),"平","仄")))</x:f>
        <x:v>仄</x:v>
      </x:c>
      <x:c r="J4123" s="7" t="str"/>
    </x:row>
    <x:row r="4124">
      <x:c r="A4124" s="5" t="str">
        <x:v>遌</x:v>
      </x:c>
      <x:c r="B4124" s="6" t="str">
        <x:v>入</x:v>
      </x:c>
      <x:c r="C4124" s="6" t="str">
        <x:f>IF(B4124="","Needs decision","Ready")</x:f>
        <x:v>Ready</x:v>
      </x:c>
      <x:c r="D4124" s="6" t="str">
        <x:v>入</x:v>
      </x:c>
      <x:c r="E4124" s="6" t="str">
        <x:v>ngak (D)</x:v>
      </x:c>
      <x:c r="F4124" s="6" t="str">
        <x:v>1</x:v>
      </x:c>
      <x:c r="G4124" s="6" t="str"/>
      <x:c r="H4124" s="6" t="str">
        <x:f>IF(B4124="平","平",IF(B4124="","","仄"))</x:f>
        <x:v>仄</x:v>
      </x:c>
      <x:c r="I4124" s="6" t="str">
        <x:f>IF(D4108="","",IF(AND(ISNUMBER(SEARCH("平",D4108)),OR(ISNUMBER(SEARCH("上",D4108)),ISNUMBER(SEARCH("去",D4108)),ISNUMBER(SEARCH("入",D4108)))),"Ambiguous",IF(ISNUMBER(SEARCH("平",D4108)),"平","仄")))</x:f>
        <x:v>仄</x:v>
      </x:c>
      <x:c r="J4124" s="7" t="str"/>
    </x:row>
    <x:row r="4125">
      <x:c r="A4125" s="5" t="str">
        <x:v>遍</x:v>
      </x:c>
      <x:c r="B4125" s="6" t="str">
        <x:v>去</x:v>
      </x:c>
      <x:c r="C4125" s="6" t="str">
        <x:f>IF(B4125="","Needs decision","Ready")</x:f>
        <x:v>Ready</x:v>
      </x:c>
      <x:c r="D4125" s="6" t="str">
        <x:v>去</x:v>
      </x:c>
      <x:c r="E4125" s="6" t="str">
        <x:v>penH [p̙enh] (去)</x:v>
      </x:c>
      <x:c r="F4125" s="6" t="str">
        <x:v>1</x:v>
      </x:c>
      <x:c r="G4125" s="6" t="str">
        <x:v>Tang 300 gap; frequency 5; provisional from Xun Gong</x:v>
      </x:c>
      <x:c r="H4125" s="6" t="str">
        <x:f>IF(B4125="平","平",IF(B4125="","","仄"))</x:f>
        <x:v>仄</x:v>
      </x:c>
      <x:c r="I4125" s="6" t="str">
        <x:f>IF(D4109="","",IF(AND(ISNUMBER(SEARCH("平",D4109)),OR(ISNUMBER(SEARCH("上",D4109)),ISNUMBER(SEARCH("去",D4109)),ISNUMBER(SEARCH("入",D4109)))),"Ambiguous",IF(ISNUMBER(SEARCH("平",D4109)),"平","仄")))</x:f>
        <x:v>平</x:v>
      </x:c>
      <x:c r="J4125" s="7" t="str">
        <x:v>Xun Gong, Tang 300 gap fill</x:v>
      </x:c>
    </x:row>
    <x:row r="4126">
      <x:c r="A4126" s="5" t="str">
        <x:v>過</x:v>
      </x:c>
      <x:c r="B4126" s="6" t="str"/>
      <x:c r="C4126" s="6" t="str">
        <x:f>IF(B4126="","Needs decision","Ready")</x:f>
        <x:v>Needs decision</x:v>
      </x:c>
      <x:c r="D4126" s="6" t="str">
        <x:v>平/去</x:v>
      </x:c>
      <x:c r="E4126" s="6" t="str">
        <x:v>kwa (A); kwaH (C)</x:v>
      </x:c>
      <x:c r="F4126" s="6" t="str">
        <x:v>2</x:v>
      </x:c>
      <x:c r="G4126" s="6" t="str"/>
      <x:c r="H4126" s="6" t="str">
        <x:f>IF(B4126="平","平",IF(B4126="","","仄"))</x:f>
      </x:c>
      <x:c r="I4126" s="6" t="str">
        <x:f>IF(D4110="","",IF(AND(ISNUMBER(SEARCH("平",D4110)),OR(ISNUMBER(SEARCH("上",D4110)),ISNUMBER(SEARCH("去",D4110)),ISNUMBER(SEARCH("入",D4110)))),"Ambiguous",IF(ISNUMBER(SEARCH("平",D4110)),"平","仄")))</x:f>
        <x:v>平</x:v>
      </x:c>
      <x:c r="J4126" s="7" t="str"/>
    </x:row>
    <x:row r="4127">
      <x:c r="A4127" s="5" t="str">
        <x:v>遏</x:v>
      </x:c>
      <x:c r="B4127" s="6" t="str">
        <x:v>入</x:v>
      </x:c>
      <x:c r="C4127" s="6" t="str">
        <x:f>IF(B4127="","Needs decision","Ready")</x:f>
        <x:v>Ready</x:v>
      </x:c>
      <x:c r="D4127" s="6" t="str">
        <x:v>入</x:v>
      </x:c>
      <x:c r="E4127" s="6" t="str">
        <x:v>'at (D)</x:v>
      </x:c>
      <x:c r="F4127" s="6" t="str">
        <x:v>1</x:v>
      </x:c>
      <x:c r="G4127" s="6" t="str"/>
      <x:c r="H4127" s="6" t="str">
        <x:f>IF(B4127="平","平",IF(B4127="","","仄"))</x:f>
        <x:v>仄</x:v>
      </x:c>
      <x:c r="I4127" s="6" t="str">
        <x:f>IF(D4111="","",IF(AND(ISNUMBER(SEARCH("平",D4111)),OR(ISNUMBER(SEARCH("上",D4111)),ISNUMBER(SEARCH("去",D4111)),ISNUMBER(SEARCH("入",D4111)))),"Ambiguous",IF(ISNUMBER(SEARCH("平",D4111)),"平","仄")))</x:f>
        <x:v>平</x:v>
      </x:c>
      <x:c r="J4127" s="7" t="str"/>
    </x:row>
    <x:row r="4128">
      <x:c r="A4128" s="5" t="str">
        <x:v>遐</x:v>
      </x:c>
      <x:c r="B4128" s="6" t="str">
        <x:v>平</x:v>
      </x:c>
      <x:c r="C4128" s="6" t="str">
        <x:f>IF(B4128="","Needs decision","Ready")</x:f>
        <x:v>Ready</x:v>
      </x:c>
      <x:c r="D4128" s="6" t="str">
        <x:v>平</x:v>
      </x:c>
      <x:c r="E4128" s="6" t="str">
        <x:v>hae (A)</x:v>
      </x:c>
      <x:c r="F4128" s="6" t="str">
        <x:v>1</x:v>
      </x:c>
      <x:c r="G4128" s="6" t="str"/>
      <x:c r="H4128" s="6" t="str">
        <x:f>IF(B4128="平","平",IF(B4128="","","仄"))</x:f>
        <x:v>平</x:v>
      </x:c>
      <x:c r="I4128" s="6" t="str">
        <x:f>IF(D4112="","",IF(AND(ISNUMBER(SEARCH("平",D4112)),OR(ISNUMBER(SEARCH("上",D4112)),ISNUMBER(SEARCH("去",D4112)),ISNUMBER(SEARCH("入",D4112)))),"Ambiguous",IF(ISNUMBER(SEARCH("平",D4112)),"平","仄")))</x:f>
        <x:v>仄</x:v>
      </x:c>
      <x:c r="J4128" s="7" t="str"/>
    </x:row>
    <x:row r="4129">
      <x:c r="A4129" s="5" t="str">
        <x:v>遑</x:v>
      </x:c>
      <x:c r="B4129" s="6" t="str">
        <x:v>平</x:v>
      </x:c>
      <x:c r="C4129" s="6" t="str">
        <x:f>IF(B4129="","Needs decision","Ready")</x:f>
        <x:v>Ready</x:v>
      </x:c>
      <x:c r="D4129" s="6" t="str">
        <x:v>平</x:v>
      </x:c>
      <x:c r="E4129" s="6" t="str">
        <x:v>hwang [匣合一唐平] ʁwɑŋ</x:v>
      </x:c>
      <x:c r="F4129" s="6" t="str">
        <x:v>1</x:v>
      </x:c>
      <x:c r="G4129" s="6" t="str">
        <x:v>Targeted preliminary fill from Xun Gong; review if uncertain</x:v>
      </x:c>
      <x:c r="H4129" s="6" t="str">
        <x:f>IF(B4129="平","平",IF(B4129="","","仄"))</x:f>
        <x:v>平</x:v>
      </x:c>
      <x:c r="I4129" s="6" t="str">
        <x:f>IF(D4113="","",IF(AND(ISNUMBER(SEARCH("平",D4113)),OR(ISNUMBER(SEARCH("上",D4113)),ISNUMBER(SEARCH("去",D4113)),ISNUMBER(SEARCH("入",D4113)))),"Ambiguous",IF(ISNUMBER(SEARCH("平",D4113)),"平","仄")))</x:f>
        <x:v>仄</x:v>
      </x:c>
      <x:c r="J4129" s="7" t="str">
        <x:v>Xun Gong character-readings.csv</x:v>
      </x:c>
    </x:row>
    <x:row r="4130">
      <x:c r="A4130" s="5" t="str">
        <x:v>遒</x:v>
      </x:c>
      <x:c r="B4130" s="6" t="str">
        <x:v>平</x:v>
      </x:c>
      <x:c r="C4130" s="6" t="str">
        <x:f>IF(B4130="","Needs decision","Ready")</x:f>
        <x:v>Ready</x:v>
      </x:c>
      <x:c r="D4130" s="6" t="str">
        <x:v>平</x:v>
      </x:c>
      <x:c r="E4130" s="6" t="str">
        <x:v>tsjuw (A)</x:v>
      </x:c>
      <x:c r="F4130" s="6" t="str">
        <x:v>1</x:v>
      </x:c>
      <x:c r="G4130" s="6" t="str"/>
      <x:c r="H4130" s="6" t="str">
        <x:f>IF(B4130="平","平",IF(B4130="","","仄"))</x:f>
        <x:v>平</x:v>
      </x:c>
      <x:c r="I4130" s="6" t="str">
        <x:f>IF(D4114="","",IF(AND(ISNUMBER(SEARCH("平",D4114)),OR(ISNUMBER(SEARCH("上",D4114)),ISNUMBER(SEARCH("去",D4114)),ISNUMBER(SEARCH("入",D4114)))),"Ambiguous",IF(ISNUMBER(SEARCH("平",D4114)),"平","仄")))</x:f>
        <x:v>平</x:v>
      </x:c>
      <x:c r="J4130" s="7" t="str"/>
    </x:row>
    <x:row r="4131">
      <x:c r="A4131" s="5" t="str">
        <x:v>道</x:v>
      </x:c>
      <x:c r="B4131" s="6" t="str"/>
      <x:c r="C4131" s="6" t="str">
        <x:f>IF(B4131="","Needs decision","Ready")</x:f>
        <x:v>Needs decision</x:v>
      </x:c>
      <x:c r="D4131" s="6" t="str">
        <x:v>去/上</x:v>
      </x:c>
      <x:c r="E4131" s="6" t="str">
        <x:v>dawH (C); dawX (B)</x:v>
      </x:c>
      <x:c r="F4131" s="6" t="str">
        <x:v>2</x:v>
      </x:c>
      <x:c r="G4131" s="6" t="str"/>
      <x:c r="H4131" s="6" t="str">
        <x:f>IF(B4131="平","平",IF(B4131="","","仄"))</x:f>
      </x:c>
      <x:c r="I4131" s="6" t="str">
        <x:f>IF(D4115="","",IF(AND(ISNUMBER(SEARCH("平",D4115)),OR(ISNUMBER(SEARCH("上",D4115)),ISNUMBER(SEARCH("去",D4115)),ISNUMBER(SEARCH("入",D4115)))),"Ambiguous",IF(ISNUMBER(SEARCH("平",D4115)),"平","仄")))</x:f>
        <x:v>平</x:v>
      </x:c>
      <x:c r="J4131" s="7" t="str"/>
    </x:row>
    <x:row r="4132">
      <x:c r="A4132" s="5" t="str">
        <x:v>達</x:v>
      </x:c>
      <x:c r="B4132" s="6" t="str">
        <x:v>入</x:v>
      </x:c>
      <x:c r="C4132" s="6" t="str">
        <x:f>IF(B4132="","Needs decision","Ready")</x:f>
        <x:v>Ready</x:v>
      </x:c>
      <x:c r="D4132" s="6" t="str">
        <x:v>入</x:v>
      </x:c>
      <x:c r="E4132" s="6" t="str">
        <x:v>dat (D)</x:v>
      </x:c>
      <x:c r="F4132" s="6" t="str">
        <x:v>1</x:v>
      </x:c>
      <x:c r="G4132" s="6" t="str"/>
      <x:c r="H4132" s="6" t="str">
        <x:f>IF(B4132="平","平",IF(B4132="","","仄"))</x:f>
        <x:v>仄</x:v>
      </x:c>
      <x:c r="I4132" s="6" t="str">
        <x:f>IF(D4116="","",IF(AND(ISNUMBER(SEARCH("平",D4116)),OR(ISNUMBER(SEARCH("上",D4116)),ISNUMBER(SEARCH("去",D4116)),ISNUMBER(SEARCH("入",D4116)))),"Ambiguous",IF(ISNUMBER(SEARCH("平",D4116)),"平","仄")))</x:f>
        <x:v>仄</x:v>
      </x:c>
      <x:c r="J4132" s="7" t="str"/>
    </x:row>
    <x:row r="4133">
      <x:c r="A4133" s="5" t="str">
        <x:v>違</x:v>
      </x:c>
      <x:c r="B4133" s="6" t="str">
        <x:v>平</x:v>
      </x:c>
      <x:c r="C4133" s="6" t="str">
        <x:f>IF(B4133="","Needs decision","Ready")</x:f>
        <x:v>Ready</x:v>
      </x:c>
      <x:c r="D4133" s="6" t="str">
        <x:v>平</x:v>
      </x:c>
      <x:c r="E4133" s="6" t="str">
        <x:v>hjw+j (A)</x:v>
      </x:c>
      <x:c r="F4133" s="6" t="str">
        <x:v>1</x:v>
      </x:c>
      <x:c r="G4133" s="6" t="str"/>
      <x:c r="H4133" s="6" t="str">
        <x:f>IF(B4133="平","平",IF(B4133="","","仄"))</x:f>
        <x:v>平</x:v>
      </x:c>
      <x:c r="I4133" s="6" t="str">
        <x:f>IF(D4117="","",IF(AND(ISNUMBER(SEARCH("平",D4117)),OR(ISNUMBER(SEARCH("上",D4117)),ISNUMBER(SEARCH("去",D4117)),ISNUMBER(SEARCH("入",D4117)))),"Ambiguous",IF(ISNUMBER(SEARCH("平",D4117)),"平","仄")))</x:f>
        <x:v>仄</x:v>
      </x:c>
      <x:c r="J4133" s="7" t="str"/>
    </x:row>
    <x:row r="4134">
      <x:c r="A4134" s="5" t="str">
        <x:v>遙</x:v>
      </x:c>
      <x:c r="B4134" s="6" t="str">
        <x:v>平</x:v>
      </x:c>
      <x:c r="C4134" s="6" t="str">
        <x:f>IF(B4134="","Needs decision","Ready")</x:f>
        <x:v>Ready</x:v>
      </x:c>
      <x:c r="D4134" s="6" t="str">
        <x:v>平</x:v>
      </x:c>
      <x:c r="E4134" s="6" t="str">
        <x:v>yew [以開三宵平] jew</x:v>
      </x:c>
      <x:c r="F4134" s="6" t="str">
        <x:v>1</x:v>
      </x:c>
      <x:c r="G4134" s="6" t="str">
        <x:v>Targeted preliminary fill from Xun Gong; review if uncertain</x:v>
      </x:c>
      <x:c r="H4134" s="6" t="str">
        <x:f>IF(B4134="平","平",IF(B4134="","","仄"))</x:f>
        <x:v>平</x:v>
      </x:c>
      <x:c r="I4134" s="6" t="str">
        <x:f>IF(D4118="","",IF(AND(ISNUMBER(SEARCH("平",D4118)),OR(ISNUMBER(SEARCH("上",D4118)),ISNUMBER(SEARCH("去",D4118)),ISNUMBER(SEARCH("入",D4118)))),"Ambiguous",IF(ISNUMBER(SEARCH("平",D4118)),"平","仄")))</x:f>
        <x:v>平</x:v>
      </x:c>
      <x:c r="J4134" s="7" t="str">
        <x:v>Xun Gong character-readings.csv</x:v>
      </x:c>
    </x:row>
    <x:row r="4135">
      <x:c r="A4135" s="5" t="str">
        <x:v>遝</x:v>
      </x:c>
      <x:c r="B4135" s="6" t="str">
        <x:v>入</x:v>
      </x:c>
      <x:c r="C4135" s="6" t="str">
        <x:f>IF(B4135="","Needs decision","Ready")</x:f>
        <x:v>Ready</x:v>
      </x:c>
      <x:c r="D4135" s="6" t="str">
        <x:v>入</x:v>
      </x:c>
      <x:c r="E4135" s="6" t="str">
        <x:v>dop (D)</x:v>
      </x:c>
      <x:c r="F4135" s="6" t="str">
        <x:v>1</x:v>
      </x:c>
      <x:c r="G4135" s="6" t="str"/>
      <x:c r="H4135" s="6" t="str">
        <x:f>IF(B4135="平","平",IF(B4135="","","仄"))</x:f>
        <x:v>仄</x:v>
      </x:c>
      <x:c r="I4135" s="6" t="str">
        <x:f>IF(D4119="","",IF(AND(ISNUMBER(SEARCH("平",D4119)),OR(ISNUMBER(SEARCH("上",D4119)),ISNUMBER(SEARCH("去",D4119)),ISNUMBER(SEARCH("入",D4119)))),"Ambiguous",IF(ISNUMBER(SEARCH("平",D4119)),"平","仄")))</x:f>
        <x:v>仄</x:v>
      </x:c>
      <x:c r="J4135" s="7" t="str"/>
    </x:row>
    <x:row r="4136">
      <x:c r="A4136" s="5" t="str">
        <x:v>遞</x:v>
      </x:c>
      <x:c r="B4136" s="6" t="str">
        <x:v>上</x:v>
      </x:c>
      <x:c r="C4136" s="6" t="str">
        <x:f>IF(B4136="","Needs decision","Ready")</x:f>
        <x:v>Ready</x:v>
      </x:c>
      <x:c r="D4136" s="6" t="str">
        <x:v>上</x:v>
      </x:c>
      <x:c r="E4136" s="6" t="str">
        <x:v>dejX (B)</x:v>
      </x:c>
      <x:c r="F4136" s="6" t="str">
        <x:v>1</x:v>
      </x:c>
      <x:c r="G4136" s="6" t="str"/>
      <x:c r="H4136" s="6" t="str">
        <x:f>IF(B4136="平","平",IF(B4136="","","仄"))</x:f>
        <x:v>仄</x:v>
      </x:c>
      <x:c r="I4136" s="6" t="str">
        <x:f>IF(D4120="","",IF(AND(ISNUMBER(SEARCH("平",D4120)),OR(ISNUMBER(SEARCH("上",D4120)),ISNUMBER(SEARCH("去",D4120)),ISNUMBER(SEARCH("入",D4120)))),"Ambiguous",IF(ISNUMBER(SEARCH("平",D4120)),"平","仄")))</x:f>
        <x:v>仄</x:v>
      </x:c>
      <x:c r="J4136" s="7" t="str"/>
    </x:row>
    <x:row r="4137">
      <x:c r="A4137" s="5" t="str">
        <x:v>遟</x:v>
      </x:c>
      <x:c r="B4137" s="6" t="str">
        <x:v>平</x:v>
      </x:c>
      <x:c r="C4137" s="6" t="str">
        <x:f>IF(B4137="","Needs decision","Ready")</x:f>
        <x:v>Ready</x:v>
      </x:c>
      <x:c r="D4137" s="6" t="str">
        <x:v>平</x:v>
      </x:c>
      <x:c r="E4137" s="6" t="str">
        <x:v>drij (A)</x:v>
      </x:c>
      <x:c r="F4137" s="6" t="str">
        <x:v>1</x:v>
      </x:c>
      <x:c r="G4137" s="6" t="str"/>
      <x:c r="H4137" s="6" t="str">
        <x:f>IF(B4137="平","平",IF(B4137="","","仄"))</x:f>
        <x:v>平</x:v>
      </x:c>
      <x:c r="I4137" s="6" t="str">
        <x:f>IF(D4121="","",IF(AND(ISNUMBER(SEARCH("平",D4121)),OR(ISNUMBER(SEARCH("上",D4121)),ISNUMBER(SEARCH("去",D4121)),ISNUMBER(SEARCH("入",D4121)))),"Ambiguous",IF(ISNUMBER(SEARCH("平",D4121)),"平","仄")))</x:f>
        <x:v>仄</x:v>
      </x:c>
      <x:c r="J4137" s="7" t="str"/>
    </x:row>
    <x:row r="4138">
      <x:c r="A4138" s="5" t="str">
        <x:v>遠</x:v>
      </x:c>
      <x:c r="B4138" s="6" t="str">
        <x:v>上</x:v>
      </x:c>
      <x:c r="C4138" s="6" t="str">
        <x:f>IF(B4138="","Needs decision","Ready")</x:f>
        <x:v>Ready</x:v>
      </x:c>
      <x:c r="D4138" s="6" t="str">
        <x:v>上</x:v>
      </x:c>
      <x:c r="E4138" s="6" t="str">
        <x:v>hjwonX (B)</x:v>
      </x:c>
      <x:c r="F4138" s="6" t="str">
        <x:v>1</x:v>
      </x:c>
      <x:c r="G4138" s="6" t="str"/>
      <x:c r="H4138" s="6" t="str">
        <x:f>IF(B4138="平","平",IF(B4138="","","仄"))</x:f>
        <x:v>仄</x:v>
      </x:c>
      <x:c r="I4138" s="6" t="str">
        <x:f>IF(D4122="","",IF(AND(ISNUMBER(SEARCH("平",D4122)),OR(ISNUMBER(SEARCH("上",D4122)),ISNUMBER(SEARCH("去",D4122)),ISNUMBER(SEARCH("入",D4122)))),"Ambiguous",IF(ISNUMBER(SEARCH("平",D4122)),"平","仄")))</x:f>
        <x:v>平</x:v>
      </x:c>
      <x:c r="J4138" s="7" t="str"/>
    </x:row>
    <x:row r="4139">
      <x:c r="A4139" s="5" t="str">
        <x:v>遡</x:v>
      </x:c>
      <x:c r="B4139" s="6" t="str">
        <x:v>去</x:v>
      </x:c>
      <x:c r="C4139" s="6" t="str">
        <x:f>IF(B4139="","Needs decision","Ready")</x:f>
        <x:v>Ready</x:v>
      </x:c>
      <x:c r="D4139" s="6" t="str">
        <x:v>去</x:v>
      </x:c>
      <x:c r="E4139" s="6" t="str">
        <x:v>suH (C)</x:v>
      </x:c>
      <x:c r="F4139" s="6" t="str">
        <x:v>1</x:v>
      </x:c>
      <x:c r="G4139" s="6" t="str"/>
      <x:c r="H4139" s="6" t="str">
        <x:f>IF(B4139="平","平",IF(B4139="","","仄"))</x:f>
        <x:v>仄</x:v>
      </x:c>
      <x:c r="I4139" s="6" t="str">
        <x:f>IF(D4123="","",IF(AND(ISNUMBER(SEARCH("平",D4123)),OR(ISNUMBER(SEARCH("上",D4123)),ISNUMBER(SEARCH("去",D4123)),ISNUMBER(SEARCH("入",D4123)))),"Ambiguous",IF(ISNUMBER(SEARCH("平",D4123)),"平","仄")))</x:f>
        <x:v>仄</x:v>
      </x:c>
      <x:c r="J4139" s="7" t="str"/>
    </x:row>
    <x:row r="4140">
      <x:c r="A4140" s="5" t="str">
        <x:v>遣</x:v>
      </x:c>
      <x:c r="B4140" s="6" t="str"/>
      <x:c r="C4140" s="6" t="str">
        <x:f>IF(B4140="","Needs decision","Ready")</x:f>
        <x:v>Needs decision</x:v>
      </x:c>
      <x:c r="D4140" s="6" t="str">
        <x:v>上/去</x:v>
      </x:c>
      <x:c r="E4140" s="6" t="str">
        <x:v>khjienX (B); khjienH (C)</x:v>
      </x:c>
      <x:c r="F4140" s="6" t="str">
        <x:v>2</x:v>
      </x:c>
      <x:c r="G4140" s="6" t="str"/>
      <x:c r="H4140" s="6" t="str">
        <x:f>IF(B4140="平","平",IF(B4140="","","仄"))</x:f>
      </x:c>
      <x:c r="I4140" s="6" t="str">
        <x:f>IF(D4124="","",IF(AND(ISNUMBER(SEARCH("平",D4124)),OR(ISNUMBER(SEARCH("上",D4124)),ISNUMBER(SEARCH("去",D4124)),ISNUMBER(SEARCH("入",D4124)))),"Ambiguous",IF(ISNUMBER(SEARCH("平",D4124)),"平","仄")))</x:f>
        <x:v>仄</x:v>
      </x:c>
      <x:c r="J4140" s="7" t="str"/>
    </x:row>
    <x:row r="4141">
      <x:c r="A4141" s="5" t="str">
        <x:v>適</x:v>
      </x:c>
      <x:c r="B4141" s="6" t="str">
        <x:v>入</x:v>
      </x:c>
      <x:c r="C4141" s="6" t="str">
        <x:f>IF(B4141="","Needs decision","Ready")</x:f>
        <x:v>Ready</x:v>
      </x:c>
      <x:c r="D4141" s="6" t="str">
        <x:v>入</x:v>
      </x:c>
      <x:c r="E4141" s="6" t="str">
        <x:v>syek (D); tsyek (D)</x:v>
      </x:c>
      <x:c r="F4141" s="6" t="str">
        <x:v>2</x:v>
      </x:c>
      <x:c r="G4141" s="6" t="str"/>
      <x:c r="H4141" s="6" t="str">
        <x:f>IF(B4141="平","平",IF(B4141="","","仄"))</x:f>
        <x:v>仄</x:v>
      </x:c>
      <x:c r="I4141" s="6" t="str">
        <x:f>IF(D4125="","",IF(AND(ISNUMBER(SEARCH("平",D4125)),OR(ISNUMBER(SEARCH("上",D4125)),ISNUMBER(SEARCH("去",D4125)),ISNUMBER(SEARCH("入",D4125)))),"Ambiguous",IF(ISNUMBER(SEARCH("平",D4125)),"平","仄")))</x:f>
        <x:v>仄</x:v>
      </x:c>
      <x:c r="J4141" s="7" t="str"/>
    </x:row>
    <x:row r="4142">
      <x:c r="A4142" s="5" t="str">
        <x:v>遭</x:v>
      </x:c>
      <x:c r="B4142" s="6" t="str">
        <x:v>平</x:v>
      </x:c>
      <x:c r="C4142" s="6" t="str">
        <x:f>IF(B4142="","Needs decision","Ready")</x:f>
        <x:v>Ready</x:v>
      </x:c>
      <x:c r="D4142" s="6" t="str">
        <x:v>平</x:v>
      </x:c>
      <x:c r="E4142" s="6" t="str">
        <x:v>tsaw (A)</x:v>
      </x:c>
      <x:c r="F4142" s="6" t="str">
        <x:v>1</x:v>
      </x:c>
      <x:c r="G4142" s="6" t="str"/>
      <x:c r="H4142" s="6" t="str">
        <x:f>IF(B4142="平","平",IF(B4142="","","仄"))</x:f>
        <x:v>平</x:v>
      </x:c>
      <x:c r="I4142" s="6" t="str">
        <x:f>IF(D4126="","",IF(AND(ISNUMBER(SEARCH("平",D4126)),OR(ISNUMBER(SEARCH("上",D4126)),ISNUMBER(SEARCH("去",D4126)),ISNUMBER(SEARCH("入",D4126)))),"Ambiguous",IF(ISNUMBER(SEARCH("平",D4126)),"平","仄")))</x:f>
        <x:v>Ambiguous</x:v>
      </x:c>
      <x:c r="J4142" s="7" t="str"/>
    </x:row>
    <x:row r="4143">
      <x:c r="A4143" s="5" t="str">
        <x:v>遮</x:v>
      </x:c>
      <x:c r="B4143" s="6" t="str">
        <x:v>平</x:v>
      </x:c>
      <x:c r="C4143" s="6" t="str">
        <x:f>IF(B4143="","Needs decision","Ready")</x:f>
        <x:v>Ready</x:v>
      </x:c>
      <x:c r="D4143" s="6" t="str">
        <x:v>平</x:v>
      </x:c>
      <x:c r="E4143" s="6" t="str">
        <x:v>tsyae (A)</x:v>
      </x:c>
      <x:c r="F4143" s="6" t="str">
        <x:v>1</x:v>
      </x:c>
      <x:c r="G4143" s="6" t="str"/>
      <x:c r="H4143" s="6" t="str">
        <x:f>IF(B4143="平","平",IF(B4143="","","仄"))</x:f>
        <x:v>平</x:v>
      </x:c>
      <x:c r="I4143" s="6" t="str">
        <x:f>IF(D4127="","",IF(AND(ISNUMBER(SEARCH("平",D4127)),OR(ISNUMBER(SEARCH("上",D4127)),ISNUMBER(SEARCH("去",D4127)),ISNUMBER(SEARCH("入",D4127)))),"Ambiguous",IF(ISNUMBER(SEARCH("平",D4127)),"平","仄")))</x:f>
        <x:v>仄</x:v>
      </x:c>
      <x:c r="J4143" s="7" t="str"/>
    </x:row>
    <x:row r="4144">
      <x:c r="A4144" s="5" t="str">
        <x:v>遯</x:v>
      </x:c>
      <x:c r="B4144" s="6" t="str"/>
      <x:c r="C4144" s="6" t="str">
        <x:f>IF(B4144="","Needs decision","Ready")</x:f>
        <x:v>Needs decision</x:v>
      </x:c>
      <x:c r="D4144" s="6" t="str">
        <x:v>上/去</x:v>
      </x:c>
      <x:c r="E4144" s="6" t="str">
        <x:v>dwonX (B); dwonH (C)</x:v>
      </x:c>
      <x:c r="F4144" s="6" t="str">
        <x:v>2</x:v>
      </x:c>
      <x:c r="G4144" s="6" t="str"/>
      <x:c r="H4144" s="6" t="str">
        <x:f>IF(B4144="平","平",IF(B4144="","","仄"))</x:f>
      </x:c>
      <x:c r="I4144" s="6" t="str">
        <x:f>IF(D4128="","",IF(AND(ISNUMBER(SEARCH("平",D4128)),OR(ISNUMBER(SEARCH("上",D4128)),ISNUMBER(SEARCH("去",D4128)),ISNUMBER(SEARCH("入",D4128)))),"Ambiguous",IF(ISNUMBER(SEARCH("平",D4128)),"平","仄")))</x:f>
        <x:v>平</x:v>
      </x:c>
      <x:c r="J4144" s="7" t="str"/>
    </x:row>
    <x:row r="4145">
      <x:c r="A4145" s="5" t="str">
        <x:v>遲</x:v>
      </x:c>
      <x:c r="B4145" s="6" t="str">
        <x:v>平</x:v>
      </x:c>
      <x:c r="C4145" s="6" t="str">
        <x:f>IF(B4145="","Needs decision","Ready")</x:f>
        <x:v>Ready</x:v>
      </x:c>
      <x:c r="D4145" s="6" t="str">
        <x:v>平</x:v>
      </x:c>
      <x:c r="E4145" s="6" t="str">
        <x:v>drij (A)</x:v>
      </x:c>
      <x:c r="F4145" s="6" t="str">
        <x:v>1</x:v>
      </x:c>
      <x:c r="G4145" s="6" t="str"/>
      <x:c r="H4145" s="6" t="str">
        <x:f>IF(B4145="平","平",IF(B4145="","","仄"))</x:f>
        <x:v>平</x:v>
      </x:c>
      <x:c r="I4145" s="6" t="str">
        <x:f>IF(D4129="","",IF(AND(ISNUMBER(SEARCH("平",D4129)),OR(ISNUMBER(SEARCH("上",D4129)),ISNUMBER(SEARCH("去",D4129)),ISNUMBER(SEARCH("入",D4129)))),"Ambiguous",IF(ISNUMBER(SEARCH("平",D4129)),"平","仄")))</x:f>
        <x:v>平</x:v>
      </x:c>
      <x:c r="J4145" s="7" t="str"/>
    </x:row>
    <x:row r="4146">
      <x:c r="A4146" s="5" t="str">
        <x:v>遵</x:v>
      </x:c>
      <x:c r="B4146" s="6" t="str">
        <x:v>平</x:v>
      </x:c>
      <x:c r="C4146" s="6" t="str">
        <x:f>IF(B4146="","Needs decision","Ready")</x:f>
        <x:v>Ready</x:v>
      </x:c>
      <x:c r="D4146" s="6" t="str">
        <x:v>平</x:v>
      </x:c>
      <x:c r="E4146" s="6" t="str">
        <x:v>tswin (A)</x:v>
      </x:c>
      <x:c r="F4146" s="6" t="str">
        <x:v>1</x:v>
      </x:c>
      <x:c r="G4146" s="6" t="str"/>
      <x:c r="H4146" s="6" t="str">
        <x:f>IF(B4146="平","平",IF(B4146="","","仄"))</x:f>
        <x:v>平</x:v>
      </x:c>
      <x:c r="I4146" s="6" t="str">
        <x:f>IF(D4130="","",IF(AND(ISNUMBER(SEARCH("平",D4130)),OR(ISNUMBER(SEARCH("上",D4130)),ISNUMBER(SEARCH("去",D4130)),ISNUMBER(SEARCH("入",D4130)))),"Ambiguous",IF(ISNUMBER(SEARCH("平",D4130)),"平","仄")))</x:f>
        <x:v>平</x:v>
      </x:c>
      <x:c r="J4146" s="7" t="str"/>
    </x:row>
    <x:row r="4147">
      <x:c r="A4147" s="5" t="str">
        <x:v>遷</x:v>
      </x:c>
      <x:c r="B4147" s="6" t="str">
        <x:v>平</x:v>
      </x:c>
      <x:c r="C4147" s="6" t="str">
        <x:f>IF(B4147="","Needs decision","Ready")</x:f>
        <x:v>Ready</x:v>
      </x:c>
      <x:c r="D4147" s="6" t="str">
        <x:v>平</x:v>
      </x:c>
      <x:c r="E4147" s="6" t="str">
        <x:v>tshjen (A)</x:v>
      </x:c>
      <x:c r="F4147" s="6" t="str">
        <x:v>1</x:v>
      </x:c>
      <x:c r="G4147" s="6" t="str"/>
      <x:c r="H4147" s="6" t="str">
        <x:f>IF(B4147="平","平",IF(B4147="","","仄"))</x:f>
        <x:v>平</x:v>
      </x:c>
      <x:c r="I4147" s="6" t="str">
        <x:f>IF(D4131="","",IF(AND(ISNUMBER(SEARCH("平",D4131)),OR(ISNUMBER(SEARCH("上",D4131)),ISNUMBER(SEARCH("去",D4131)),ISNUMBER(SEARCH("入",D4131)))),"Ambiguous",IF(ISNUMBER(SEARCH("平",D4131)),"平","仄")))</x:f>
        <x:v>仄</x:v>
      </x:c>
      <x:c r="J4147" s="7" t="str"/>
    </x:row>
    <x:row r="4148">
      <x:c r="A4148" s="5" t="str">
        <x:v>選</x:v>
      </x:c>
      <x:c r="B4148" s="6" t="str">
        <x:v>上</x:v>
      </x:c>
      <x:c r="C4148" s="6" t="str">
        <x:f>IF(B4148="","Needs decision","Ready")</x:f>
        <x:v>Ready</x:v>
      </x:c>
      <x:c r="D4148" s="6" t="str">
        <x:v>上/去</x:v>
      </x:c>
      <x:c r="E4148" s="6" t="str">
        <x:v>sjwenX (B); sjwenH (C)</x:v>
      </x:c>
      <x:c r="F4148" s="6" t="str">
        <x:v>2</x:v>
      </x:c>
      <x:c r="G4148" s="6" t="str">
        <x:v>User workbook edit 2026-09-03</x:v>
      </x:c>
      <x:c r="H4148" s="6" t="str">
        <x:f>IF(B4148="平","平",IF(B4148="","","仄"))</x:f>
        <x:v>仄</x:v>
      </x:c>
      <x:c r="I4148" s="6" t="str">
        <x:f>IF(D4132="","",IF(AND(ISNUMBER(SEARCH("平",D4132)),OR(ISNUMBER(SEARCH("上",D4132)),ISNUMBER(SEARCH("去",D4132)),ISNUMBER(SEARCH("入",D4132)))),"Ambiguous",IF(ISNUMBER(SEARCH("平",D4132)),"平","仄")))</x:f>
        <x:v>仄</x:v>
      </x:c>
      <x:c r="J4148" s="7" t="str">
        <x:v>manual user correction</x:v>
      </x:c>
    </x:row>
    <x:row r="4149">
      <x:c r="A4149" s="5" t="str">
        <x:v>遹</x:v>
      </x:c>
      <x:c r="B4149" s="6" t="str">
        <x:v>入</x:v>
      </x:c>
      <x:c r="C4149" s="6" t="str">
        <x:f>IF(B4149="","Needs decision","Ready")</x:f>
        <x:v>Ready</x:v>
      </x:c>
      <x:c r="D4149" s="6" t="str">
        <x:v>入</x:v>
      </x:c>
      <x:c r="E4149" s="6" t="str">
        <x:v>ywit (D)</x:v>
      </x:c>
      <x:c r="F4149" s="6" t="str">
        <x:v>1</x:v>
      </x:c>
      <x:c r="G4149" s="6" t="str"/>
      <x:c r="H4149" s="6" t="str">
        <x:f>IF(B4149="平","平",IF(B4149="","","仄"))</x:f>
        <x:v>仄</x:v>
      </x:c>
      <x:c r="I4149" s="6" t="str">
        <x:f>IF(D4133="","",IF(AND(ISNUMBER(SEARCH("平",D4133)),OR(ISNUMBER(SEARCH("上",D4133)),ISNUMBER(SEARCH("去",D4133)),ISNUMBER(SEARCH("入",D4133)))),"Ambiguous",IF(ISNUMBER(SEARCH("平",D4133)),"平","仄")))</x:f>
        <x:v>平</x:v>
      </x:c>
      <x:c r="J4149" s="7" t="str"/>
    </x:row>
    <x:row r="4150">
      <x:c r="A4150" s="5" t="str">
        <x:v>遺</x:v>
      </x:c>
      <x:c r="B4150" s="6" t="str">
        <x:v>平</x:v>
      </x:c>
      <x:c r="C4150" s="6" t="str">
        <x:f>IF(B4150="","Needs decision","Ready")</x:f>
        <x:v>Ready</x:v>
      </x:c>
      <x:c r="D4150" s="6" t="str">
        <x:v>去/平</x:v>
      </x:c>
      <x:c r="E4150" s="6" t="str">
        <x:v>ywijH (C); ywij (A)</x:v>
      </x:c>
      <x:c r="F4150" s="6" t="str">
        <x:v>2</x:v>
      </x:c>
      <x:c r="G4150" s="6" t="str"/>
      <x:c r="H4150" s="6" t="str">
        <x:f>IF(B4150="平","平",IF(B4150="","","仄"))</x:f>
        <x:v>平</x:v>
      </x:c>
      <x:c r="I4150" s="6" t="str">
        <x:f>IF(D4134="","",IF(AND(ISNUMBER(SEARCH("平",D4134)),OR(ISNUMBER(SEARCH("上",D4134)),ISNUMBER(SEARCH("去",D4134)),ISNUMBER(SEARCH("入",D4134)))),"Ambiguous",IF(ISNUMBER(SEARCH("平",D4134)),"平","仄")))</x:f>
        <x:v>平</x:v>
      </x:c>
      <x:c r="J4150" s="7" t="str"/>
    </x:row>
    <x:row r="4151">
      <x:c r="A4151" s="5" t="str">
        <x:v>遻</x:v>
      </x:c>
      <x:c r="B4151" s="6" t="str">
        <x:v>去</x:v>
      </x:c>
      <x:c r="C4151" s="6" t="str">
        <x:f>IF(B4151="","Needs decision","Ready")</x:f>
        <x:v>Ready</x:v>
      </x:c>
      <x:c r="D4151" s="6" t="str">
        <x:v>去</x:v>
      </x:c>
      <x:c r="E4151" s="6" t="str">
        <x:v>nguH (C)</x:v>
      </x:c>
      <x:c r="F4151" s="6" t="str">
        <x:v>1</x:v>
      </x:c>
      <x:c r="G4151" s="6" t="str"/>
      <x:c r="H4151" s="6" t="str">
        <x:f>IF(B4151="平","平",IF(B4151="","","仄"))</x:f>
        <x:v>仄</x:v>
      </x:c>
      <x:c r="I4151" s="6" t="str">
        <x:f>IF(D4135="","",IF(AND(ISNUMBER(SEARCH("平",D4135)),OR(ISNUMBER(SEARCH("上",D4135)),ISNUMBER(SEARCH("去",D4135)),ISNUMBER(SEARCH("入",D4135)))),"Ambiguous",IF(ISNUMBER(SEARCH("平",D4135)),"平","仄")))</x:f>
        <x:v>仄</x:v>
      </x:c>
      <x:c r="J4151" s="7" t="str"/>
    </x:row>
    <x:row r="4152">
      <x:c r="A4152" s="5" t="str">
        <x:v>遼</x:v>
      </x:c>
      <x:c r="B4152" s="6" t="str">
        <x:v>平</x:v>
      </x:c>
      <x:c r="C4152" s="6" t="str">
        <x:f>IF(B4152="","Needs decision","Ready")</x:f>
        <x:v>Ready</x:v>
      </x:c>
      <x:c r="D4152" s="6" t="str">
        <x:v>平</x:v>
      </x:c>
      <x:c r="E4152" s="6" t="str"/>
      <x:c r="F4152" s="6" t="str"/>
      <x:c r="G4152" s="6" t="str">
        <x:v>Manual user correction/addition</x:v>
      </x:c>
      <x:c r="H4152" s="6" t="str">
        <x:f>IF(B4152="平","平",IF(B4152="","","仄"))</x:f>
        <x:v>平</x:v>
      </x:c>
      <x:c r="I4152" s="6" t="str">
        <x:f>IF(D4136="","",IF(AND(ISNUMBER(SEARCH("平",D4136)),OR(ISNUMBER(SEARCH("上",D4136)),ISNUMBER(SEARCH("去",D4136)),ISNUMBER(SEARCH("入",D4136)))),"Ambiguous",IF(ISNUMBER(SEARCH("平",D4136)),"平","仄")))</x:f>
        <x:v>仄</x:v>
      </x:c>
      <x:c r="J4152" s="7" t="str">
        <x:v>manual user correction</x:v>
      </x:c>
    </x:row>
    <x:row r="4153">
      <x:c r="A4153" s="5" t="str">
        <x:v>遽</x:v>
      </x:c>
      <x:c r="B4153" s="6" t="str">
        <x:v>去</x:v>
      </x:c>
      <x:c r="C4153" s="6" t="str">
        <x:f>IF(B4153="","Needs decision","Ready")</x:f>
        <x:v>Ready</x:v>
      </x:c>
      <x:c r="D4153" s="6" t="str">
        <x:v>去</x:v>
      </x:c>
      <x:c r="E4153" s="6" t="str">
        <x:v>gjoH (C)</x:v>
      </x:c>
      <x:c r="F4153" s="6" t="str">
        <x:v>1</x:v>
      </x:c>
      <x:c r="G4153" s="6" t="str"/>
      <x:c r="H4153" s="6" t="str">
        <x:f>IF(B4153="平","平",IF(B4153="","","仄"))</x:f>
        <x:v>仄</x:v>
      </x:c>
      <x:c r="I4153" s="6" t="str">
        <x:f>IF(D4137="","",IF(AND(ISNUMBER(SEARCH("平",D4137)),OR(ISNUMBER(SEARCH("上",D4137)),ISNUMBER(SEARCH("去",D4137)),ISNUMBER(SEARCH("入",D4137)))),"Ambiguous",IF(ISNUMBER(SEARCH("平",D4137)),"平","仄")))</x:f>
        <x:v>平</x:v>
      </x:c>
      <x:c r="J4153" s="7" t="str"/>
    </x:row>
    <x:row r="4154">
      <x:c r="A4154" s="5" t="str">
        <x:v>避</x:v>
      </x:c>
      <x:c r="B4154" s="6" t="str">
        <x:v>去</x:v>
      </x:c>
      <x:c r="C4154" s="6" t="str">
        <x:f>IF(B4154="","Needs decision","Ready")</x:f>
        <x:v>Ready</x:v>
      </x:c>
      <x:c r="D4154" s="6" t="str">
        <x:v>去</x:v>
      </x:c>
      <x:c r="E4154" s="6" t="str">
        <x:v>bjieH (C)</x:v>
      </x:c>
      <x:c r="F4154" s="6" t="str">
        <x:v>1</x:v>
      </x:c>
      <x:c r="G4154" s="6" t="str"/>
      <x:c r="H4154" s="6" t="str">
        <x:f>IF(B4154="平","平",IF(B4154="","","仄"))</x:f>
        <x:v>仄</x:v>
      </x:c>
      <x:c r="I4154" s="6" t="str">
        <x:f>IF(D4138="","",IF(AND(ISNUMBER(SEARCH("平",D4138)),OR(ISNUMBER(SEARCH("上",D4138)),ISNUMBER(SEARCH("去",D4138)),ISNUMBER(SEARCH("入",D4138)))),"Ambiguous",IF(ISNUMBER(SEARCH("平",D4138)),"平","仄")))</x:f>
        <x:v>仄</x:v>
      </x:c>
      <x:c r="J4154" s="7" t="str"/>
    </x:row>
    <x:row r="4155">
      <x:c r="A4155" s="5" t="str">
        <x:v>邀</x:v>
      </x:c>
      <x:c r="B4155" s="6" t="str">
        <x:v>平</x:v>
      </x:c>
      <x:c r="C4155" s="6" t="str">
        <x:f>IF(B4155="","Needs decision","Ready")</x:f>
        <x:v>Ready</x:v>
      </x:c>
      <x:c r="D4155" s="6" t="str">
        <x:v>平</x:v>
      </x:c>
      <x:c r="E4155" s="6" t="str">
        <x:v>'jiew [ʔjew] (平); kew [qew] (平)</x:v>
      </x:c>
      <x:c r="F4155" s="6" t="str">
        <x:v>2</x:v>
      </x:c>
      <x:c r="G4155" s="6" t="str">
        <x:v>Tang 300 gap; frequency 5; provisional from Xun Gong</x:v>
      </x:c>
      <x:c r="H4155" s="6" t="str">
        <x:f>IF(B4155="平","平",IF(B4155="","","仄"))</x:f>
        <x:v>平</x:v>
      </x:c>
      <x:c r="I4155" s="6" t="str">
        <x:f>IF(D4139="","",IF(AND(ISNUMBER(SEARCH("平",D4139)),OR(ISNUMBER(SEARCH("上",D4139)),ISNUMBER(SEARCH("去",D4139)),ISNUMBER(SEARCH("入",D4139)))),"Ambiguous",IF(ISNUMBER(SEARCH("平",D4139)),"平","仄")))</x:f>
        <x:v>仄</x:v>
      </x:c>
      <x:c r="J4155" s="7" t="str">
        <x:v>Xun Gong, Tang 300 gap fill</x:v>
      </x:c>
    </x:row>
    <x:row r="4156">
      <x:c r="A4156" s="5" t="str">
        <x:v>邁</x:v>
      </x:c>
      <x:c r="B4156" s="6" t="str">
        <x:v>去</x:v>
      </x:c>
      <x:c r="C4156" s="6" t="str">
        <x:f>IF(B4156="","Needs decision","Ready")</x:f>
        <x:v>Ready</x:v>
      </x:c>
      <x:c r="D4156" s="6" t="str">
        <x:v>去</x:v>
      </x:c>
      <x:c r="E4156" s="6" t="str">
        <x:v>maejH (C)</x:v>
      </x:c>
      <x:c r="F4156" s="6" t="str">
        <x:v>1</x:v>
      </x:c>
      <x:c r="G4156" s="6" t="str"/>
      <x:c r="H4156" s="6" t="str">
        <x:f>IF(B4156="平","平",IF(B4156="","","仄"))</x:f>
        <x:v>仄</x:v>
      </x:c>
      <x:c r="I4156" s="6" t="str">
        <x:f>IF(D4140="","",IF(AND(ISNUMBER(SEARCH("平",D4140)),OR(ISNUMBER(SEARCH("上",D4140)),ISNUMBER(SEARCH("去",D4140)),ISNUMBER(SEARCH("入",D4140)))),"Ambiguous",IF(ISNUMBER(SEARCH("平",D4140)),"平","仄")))</x:f>
        <x:v>仄</x:v>
      </x:c>
      <x:c r="J4156" s="7" t="str"/>
    </x:row>
    <x:row r="4157">
      <x:c r="A4157" s="5" t="str">
        <x:v>邂</x:v>
      </x:c>
      <x:c r="B4157" s="6" t="str">
        <x:v>去</x:v>
      </x:c>
      <x:c r="C4157" s="6" t="str">
        <x:f>IF(B4157="","Needs decision","Ready")</x:f>
        <x:v>Ready</x:v>
      </x:c>
      <x:c r="D4157" s="6" t="str">
        <x:v>去</x:v>
      </x:c>
      <x:c r="E4157" s="6" t="str">
        <x:v>heaH (C)</x:v>
      </x:c>
      <x:c r="F4157" s="6" t="str">
        <x:v>1</x:v>
      </x:c>
      <x:c r="G4157" s="6" t="str"/>
      <x:c r="H4157" s="6" t="str">
        <x:f>IF(B4157="平","平",IF(B4157="","","仄"))</x:f>
        <x:v>仄</x:v>
      </x:c>
      <x:c r="I4157" s="6" t="str">
        <x:f>IF(D4141="","",IF(AND(ISNUMBER(SEARCH("平",D4141)),OR(ISNUMBER(SEARCH("上",D4141)),ISNUMBER(SEARCH("去",D4141)),ISNUMBER(SEARCH("入",D4141)))),"Ambiguous",IF(ISNUMBER(SEARCH("平",D4141)),"平","仄")))</x:f>
        <x:v>仄</x:v>
      </x:c>
      <x:c r="J4157" s="7" t="str"/>
    </x:row>
    <x:row r="4158">
      <x:c r="A4158" s="5" t="str">
        <x:v>還</x:v>
      </x:c>
      <x:c r="B4158" s="6" t="str">
        <x:v>平</x:v>
      </x:c>
      <x:c r="C4158" s="6" t="str">
        <x:f>IF(B4158="","Needs decision","Ready")</x:f>
        <x:v>Ready</x:v>
      </x:c>
      <x:c r="D4158" s="6" t="str">
        <x:v>平</x:v>
      </x:c>
      <x:c r="E4158" s="6" t="str">
        <x:v>hwaen (A); zjwen (A)</x:v>
      </x:c>
      <x:c r="F4158" s="6" t="str">
        <x:v>2</x:v>
      </x:c>
      <x:c r="G4158" s="6" t="str"/>
      <x:c r="H4158" s="6" t="str">
        <x:f>IF(B4158="平","平",IF(B4158="","","仄"))</x:f>
        <x:v>平</x:v>
      </x:c>
      <x:c r="I4158" s="6" t="str">
        <x:f>IF(D4142="","",IF(AND(ISNUMBER(SEARCH("平",D4142)),OR(ISNUMBER(SEARCH("上",D4142)),ISNUMBER(SEARCH("去",D4142)),ISNUMBER(SEARCH("入",D4142)))),"Ambiguous",IF(ISNUMBER(SEARCH("平",D4142)),"平","仄")))</x:f>
        <x:v>平</x:v>
      </x:c>
      <x:c r="J4158" s="7" t="str"/>
    </x:row>
    <x:row r="4159">
      <x:c r="A4159" s="5" t="str">
        <x:v>邇</x:v>
      </x:c>
      <x:c r="B4159" s="6" t="str">
        <x:v>上</x:v>
      </x:c>
      <x:c r="C4159" s="6" t="str">
        <x:f>IF(B4159="","Needs decision","Ready")</x:f>
        <x:v>Ready</x:v>
      </x:c>
      <x:c r="D4159" s="6" t="str">
        <x:v>上</x:v>
      </x:c>
      <x:c r="E4159" s="6" t="str">
        <x:v>nyeX (B)</x:v>
      </x:c>
      <x:c r="F4159" s="6" t="str">
        <x:v>1</x:v>
      </x:c>
      <x:c r="G4159" s="6" t="str"/>
      <x:c r="H4159" s="6" t="str">
        <x:f>IF(B4159="平","平",IF(B4159="","","仄"))</x:f>
        <x:v>仄</x:v>
      </x:c>
      <x:c r="I4159" s="6" t="str">
        <x:f>IF(D4143="","",IF(AND(ISNUMBER(SEARCH("平",D4143)),OR(ISNUMBER(SEARCH("上",D4143)),ISNUMBER(SEARCH("去",D4143)),ISNUMBER(SEARCH("入",D4143)))),"Ambiguous",IF(ISNUMBER(SEARCH("平",D4143)),"平","仄")))</x:f>
        <x:v>平</x:v>
      </x:c>
      <x:c r="J4159" s="7" t="str"/>
    </x:row>
    <x:row r="4160">
      <x:c r="A4160" s="5" t="str">
        <x:v>邈</x:v>
      </x:c>
      <x:c r="B4160" s="6" t="str">
        <x:v>入</x:v>
      </x:c>
      <x:c r="C4160" s="6" t="str">
        <x:f>IF(B4160="","Needs decision","Ready")</x:f>
        <x:v>Ready</x:v>
      </x:c>
      <x:c r="D4160" s="6" t="str">
        <x:v>入</x:v>
      </x:c>
      <x:c r="E4160" s="6" t="str">
        <x:v>maewk (D)</x:v>
      </x:c>
      <x:c r="F4160" s="6" t="str">
        <x:v>1</x:v>
      </x:c>
      <x:c r="G4160" s="6" t="str"/>
      <x:c r="H4160" s="6" t="str">
        <x:f>IF(B4160="平","平",IF(B4160="","","仄"))</x:f>
        <x:v>仄</x:v>
      </x:c>
      <x:c r="I4160" s="6" t="str">
        <x:f>IF(D4144="","",IF(AND(ISNUMBER(SEARCH("平",D4144)),OR(ISNUMBER(SEARCH("上",D4144)),ISNUMBER(SEARCH("去",D4144)),ISNUMBER(SEARCH("入",D4144)))),"Ambiguous",IF(ISNUMBER(SEARCH("平",D4144)),"平","仄")))</x:f>
        <x:v>仄</x:v>
      </x:c>
      <x:c r="J4160" s="7" t="str"/>
    </x:row>
    <x:row r="4161">
      <x:c r="A4161" s="5" t="str">
        <x:v>邊</x:v>
      </x:c>
      <x:c r="B4161" s="6" t="str">
        <x:v>平</x:v>
      </x:c>
      <x:c r="C4161" s="6" t="str">
        <x:f>IF(B4161="","Needs decision","Ready")</x:f>
        <x:v>Ready</x:v>
      </x:c>
      <x:c r="D4161" s="6" t="str">
        <x:v>平</x:v>
      </x:c>
      <x:c r="E4161" s="6" t="str">
        <x:v>pen (A)</x:v>
      </x:c>
      <x:c r="F4161" s="6" t="str">
        <x:v>1</x:v>
      </x:c>
      <x:c r="G4161" s="6" t="str"/>
      <x:c r="H4161" s="6" t="str">
        <x:f>IF(B4161="平","平",IF(B4161="","","仄"))</x:f>
        <x:v>平</x:v>
      </x:c>
      <x:c r="I4161" s="6" t="str">
        <x:f>IF(D4145="","",IF(AND(ISNUMBER(SEARCH("平",D4145)),OR(ISNUMBER(SEARCH("上",D4145)),ISNUMBER(SEARCH("去",D4145)),ISNUMBER(SEARCH("入",D4145)))),"Ambiguous",IF(ISNUMBER(SEARCH("平",D4145)),"平","仄")))</x:f>
        <x:v>平</x:v>
      </x:c>
      <x:c r="J4161" s="7" t="str"/>
    </x:row>
    <x:row r="4162">
      <x:c r="A4162" s="5" t="str">
        <x:v>邏</x:v>
      </x:c>
      <x:c r="B4162" s="6" t="str">
        <x:v>去</x:v>
      </x:c>
      <x:c r="C4162" s="6" t="str">
        <x:f>IF(B4162="","Needs decision","Ready")</x:f>
        <x:v>Ready</x:v>
      </x:c>
      <x:c r="D4162" s="6" t="str">
        <x:v>去</x:v>
      </x:c>
      <x:c r="E4162" s="6" t="str">
        <x:v>laH [l̙ɑh] (去)</x:v>
      </x:c>
      <x:c r="F4162" s="6" t="str">
        <x:v>1</x:v>
      </x:c>
      <x:c r="G4162" s="6" t="str">
        <x:v>Tang 300 gap; frequency 1; provisional from Xun Gong</x:v>
      </x:c>
      <x:c r="H4162" s="6" t="str">
        <x:f>IF(B4162="平","平",IF(B4162="","","仄"))</x:f>
        <x:v>仄</x:v>
      </x:c>
      <x:c r="I4162" s="6" t="str">
        <x:f>IF(D4146="","",IF(AND(ISNUMBER(SEARCH("平",D4146)),OR(ISNUMBER(SEARCH("上",D4146)),ISNUMBER(SEARCH("去",D4146)),ISNUMBER(SEARCH("入",D4146)))),"Ambiguous",IF(ISNUMBER(SEARCH("平",D4146)),"平","仄")))</x:f>
        <x:v>平</x:v>
      </x:c>
      <x:c r="J4162" s="7" t="str">
        <x:v>Xun Gong, Tang 300 gap fill</x:v>
      </x:c>
    </x:row>
    <x:row r="4163">
      <x:c r="A4163" s="5" t="str">
        <x:v>邐</x:v>
      </x:c>
      <x:c r="B4163" s="6" t="str">
        <x:v>上</x:v>
      </x:c>
      <x:c r="C4163" s="6" t="str">
        <x:f>IF(B4163="","Needs decision","Ready")</x:f>
        <x:v>Ready</x:v>
      </x:c>
      <x:c r="D4163" s="6" t="str">
        <x:v>上</x:v>
      </x:c>
      <x:c r="E4163" s="6" t="str">
        <x:v>ljeX [lieʔ] (上)</x:v>
      </x:c>
      <x:c r="F4163" s="6" t="str">
        <x:v>1</x:v>
      </x:c>
      <x:c r="G4163" s="6" t="str">
        <x:v>Tang 300 gap; frequency 1; provisional from Xun Gong</x:v>
      </x:c>
      <x:c r="H4163" s="6" t="str">
        <x:f>IF(B4163="平","平",IF(B4163="","","仄"))</x:f>
        <x:v>仄</x:v>
      </x:c>
      <x:c r="I4163" s="6" t="str">
        <x:f>IF(D4147="","",IF(AND(ISNUMBER(SEARCH("平",D4147)),OR(ISNUMBER(SEARCH("上",D4147)),ISNUMBER(SEARCH("去",D4147)),ISNUMBER(SEARCH("入",D4147)))),"Ambiguous",IF(ISNUMBER(SEARCH("平",D4147)),"平","仄")))</x:f>
        <x:v>平</x:v>
      </x:c>
      <x:c r="J4163" s="7" t="str">
        <x:v>Xun Gong, Tang 300 gap fill</x:v>
      </x:c>
    </x:row>
    <x:row r="4164">
      <x:c r="A4164" s="5" t="str">
        <x:v>邑</x:v>
      </x:c>
      <x:c r="B4164" s="6" t="str">
        <x:v>入</x:v>
      </x:c>
      <x:c r="C4164" s="6" t="str">
        <x:f>IF(B4164="","Needs decision","Ready")</x:f>
        <x:v>Ready</x:v>
      </x:c>
      <x:c r="D4164" s="6" t="str">
        <x:v>入</x:v>
      </x:c>
      <x:c r="E4164" s="6" t="str">
        <x:v>'ip (D)</x:v>
      </x:c>
      <x:c r="F4164" s="6" t="str">
        <x:v>1</x:v>
      </x:c>
      <x:c r="G4164" s="6" t="str"/>
      <x:c r="H4164" s="6" t="str">
        <x:f>IF(B4164="平","平",IF(B4164="","","仄"))</x:f>
        <x:v>仄</x:v>
      </x:c>
      <x:c r="I4164" s="6" t="str">
        <x:f>IF(D4148="","",IF(AND(ISNUMBER(SEARCH("平",D4148)),OR(ISNUMBER(SEARCH("上",D4148)),ISNUMBER(SEARCH("去",D4148)),ISNUMBER(SEARCH("入",D4148)))),"Ambiguous",IF(ISNUMBER(SEARCH("平",D4148)),"平","仄")))</x:f>
        <x:v>仄</x:v>
      </x:c>
      <x:c r="J4164" s="7" t="str"/>
    </x:row>
    <x:row r="4165">
      <x:c r="A4165" s="5" t="str">
        <x:v>邕</x:v>
      </x:c>
      <x:c r="B4165" s="6" t="str">
        <x:v>平</x:v>
      </x:c>
      <x:c r="C4165" s="6" t="str">
        <x:f>IF(B4165="","Needs decision","Ready")</x:f>
        <x:v>Ready</x:v>
      </x:c>
      <x:c r="D4165" s="6" t="str">
        <x:v>平</x:v>
      </x:c>
      <x:c r="E4165" s="6" t="str">
        <x:v>'jowng (A)</x:v>
      </x:c>
      <x:c r="F4165" s="6" t="str">
        <x:v>1</x:v>
      </x:c>
      <x:c r="G4165" s="6" t="str"/>
      <x:c r="H4165" s="6" t="str">
        <x:f>IF(B4165="平","平",IF(B4165="","","仄"))</x:f>
        <x:v>平</x:v>
      </x:c>
      <x:c r="I4165" s="6" t="str">
        <x:f>IF(D4149="","",IF(AND(ISNUMBER(SEARCH("平",D4149)),OR(ISNUMBER(SEARCH("上",D4149)),ISNUMBER(SEARCH("去",D4149)),ISNUMBER(SEARCH("入",D4149)))),"Ambiguous",IF(ISNUMBER(SEARCH("平",D4149)),"平","仄")))</x:f>
        <x:v>仄</x:v>
      </x:c>
      <x:c r="J4165" s="7" t="str"/>
    </x:row>
    <x:row r="4166">
      <x:c r="A4166" s="5" t="str">
        <x:v>邛</x:v>
      </x:c>
      <x:c r="B4166" s="6" t="str">
        <x:v>平</x:v>
      </x:c>
      <x:c r="C4166" s="6" t="str">
        <x:f>IF(B4166="","Needs decision","Ready")</x:f>
        <x:v>Ready</x:v>
      </x:c>
      <x:c r="D4166" s="6" t="str">
        <x:v>平</x:v>
      </x:c>
      <x:c r="E4166" s="6" t="str">
        <x:v>gjowng [ɡɨ̯oŋ] (平)</x:v>
      </x:c>
      <x:c r="F4166" s="6" t="str">
        <x:v>1</x:v>
      </x:c>
      <x:c r="G4166" s="6" t="str">
        <x:v>Tang 300 gap; frequency 1; provisional from Xun Gong</x:v>
      </x:c>
      <x:c r="H4166" s="6" t="str">
        <x:f>IF(B4166="平","平",IF(B4166="","","仄"))</x:f>
        <x:v>平</x:v>
      </x:c>
      <x:c r="I4166" s="6" t="str">
        <x:f>IF(D4150="","",IF(AND(ISNUMBER(SEARCH("平",D4150)),OR(ISNUMBER(SEARCH("上",D4150)),ISNUMBER(SEARCH("去",D4150)),ISNUMBER(SEARCH("入",D4150)))),"Ambiguous",IF(ISNUMBER(SEARCH("平",D4150)),"平","仄")))</x:f>
        <x:v>Ambiguous</x:v>
      </x:c>
      <x:c r="J4166" s="7" t="str">
        <x:v>Xun Gong, Tang 300 gap fill</x:v>
      </x:c>
    </x:row>
    <x:row r="4167">
      <x:c r="A4167" s="5" t="str">
        <x:v>邢</x:v>
      </x:c>
      <x:c r="B4167" s="6" t="str">
        <x:v>平</x:v>
      </x:c>
      <x:c r="C4167" s="6" t="str">
        <x:f>IF(B4167="","Needs decision","Ready")</x:f>
        <x:v>Ready</x:v>
      </x:c>
      <x:c r="D4167" s="6" t="str">
        <x:v>平</x:v>
      </x:c>
      <x:c r="E4167" s="6" t="str">
        <x:v>heng (A)</x:v>
      </x:c>
      <x:c r="F4167" s="6" t="str">
        <x:v>1</x:v>
      </x:c>
      <x:c r="G4167" s="6" t="str"/>
      <x:c r="H4167" s="6" t="str">
        <x:f>IF(B4167="平","平",IF(B4167="","","仄"))</x:f>
        <x:v>平</x:v>
      </x:c>
      <x:c r="I4167" s="6" t="str">
        <x:f>IF(D4151="","",IF(AND(ISNUMBER(SEARCH("平",D4151)),OR(ISNUMBER(SEARCH("上",D4151)),ISNUMBER(SEARCH("去",D4151)),ISNUMBER(SEARCH("入",D4151)))),"Ambiguous",IF(ISNUMBER(SEARCH("平",D4151)),"平","仄")))</x:f>
        <x:v>仄</x:v>
      </x:c>
      <x:c r="J4167" s="7" t="str"/>
    </x:row>
    <x:row r="4168">
      <x:c r="A4168" s="5" t="str">
        <x:v>那</x:v>
      </x:c>
      <x:c r="B4168" s="6" t="str">
        <x:v>平</x:v>
      </x:c>
      <x:c r="C4168" s="6" t="str">
        <x:f>IF(B4168="","Needs decision","Ready")</x:f>
        <x:v>Ready</x:v>
      </x:c>
      <x:c r="D4168" s="6" t="str">
        <x:v>平</x:v>
      </x:c>
      <x:c r="E4168" s="6" t="str">
        <x:v>na (A)</x:v>
      </x:c>
      <x:c r="F4168" s="6" t="str">
        <x:v>1</x:v>
      </x:c>
      <x:c r="G4168" s="6" t="str"/>
      <x:c r="H4168" s="6" t="str">
        <x:f>IF(B4168="平","平",IF(B4168="","","仄"))</x:f>
        <x:v>平</x:v>
      </x:c>
      <x:c r="I4168" s="6" t="str">
        <x:f>IF(D4152="","",IF(AND(ISNUMBER(SEARCH("平",D4152)),OR(ISNUMBER(SEARCH("上",D4152)),ISNUMBER(SEARCH("去",D4152)),ISNUMBER(SEARCH("入",D4152)))),"Ambiguous",IF(ISNUMBER(SEARCH("平",D4152)),"平","仄")))</x:f>
        <x:v>平</x:v>
      </x:c>
      <x:c r="J4168" s="7" t="str"/>
    </x:row>
    <x:row r="4169">
      <x:c r="A4169" s="5" t="str">
        <x:v>邦</x:v>
      </x:c>
      <x:c r="B4169" s="6" t="str">
        <x:v>平</x:v>
      </x:c>
      <x:c r="C4169" s="6" t="str">
        <x:f>IF(B4169="","Needs decision","Ready")</x:f>
        <x:v>Ready</x:v>
      </x:c>
      <x:c r="D4169" s="6" t="str">
        <x:v>平</x:v>
      </x:c>
      <x:c r="E4169" s="6" t="str">
        <x:v>paewng (A)</x:v>
      </x:c>
      <x:c r="F4169" s="6" t="str">
        <x:v>1</x:v>
      </x:c>
      <x:c r="G4169" s="6" t="str"/>
      <x:c r="H4169" s="6" t="str">
        <x:f>IF(B4169="平","平",IF(B4169="","","仄"))</x:f>
        <x:v>平</x:v>
      </x:c>
      <x:c r="I4169" s="6" t="str">
        <x:f>IF(D4153="","",IF(AND(ISNUMBER(SEARCH("平",D4153)),OR(ISNUMBER(SEARCH("上",D4153)),ISNUMBER(SEARCH("去",D4153)),ISNUMBER(SEARCH("入",D4153)))),"Ambiguous",IF(ISNUMBER(SEARCH("平",D4153)),"平","仄")))</x:f>
        <x:v>仄</x:v>
      </x:c>
      <x:c r="J4169" s="7" t="str"/>
    </x:row>
    <x:row r="4170">
      <x:c r="A4170" s="5" t="str">
        <x:v>邪</x:v>
      </x:c>
      <x:c r="B4170" s="6" t="str">
        <x:v>平</x:v>
      </x:c>
      <x:c r="C4170" s="6" t="str">
        <x:f>IF(B4170="","Needs decision","Ready")</x:f>
        <x:v>Ready</x:v>
      </x:c>
      <x:c r="D4170" s="6" t="str">
        <x:v>平</x:v>
      </x:c>
      <x:c r="E4170" s="6" t="str">
        <x:v>zjae (A); zjo (A); yae (A)</x:v>
      </x:c>
      <x:c r="F4170" s="6" t="str">
        <x:v>3</x:v>
      </x:c>
      <x:c r="G4170" s="6" t="str"/>
      <x:c r="H4170" s="6" t="str">
        <x:f>IF(B4170="平","平",IF(B4170="","","仄"))</x:f>
        <x:v>平</x:v>
      </x:c>
      <x:c r="I4170" s="6" t="str">
        <x:f>IF(D4154="","",IF(AND(ISNUMBER(SEARCH("平",D4154)),OR(ISNUMBER(SEARCH("上",D4154)),ISNUMBER(SEARCH("去",D4154)),ISNUMBER(SEARCH("入",D4154)))),"Ambiguous",IF(ISNUMBER(SEARCH("平",D4154)),"平","仄")))</x:f>
        <x:v>仄</x:v>
      </x:c>
      <x:c r="J4170" s="7" t="str"/>
    </x:row>
    <x:row r="4171">
      <x:c r="A4171" s="5" t="str">
        <x:v>邯</x:v>
      </x:c>
      <x:c r="B4171" s="6" t="str">
        <x:v>平</x:v>
      </x:c>
      <x:c r="C4171" s="6" t="str">
        <x:f>IF(B4171="","Needs decision","Ready")</x:f>
        <x:v>Ready</x:v>
      </x:c>
      <x:c r="D4171" s="6" t="str">
        <x:v>平</x:v>
      </x:c>
      <x:c r="E4171" s="6" t="str">
        <x:v>ham (A); han (A)</x:v>
      </x:c>
      <x:c r="F4171" s="6" t="str">
        <x:v>2</x:v>
      </x:c>
      <x:c r="G4171" s="6" t="str"/>
      <x:c r="H4171" s="6" t="str">
        <x:f>IF(B4171="平","平",IF(B4171="","","仄"))</x:f>
        <x:v>平</x:v>
      </x:c>
      <x:c r="I4171" s="6" t="str">
        <x:f>IF(D4155="","",IF(AND(ISNUMBER(SEARCH("平",D4155)),OR(ISNUMBER(SEARCH("上",D4155)),ISNUMBER(SEARCH("去",D4155)),ISNUMBER(SEARCH("入",D4155)))),"Ambiguous",IF(ISNUMBER(SEARCH("平",D4155)),"平","仄")))</x:f>
        <x:v>平</x:v>
      </x:c>
      <x:c r="J4171" s="7" t="str"/>
    </x:row>
    <x:row r="4172">
      <x:c r="A4172" s="5" t="str">
        <x:v>邱</x:v>
      </x:c>
      <x:c r="B4172" s="6" t="str">
        <x:v>平</x:v>
      </x:c>
      <x:c r="C4172" s="6" t="str">
        <x:f>IF(B4172="","Needs decision","Ready")</x:f>
        <x:v>Ready</x:v>
      </x:c>
      <x:c r="D4172" s="6" t="str">
        <x:v>平</x:v>
      </x:c>
      <x:c r="E4172" s="6" t="str">
        <x:v>khjuw [kʰɨ̯u] (平)</x:v>
      </x:c>
      <x:c r="F4172" s="6" t="str">
        <x:v>1</x:v>
      </x:c>
      <x:c r="G4172" s="6" t="str">
        <x:v>Tang 300 gap; frequency 7; provisional from Xun Gong</x:v>
      </x:c>
      <x:c r="H4172" s="6" t="str">
        <x:f>IF(B4172="平","平",IF(B4172="","","仄"))</x:f>
        <x:v>平</x:v>
      </x:c>
      <x:c r="I4172" s="6" t="str">
        <x:f>IF(D4156="","",IF(AND(ISNUMBER(SEARCH("平",D4156)),OR(ISNUMBER(SEARCH("上",D4156)),ISNUMBER(SEARCH("去",D4156)),ISNUMBER(SEARCH("入",D4156)))),"Ambiguous",IF(ISNUMBER(SEARCH("平",D4156)),"平","仄")))</x:f>
        <x:v>仄</x:v>
      </x:c>
      <x:c r="J4172" s="7" t="str">
        <x:v>Xun Gong, Tang 300 gap fill</x:v>
      </x:c>
    </x:row>
    <x:row r="4173">
      <x:c r="A4173" s="5" t="str">
        <x:v>邲</x:v>
      </x:c>
      <x:c r="B4173" s="6" t="str">
        <x:v>入</x:v>
      </x:c>
      <x:c r="C4173" s="6" t="str">
        <x:f>IF(B4173="","Needs decision","Ready")</x:f>
        <x:v>Ready</x:v>
      </x:c>
      <x:c r="D4173" s="6" t="str">
        <x:v>入</x:v>
      </x:c>
      <x:c r="E4173" s="6" t="str">
        <x:v>bit (D); bjit (D)</x:v>
      </x:c>
      <x:c r="F4173" s="6" t="str">
        <x:v>2</x:v>
      </x:c>
      <x:c r="G4173" s="6" t="str"/>
      <x:c r="H4173" s="6" t="str">
        <x:f>IF(B4173="平","平",IF(B4173="","","仄"))</x:f>
        <x:v>仄</x:v>
      </x:c>
      <x:c r="I4173" s="6" t="str">
        <x:f>IF(D4157="","",IF(AND(ISNUMBER(SEARCH("平",D4157)),OR(ISNUMBER(SEARCH("上",D4157)),ISNUMBER(SEARCH("去",D4157)),ISNUMBER(SEARCH("入",D4157)))),"Ambiguous",IF(ISNUMBER(SEARCH("平",D4157)),"平","仄")))</x:f>
        <x:v>仄</x:v>
      </x:c>
      <x:c r="J4173" s="7" t="str"/>
    </x:row>
    <x:row r="4174">
      <x:c r="A4174" s="5" t="str">
        <x:v>邳</x:v>
      </x:c>
      <x:c r="B4174" s="6" t="str">
        <x:v>平</x:v>
      </x:c>
      <x:c r="C4174" s="6" t="str">
        <x:f>IF(B4174="","Needs decision","Ready")</x:f>
        <x:v>Ready</x:v>
      </x:c>
      <x:c r="D4174" s="6" t="str">
        <x:v>平</x:v>
      </x:c>
      <x:c r="E4174" s="6" t="str">
        <x:v>bij (A)</x:v>
      </x:c>
      <x:c r="F4174" s="6" t="str">
        <x:v>1</x:v>
      </x:c>
      <x:c r="G4174" s="6" t="str"/>
      <x:c r="H4174" s="6" t="str">
        <x:f>IF(B4174="平","平",IF(B4174="","","仄"))</x:f>
        <x:v>平</x:v>
      </x:c>
      <x:c r="I4174" s="6" t="str">
        <x:f>IF(D4158="","",IF(AND(ISNUMBER(SEARCH("平",D4158)),OR(ISNUMBER(SEARCH("上",D4158)),ISNUMBER(SEARCH("去",D4158)),ISNUMBER(SEARCH("入",D4158)))),"Ambiguous",IF(ISNUMBER(SEARCH("平",D4158)),"平","仄")))</x:f>
        <x:v>平</x:v>
      </x:c>
      <x:c r="J4174" s="7" t="str"/>
    </x:row>
    <x:row r="4175">
      <x:c r="A4175" s="5" t="str">
        <x:v>邴</x:v>
      </x:c>
      <x:c r="B4175" s="6" t="str">
        <x:v>上</x:v>
      </x:c>
      <x:c r="C4175" s="6" t="str">
        <x:f>IF(B4175="","Needs decision","Ready")</x:f>
        <x:v>Ready</x:v>
      </x:c>
      <x:c r="D4175" s="6" t="str">
        <x:v>上</x:v>
      </x:c>
      <x:c r="E4175" s="6" t="str">
        <x:v>pjaengX (B)</x:v>
      </x:c>
      <x:c r="F4175" s="6" t="str">
        <x:v>1</x:v>
      </x:c>
      <x:c r="G4175" s="6" t="str"/>
      <x:c r="H4175" s="6" t="str">
        <x:f>IF(B4175="平","平",IF(B4175="","","仄"))</x:f>
        <x:v>仄</x:v>
      </x:c>
      <x:c r="I4175" s="6" t="str">
        <x:f>IF(D4159="","",IF(AND(ISNUMBER(SEARCH("平",D4159)),OR(ISNUMBER(SEARCH("上",D4159)),ISNUMBER(SEARCH("去",D4159)),ISNUMBER(SEARCH("入",D4159)))),"Ambiguous",IF(ISNUMBER(SEARCH("平",D4159)),"平","仄")))</x:f>
        <x:v>仄</x:v>
      </x:c>
      <x:c r="J4175" s="7" t="str"/>
    </x:row>
    <x:row r="4176">
      <x:c r="A4176" s="5" t="str">
        <x:v>邵</x:v>
      </x:c>
      <x:c r="B4176" s="6" t="str">
        <x:v>去</x:v>
      </x:c>
      <x:c r="C4176" s="6" t="str">
        <x:f>IF(B4176="","Needs decision","Ready")</x:f>
        <x:v>Ready</x:v>
      </x:c>
      <x:c r="D4176" s="6" t="str">
        <x:v>去</x:v>
      </x:c>
      <x:c r="E4176" s="6" t="str">
        <x:v>dzyewH (C)</x:v>
      </x:c>
      <x:c r="F4176" s="6" t="str">
        <x:v>1</x:v>
      </x:c>
      <x:c r="G4176" s="6" t="str"/>
      <x:c r="H4176" s="6" t="str">
        <x:f>IF(B4176="平","平",IF(B4176="","","仄"))</x:f>
        <x:v>仄</x:v>
      </x:c>
      <x:c r="I4176" s="6" t="str">
        <x:f>IF(D4160="","",IF(AND(ISNUMBER(SEARCH("平",D4160)),OR(ISNUMBER(SEARCH("上",D4160)),ISNUMBER(SEARCH("去",D4160)),ISNUMBER(SEARCH("入",D4160)))),"Ambiguous",IF(ISNUMBER(SEARCH("平",D4160)),"平","仄")))</x:f>
        <x:v>仄</x:v>
      </x:c>
      <x:c r="J4176" s="7" t="str"/>
    </x:row>
    <x:row r="4177">
      <x:c r="A4177" s="5" t="str">
        <x:v>邾</x:v>
      </x:c>
      <x:c r="B4177" s="6" t="str">
        <x:v>平</x:v>
      </x:c>
      <x:c r="C4177" s="6" t="str">
        <x:f>IF(B4177="","Needs decision","Ready")</x:f>
        <x:v>Ready</x:v>
      </x:c>
      <x:c r="D4177" s="6" t="str">
        <x:v>平</x:v>
      </x:c>
      <x:c r="E4177" s="6" t="str">
        <x:v>trju (A)</x:v>
      </x:c>
      <x:c r="F4177" s="6" t="str">
        <x:v>1</x:v>
      </x:c>
      <x:c r="G4177" s="6" t="str"/>
      <x:c r="H4177" s="6" t="str">
        <x:f>IF(B4177="平","平",IF(B4177="","","仄"))</x:f>
        <x:v>平</x:v>
      </x:c>
      <x:c r="I4177" s="6" t="str">
        <x:f>IF(D4161="","",IF(AND(ISNUMBER(SEARCH("平",D4161)),OR(ISNUMBER(SEARCH("上",D4161)),ISNUMBER(SEARCH("去",D4161)),ISNUMBER(SEARCH("入",D4161)))),"Ambiguous",IF(ISNUMBER(SEARCH("平",D4161)),"平","仄")))</x:f>
        <x:v>平</x:v>
      </x:c>
      <x:c r="J4177" s="7" t="str"/>
    </x:row>
    <x:row r="4178">
      <x:c r="A4178" s="5" t="str">
        <x:v>郁</x:v>
      </x:c>
      <x:c r="B4178" s="6" t="str">
        <x:v>入</x:v>
      </x:c>
      <x:c r="C4178" s="6" t="str">
        <x:f>IF(B4178="","Needs decision","Ready")</x:f>
        <x:v>Ready</x:v>
      </x:c>
      <x:c r="D4178" s="6" t="str">
        <x:v>入</x:v>
      </x:c>
      <x:c r="E4178" s="6" t="str">
        <x:v>'juwk (D)</x:v>
      </x:c>
      <x:c r="F4178" s="6" t="str">
        <x:v>1</x:v>
      </x:c>
      <x:c r="G4178" s="6" t="str"/>
      <x:c r="H4178" s="6" t="str">
        <x:f>IF(B4178="平","平",IF(B4178="","","仄"))</x:f>
        <x:v>仄</x:v>
      </x:c>
      <x:c r="I4178" s="6" t="str">
        <x:f>IF(D4162="","",IF(AND(ISNUMBER(SEARCH("平",D4162)),OR(ISNUMBER(SEARCH("上",D4162)),ISNUMBER(SEARCH("去",D4162)),ISNUMBER(SEARCH("入",D4162)))),"Ambiguous",IF(ISNUMBER(SEARCH("平",D4162)),"平","仄")))</x:f>
        <x:v>仄</x:v>
      </x:c>
      <x:c r="J4178" s="7" t="str"/>
    </x:row>
    <x:row r="4179">
      <x:c r="A4179" s="5" t="str">
        <x:v>郅</x:v>
      </x:c>
      <x:c r="B4179" s="6" t="str">
        <x:v>入</x:v>
      </x:c>
      <x:c r="C4179" s="6" t="str">
        <x:f>IF(B4179="","Needs decision","Ready")</x:f>
        <x:v>Ready</x:v>
      </x:c>
      <x:c r="D4179" s="6" t="str">
        <x:v>入</x:v>
      </x:c>
      <x:c r="E4179" s="6" t="str"/>
      <x:c r="F4179" s="6" t="str"/>
      <x:c r="G4179" s="6" t="str">
        <x:v>Manual user correction/addition</x:v>
      </x:c>
      <x:c r="H4179" s="6" t="str">
        <x:f>IF(B4179="平","平",IF(B4179="","","仄"))</x:f>
        <x:v>仄</x:v>
      </x:c>
      <x:c r="I4179" s="6" t="str">
        <x:f>IF(D4163="","",IF(AND(ISNUMBER(SEARCH("平",D4163)),OR(ISNUMBER(SEARCH("上",D4163)),ISNUMBER(SEARCH("去",D4163)),ISNUMBER(SEARCH("入",D4163)))),"Ambiguous",IF(ISNUMBER(SEARCH("平",D4163)),"平","仄")))</x:f>
        <x:v>仄</x:v>
      </x:c>
      <x:c r="J4179" s="7" t="str">
        <x:v>manual user correction</x:v>
      </x:c>
    </x:row>
    <x:row r="4180">
      <x:c r="A4180" s="5" t="str">
        <x:v>郊</x:v>
      </x:c>
      <x:c r="B4180" s="6" t="str">
        <x:v>平</x:v>
      </x:c>
      <x:c r="C4180" s="6" t="str">
        <x:f>IF(B4180="","Needs decision","Ready")</x:f>
        <x:v>Ready</x:v>
      </x:c>
      <x:c r="D4180" s="6" t="str">
        <x:v>平</x:v>
      </x:c>
      <x:c r="E4180" s="6" t="str">
        <x:v>kaew (A)</x:v>
      </x:c>
      <x:c r="F4180" s="6" t="str">
        <x:v>1</x:v>
      </x:c>
      <x:c r="G4180" s="6" t="str"/>
      <x:c r="H4180" s="6" t="str">
        <x:f>IF(B4180="平","平",IF(B4180="","","仄"))</x:f>
        <x:v>平</x:v>
      </x:c>
      <x:c r="I4180" s="6" t="str">
        <x:f>IF(D4164="","",IF(AND(ISNUMBER(SEARCH("平",D4164)),OR(ISNUMBER(SEARCH("上",D4164)),ISNUMBER(SEARCH("去",D4164)),ISNUMBER(SEARCH("入",D4164)))),"Ambiguous",IF(ISNUMBER(SEARCH("平",D4164)),"平","仄")))</x:f>
        <x:v>仄</x:v>
      </x:c>
      <x:c r="J4180" s="7" t="str"/>
    </x:row>
    <x:row r="4181">
      <x:c r="A4181" s="5" t="str">
        <x:v>郎</x:v>
      </x:c>
      <x:c r="B4181" s="6" t="str">
        <x:v>平</x:v>
      </x:c>
      <x:c r="C4181" s="6" t="str">
        <x:f>IF(B4181="","Needs decision","Ready")</x:f>
        <x:v>Ready</x:v>
      </x:c>
      <x:c r="D4181" s="6" t="str">
        <x:v>平</x:v>
      </x:c>
      <x:c r="E4181" s="6" t="str">
        <x:v>lang (A)</x:v>
      </x:c>
      <x:c r="F4181" s="6" t="str">
        <x:v>1</x:v>
      </x:c>
      <x:c r="G4181" s="6" t="str"/>
      <x:c r="H4181" s="6" t="str">
        <x:f>IF(B4181="平","平",IF(B4181="","","仄"))</x:f>
        <x:v>平</x:v>
      </x:c>
      <x:c r="I4181" s="6" t="str">
        <x:f>IF(D4165="","",IF(AND(ISNUMBER(SEARCH("平",D4165)),OR(ISNUMBER(SEARCH("上",D4165)),ISNUMBER(SEARCH("去",D4165)),ISNUMBER(SEARCH("入",D4165)))),"Ambiguous",IF(ISNUMBER(SEARCH("平",D4165)),"平","仄")))</x:f>
        <x:v>平</x:v>
      </x:c>
      <x:c r="J4181" s="7" t="str"/>
    </x:row>
    <x:row r="4182">
      <x:c r="A4182" s="5" t="str">
        <x:v>郜</x:v>
      </x:c>
      <x:c r="B4182" s="6" t="str">
        <x:v>入</x:v>
      </x:c>
      <x:c r="C4182" s="6" t="str">
        <x:f>IF(B4182="","Needs decision","Ready")</x:f>
        <x:v>Ready</x:v>
      </x:c>
      <x:c r="D4182" s="6" t="str">
        <x:v>入</x:v>
      </x:c>
      <x:c r="E4182" s="6" t="str">
        <x:v>kowk (D)</x:v>
      </x:c>
      <x:c r="F4182" s="6" t="str">
        <x:v>1</x:v>
      </x:c>
      <x:c r="G4182" s="6" t="str"/>
      <x:c r="H4182" s="6" t="str">
        <x:f>IF(B4182="平","平",IF(B4182="","","仄"))</x:f>
        <x:v>仄</x:v>
      </x:c>
      <x:c r="I4182" s="6" t="str">
        <x:f>IF(D4166="","",IF(AND(ISNUMBER(SEARCH("平",D4166)),OR(ISNUMBER(SEARCH("上",D4166)),ISNUMBER(SEARCH("去",D4166)),ISNUMBER(SEARCH("入",D4166)))),"Ambiguous",IF(ISNUMBER(SEARCH("平",D4166)),"平","仄")))</x:f>
        <x:v>平</x:v>
      </x:c>
      <x:c r="J4182" s="7" t="str"/>
    </x:row>
    <x:row r="4183">
      <x:c r="A4183" s="5" t="str">
        <x:v>郞</x:v>
      </x:c>
      <x:c r="B4183" s="6" t="str">
        <x:v>平</x:v>
      </x:c>
      <x:c r="C4183" s="6" t="str">
        <x:f>IF(B4183="","Needs decision","Ready")</x:f>
        <x:v>Ready</x:v>
      </x:c>
      <x:c r="D4183" s="6" t="str">
        <x:v>平</x:v>
      </x:c>
      <x:c r="E4183" s="6" t="str"/>
      <x:c r="F4183" s="6" t="str"/>
      <x:c r="G4183" s="6" t="str">
        <x:v>Manual user correction/addition</x:v>
      </x:c>
      <x:c r="H4183" s="6" t="str">
        <x:f>IF(B4183="平","平",IF(B4183="","","仄"))</x:f>
        <x:v>平</x:v>
      </x:c>
      <x:c r="I4183" s="6" t="str">
        <x:f>IF(D4167="","",IF(AND(ISNUMBER(SEARCH("平",D4167)),OR(ISNUMBER(SEARCH("上",D4167)),ISNUMBER(SEARCH("去",D4167)),ISNUMBER(SEARCH("入",D4167)))),"Ambiguous",IF(ISNUMBER(SEARCH("平",D4167)),"平","仄")))</x:f>
        <x:v>平</x:v>
      </x:c>
      <x:c r="J4183" s="7" t="str">
        <x:v>manual user correction</x:v>
      </x:c>
    </x:row>
    <x:row r="4184">
      <x:c r="A4184" s="5" t="str">
        <x:v>郡</x:v>
      </x:c>
      <x:c r="B4184" s="6" t="str">
        <x:v>去</x:v>
      </x:c>
      <x:c r="C4184" s="6" t="str">
        <x:f>IF(B4184="","Needs decision","Ready")</x:f>
        <x:v>Ready</x:v>
      </x:c>
      <x:c r="D4184" s="6" t="str">
        <x:v>去</x:v>
      </x:c>
      <x:c r="E4184" s="6" t="str">
        <x:v>gjunH (C)</x:v>
      </x:c>
      <x:c r="F4184" s="6" t="str">
        <x:v>1</x:v>
      </x:c>
      <x:c r="G4184" s="6" t="str"/>
      <x:c r="H4184" s="6" t="str">
        <x:f>IF(B4184="平","平",IF(B4184="","","仄"))</x:f>
        <x:v>仄</x:v>
      </x:c>
      <x:c r="I4184" s="6" t="str">
        <x:f>IF(D4168="","",IF(AND(ISNUMBER(SEARCH("平",D4168)),OR(ISNUMBER(SEARCH("上",D4168)),ISNUMBER(SEARCH("去",D4168)),ISNUMBER(SEARCH("入",D4168)))),"Ambiguous",IF(ISNUMBER(SEARCH("平",D4168)),"平","仄")))</x:f>
        <x:v>平</x:v>
      </x:c>
      <x:c r="J4184" s="7" t="str"/>
    </x:row>
    <x:row r="4185">
      <x:c r="A4185" s="5" t="str">
        <x:v>郢</x:v>
      </x:c>
      <x:c r="B4185" s="6" t="str">
        <x:v>上</x:v>
      </x:c>
      <x:c r="C4185" s="6" t="str">
        <x:f>IF(B4185="","Needs decision","Ready")</x:f>
        <x:v>Ready</x:v>
      </x:c>
      <x:c r="D4185" s="6" t="str">
        <x:v>上</x:v>
      </x:c>
      <x:c r="E4185" s="6" t="str">
        <x:v>yengX (B)</x:v>
      </x:c>
      <x:c r="F4185" s="6" t="str">
        <x:v>1</x:v>
      </x:c>
      <x:c r="G4185" s="6" t="str"/>
      <x:c r="H4185" s="6" t="str">
        <x:f>IF(B4185="平","平",IF(B4185="","","仄"))</x:f>
        <x:v>仄</x:v>
      </x:c>
      <x:c r="I4185" s="6" t="str">
        <x:f>IF(D4169="","",IF(AND(ISNUMBER(SEARCH("平",D4169)),OR(ISNUMBER(SEARCH("上",D4169)),ISNUMBER(SEARCH("去",D4169)),ISNUMBER(SEARCH("入",D4169)))),"Ambiguous",IF(ISNUMBER(SEARCH("平",D4169)),"平","仄")))</x:f>
        <x:v>平</x:v>
      </x:c>
      <x:c r="J4185" s="7" t="str"/>
    </x:row>
    <x:row r="4186">
      <x:c r="A4186" s="5" t="str">
        <x:v>郤</x:v>
      </x:c>
      <x:c r="B4186" s="6" t="str">
        <x:v>入</x:v>
      </x:c>
      <x:c r="C4186" s="6" t="str">
        <x:f>IF(B4186="","Needs decision","Ready")</x:f>
        <x:v>Ready</x:v>
      </x:c>
      <x:c r="D4186" s="6" t="str">
        <x:v>入</x:v>
      </x:c>
      <x:c r="E4186" s="6" t="str">
        <x:v>khjaek (D)</x:v>
      </x:c>
      <x:c r="F4186" s="6" t="str">
        <x:v>1</x:v>
      </x:c>
      <x:c r="G4186" s="6" t="str"/>
      <x:c r="H4186" s="6" t="str">
        <x:f>IF(B4186="平","平",IF(B4186="","","仄"))</x:f>
        <x:v>仄</x:v>
      </x:c>
      <x:c r="I4186" s="6" t="str">
        <x:f>IF(D4170="","",IF(AND(ISNUMBER(SEARCH("平",D4170)),OR(ISNUMBER(SEARCH("上",D4170)),ISNUMBER(SEARCH("去",D4170)),ISNUMBER(SEARCH("入",D4170)))),"Ambiguous",IF(ISNUMBER(SEARCH("平",D4170)),"平","仄")))</x:f>
        <x:v>平</x:v>
      </x:c>
      <x:c r="J4186" s="7" t="str"/>
    </x:row>
    <x:row r="4187">
      <x:c r="A4187" s="5" t="str">
        <x:v>部</x:v>
      </x:c>
      <x:c r="B4187" s="6" t="str">
        <x:v>上</x:v>
      </x:c>
      <x:c r="C4187" s="6" t="str">
        <x:f>IF(B4187="","Needs decision","Ready")</x:f>
        <x:v>Ready</x:v>
      </x:c>
      <x:c r="D4187" s="6" t="str">
        <x:v>上</x:v>
      </x:c>
      <x:c r="E4187" s="6" t="str">
        <x:v>buwX (B)</x:v>
      </x:c>
      <x:c r="F4187" s="6" t="str">
        <x:v>1</x:v>
      </x:c>
      <x:c r="G4187" s="6" t="str"/>
      <x:c r="H4187" s="6" t="str">
        <x:f>IF(B4187="平","平",IF(B4187="","","仄"))</x:f>
        <x:v>仄</x:v>
      </x:c>
      <x:c r="I4187" s="6" t="str">
        <x:f>IF(D4171="","",IF(AND(ISNUMBER(SEARCH("平",D4171)),OR(ISNUMBER(SEARCH("上",D4171)),ISNUMBER(SEARCH("去",D4171)),ISNUMBER(SEARCH("入",D4171)))),"Ambiguous",IF(ISNUMBER(SEARCH("平",D4171)),"平","仄")))</x:f>
        <x:v>平</x:v>
      </x:c>
      <x:c r="J4187" s="7" t="str"/>
    </x:row>
    <x:row r="4188">
      <x:c r="A4188" s="5" t="str">
        <x:v>郭</x:v>
      </x:c>
      <x:c r="B4188" s="6" t="str">
        <x:v>入</x:v>
      </x:c>
      <x:c r="C4188" s="6" t="str">
        <x:f>IF(B4188="","Needs decision","Ready")</x:f>
        <x:v>Ready</x:v>
      </x:c>
      <x:c r="D4188" s="6" t="str">
        <x:v>入</x:v>
      </x:c>
      <x:c r="E4188" s="6" t="str">
        <x:v>kwak (D)</x:v>
      </x:c>
      <x:c r="F4188" s="6" t="str">
        <x:v>1</x:v>
      </x:c>
      <x:c r="G4188" s="6" t="str"/>
      <x:c r="H4188" s="6" t="str">
        <x:f>IF(B4188="平","平",IF(B4188="","","仄"))</x:f>
        <x:v>仄</x:v>
      </x:c>
      <x:c r="I4188" s="6" t="str">
        <x:f>IF(D4172="","",IF(AND(ISNUMBER(SEARCH("平",D4172)),OR(ISNUMBER(SEARCH("上",D4172)),ISNUMBER(SEARCH("去",D4172)),ISNUMBER(SEARCH("入",D4172)))),"Ambiguous",IF(ISNUMBER(SEARCH("平",D4172)),"平","仄")))</x:f>
        <x:v>平</x:v>
      </x:c>
      <x:c r="J4188" s="7" t="str"/>
    </x:row>
    <x:row r="4189">
      <x:c r="A4189" s="5" t="str">
        <x:v>都</x:v>
      </x:c>
      <x:c r="B4189" s="6" t="str">
        <x:v>平</x:v>
      </x:c>
      <x:c r="C4189" s="6" t="str">
        <x:f>IF(B4189="","Needs decision","Ready")</x:f>
        <x:v>Ready</x:v>
      </x:c>
      <x:c r="D4189" s="6" t="str">
        <x:v>平</x:v>
      </x:c>
      <x:c r="E4189" s="6" t="str">
        <x:v>tu (A)</x:v>
      </x:c>
      <x:c r="F4189" s="6" t="str">
        <x:v>1</x:v>
      </x:c>
      <x:c r="G4189" s="6" t="str"/>
      <x:c r="H4189" s="6" t="str">
        <x:f>IF(B4189="平","平",IF(B4189="","","仄"))</x:f>
        <x:v>平</x:v>
      </x:c>
      <x:c r="I4189" s="6" t="str">
        <x:f>IF(D4173="","",IF(AND(ISNUMBER(SEARCH("平",D4173)),OR(ISNUMBER(SEARCH("上",D4173)),ISNUMBER(SEARCH("去",D4173)),ISNUMBER(SEARCH("入",D4173)))),"Ambiguous",IF(ISNUMBER(SEARCH("平",D4173)),"平","仄")))</x:f>
        <x:v>仄</x:v>
      </x:c>
      <x:c r="J4189" s="7" t="str"/>
    </x:row>
    <x:row r="4190">
      <x:c r="A4190" s="5" t="str">
        <x:v>鄂</x:v>
      </x:c>
      <x:c r="B4190" s="6" t="str">
        <x:v>入</x:v>
      </x:c>
      <x:c r="C4190" s="6" t="str">
        <x:f>IF(B4190="","Needs decision","Ready")</x:f>
        <x:v>Ready</x:v>
      </x:c>
      <x:c r="D4190" s="6" t="str">
        <x:v>入</x:v>
      </x:c>
      <x:c r="E4190" s="6" t="str">
        <x:v>ngak [ɴɑk] (入)</x:v>
      </x:c>
      <x:c r="F4190" s="6" t="str">
        <x:v>1</x:v>
      </x:c>
      <x:c r="G4190" s="6" t="str">
        <x:v>Tang 300 gap; frequency 1; provisional from Xun Gong</x:v>
      </x:c>
      <x:c r="H4190" s="6" t="str">
        <x:f>IF(B4190="平","平",IF(B4190="","","仄"))</x:f>
        <x:v>仄</x:v>
      </x:c>
      <x:c r="I4190" s="6" t="str">
        <x:f>IF(D4174="","",IF(AND(ISNUMBER(SEARCH("平",D4174)),OR(ISNUMBER(SEARCH("上",D4174)),ISNUMBER(SEARCH("去",D4174)),ISNUMBER(SEARCH("入",D4174)))),"Ambiguous",IF(ISNUMBER(SEARCH("平",D4174)),"平","仄")))</x:f>
        <x:v>平</x:v>
      </x:c>
      <x:c r="J4190" s="7" t="str">
        <x:v>Xun Gong, Tang 300 gap fill</x:v>
      </x:c>
    </x:row>
    <x:row r="4191">
      <x:c r="A4191" s="5" t="str">
        <x:v>鄉</x:v>
      </x:c>
      <x:c r="B4191" s="6" t="str"/>
      <x:c r="C4191" s="6" t="str">
        <x:f>IF(B4191="","Needs decision","Ready")</x:f>
        <x:v>Needs decision</x:v>
      </x:c>
      <x:c r="D4191" s="6" t="str">
        <x:v>平/上/去</x:v>
      </x:c>
      <x:c r="E4191" s="6" t="str">
        <x:v>xjang (A); xjangX (B); xjangH (C)</x:v>
      </x:c>
      <x:c r="F4191" s="6" t="str">
        <x:v>3</x:v>
      </x:c>
      <x:c r="G4191" s="6" t="str"/>
      <x:c r="H4191" s="6" t="str">
        <x:f>IF(B4191="平","平",IF(B4191="","","仄"))</x:f>
      </x:c>
      <x:c r="I4191" s="6" t="str">
        <x:f>IF(D4175="","",IF(AND(ISNUMBER(SEARCH("平",D4175)),OR(ISNUMBER(SEARCH("上",D4175)),ISNUMBER(SEARCH("去",D4175)),ISNUMBER(SEARCH("入",D4175)))),"Ambiguous",IF(ISNUMBER(SEARCH("平",D4175)),"平","仄")))</x:f>
        <x:v>仄</x:v>
      </x:c>
      <x:c r="J4191" s="7" t="str"/>
    </x:row>
    <x:row r="4192">
      <x:c r="A4192" s="5" t="str">
        <x:v>鄍</x:v>
      </x:c>
      <x:c r="B4192" s="6" t="str">
        <x:v>平</x:v>
      </x:c>
      <x:c r="C4192" s="6" t="str">
        <x:f>IF(B4192="","Needs decision","Ready")</x:f>
        <x:v>Ready</x:v>
      </x:c>
      <x:c r="D4192" s="6" t="str">
        <x:v>平</x:v>
      </x:c>
      <x:c r="E4192" s="6" t="str">
        <x:v>meng (A)</x:v>
      </x:c>
      <x:c r="F4192" s="6" t="str">
        <x:v>1</x:v>
      </x:c>
      <x:c r="G4192" s="6" t="str"/>
      <x:c r="H4192" s="6" t="str">
        <x:f>IF(B4192="平","平",IF(B4192="","","仄"))</x:f>
        <x:v>平</x:v>
      </x:c>
      <x:c r="I4192" s="6" t="str">
        <x:f>IF(D4176="","",IF(AND(ISNUMBER(SEARCH("平",D4176)),OR(ISNUMBER(SEARCH("上",D4176)),ISNUMBER(SEARCH("去",D4176)),ISNUMBER(SEARCH("入",D4176)))),"Ambiguous",IF(ISNUMBER(SEARCH("平",D4176)),"平","仄")))</x:f>
        <x:v>仄</x:v>
      </x:c>
      <x:c r="J4192" s="7" t="str"/>
    </x:row>
    <x:row r="4193">
      <x:c r="A4193" s="5" t="str">
        <x:v>鄙</x:v>
      </x:c>
      <x:c r="B4193" s="6" t="str">
        <x:v>上</x:v>
      </x:c>
      <x:c r="C4193" s="6" t="str">
        <x:f>IF(B4193="","Needs decision","Ready")</x:f>
        <x:v>Ready</x:v>
      </x:c>
      <x:c r="D4193" s="6" t="str">
        <x:v>上</x:v>
      </x:c>
      <x:c r="E4193" s="6" t="str">
        <x:v>pijX (B)</x:v>
      </x:c>
      <x:c r="F4193" s="6" t="str">
        <x:v>1</x:v>
      </x:c>
      <x:c r="G4193" s="6" t="str"/>
      <x:c r="H4193" s="6" t="str">
        <x:f>IF(B4193="平","平",IF(B4193="","","仄"))</x:f>
        <x:v>仄</x:v>
      </x:c>
      <x:c r="I4193" s="6" t="str">
        <x:f>IF(D4177="","",IF(AND(ISNUMBER(SEARCH("平",D4177)),OR(ISNUMBER(SEARCH("上",D4177)),ISNUMBER(SEARCH("去",D4177)),ISNUMBER(SEARCH("入",D4177)))),"Ambiguous",IF(ISNUMBER(SEARCH("平",D4177)),"平","仄")))</x:f>
        <x:v>平</x:v>
      </x:c>
      <x:c r="J4193" s="7" t="str"/>
    </x:row>
    <x:row r="4194">
      <x:c r="A4194" s="5" t="str">
        <x:v>鄜</x:v>
      </x:c>
      <x:c r="B4194" s="6" t="str"/>
      <x:c r="C4194" s="6" t="str">
        <x:f>IF(B4194="","Needs decision","Ready")</x:f>
        <x:v>Needs decision</x:v>
      </x:c>
      <x:c r="D4194" s="6" t="str">
        <x:v>平/入</x:v>
      </x:c>
      <x:c r="E4194" s="6" t="str">
        <x:v>luwk [l̙uk] (入); phju [pʰɨ̯o] (平)</x:v>
      </x:c>
      <x:c r="F4194" s="6" t="str">
        <x:v>2</x:v>
      </x:c>
      <x:c r="G4194" s="6" t="str">
        <x:v>Tang 300 gap; frequency 1; ambiguous in Xun Gong</x:v>
      </x:c>
      <x:c r="H4194" s="6" t="str">
        <x:f>IF(B4194="平","平",IF(B4194="","","仄"))</x:f>
      </x:c>
      <x:c r="I4194" s="6" t="str">
        <x:f>IF(D4178="","",IF(AND(ISNUMBER(SEARCH("平",D4178)),OR(ISNUMBER(SEARCH("上",D4178)),ISNUMBER(SEARCH("去",D4178)),ISNUMBER(SEARCH("入",D4178)))),"Ambiguous",IF(ISNUMBER(SEARCH("平",D4178)),"平","仄")))</x:f>
        <x:v>仄</x:v>
      </x:c>
      <x:c r="J4194" s="7" t="str">
        <x:v>Xun Gong, Tang 300 gap fill</x:v>
      </x:c>
    </x:row>
    <x:row r="4195">
      <x:c r="A4195" s="5" t="str">
        <x:v>鄢</x:v>
      </x:c>
      <x:c r="B4195" s="6" t="str"/>
      <x:c r="C4195" s="6" t="str">
        <x:f>IF(B4195="","Needs decision","Ready")</x:f>
        <x:v>Needs decision</x:v>
      </x:c>
      <x:c r="D4195" s="6" t="str">
        <x:v>平/上</x:v>
      </x:c>
      <x:c r="E4195" s="6" t="str">
        <x:v>'jen (A); 'jon (A); 'jonX (B)</x:v>
      </x:c>
      <x:c r="F4195" s="6" t="str">
        <x:v>3</x:v>
      </x:c>
      <x:c r="G4195" s="6" t="str"/>
      <x:c r="H4195" s="6" t="str">
        <x:f>IF(B4195="平","平",IF(B4195="","","仄"))</x:f>
      </x:c>
      <x:c r="I4195" s="6" t="str">
        <x:f>IF(D4179="","",IF(AND(ISNUMBER(SEARCH("平",D4179)),OR(ISNUMBER(SEARCH("上",D4179)),ISNUMBER(SEARCH("去",D4179)),ISNUMBER(SEARCH("入",D4179)))),"Ambiguous",IF(ISNUMBER(SEARCH("平",D4179)),"平","仄")))</x:f>
        <x:v>仄</x:v>
      </x:c>
      <x:c r="J4195" s="7" t="str"/>
    </x:row>
    <x:row r="4196">
      <x:c r="A4196" s="5" t="str">
        <x:v>鄧</x:v>
      </x:c>
      <x:c r="B4196" s="6" t="str">
        <x:v>去</x:v>
      </x:c>
      <x:c r="C4196" s="6" t="str">
        <x:f>IF(B4196="","Needs decision","Ready")</x:f>
        <x:v>Ready</x:v>
      </x:c>
      <x:c r="D4196" s="6" t="str">
        <x:v>去</x:v>
      </x:c>
      <x:c r="E4196" s="6" t="str">
        <x:v>dongH [d̙əŋh] (去)</x:v>
      </x:c>
      <x:c r="F4196" s="6" t="str">
        <x:v>1</x:v>
      </x:c>
      <x:c r="G4196" s="6" t="str">
        <x:v>Tang 300 gap; frequency 1; provisional from Xun Gong</x:v>
      </x:c>
      <x:c r="H4196" s="6" t="str">
        <x:f>IF(B4196="平","平",IF(B4196="","","仄"))</x:f>
        <x:v>仄</x:v>
      </x:c>
      <x:c r="I4196" s="6" t="str">
        <x:f>IF(D4180="","",IF(AND(ISNUMBER(SEARCH("平",D4180)),OR(ISNUMBER(SEARCH("上",D4180)),ISNUMBER(SEARCH("去",D4180)),ISNUMBER(SEARCH("入",D4180)))),"Ambiguous",IF(ISNUMBER(SEARCH("平",D4180)),"平","仄")))</x:f>
        <x:v>平</x:v>
      </x:c>
      <x:c r="J4196" s="7" t="str">
        <x:v>Xun Gong, Tang 300 gap fill</x:v>
      </x:c>
    </x:row>
    <x:row r="4197">
      <x:c r="A4197" s="5" t="str">
        <x:v>鄭</x:v>
      </x:c>
      <x:c r="B4197" s="6" t="str">
        <x:v>去</x:v>
      </x:c>
      <x:c r="C4197" s="6" t="str">
        <x:f>IF(B4197="","Needs decision","Ready")</x:f>
        <x:v>Ready</x:v>
      </x:c>
      <x:c r="D4197" s="6" t="str">
        <x:v>去</x:v>
      </x:c>
      <x:c r="E4197" s="6" t="str">
        <x:v>drjengH (C)</x:v>
      </x:c>
      <x:c r="F4197" s="6" t="str">
        <x:v>1</x:v>
      </x:c>
      <x:c r="G4197" s="6" t="str"/>
      <x:c r="H4197" s="6" t="str">
        <x:f>IF(B4197="平","平",IF(B4197="","","仄"))</x:f>
        <x:v>仄</x:v>
      </x:c>
      <x:c r="I4197" s="6" t="str">
        <x:f>IF(D4181="","",IF(AND(ISNUMBER(SEARCH("平",D4181)),OR(ISNUMBER(SEARCH("上",D4181)),ISNUMBER(SEARCH("去",D4181)),ISNUMBER(SEARCH("入",D4181)))),"Ambiguous",IF(ISNUMBER(SEARCH("平",D4181)),"平","仄")))</x:f>
        <x:v>平</x:v>
      </x:c>
      <x:c r="J4197" s="7" t="str"/>
    </x:row>
    <x:row r="4198">
      <x:c r="A4198" s="5" t="str">
        <x:v>鄰</x:v>
      </x:c>
      <x:c r="B4198" s="6" t="str">
        <x:v>平</x:v>
      </x:c>
      <x:c r="C4198" s="6" t="str">
        <x:f>IF(B4198="","Needs decision","Ready")</x:f>
        <x:v>Ready</x:v>
      </x:c>
      <x:c r="D4198" s="6" t="str">
        <x:v>平</x:v>
      </x:c>
      <x:c r="E4198" s="6" t="str">
        <x:v>lin (A)</x:v>
      </x:c>
      <x:c r="F4198" s="6" t="str">
        <x:v>1</x:v>
      </x:c>
      <x:c r="G4198" s="6" t="str"/>
      <x:c r="H4198" s="6" t="str">
        <x:f>IF(B4198="平","平",IF(B4198="","","仄"))</x:f>
        <x:v>平</x:v>
      </x:c>
      <x:c r="I4198" s="6" t="str">
        <x:f>IF(D4182="","",IF(AND(ISNUMBER(SEARCH("平",D4182)),OR(ISNUMBER(SEARCH("上",D4182)),ISNUMBER(SEARCH("去",D4182)),ISNUMBER(SEARCH("入",D4182)))),"Ambiguous",IF(ISNUMBER(SEARCH("平",D4182)),"平","仄")))</x:f>
        <x:v>仄</x:v>
      </x:c>
      <x:c r="J4198" s="7" t="str"/>
    </x:row>
    <x:row r="4199">
      <x:c r="A4199" s="5" t="str">
        <x:v>鄱</x:v>
      </x:c>
      <x:c r="B4199" s="6" t="str">
        <x:v>平</x:v>
      </x:c>
      <x:c r="C4199" s="6" t="str">
        <x:f>IF(B4199="","Needs decision","Ready")</x:f>
        <x:v>Ready</x:v>
      </x:c>
      <x:c r="D4199" s="6" t="str">
        <x:v>平</x:v>
      </x:c>
      <x:c r="E4199" s="6" t="str">
        <x:v>ba (A)</x:v>
      </x:c>
      <x:c r="F4199" s="6" t="str">
        <x:v>1</x:v>
      </x:c>
      <x:c r="G4199" s="6" t="str"/>
      <x:c r="H4199" s="6" t="str">
        <x:f>IF(B4199="平","平",IF(B4199="","","仄"))</x:f>
        <x:v>平</x:v>
      </x:c>
      <x:c r="I4199" s="6" t="str">
        <x:f>IF(D4183="","",IF(AND(ISNUMBER(SEARCH("平",D4183)),OR(ISNUMBER(SEARCH("上",D4183)),ISNUMBER(SEARCH("去",D4183)),ISNUMBER(SEARCH("入",D4183)))),"Ambiguous",IF(ISNUMBER(SEARCH("平",D4183)),"平","仄")))</x:f>
        <x:v>平</x:v>
      </x:c>
      <x:c r="J4199" s="7" t="str"/>
    </x:row>
    <x:row r="4200">
      <x:c r="A4200" s="5" t="str">
        <x:v>鄲</x:v>
      </x:c>
      <x:c r="B4200" s="6" t="str">
        <x:v>平</x:v>
      </x:c>
      <x:c r="C4200" s="6" t="str">
        <x:f>IF(B4200="","Needs decision","Ready")</x:f>
        <x:v>Ready</x:v>
      </x:c>
      <x:c r="D4200" s="6" t="str">
        <x:v>平</x:v>
      </x:c>
      <x:c r="E4200" s="6" t="str">
        <x:v>tan (A)</x:v>
      </x:c>
      <x:c r="F4200" s="6" t="str">
        <x:v>1</x:v>
      </x:c>
      <x:c r="G4200" s="6" t="str"/>
      <x:c r="H4200" s="6" t="str">
        <x:f>IF(B4200="平","平",IF(B4200="","","仄"))</x:f>
        <x:v>平</x:v>
      </x:c>
      <x:c r="I4200" s="6" t="str">
        <x:f>IF(D4184="","",IF(AND(ISNUMBER(SEARCH("平",D4184)),OR(ISNUMBER(SEARCH("上",D4184)),ISNUMBER(SEARCH("去",D4184)),ISNUMBER(SEARCH("入",D4184)))),"Ambiguous",IF(ISNUMBER(SEARCH("平",D4184)),"平","仄")))</x:f>
        <x:v>仄</x:v>
      </x:c>
      <x:c r="J4200" s="7" t="str"/>
    </x:row>
    <x:row r="4201">
      <x:c r="A4201" s="5" t="str">
        <x:v>鄴</x:v>
      </x:c>
      <x:c r="B4201" s="6" t="str">
        <x:v>入</x:v>
      </x:c>
      <x:c r="C4201" s="6" t="str">
        <x:f>IF(B4201="","Needs decision","Ready")</x:f>
        <x:v>Ready</x:v>
      </x:c>
      <x:c r="D4201" s="6" t="str">
        <x:v>入</x:v>
      </x:c>
      <x:c r="E4201" s="6" t="str"/>
      <x:c r="F4201" s="6" t="str"/>
      <x:c r="G4201" s="6" t="str">
        <x:v>Manual user correction/addition</x:v>
      </x:c>
      <x:c r="H4201" s="6" t="str">
        <x:f>IF(B4201="平","平",IF(B4201="","","仄"))</x:f>
        <x:v>仄</x:v>
      </x:c>
      <x:c r="I4201" s="6" t="str">
        <x:f>IF(D4185="","",IF(AND(ISNUMBER(SEARCH("平",D4185)),OR(ISNUMBER(SEARCH("上",D4185)),ISNUMBER(SEARCH("去",D4185)),ISNUMBER(SEARCH("入",D4185)))),"Ambiguous",IF(ISNUMBER(SEARCH("平",D4185)),"平","仄")))</x:f>
        <x:v>仄</x:v>
      </x:c>
      <x:c r="J4201" s="7" t="str">
        <x:v>manual user correction</x:v>
      </x:c>
    </x:row>
    <x:row r="4202">
      <x:c r="A4202" s="5" t="str">
        <x:v>鄹</x:v>
      </x:c>
      <x:c r="B4202" s="6" t="str"/>
      <x:c r="C4202" s="6" t="str">
        <x:f>IF(B4202="","Needs decision","Ready")</x:f>
        <x:v>Needs decision</x:v>
      </x:c>
      <x:c r="D4202" s="6" t="str">
        <x:v>平/上</x:v>
      </x:c>
      <x:c r="E4202" s="6" t="str">
        <x:v>dzjuX [dzjoʔ] (上); tsrjuw [tʂɨ̯u] (平)</x:v>
      </x:c>
      <x:c r="F4202" s="6" t="str">
        <x:v>2</x:v>
      </x:c>
      <x:c r="G4202" s="6" t="str">
        <x:v>Tang 300 gap; frequency 1; ambiguous in Xun Gong</x:v>
      </x:c>
      <x:c r="H4202" s="6" t="str">
        <x:f>IF(B4202="平","平",IF(B4202="","","仄"))</x:f>
      </x:c>
      <x:c r="I4202" s="6" t="str">
        <x:f>IF(D4186="","",IF(AND(ISNUMBER(SEARCH("平",D4186)),OR(ISNUMBER(SEARCH("上",D4186)),ISNUMBER(SEARCH("去",D4186)),ISNUMBER(SEARCH("入",D4186)))),"Ambiguous",IF(ISNUMBER(SEARCH("平",D4186)),"平","仄")))</x:f>
        <x:v>仄</x:v>
      </x:c>
      <x:c r="J4202" s="7" t="str">
        <x:v>Xun Gong, Tang 300 gap fill</x:v>
      </x:c>
    </x:row>
    <x:row r="4203">
      <x:c r="A4203" s="5" t="str">
        <x:v>酉</x:v>
      </x:c>
      <x:c r="B4203" s="6" t="str">
        <x:v>上</x:v>
      </x:c>
      <x:c r="C4203" s="6" t="str">
        <x:f>IF(B4203="","Needs decision","Ready")</x:f>
        <x:v>Ready</x:v>
      </x:c>
      <x:c r="D4203" s="6" t="str">
        <x:v>上</x:v>
      </x:c>
      <x:c r="E4203" s="6" t="str">
        <x:v>yuwX (B)</x:v>
      </x:c>
      <x:c r="F4203" s="6" t="str">
        <x:v>1</x:v>
      </x:c>
      <x:c r="G4203" s="6" t="str"/>
      <x:c r="H4203" s="6" t="str">
        <x:f>IF(B4203="平","平",IF(B4203="","","仄"))</x:f>
        <x:v>仄</x:v>
      </x:c>
      <x:c r="I4203" s="6" t="str">
        <x:f>IF(D4187="","",IF(AND(ISNUMBER(SEARCH("平",D4187)),OR(ISNUMBER(SEARCH("上",D4187)),ISNUMBER(SEARCH("去",D4187)),ISNUMBER(SEARCH("入",D4187)))),"Ambiguous",IF(ISNUMBER(SEARCH("平",D4187)),"平","仄")))</x:f>
        <x:v>仄</x:v>
      </x:c>
      <x:c r="J4203" s="7" t="str"/>
    </x:row>
    <x:row r="4204">
      <x:c r="A4204" s="5" t="str">
        <x:v>酋</x:v>
      </x:c>
      <x:c r="B4204" s="6" t="str">
        <x:v>平</x:v>
      </x:c>
      <x:c r="C4204" s="6" t="str">
        <x:f>IF(B4204="","Needs decision","Ready")</x:f>
        <x:v>Ready</x:v>
      </x:c>
      <x:c r="D4204" s="6" t="str">
        <x:v>平</x:v>
      </x:c>
      <x:c r="E4204" s="6" t="str">
        <x:v>dzjuw (A)</x:v>
      </x:c>
      <x:c r="F4204" s="6" t="str">
        <x:v>1</x:v>
      </x:c>
      <x:c r="G4204" s="6" t="str"/>
      <x:c r="H4204" s="6" t="str">
        <x:f>IF(B4204="平","平",IF(B4204="","","仄"))</x:f>
        <x:v>平</x:v>
      </x:c>
      <x:c r="I4204" s="6" t="str">
        <x:f>IF(D4188="","",IF(AND(ISNUMBER(SEARCH("平",D4188)),OR(ISNUMBER(SEARCH("上",D4188)),ISNUMBER(SEARCH("去",D4188)),ISNUMBER(SEARCH("入",D4188)))),"Ambiguous",IF(ISNUMBER(SEARCH("平",D4188)),"平","仄")))</x:f>
        <x:v>仄</x:v>
      </x:c>
      <x:c r="J4204" s="7" t="str"/>
    </x:row>
    <x:row r="4205">
      <x:c r="A4205" s="5" t="str">
        <x:v>酌</x:v>
      </x:c>
      <x:c r="B4205" s="6" t="str">
        <x:v>入</x:v>
      </x:c>
      <x:c r="C4205" s="6" t="str">
        <x:f>IF(B4205="","Needs decision","Ready")</x:f>
        <x:v>Ready</x:v>
      </x:c>
      <x:c r="D4205" s="6" t="str">
        <x:v>入</x:v>
      </x:c>
      <x:c r="E4205" s="6" t="str">
        <x:v>tsyak (D)</x:v>
      </x:c>
      <x:c r="F4205" s="6" t="str">
        <x:v>1</x:v>
      </x:c>
      <x:c r="G4205" s="6" t="str"/>
      <x:c r="H4205" s="6" t="str">
        <x:f>IF(B4205="平","平",IF(B4205="","","仄"))</x:f>
        <x:v>仄</x:v>
      </x:c>
      <x:c r="I4205" s="6" t="str">
        <x:f>IF(D4189="","",IF(AND(ISNUMBER(SEARCH("平",D4189)),OR(ISNUMBER(SEARCH("上",D4189)),ISNUMBER(SEARCH("去",D4189)),ISNUMBER(SEARCH("入",D4189)))),"Ambiguous",IF(ISNUMBER(SEARCH("平",D4189)),"平","仄")))</x:f>
        <x:v>平</x:v>
      </x:c>
      <x:c r="J4205" s="7" t="str"/>
    </x:row>
    <x:row r="4206">
      <x:c r="A4206" s="5" t="str">
        <x:v>配</x:v>
      </x:c>
      <x:c r="B4206" s="6" t="str">
        <x:v>去</x:v>
      </x:c>
      <x:c r="C4206" s="6" t="str">
        <x:f>IF(B4206="","Needs decision","Ready")</x:f>
        <x:v>Ready</x:v>
      </x:c>
      <x:c r="D4206" s="6" t="str">
        <x:v>去</x:v>
      </x:c>
      <x:c r="E4206" s="6" t="str">
        <x:v>phwojH (C)</x:v>
      </x:c>
      <x:c r="F4206" s="6" t="str">
        <x:v>1</x:v>
      </x:c>
      <x:c r="G4206" s="6" t="str"/>
      <x:c r="H4206" s="6" t="str">
        <x:f>IF(B4206="平","平",IF(B4206="","","仄"))</x:f>
        <x:v>仄</x:v>
      </x:c>
      <x:c r="I4206" s="6" t="str">
        <x:f>IF(D4190="","",IF(AND(ISNUMBER(SEARCH("平",D4190)),OR(ISNUMBER(SEARCH("上",D4190)),ISNUMBER(SEARCH("去",D4190)),ISNUMBER(SEARCH("入",D4190)))),"Ambiguous",IF(ISNUMBER(SEARCH("平",D4190)),"平","仄")))</x:f>
        <x:v>仄</x:v>
      </x:c>
      <x:c r="J4206" s="7" t="str"/>
    </x:row>
    <x:row r="4207">
      <x:c r="A4207" s="5" t="str">
        <x:v>酎</x:v>
      </x:c>
      <x:c r="B4207" s="6" t="str">
        <x:v>上</x:v>
      </x:c>
      <x:c r="C4207" s="6" t="str">
        <x:f>IF(B4207="","Needs decision","Ready")</x:f>
        <x:v>Ready</x:v>
      </x:c>
      <x:c r="D4207" s="6" t="str">
        <x:v>上</x:v>
      </x:c>
      <x:c r="E4207" s="6" t="str">
        <x:v>drjuwX (B)</x:v>
      </x:c>
      <x:c r="F4207" s="6" t="str">
        <x:v>1</x:v>
      </x:c>
      <x:c r="G4207" s="6" t="str"/>
      <x:c r="H4207" s="6" t="str">
        <x:f>IF(B4207="平","平",IF(B4207="","","仄"))</x:f>
        <x:v>仄</x:v>
      </x:c>
      <x:c r="I4207" s="6" t="str">
        <x:f>IF(D4191="","",IF(AND(ISNUMBER(SEARCH("平",D4191)),OR(ISNUMBER(SEARCH("上",D4191)),ISNUMBER(SEARCH("去",D4191)),ISNUMBER(SEARCH("入",D4191)))),"Ambiguous",IF(ISNUMBER(SEARCH("平",D4191)),"平","仄")))</x:f>
        <x:v>Ambiguous</x:v>
      </x:c>
      <x:c r="J4207" s="7" t="str"/>
    </x:row>
    <x:row r="4208">
      <x:c r="A4208" s="5" t="str">
        <x:v>酒</x:v>
      </x:c>
      <x:c r="B4208" s="6" t="str">
        <x:v>上</x:v>
      </x:c>
      <x:c r="C4208" s="6" t="str">
        <x:f>IF(B4208="","Needs decision","Ready")</x:f>
        <x:v>Ready</x:v>
      </x:c>
      <x:c r="D4208" s="6" t="str">
        <x:v>上</x:v>
      </x:c>
      <x:c r="E4208" s="6" t="str">
        <x:v>tsjuwX (B)</x:v>
      </x:c>
      <x:c r="F4208" s="6" t="str">
        <x:v>1</x:v>
      </x:c>
      <x:c r="G4208" s="6" t="str"/>
      <x:c r="H4208" s="6" t="str">
        <x:f>IF(B4208="平","平",IF(B4208="","","仄"))</x:f>
        <x:v>仄</x:v>
      </x:c>
      <x:c r="I4208" s="6" t="str">
        <x:f>IF(D4192="","",IF(AND(ISNUMBER(SEARCH("平",D4192)),OR(ISNUMBER(SEARCH("上",D4192)),ISNUMBER(SEARCH("去",D4192)),ISNUMBER(SEARCH("入",D4192)))),"Ambiguous",IF(ISNUMBER(SEARCH("平",D4192)),"平","仄")))</x:f>
        <x:v>平</x:v>
      </x:c>
      <x:c r="J4208" s="7" t="str"/>
    </x:row>
    <x:row r="4209">
      <x:c r="A4209" s="5" t="str">
        <x:v>酖</x:v>
      </x:c>
      <x:c r="B4209" s="6" t="str">
        <x:v>去</x:v>
      </x:c>
      <x:c r="C4209" s="6" t="str">
        <x:f>IF(B4209="","Needs decision","Ready")</x:f>
        <x:v>Ready</x:v>
      </x:c>
      <x:c r="D4209" s="6" t="str">
        <x:v>去</x:v>
      </x:c>
      <x:c r="E4209" s="6" t="str">
        <x:v>drimH (C)</x:v>
      </x:c>
      <x:c r="F4209" s="6" t="str">
        <x:v>1</x:v>
      </x:c>
      <x:c r="G4209" s="6" t="str"/>
      <x:c r="H4209" s="6" t="str">
        <x:f>IF(B4209="平","平",IF(B4209="","","仄"))</x:f>
        <x:v>仄</x:v>
      </x:c>
      <x:c r="I4209" s="6" t="str">
        <x:f>IF(D4193="","",IF(AND(ISNUMBER(SEARCH("平",D4193)),OR(ISNUMBER(SEARCH("上",D4193)),ISNUMBER(SEARCH("去",D4193)),ISNUMBER(SEARCH("入",D4193)))),"Ambiguous",IF(ISNUMBER(SEARCH("平",D4193)),"平","仄")))</x:f>
        <x:v>仄</x:v>
      </x:c>
      <x:c r="J4209" s="7" t="str"/>
    </x:row>
    <x:row r="4210">
      <x:c r="A4210" s="5" t="str">
        <x:v>酣</x:v>
      </x:c>
      <x:c r="B4210" s="6" t="str">
        <x:v>平</x:v>
      </x:c>
      <x:c r="C4210" s="6" t="str">
        <x:f>IF(B4210="","Needs decision","Ready")</x:f>
        <x:v>Ready</x:v>
      </x:c>
      <x:c r="D4210" s="6" t="str">
        <x:v>平</x:v>
      </x:c>
      <x:c r="E4210" s="6" t="str">
        <x:v>ham (A)</x:v>
      </x:c>
      <x:c r="F4210" s="6" t="str">
        <x:v>1</x:v>
      </x:c>
      <x:c r="G4210" s="6" t="str"/>
      <x:c r="H4210" s="6" t="str">
        <x:f>IF(B4210="平","平",IF(B4210="","","仄"))</x:f>
        <x:v>平</x:v>
      </x:c>
      <x:c r="I4210" s="6" t="str">
        <x:f>IF(D4194="","",IF(AND(ISNUMBER(SEARCH("平",D4194)),OR(ISNUMBER(SEARCH("上",D4194)),ISNUMBER(SEARCH("去",D4194)),ISNUMBER(SEARCH("入",D4194)))),"Ambiguous",IF(ISNUMBER(SEARCH("平",D4194)),"平","仄")))</x:f>
        <x:v>Ambiguous</x:v>
      </x:c>
      <x:c r="J4210" s="7" t="str"/>
    </x:row>
    <x:row r="4211">
      <x:c r="A4211" s="5" t="str">
        <x:v>酤</x:v>
      </x:c>
      <x:c r="B4211" s="6" t="str"/>
      <x:c r="C4211" s="6" t="str">
        <x:f>IF(B4211="","Needs decision","Ready")</x:f>
        <x:v>Needs decision</x:v>
      </x:c>
      <x:c r="D4211" s="6" t="str">
        <x:v>平/上/去</x:v>
      </x:c>
      <x:c r="E4211" s="6" t="str">
        <x:v>huX [ʁoʔ] (上); ku [qo] (平); kuH [qoh] (去)</x:v>
      </x:c>
      <x:c r="F4211" s="6" t="str">
        <x:v>3</x:v>
      </x:c>
      <x:c r="G4211" s="6" t="str">
        <x:v>Tang 300 gap; frequency 1; ambiguous in Xun Gong</x:v>
      </x:c>
      <x:c r="H4211" s="6" t="str">
        <x:f>IF(B4211="平","平",IF(B4211="","","仄"))</x:f>
      </x:c>
      <x:c r="I4211" s="6" t="str">
        <x:f>IF(D4195="","",IF(AND(ISNUMBER(SEARCH("平",D4195)),OR(ISNUMBER(SEARCH("上",D4195)),ISNUMBER(SEARCH("去",D4195)),ISNUMBER(SEARCH("入",D4195)))),"Ambiguous",IF(ISNUMBER(SEARCH("平",D4195)),"平","仄")))</x:f>
        <x:v>Ambiguous</x:v>
      </x:c>
      <x:c r="J4211" s="7" t="str">
        <x:v>Xun Gong, Tang 300 gap fill</x:v>
      </x:c>
    </x:row>
    <x:row r="4212">
      <x:c r="A4212" s="5" t="str">
        <x:v>酬</x:v>
      </x:c>
      <x:c r="B4212" s="6" t="str">
        <x:v>平</x:v>
      </x:c>
      <x:c r="C4212" s="6" t="str">
        <x:f>IF(B4212="","Needs decision","Ready")</x:f>
        <x:v>Ready</x:v>
      </x:c>
      <x:c r="D4212" s="6" t="str">
        <x:v>平</x:v>
      </x:c>
      <x:c r="E4212" s="6" t="str">
        <x:v>dzyuw [常三尤平] dʑu</x:v>
      </x:c>
      <x:c r="F4212" s="6" t="str">
        <x:v>1</x:v>
      </x:c>
      <x:c r="G4212" s="6" t="str">
        <x:v>Targeted preliminary fill from Xun Gong; review if uncertain</x:v>
      </x:c>
      <x:c r="H4212" s="6" t="str">
        <x:f>IF(B4212="平","平",IF(B4212="","","仄"))</x:f>
        <x:v>平</x:v>
      </x:c>
      <x:c r="I4212" s="6" t="str">
        <x:f>IF(D4196="","",IF(AND(ISNUMBER(SEARCH("平",D4196)),OR(ISNUMBER(SEARCH("上",D4196)),ISNUMBER(SEARCH("去",D4196)),ISNUMBER(SEARCH("入",D4196)))),"Ambiguous",IF(ISNUMBER(SEARCH("平",D4196)),"平","仄")))</x:f>
        <x:v>仄</x:v>
      </x:c>
      <x:c r="J4212" s="7" t="str">
        <x:v>Xun Gong character-readings.csv</x:v>
      </x:c>
    </x:row>
    <x:row r="4213">
      <x:c r="A4213" s="5" t="str">
        <x:v>酷</x:v>
      </x:c>
      <x:c r="B4213" s="6" t="str">
        <x:v>入</x:v>
      </x:c>
      <x:c r="C4213" s="6" t="str">
        <x:f>IF(B4213="","Needs decision","Ready")</x:f>
        <x:v>Ready</x:v>
      </x:c>
      <x:c r="D4213" s="6" t="str">
        <x:v>入</x:v>
      </x:c>
      <x:c r="E4213" s="6" t="str">
        <x:v>khowk (D)</x:v>
      </x:c>
      <x:c r="F4213" s="6" t="str">
        <x:v>1</x:v>
      </x:c>
      <x:c r="G4213" s="6" t="str"/>
      <x:c r="H4213" s="6" t="str">
        <x:f>IF(B4213="平","平",IF(B4213="","","仄"))</x:f>
        <x:v>仄</x:v>
      </x:c>
      <x:c r="I4213" s="6" t="str">
        <x:f>IF(D4197="","",IF(AND(ISNUMBER(SEARCH("平",D4197)),OR(ISNUMBER(SEARCH("上",D4197)),ISNUMBER(SEARCH("去",D4197)),ISNUMBER(SEARCH("入",D4197)))),"Ambiguous",IF(ISNUMBER(SEARCH("平",D4197)),"平","仄")))</x:f>
        <x:v>仄</x:v>
      </x:c>
      <x:c r="J4213" s="7" t="str"/>
    </x:row>
    <x:row r="4214">
      <x:c r="A4214" s="5" t="str">
        <x:v>酸</x:v>
      </x:c>
      <x:c r="B4214" s="6" t="str">
        <x:v>平</x:v>
      </x:c>
      <x:c r="C4214" s="6" t="str">
        <x:f>IF(B4214="","Needs decision","Ready")</x:f>
        <x:v>Ready</x:v>
      </x:c>
      <x:c r="D4214" s="6" t="str">
        <x:v>平</x:v>
      </x:c>
      <x:c r="E4214" s="6" t="str">
        <x:v>swan (A)</x:v>
      </x:c>
      <x:c r="F4214" s="6" t="str">
        <x:v>1</x:v>
      </x:c>
      <x:c r="G4214" s="6" t="str"/>
      <x:c r="H4214" s="6" t="str">
        <x:f>IF(B4214="平","平",IF(B4214="","","仄"))</x:f>
        <x:v>平</x:v>
      </x:c>
      <x:c r="I4214" s="6" t="str">
        <x:f>IF(D4198="","",IF(AND(ISNUMBER(SEARCH("平",D4198)),OR(ISNUMBER(SEARCH("上",D4198)),ISNUMBER(SEARCH("去",D4198)),ISNUMBER(SEARCH("入",D4198)))),"Ambiguous",IF(ISNUMBER(SEARCH("平",D4198)),"平","仄")))</x:f>
        <x:v>平</x:v>
      </x:c>
      <x:c r="J4214" s="7" t="str"/>
    </x:row>
    <x:row r="4215">
      <x:c r="A4215" s="5" t="str">
        <x:v>醁</x:v>
      </x:c>
      <x:c r="B4215" s="6" t="str">
        <x:v>入</x:v>
      </x:c>
      <x:c r="C4215" s="6" t="str">
        <x:f>IF(B4215="","Needs decision","Ready")</x:f>
        <x:v>Ready</x:v>
      </x:c>
      <x:c r="D4215" s="6" t="str">
        <x:v>入</x:v>
      </x:c>
      <x:c r="E4215" s="6" t="str"/>
      <x:c r="F4215" s="6" t="str"/>
      <x:c r="G4215" s="6" t="str">
        <x:v>Manual user correction/addition</x:v>
      </x:c>
      <x:c r="H4215" s="6" t="str">
        <x:f>IF(B4215="平","平",IF(B4215="","","仄"))</x:f>
        <x:v>仄</x:v>
      </x:c>
      <x:c r="I4215" s="6" t="str">
        <x:f>IF(D4199="","",IF(AND(ISNUMBER(SEARCH("平",D4199)),OR(ISNUMBER(SEARCH("上",D4199)),ISNUMBER(SEARCH("去",D4199)),ISNUMBER(SEARCH("入",D4199)))),"Ambiguous",IF(ISNUMBER(SEARCH("平",D4199)),"平","仄")))</x:f>
        <x:v>平</x:v>
      </x:c>
      <x:c r="J4215" s="7" t="str">
        <x:v>manual user correction</x:v>
      </x:c>
    </x:row>
    <x:row r="4216">
      <x:c r="A4216" s="5" t="str">
        <x:v>醅</x:v>
      </x:c>
      <x:c r="B4216" s="6" t="str">
        <x:v>平</x:v>
      </x:c>
      <x:c r="C4216" s="6" t="str">
        <x:f>IF(B4216="","Needs decision","Ready")</x:f>
        <x:v>Ready</x:v>
      </x:c>
      <x:c r="D4216" s="6" t="str">
        <x:v>平</x:v>
      </x:c>
      <x:c r="E4216" s="6" t="str">
        <x:v>phjuw [pʰɨ̯u] (平); phwoj [p̙ʰwəj] (平)</x:v>
      </x:c>
      <x:c r="F4216" s="6" t="str">
        <x:v>2</x:v>
      </x:c>
      <x:c r="G4216" s="6" t="str">
        <x:v>Tang 300 gap; frequency 2; provisional from Xun Gong</x:v>
      </x:c>
      <x:c r="H4216" s="6" t="str">
        <x:f>IF(B4216="平","平",IF(B4216="","","仄"))</x:f>
        <x:v>平</x:v>
      </x:c>
      <x:c r="I4216" s="6" t="str">
        <x:f>IF(D4200="","",IF(AND(ISNUMBER(SEARCH("平",D4200)),OR(ISNUMBER(SEARCH("上",D4200)),ISNUMBER(SEARCH("去",D4200)),ISNUMBER(SEARCH("入",D4200)))),"Ambiguous",IF(ISNUMBER(SEARCH("平",D4200)),"平","仄")))</x:f>
        <x:v>平</x:v>
      </x:c>
      <x:c r="J4216" s="7" t="str">
        <x:v>Xun Gong, Tang 300 gap fill</x:v>
      </x:c>
    </x:row>
    <x:row r="4217">
      <x:c r="A4217" s="5" t="str">
        <x:v>醉</x:v>
      </x:c>
      <x:c r="B4217" s="6" t="str">
        <x:v>去</x:v>
      </x:c>
      <x:c r="C4217" s="6" t="str">
        <x:f>IF(B4217="","Needs decision","Ready")</x:f>
        <x:v>Ready</x:v>
      </x:c>
      <x:c r="D4217" s="6" t="str">
        <x:v>去</x:v>
      </x:c>
      <x:c r="E4217" s="6" t="str">
        <x:v>tswijH (C)</x:v>
      </x:c>
      <x:c r="F4217" s="6" t="str">
        <x:v>1</x:v>
      </x:c>
      <x:c r="G4217" s="6" t="str"/>
      <x:c r="H4217" s="6" t="str">
        <x:f>IF(B4217="平","平",IF(B4217="","","仄"))</x:f>
        <x:v>仄</x:v>
      </x:c>
      <x:c r="I4217" s="6" t="str">
        <x:f>IF(D4201="","",IF(AND(ISNUMBER(SEARCH("平",D4201)),OR(ISNUMBER(SEARCH("上",D4201)),ISNUMBER(SEARCH("去",D4201)),ISNUMBER(SEARCH("入",D4201)))),"Ambiguous",IF(ISNUMBER(SEARCH("平",D4201)),"平","仄")))</x:f>
        <x:v>仄</x:v>
      </x:c>
      <x:c r="J4217" s="7" t="str"/>
    </x:row>
    <x:row r="4218">
      <x:c r="A4218" s="5" t="str">
        <x:v>醒</x:v>
      </x:c>
      <x:c r="B4218" s="6" t="str">
        <x:v>上</x:v>
      </x:c>
      <x:c r="C4218" s="6" t="str">
        <x:f>IF(B4218="","Needs decision","Ready")</x:f>
        <x:v>Ready</x:v>
      </x:c>
      <x:c r="D4218" s="6" t="str">
        <x:v>上</x:v>
      </x:c>
      <x:c r="E4218" s="6" t="str">
        <x:v>sengX (B)</x:v>
      </x:c>
      <x:c r="F4218" s="6" t="str">
        <x:v>1</x:v>
      </x:c>
      <x:c r="G4218" s="6" t="str"/>
      <x:c r="H4218" s="6" t="str">
        <x:f>IF(B4218="平","平",IF(B4218="","","仄"))</x:f>
        <x:v>仄</x:v>
      </x:c>
      <x:c r="I4218" s="6" t="str">
        <x:f>IF(D4202="","",IF(AND(ISNUMBER(SEARCH("平",D4202)),OR(ISNUMBER(SEARCH("上",D4202)),ISNUMBER(SEARCH("去",D4202)),ISNUMBER(SEARCH("入",D4202)))),"Ambiguous",IF(ISNUMBER(SEARCH("平",D4202)),"平","仄")))</x:f>
        <x:v>Ambiguous</x:v>
      </x:c>
      <x:c r="J4218" s="7" t="str"/>
    </x:row>
    <x:row r="4219">
      <x:c r="A4219" s="5" t="str">
        <x:v>醓</x:v>
      </x:c>
      <x:c r="B4219" s="6" t="str">
        <x:v>上</x:v>
      </x:c>
      <x:c r="C4219" s="6" t="str">
        <x:f>IF(B4219="","Needs decision","Ready")</x:f>
        <x:v>Ready</x:v>
      </x:c>
      <x:c r="D4219" s="6" t="str">
        <x:v>上</x:v>
      </x:c>
      <x:c r="E4219" s="6" t="str">
        <x:v>thomX (B)</x:v>
      </x:c>
      <x:c r="F4219" s="6" t="str">
        <x:v>1</x:v>
      </x:c>
      <x:c r="G4219" s="6" t="str"/>
      <x:c r="H4219" s="6" t="str">
        <x:f>IF(B4219="平","平",IF(B4219="","","仄"))</x:f>
        <x:v>仄</x:v>
      </x:c>
      <x:c r="I4219" s="6" t="str">
        <x:f>IF(D4203="","",IF(AND(ISNUMBER(SEARCH("平",D4203)),OR(ISNUMBER(SEARCH("上",D4203)),ISNUMBER(SEARCH("去",D4203)),ISNUMBER(SEARCH("入",D4203)))),"Ambiguous",IF(ISNUMBER(SEARCH("平",D4203)),"平","仄")))</x:f>
        <x:v>仄</x:v>
      </x:c>
      <x:c r="J4219" s="7" t="str"/>
    </x:row>
    <x:row r="4220">
      <x:c r="A4220" s="5" t="str">
        <x:v>醜</x:v>
      </x:c>
      <x:c r="B4220" s="6" t="str">
        <x:v>上</x:v>
      </x:c>
      <x:c r="C4220" s="6" t="str">
        <x:f>IF(B4220="","Needs decision","Ready")</x:f>
        <x:v>Ready</x:v>
      </x:c>
      <x:c r="D4220" s="6" t="str">
        <x:v>上</x:v>
      </x:c>
      <x:c r="E4220" s="6" t="str">
        <x:v>tsyhuwX (B)</x:v>
      </x:c>
      <x:c r="F4220" s="6" t="str">
        <x:v>1</x:v>
      </x:c>
      <x:c r="G4220" s="6" t="str"/>
      <x:c r="H4220" s="6" t="str">
        <x:f>IF(B4220="平","平",IF(B4220="","","仄"))</x:f>
        <x:v>仄</x:v>
      </x:c>
      <x:c r="I4220" s="6" t="str">
        <x:f>IF(D4204="","",IF(AND(ISNUMBER(SEARCH("平",D4204)),OR(ISNUMBER(SEARCH("上",D4204)),ISNUMBER(SEARCH("去",D4204)),ISNUMBER(SEARCH("入",D4204)))),"Ambiguous",IF(ISNUMBER(SEARCH("平",D4204)),"平","仄")))</x:f>
        <x:v>平</x:v>
      </x:c>
      <x:c r="J4220" s="7" t="str"/>
    </x:row>
    <x:row r="4221">
      <x:c r="A4221" s="5" t="str">
        <x:v>醫</x:v>
      </x:c>
      <x:c r="B4221" s="6" t="str">
        <x:v>平</x:v>
      </x:c>
      <x:c r="C4221" s="6" t="str">
        <x:f>IF(B4221="","Needs decision","Ready")</x:f>
        <x:v>Ready</x:v>
      </x:c>
      <x:c r="D4221" s="6" t="str"/>
      <x:c r="E4221" s="6" t="str"/>
      <x:c r="F4221" s="6" t="str"/>
      <x:c r="G4221" s="6" t="str">
        <x:v>Manual addition from user correction; normal reading</x:v>
      </x:c>
      <x:c r="H4221" s="6" t="str">
        <x:f>IF(B4221="平","平",IF(B4221="","","仄"))</x:f>
        <x:v>平</x:v>
      </x:c>
      <x:c r="I4221" s="6" t="str">
        <x:f>IF(D4205="","",IF(AND(ISNUMBER(SEARCH("平",D4205)),OR(ISNUMBER(SEARCH("上",D4205)),ISNUMBER(SEARCH("去",D4205)),ISNUMBER(SEARCH("入",D4205)))),"Ambiguous",IF(ISNUMBER(SEARCH("平",D4205)),"平","仄")))</x:f>
        <x:v>仄</x:v>
      </x:c>
      <x:c r="J4221" s="7" t="str"/>
    </x:row>
    <x:row r="4222">
      <x:c r="A4222" s="5" t="str">
        <x:v>醬</x:v>
      </x:c>
      <x:c r="B4222" s="6" t="str">
        <x:v>去</x:v>
      </x:c>
      <x:c r="C4222" s="6" t="str">
        <x:f>IF(B4222="","Needs decision","Ready")</x:f>
        <x:v>Ready</x:v>
      </x:c>
      <x:c r="D4222" s="6" t="str">
        <x:v>去</x:v>
      </x:c>
      <x:c r="E4222" s="6" t="str">
        <x:v>tsjangH (C)</x:v>
      </x:c>
      <x:c r="F4222" s="6" t="str">
        <x:v>1</x:v>
      </x:c>
      <x:c r="G4222" s="6" t="str"/>
      <x:c r="H4222" s="6" t="str">
        <x:f>IF(B4222="平","平",IF(B4222="","","仄"))</x:f>
        <x:v>仄</x:v>
      </x:c>
      <x:c r="I4222" s="6" t="str">
        <x:f>IF(D4206="","",IF(AND(ISNUMBER(SEARCH("平",D4206)),OR(ISNUMBER(SEARCH("上",D4206)),ISNUMBER(SEARCH("去",D4206)),ISNUMBER(SEARCH("入",D4206)))),"Ambiguous",IF(ISNUMBER(SEARCH("平",D4206)),"平","仄")))</x:f>
        <x:v>仄</x:v>
      </x:c>
      <x:c r="J4222" s="7" t="str"/>
    </x:row>
    <x:row r="4223">
      <x:c r="A4223" s="5" t="str">
        <x:v>醴</x:v>
      </x:c>
      <x:c r="B4223" s="6" t="str">
        <x:v>上</x:v>
      </x:c>
      <x:c r="C4223" s="6" t="str">
        <x:f>IF(B4223="","Needs decision","Ready")</x:f>
        <x:v>Ready</x:v>
      </x:c>
      <x:c r="D4223" s="6" t="str">
        <x:v>上</x:v>
      </x:c>
      <x:c r="E4223" s="6" t="str">
        <x:v>lejX [來開四齊上] l̙ejʔ</x:v>
      </x:c>
      <x:c r="F4223" s="6" t="str">
        <x:v>1</x:v>
      </x:c>
      <x:c r="G4223" s="6" t="str">
        <x:v>Targeted preliminary fill from Xun Gong; review if uncertain</x:v>
      </x:c>
      <x:c r="H4223" s="6" t="str">
        <x:f>IF(B4223="平","平",IF(B4223="","","仄"))</x:f>
        <x:v>仄</x:v>
      </x:c>
      <x:c r="I4223" s="6" t="str">
        <x:f>IF(D4207="","",IF(AND(ISNUMBER(SEARCH("平",D4207)),OR(ISNUMBER(SEARCH("上",D4207)),ISNUMBER(SEARCH("去",D4207)),ISNUMBER(SEARCH("入",D4207)))),"Ambiguous",IF(ISNUMBER(SEARCH("平",D4207)),"平","仄")))</x:f>
        <x:v>仄</x:v>
      </x:c>
      <x:c r="J4223" s="7" t="str">
        <x:v>Xun Gong character-readings.csv</x:v>
      </x:c>
    </x:row>
    <x:row r="4224">
      <x:c r="A4224" s="5" t="str">
        <x:v>醵</x:v>
      </x:c>
      <x:c r="B4224" s="6" t="str">
        <x:v>去</x:v>
      </x:c>
      <x:c r="C4224" s="6" t="str">
        <x:f>IF(B4224="","Needs decision","Ready")</x:f>
        <x:v>Ready</x:v>
      </x:c>
      <x:c r="D4224" s="6" t="str">
        <x:v>去</x:v>
      </x:c>
      <x:c r="E4224" s="6" t="str">
        <x:v>gjoH (C)</x:v>
      </x:c>
      <x:c r="F4224" s="6" t="str">
        <x:v>1</x:v>
      </x:c>
      <x:c r="G4224" s="6" t="str"/>
      <x:c r="H4224" s="6" t="str">
        <x:f>IF(B4224="平","平",IF(B4224="","","仄"))</x:f>
        <x:v>仄</x:v>
      </x:c>
      <x:c r="I4224" s="6" t="str">
        <x:f>IF(D4208="","",IF(AND(ISNUMBER(SEARCH("平",D4208)),OR(ISNUMBER(SEARCH("上",D4208)),ISNUMBER(SEARCH("去",D4208)),ISNUMBER(SEARCH("入",D4208)))),"Ambiguous",IF(ISNUMBER(SEARCH("平",D4208)),"平","仄")))</x:f>
        <x:v>仄</x:v>
      </x:c>
      <x:c r="J4224" s="7" t="str"/>
    </x:row>
    <x:row r="4225">
      <x:c r="A4225" s="5" t="str">
        <x:v>釁</x:v>
      </x:c>
      <x:c r="B4225" s="6" t="str">
        <x:v>去</x:v>
      </x:c>
      <x:c r="C4225" s="6" t="str">
        <x:f>IF(B4225="","Needs decision","Ready")</x:f>
        <x:v>Ready</x:v>
      </x:c>
      <x:c r="D4225" s="6" t="str">
        <x:v>去</x:v>
      </x:c>
      <x:c r="E4225" s="6" t="str">
        <x:v>xinH (C)</x:v>
      </x:c>
      <x:c r="F4225" s="6" t="str">
        <x:v>1</x:v>
      </x:c>
      <x:c r="G4225" s="6" t="str"/>
      <x:c r="H4225" s="6" t="str">
        <x:f>IF(B4225="平","平",IF(B4225="","","仄"))</x:f>
        <x:v>仄</x:v>
      </x:c>
      <x:c r="I4225" s="6" t="str">
        <x:f>IF(D4209="","",IF(AND(ISNUMBER(SEARCH("平",D4209)),OR(ISNUMBER(SEARCH("上",D4209)),ISNUMBER(SEARCH("去",D4209)),ISNUMBER(SEARCH("入",D4209)))),"Ambiguous",IF(ISNUMBER(SEARCH("平",D4209)),"平","仄")))</x:f>
        <x:v>仄</x:v>
      </x:c>
      <x:c r="J4225" s="7" t="str"/>
    </x:row>
    <x:row r="4226">
      <x:c r="A4226" s="5" t="str">
        <x:v>釃</x:v>
      </x:c>
      <x:c r="B4226" s="6" t="str">
        <x:v>平</x:v>
      </x:c>
      <x:c r="C4226" s="6" t="str">
        <x:f>IF(B4226="","Needs decision","Ready")</x:f>
        <x:v>Ready</x:v>
      </x:c>
      <x:c r="D4226" s="6" t="str">
        <x:v>平</x:v>
      </x:c>
      <x:c r="E4226" s="6" t="str">
        <x:v>srje (A)</x:v>
      </x:c>
      <x:c r="F4226" s="6" t="str">
        <x:v>1</x:v>
      </x:c>
      <x:c r="G4226" s="6" t="str"/>
      <x:c r="H4226" s="6" t="str">
        <x:f>IF(B4226="平","平",IF(B4226="","","仄"))</x:f>
        <x:v>平</x:v>
      </x:c>
      <x:c r="I4226" s="6" t="str">
        <x:f>IF(D4210="","",IF(AND(ISNUMBER(SEARCH("平",D4210)),OR(ISNUMBER(SEARCH("上",D4210)),ISNUMBER(SEARCH("去",D4210)),ISNUMBER(SEARCH("入",D4210)))),"Ambiguous",IF(ISNUMBER(SEARCH("平",D4210)),"平","仄")))</x:f>
        <x:v>平</x:v>
      </x:c>
      <x:c r="J4226" s="7" t="str"/>
    </x:row>
    <x:row r="4227">
      <x:c r="A4227" s="5" t="str">
        <x:v>釆</x:v>
      </x:c>
      <x:c r="B4227" s="6" t="str">
        <x:v>去</x:v>
      </x:c>
      <x:c r="C4227" s="6" t="str">
        <x:f>IF(B4227="","Needs decision","Ready")</x:f>
        <x:v>Ready</x:v>
      </x:c>
      <x:c r="D4227" s="6" t="str">
        <x:v>去</x:v>
      </x:c>
      <x:c r="E4227" s="6" t="str">
        <x:v>beanH (C)</x:v>
      </x:c>
      <x:c r="F4227" s="6" t="str">
        <x:v>1</x:v>
      </x:c>
      <x:c r="G4227" s="6" t="str"/>
      <x:c r="H4227" s="6" t="str">
        <x:f>IF(B4227="平","平",IF(B4227="","","仄"))</x:f>
        <x:v>仄</x:v>
      </x:c>
      <x:c r="I4227" s="6" t="str">
        <x:f>IF(D4211="","",IF(AND(ISNUMBER(SEARCH("平",D4211)),OR(ISNUMBER(SEARCH("上",D4211)),ISNUMBER(SEARCH("去",D4211)),ISNUMBER(SEARCH("入",D4211)))),"Ambiguous",IF(ISNUMBER(SEARCH("平",D4211)),"平","仄")))</x:f>
        <x:v>Ambiguous</x:v>
      </x:c>
      <x:c r="J4227" s="7" t="str"/>
    </x:row>
    <x:row r="4228">
      <x:c r="A4228" s="5" t="str">
        <x:v>采</x:v>
      </x:c>
      <x:c r="B4228" s="6" t="str">
        <x:v>上</x:v>
      </x:c>
      <x:c r="C4228" s="6" t="str">
        <x:f>IF(B4228="","Needs decision","Ready")</x:f>
        <x:v>Ready</x:v>
      </x:c>
      <x:c r="D4228" s="6" t="str">
        <x:v>上</x:v>
      </x:c>
      <x:c r="E4228" s="6" t="str">
        <x:v>tshojX (B)</x:v>
      </x:c>
      <x:c r="F4228" s="6" t="str">
        <x:v>1</x:v>
      </x:c>
      <x:c r="G4228" s="6" t="str"/>
      <x:c r="H4228" s="6" t="str">
        <x:f>IF(B4228="平","平",IF(B4228="","","仄"))</x:f>
        <x:v>仄</x:v>
      </x:c>
      <x:c r="I4228" s="6" t="str">
        <x:f>IF(D4212="","",IF(AND(ISNUMBER(SEARCH("平",D4212)),OR(ISNUMBER(SEARCH("上",D4212)),ISNUMBER(SEARCH("去",D4212)),ISNUMBER(SEARCH("入",D4212)))),"Ambiguous",IF(ISNUMBER(SEARCH("平",D4212)),"平","仄")))</x:f>
        <x:v>平</x:v>
      </x:c>
      <x:c r="J4228" s="7" t="str"/>
    </x:row>
    <x:row r="4229">
      <x:c r="A4229" s="5" t="str">
        <x:v>釋</x:v>
      </x:c>
      <x:c r="B4229" s="6" t="str">
        <x:v>入</x:v>
      </x:c>
      <x:c r="C4229" s="6" t="str">
        <x:f>IF(B4229="","Needs decision","Ready")</x:f>
        <x:v>Ready</x:v>
      </x:c>
      <x:c r="D4229" s="6" t="str">
        <x:v>入</x:v>
      </x:c>
      <x:c r="E4229" s="6" t="str">
        <x:v>syek (D)</x:v>
      </x:c>
      <x:c r="F4229" s="6" t="str">
        <x:v>1</x:v>
      </x:c>
      <x:c r="G4229" s="6" t="str"/>
      <x:c r="H4229" s="6" t="str">
        <x:f>IF(B4229="平","平",IF(B4229="","","仄"))</x:f>
        <x:v>仄</x:v>
      </x:c>
      <x:c r="I4229" s="6" t="str">
        <x:f>IF(D4213="","",IF(AND(ISNUMBER(SEARCH("平",D4213)),OR(ISNUMBER(SEARCH("上",D4213)),ISNUMBER(SEARCH("去",D4213)),ISNUMBER(SEARCH("入",D4213)))),"Ambiguous",IF(ISNUMBER(SEARCH("平",D4213)),"平","仄")))</x:f>
        <x:v>仄</x:v>
      </x:c>
      <x:c r="J4229" s="7" t="str"/>
    </x:row>
    <x:row r="4230">
      <x:c r="A4230" s="5" t="str">
        <x:v>里</x:v>
      </x:c>
      <x:c r="B4230" s="6" t="str">
        <x:v>上</x:v>
      </x:c>
      <x:c r="C4230" s="6" t="str">
        <x:f>IF(B4230="","Needs decision","Ready")</x:f>
        <x:v>Ready</x:v>
      </x:c>
      <x:c r="D4230" s="6" t="str">
        <x:v>上</x:v>
      </x:c>
      <x:c r="E4230" s="6" t="str">
        <x:v>liX (B)</x:v>
      </x:c>
      <x:c r="F4230" s="6" t="str">
        <x:v>1</x:v>
      </x:c>
      <x:c r="G4230" s="6" t="str"/>
      <x:c r="H4230" s="6" t="str">
        <x:f>IF(B4230="平","平",IF(B4230="","","仄"))</x:f>
        <x:v>仄</x:v>
      </x:c>
      <x:c r="I4230" s="6" t="str">
        <x:f>IF(D4214="","",IF(AND(ISNUMBER(SEARCH("平",D4214)),OR(ISNUMBER(SEARCH("上",D4214)),ISNUMBER(SEARCH("去",D4214)),ISNUMBER(SEARCH("入",D4214)))),"Ambiguous",IF(ISNUMBER(SEARCH("平",D4214)),"平","仄")))</x:f>
        <x:v>平</x:v>
      </x:c>
      <x:c r="J4230" s="7" t="str"/>
    </x:row>
    <x:row r="4231">
      <x:c r="A4231" s="5" t="str">
        <x:v>重</x:v>
      </x:c>
      <x:c r="B4231" s="6" t="str"/>
      <x:c r="C4231" s="6" t="str">
        <x:f>IF(B4231="","Needs decision","Ready")</x:f>
        <x:v>Needs decision</x:v>
      </x:c>
      <x:c r="D4231" s="6" t="str">
        <x:v>平/上/去</x:v>
      </x:c>
      <x:c r="E4231" s="6" t="str">
        <x:v>drjowng (A); drjowngX (B); drjowngH (C)</x:v>
      </x:c>
      <x:c r="F4231" s="6" t="str">
        <x:v>3</x:v>
      </x:c>
      <x:c r="G4231" s="6" t="str"/>
      <x:c r="H4231" s="6" t="str">
        <x:f>IF(B4231="平","平",IF(B4231="","","仄"))</x:f>
      </x:c>
      <x:c r="I4231" s="6" t="str">
        <x:f>IF(D4215="","",IF(AND(ISNUMBER(SEARCH("平",D4215)),OR(ISNUMBER(SEARCH("上",D4215)),ISNUMBER(SEARCH("去",D4215)),ISNUMBER(SEARCH("入",D4215)))),"Ambiguous",IF(ISNUMBER(SEARCH("平",D4215)),"平","仄")))</x:f>
        <x:v>仄</x:v>
      </x:c>
      <x:c r="J4231" s="7" t="str"/>
    </x:row>
    <x:row r="4232">
      <x:c r="A4232" s="5" t="str">
        <x:v>野</x:v>
      </x:c>
      <x:c r="B4232" s="6" t="str">
        <x:v>上</x:v>
      </x:c>
      <x:c r="C4232" s="6" t="str">
        <x:f>IF(B4232="","Needs decision","Ready")</x:f>
        <x:v>Ready</x:v>
      </x:c>
      <x:c r="D4232" s="6" t="str">
        <x:v>上</x:v>
      </x:c>
      <x:c r="E4232" s="6" t="str">
        <x:v>yaeX (B)</x:v>
      </x:c>
      <x:c r="F4232" s="6" t="str">
        <x:v>1</x:v>
      </x:c>
      <x:c r="G4232" s="6" t="str"/>
      <x:c r="H4232" s="6" t="str">
        <x:f>IF(B4232="平","平",IF(B4232="","","仄"))</x:f>
        <x:v>仄</x:v>
      </x:c>
      <x:c r="I4232" s="6" t="str">
        <x:f>IF(D4216="","",IF(AND(ISNUMBER(SEARCH("平",D4216)),OR(ISNUMBER(SEARCH("上",D4216)),ISNUMBER(SEARCH("去",D4216)),ISNUMBER(SEARCH("入",D4216)))),"Ambiguous",IF(ISNUMBER(SEARCH("平",D4216)),"平","仄")))</x:f>
        <x:v>平</x:v>
      </x:c>
      <x:c r="J4232" s="7" t="str"/>
    </x:row>
    <x:row r="4233">
      <x:c r="A4233" s="5" t="str">
        <x:v>量</x:v>
      </x:c>
      <x:c r="B4233" s="6" t="str">
        <x:v>去</x:v>
      </x:c>
      <x:c r="C4233" s="6" t="str">
        <x:f>IF(B4233="","Needs decision","Ready")</x:f>
        <x:v>Ready</x:v>
      </x:c>
      <x:c r="D4233" s="6" t="str">
        <x:v>平/去</x:v>
      </x:c>
      <x:c r="E4233" s="6" t="str">
        <x:v>ljang (A); ljangH (C)</x:v>
      </x:c>
      <x:c r="F4233" s="6" t="str">
        <x:v>2</x:v>
      </x:c>
      <x:c r="G4233" s="6" t="str"/>
      <x:c r="H4233" s="6" t="str">
        <x:f>IF(B4233="平","平",IF(B4233="","","仄"))</x:f>
        <x:v>仄</x:v>
      </x:c>
      <x:c r="I4233" s="6" t="str">
        <x:f>IF(D4217="","",IF(AND(ISNUMBER(SEARCH("平",D4217)),OR(ISNUMBER(SEARCH("上",D4217)),ISNUMBER(SEARCH("去",D4217)),ISNUMBER(SEARCH("入",D4217)))),"Ambiguous",IF(ISNUMBER(SEARCH("平",D4217)),"平","仄")))</x:f>
        <x:v>仄</x:v>
      </x:c>
      <x:c r="J4233" s="7" t="str"/>
    </x:row>
    <x:row r="4234">
      <x:c r="A4234" s="5" t="str">
        <x:v>釐</x:v>
      </x:c>
      <x:c r="B4234" s="6" t="str">
        <x:v>平</x:v>
      </x:c>
      <x:c r="C4234" s="6" t="str">
        <x:f>IF(B4234="","Needs decision","Ready")</x:f>
        <x:v>Ready</x:v>
      </x:c>
      <x:c r="D4234" s="6" t="str">
        <x:v>平</x:v>
      </x:c>
      <x:c r="E4234" s="6" t="str">
        <x:v>li (A)</x:v>
      </x:c>
      <x:c r="F4234" s="6" t="str">
        <x:v>1</x:v>
      </x:c>
      <x:c r="G4234" s="6" t="str"/>
      <x:c r="H4234" s="6" t="str">
        <x:f>IF(B4234="平","平",IF(B4234="","","仄"))</x:f>
        <x:v>平</x:v>
      </x:c>
      <x:c r="I4234" s="6" t="str">
        <x:f>IF(D4218="","",IF(AND(ISNUMBER(SEARCH("平",D4218)),OR(ISNUMBER(SEARCH("上",D4218)),ISNUMBER(SEARCH("去",D4218)),ISNUMBER(SEARCH("入",D4218)))),"Ambiguous",IF(ISNUMBER(SEARCH("平",D4218)),"平","仄")))</x:f>
        <x:v>仄</x:v>
      </x:c>
      <x:c r="J4234" s="7" t="str"/>
    </x:row>
    <x:row r="4235">
      <x:c r="A4235" s="5" t="str">
        <x:v>金</x:v>
      </x:c>
      <x:c r="B4235" s="6" t="str">
        <x:v>平</x:v>
      </x:c>
      <x:c r="C4235" s="6" t="str">
        <x:f>IF(B4235="","Needs decision","Ready")</x:f>
        <x:v>Ready</x:v>
      </x:c>
      <x:c r="D4235" s="6" t="str">
        <x:v>平</x:v>
      </x:c>
      <x:c r="E4235" s="6" t="str">
        <x:v>kim (A)</x:v>
      </x:c>
      <x:c r="F4235" s="6" t="str">
        <x:v>1</x:v>
      </x:c>
      <x:c r="G4235" s="6" t="str"/>
      <x:c r="H4235" s="6" t="str">
        <x:f>IF(B4235="平","平",IF(B4235="","","仄"))</x:f>
        <x:v>平</x:v>
      </x:c>
      <x:c r="I4235" s="6" t="str">
        <x:f>IF(D4219="","",IF(AND(ISNUMBER(SEARCH("平",D4219)),OR(ISNUMBER(SEARCH("上",D4219)),ISNUMBER(SEARCH("去",D4219)),ISNUMBER(SEARCH("入",D4219)))),"Ambiguous",IF(ISNUMBER(SEARCH("平",D4219)),"平","仄")))</x:f>
        <x:v>仄</x:v>
      </x:c>
      <x:c r="J4235" s="7" t="str"/>
    </x:row>
    <x:row r="4236">
      <x:c r="A4236" s="5" t="str">
        <x:v>釘</x:v>
      </x:c>
      <x:c r="B4236" s="6" t="str">
        <x:v>平</x:v>
      </x:c>
      <x:c r="C4236" s="6" t="str">
        <x:f>IF(B4236="","Needs decision","Ready")</x:f>
        <x:v>Ready</x:v>
      </x:c>
      <x:c r="D4236" s="6" t="str">
        <x:v>平/去</x:v>
      </x:c>
      <x:c r="E4236" s="6" t="str">
        <x:v>teng (A); tengH (C)</x:v>
      </x:c>
      <x:c r="F4236" s="6" t="str">
        <x:v>2</x:v>
      </x:c>
      <x:c r="G4236" s="6" t="str"/>
      <x:c r="H4236" s="6" t="str">
        <x:f>IF(B4236="平","平",IF(B4236="","","仄"))</x:f>
        <x:v>平</x:v>
      </x:c>
      <x:c r="I4236" s="6" t="str">
        <x:f>IF(D4220="","",IF(AND(ISNUMBER(SEARCH("平",D4220)),OR(ISNUMBER(SEARCH("上",D4220)),ISNUMBER(SEARCH("去",D4220)),ISNUMBER(SEARCH("入",D4220)))),"Ambiguous",IF(ISNUMBER(SEARCH("平",D4220)),"平","仄")))</x:f>
        <x:v>仄</x:v>
      </x:c>
      <x:c r="J4236" s="7" t="str"/>
    </x:row>
    <x:row r="4237">
      <x:c r="A4237" s="5" t="str">
        <x:v>釜</x:v>
      </x:c>
      <x:c r="B4237" s="6" t="str">
        <x:v>上</x:v>
      </x:c>
      <x:c r="C4237" s="6" t="str">
        <x:f>IF(B4237="","Needs decision","Ready")</x:f>
        <x:v>Ready</x:v>
      </x:c>
      <x:c r="D4237" s="6" t="str">
        <x:v>上</x:v>
      </x:c>
      <x:c r="E4237" s="6" t="str">
        <x:v>bjuX [bɨ̯oʔ] (上)</x:v>
      </x:c>
      <x:c r="F4237" s="6" t="str">
        <x:v>1</x:v>
      </x:c>
      <x:c r="G4237" s="6" t="str">
        <x:v>Tang 300 gap; frequency 1; provisional from Xun Gong</x:v>
      </x:c>
      <x:c r="H4237" s="6" t="str">
        <x:f>IF(B4237="平","平",IF(B4237="","","仄"))</x:f>
        <x:v>仄</x:v>
      </x:c>
      <x:c r="I4237" s="6" t="str">
        <x:f>IF(D4221="","",IF(AND(ISNUMBER(SEARCH("平",D4221)),OR(ISNUMBER(SEARCH("上",D4221)),ISNUMBER(SEARCH("去",D4221)),ISNUMBER(SEARCH("入",D4221)))),"Ambiguous",IF(ISNUMBER(SEARCH("平",D4221)),"平","仄")))</x:f>
      </x:c>
      <x:c r="J4237" s="7" t="str">
        <x:v>Xun Gong, Tang 300 gap fill</x:v>
      </x:c>
    </x:row>
    <x:row r="4238">
      <x:c r="A4238" s="5" t="str">
        <x:v>針</x:v>
      </x:c>
      <x:c r="B4238" s="6" t="str">
        <x:v>平</x:v>
      </x:c>
      <x:c r="C4238" s="6" t="str">
        <x:f>IF(B4238="","Needs decision","Ready")</x:f>
        <x:v>Ready</x:v>
      </x:c>
      <x:c r="D4238" s="6" t="str">
        <x:v>平</x:v>
      </x:c>
      <x:c r="E4238" s="6" t="str">
        <x:v>tsyim (A)</x:v>
      </x:c>
      <x:c r="F4238" s="6" t="str">
        <x:v>1</x:v>
      </x:c>
      <x:c r="G4238" s="6" t="str"/>
      <x:c r="H4238" s="6" t="str">
        <x:f>IF(B4238="平","平",IF(B4238="","","仄"))</x:f>
        <x:v>平</x:v>
      </x:c>
      <x:c r="I4238" s="6" t="str">
        <x:f>IF(D4222="","",IF(AND(ISNUMBER(SEARCH("平",D4222)),OR(ISNUMBER(SEARCH("上",D4222)),ISNUMBER(SEARCH("去",D4222)),ISNUMBER(SEARCH("入",D4222)))),"Ambiguous",IF(ISNUMBER(SEARCH("平",D4222)),"平","仄")))</x:f>
        <x:v>仄</x:v>
      </x:c>
      <x:c r="J4238" s="7" t="str"/>
    </x:row>
    <x:row r="4239">
      <x:c r="A4239" s="5" t="str">
        <x:v>釣</x:v>
      </x:c>
      <x:c r="B4239" s="6" t="str">
        <x:v>去</x:v>
      </x:c>
      <x:c r="C4239" s="6" t="str">
        <x:f>IF(B4239="","Needs decision","Ready")</x:f>
        <x:v>Ready</x:v>
      </x:c>
      <x:c r="D4239" s="6" t="str">
        <x:v>去</x:v>
      </x:c>
      <x:c r="E4239" s="6" t="str">
        <x:v>tewH (C)</x:v>
      </x:c>
      <x:c r="F4239" s="6" t="str">
        <x:v>1</x:v>
      </x:c>
      <x:c r="G4239" s="6" t="str"/>
      <x:c r="H4239" s="6" t="str">
        <x:f>IF(B4239="平","平",IF(B4239="","","仄"))</x:f>
        <x:v>仄</x:v>
      </x:c>
      <x:c r="I4239" s="6" t="str">
        <x:f>IF(D4223="","",IF(AND(ISNUMBER(SEARCH("平",D4223)),OR(ISNUMBER(SEARCH("上",D4223)),ISNUMBER(SEARCH("去",D4223)),ISNUMBER(SEARCH("入",D4223)))),"Ambiguous",IF(ISNUMBER(SEARCH("平",D4223)),"平","仄")))</x:f>
        <x:v>仄</x:v>
      </x:c>
      <x:c r="J4239" s="7" t="str"/>
    </x:row>
    <x:row r="4240">
      <x:c r="A4240" s="5" t="str">
        <x:v>釵</x:v>
      </x:c>
      <x:c r="B4240" s="6" t="str">
        <x:v>平</x:v>
      </x:c>
      <x:c r="C4240" s="6" t="str">
        <x:f>IF(B4240="","Needs decision","Ready")</x:f>
        <x:v>Ready</x:v>
      </x:c>
      <x:c r="D4240" s="6" t="str">
        <x:v>平</x:v>
      </x:c>
      <x:c r="E4240" s="6" t="str">
        <x:v>tsrhea [tʂʰeˤ] (平)</x:v>
      </x:c>
      <x:c r="F4240" s="6" t="str">
        <x:v>1</x:v>
      </x:c>
      <x:c r="G4240" s="6" t="str">
        <x:v>Tang 300 gap; frequency 5; provisional from Xun Gong</x:v>
      </x:c>
      <x:c r="H4240" s="6" t="str">
        <x:f>IF(B4240="平","平",IF(B4240="","","仄"))</x:f>
        <x:v>平</x:v>
      </x:c>
      <x:c r="I4240" s="6" t="str">
        <x:f>IF(D4224="","",IF(AND(ISNUMBER(SEARCH("平",D4224)),OR(ISNUMBER(SEARCH("上",D4224)),ISNUMBER(SEARCH("去",D4224)),ISNUMBER(SEARCH("入",D4224)))),"Ambiguous",IF(ISNUMBER(SEARCH("平",D4224)),"平","仄")))</x:f>
        <x:v>仄</x:v>
      </x:c>
      <x:c r="J4240" s="7" t="str">
        <x:v>Xun Gong, Tang 300 gap fill</x:v>
      </x:c>
    </x:row>
    <x:row r="4241">
      <x:c r="A4241" s="5" t="str">
        <x:v>鈇</x:v>
      </x:c>
      <x:c r="B4241" s="6" t="str">
        <x:v>上</x:v>
      </x:c>
      <x:c r="C4241" s="6" t="str">
        <x:f>IF(B4241="","Needs decision","Ready")</x:f>
        <x:v>Ready</x:v>
      </x:c>
      <x:c r="D4241" s="6" t="str">
        <x:v>上</x:v>
      </x:c>
      <x:c r="E4241" s="6" t="str">
        <x:v>pjuX (B)</x:v>
      </x:c>
      <x:c r="F4241" s="6" t="str">
        <x:v>1</x:v>
      </x:c>
      <x:c r="G4241" s="6" t="str"/>
      <x:c r="H4241" s="6" t="str">
        <x:f>IF(B4241="平","平",IF(B4241="","","仄"))</x:f>
        <x:v>仄</x:v>
      </x:c>
      <x:c r="I4241" s="6" t="str">
        <x:f>IF(D4225="","",IF(AND(ISNUMBER(SEARCH("平",D4225)),OR(ISNUMBER(SEARCH("上",D4225)),ISNUMBER(SEARCH("去",D4225)),ISNUMBER(SEARCH("入",D4225)))),"Ambiguous",IF(ISNUMBER(SEARCH("平",D4225)),"平","仄")))</x:f>
        <x:v>仄</x:v>
      </x:c>
      <x:c r="J4241" s="7" t="str"/>
    </x:row>
    <x:row r="4242">
      <x:c r="A4242" s="5" t="str">
        <x:v>鈕</x:v>
      </x:c>
      <x:c r="B4242" s="6" t="str">
        <x:v>上</x:v>
      </x:c>
      <x:c r="C4242" s="6" t="str">
        <x:f>IF(B4242="","Needs decision","Ready")</x:f>
        <x:v>Ready</x:v>
      </x:c>
      <x:c r="D4242" s="6" t="str">
        <x:v>上</x:v>
      </x:c>
      <x:c r="E4242" s="6" t="str">
        <x:v>nrjuwX [ɳjuʔ] (上)</x:v>
      </x:c>
      <x:c r="F4242" s="6" t="str">
        <x:v>1</x:v>
      </x:c>
      <x:c r="G4242" s="6" t="str">
        <x:v>Tang 300 gap; frequency 1; provisional from Xun Gong</x:v>
      </x:c>
      <x:c r="H4242" s="6" t="str">
        <x:f>IF(B4242="平","平",IF(B4242="","","仄"))</x:f>
        <x:v>仄</x:v>
      </x:c>
      <x:c r="I4242" s="6" t="str">
        <x:f>IF(D4226="","",IF(AND(ISNUMBER(SEARCH("平",D4226)),OR(ISNUMBER(SEARCH("上",D4226)),ISNUMBER(SEARCH("去",D4226)),ISNUMBER(SEARCH("入",D4226)))),"Ambiguous",IF(ISNUMBER(SEARCH("平",D4226)),"平","仄")))</x:f>
        <x:v>平</x:v>
      </x:c>
      <x:c r="J4242" s="7" t="str">
        <x:v>Xun Gong, Tang 300 gap fill</x:v>
      </x:c>
    </x:row>
    <x:row r="4243">
      <x:c r="A4243" s="5" t="str">
        <x:v>鈞</x:v>
      </x:c>
      <x:c r="B4243" s="6" t="str">
        <x:v>平</x:v>
      </x:c>
      <x:c r="C4243" s="6" t="str">
        <x:f>IF(B4243="","Needs decision","Ready")</x:f>
        <x:v>Ready</x:v>
      </x:c>
      <x:c r="D4243" s="6" t="str">
        <x:v>平</x:v>
      </x:c>
      <x:c r="E4243" s="6" t="str">
        <x:v>kjwin (A)</x:v>
      </x:c>
      <x:c r="F4243" s="6" t="str">
        <x:v>1</x:v>
      </x:c>
      <x:c r="G4243" s="6" t="str"/>
      <x:c r="H4243" s="6" t="str">
        <x:f>IF(B4243="平","平",IF(B4243="","","仄"))</x:f>
        <x:v>平</x:v>
      </x:c>
      <x:c r="I4243" s="6" t="str">
        <x:f>IF(D4227="","",IF(AND(ISNUMBER(SEARCH("平",D4227)),OR(ISNUMBER(SEARCH("上",D4227)),ISNUMBER(SEARCH("去",D4227)),ISNUMBER(SEARCH("入",D4227)))),"Ambiguous",IF(ISNUMBER(SEARCH("平",D4227)),"平","仄")))</x:f>
        <x:v>仄</x:v>
      </x:c>
      <x:c r="J4243" s="7" t="str"/>
    </x:row>
    <x:row r="4244">
      <x:c r="A4244" s="5" t="str">
        <x:v>鈴</x:v>
      </x:c>
      <x:c r="B4244" s="6" t="str">
        <x:v>平</x:v>
      </x:c>
      <x:c r="C4244" s="6" t="str">
        <x:f>IF(B4244="","Needs decision","Ready")</x:f>
        <x:v>Ready</x:v>
      </x:c>
      <x:c r="D4244" s="6" t="str">
        <x:v>平</x:v>
      </x:c>
      <x:c r="E4244" s="6" t="str">
        <x:v>leng [l̙eŋ] (平)</x:v>
      </x:c>
      <x:c r="F4244" s="6" t="str">
        <x:v>1</x:v>
      </x:c>
      <x:c r="G4244" s="6" t="str">
        <x:v>Tang 300 gap; frequency 1; provisional from Xun Gong</x:v>
      </x:c>
      <x:c r="H4244" s="6" t="str">
        <x:f>IF(B4244="平","平",IF(B4244="","","仄"))</x:f>
        <x:v>平</x:v>
      </x:c>
      <x:c r="I4244" s="6" t="str">
        <x:f>IF(D4228="","",IF(AND(ISNUMBER(SEARCH("平",D4228)),OR(ISNUMBER(SEARCH("上",D4228)),ISNUMBER(SEARCH("去",D4228)),ISNUMBER(SEARCH("入",D4228)))),"Ambiguous",IF(ISNUMBER(SEARCH("平",D4228)),"平","仄")))</x:f>
        <x:v>仄</x:v>
      </x:c>
      <x:c r="J4244" s="7" t="str">
        <x:v>Xun Gong, Tang 300 gap fill</x:v>
      </x:c>
    </x:row>
    <x:row r="4245">
      <x:c r="A4245" s="5" t="str">
        <x:v>鈶</x:v>
      </x:c>
      <x:c r="B4245" s="6" t="str">
        <x:v>上</x:v>
      </x:c>
      <x:c r="C4245" s="6" t="str">
        <x:f>IF(B4245="","Needs decision","Ready")</x:f>
        <x:v>Ready</x:v>
      </x:c>
      <x:c r="D4245" s="6" t="str">
        <x:v>上</x:v>
      </x:c>
      <x:c r="E4245" s="6" t="str">
        <x:v>ziX (B)</x:v>
      </x:c>
      <x:c r="F4245" s="6" t="str">
        <x:v>1</x:v>
      </x:c>
      <x:c r="G4245" s="6" t="str"/>
      <x:c r="H4245" s="6" t="str">
        <x:f>IF(B4245="平","平",IF(B4245="","","仄"))</x:f>
        <x:v>仄</x:v>
      </x:c>
      <x:c r="I4245" s="6" t="str">
        <x:f>IF(D4229="","",IF(AND(ISNUMBER(SEARCH("平",D4229)),OR(ISNUMBER(SEARCH("上",D4229)),ISNUMBER(SEARCH("去",D4229)),ISNUMBER(SEARCH("入",D4229)))),"Ambiguous",IF(ISNUMBER(SEARCH("平",D4229)),"平","仄")))</x:f>
        <x:v>仄</x:v>
      </x:c>
      <x:c r="J4245" s="7" t="str"/>
    </x:row>
    <x:row r="4246">
      <x:c r="A4246" s="5" t="str">
        <x:v>鈿</x:v>
      </x:c>
      <x:c r="B4246" s="6" t="str">
        <x:v>去</x:v>
      </x:c>
      <x:c r="C4246" s="6" t="str">
        <x:f>IF(B4246="","Needs decision","Ready")</x:f>
        <x:v>Ready</x:v>
      </x:c>
      <x:c r="D4246" s="6" t="str">
        <x:v>平/去</x:v>
      </x:c>
      <x:c r="E4246" s="6" t="str">
        <x:v>den [d̙en] (平); denH [d̙enh] (去)</x:v>
      </x:c>
      <x:c r="F4246" s="6" t="str">
        <x:v>2</x:v>
      </x:c>
      <x:c r="G4246" s="6" t="str">
        <x:v>Tang 300 gap; frequency 5; ambiguous in Xun Gong</x:v>
      </x:c>
      <x:c r="H4246" s="6" t="str">
        <x:f>IF(B4246="平","平",IF(B4246="","","仄"))</x:f>
        <x:v>仄</x:v>
      </x:c>
      <x:c r="I4246" s="6" t="str">
        <x:f>IF(D4230="","",IF(AND(ISNUMBER(SEARCH("平",D4230)),OR(ISNUMBER(SEARCH("上",D4230)),ISNUMBER(SEARCH("去",D4230)),ISNUMBER(SEARCH("入",D4230)))),"Ambiguous",IF(ISNUMBER(SEARCH("平",D4230)),"平","仄")))</x:f>
        <x:v>仄</x:v>
      </x:c>
      <x:c r="J4246" s="7" t="str">
        <x:v>Xun Gong, Tang 300 gap fill</x:v>
      </x:c>
    </x:row>
    <x:row r="4247">
      <x:c r="A4247" s="5" t="str">
        <x:v>鉏</x:v>
      </x:c>
      <x:c r="B4247" s="6" t="str">
        <x:v>平</x:v>
      </x:c>
      <x:c r="C4247" s="6" t="str">
        <x:f>IF(B4247="","Needs decision","Ready")</x:f>
        <x:v>Ready</x:v>
      </x:c>
      <x:c r="D4247" s="6" t="str">
        <x:v>平</x:v>
      </x:c>
      <x:c r="E4247" s="6" t="str">
        <x:v>dzrjo (A)</x:v>
      </x:c>
      <x:c r="F4247" s="6" t="str">
        <x:v>1</x:v>
      </x:c>
      <x:c r="G4247" s="6" t="str"/>
      <x:c r="H4247" s="6" t="str">
        <x:f>IF(B4247="平","平",IF(B4247="","","仄"))</x:f>
        <x:v>平</x:v>
      </x:c>
      <x:c r="I4247" s="6" t="str">
        <x:f>IF(D4231="","",IF(AND(ISNUMBER(SEARCH("平",D4231)),OR(ISNUMBER(SEARCH("上",D4231)),ISNUMBER(SEARCH("去",D4231)),ISNUMBER(SEARCH("入",D4231)))),"Ambiguous",IF(ISNUMBER(SEARCH("平",D4231)),"平","仄")))</x:f>
        <x:v>Ambiguous</x:v>
      </x:c>
      <x:c r="J4247" s="7" t="str"/>
    </x:row>
    <x:row r="4248">
      <x:c r="A4248" s="5" t="str">
        <x:v>鉗</x:v>
      </x:c>
      <x:c r="B4248" s="6" t="str">
        <x:v>平</x:v>
      </x:c>
      <x:c r="C4248" s="6" t="str">
        <x:f>IF(B4248="","Needs decision","Ready")</x:f>
        <x:v>Ready</x:v>
      </x:c>
      <x:c r="D4248" s="6" t="str">
        <x:v>平</x:v>
      </x:c>
      <x:c r="E4248" s="6" t="str">
        <x:v>gjem (A)</x:v>
      </x:c>
      <x:c r="F4248" s="6" t="str">
        <x:v>1</x:v>
      </x:c>
      <x:c r="G4248" s="6" t="str"/>
      <x:c r="H4248" s="6" t="str">
        <x:f>IF(B4248="平","平",IF(B4248="","","仄"))</x:f>
        <x:v>平</x:v>
      </x:c>
      <x:c r="I4248" s="6" t="str">
        <x:f>IF(D4232="","",IF(AND(ISNUMBER(SEARCH("平",D4232)),OR(ISNUMBER(SEARCH("上",D4232)),ISNUMBER(SEARCH("去",D4232)),ISNUMBER(SEARCH("入",D4232)))),"Ambiguous",IF(ISNUMBER(SEARCH("平",D4232)),"平","仄")))</x:f>
        <x:v>仄</x:v>
      </x:c>
      <x:c r="J4248" s="7" t="str"/>
    </x:row>
    <x:row r="4249">
      <x:c r="A4249" s="5" t="str">
        <x:v>鉛</x:v>
      </x:c>
      <x:c r="B4249" s="6" t="str">
        <x:v>平</x:v>
      </x:c>
      <x:c r="C4249" s="6" t="str">
        <x:f>IF(B4249="","Needs decision","Ready")</x:f>
        <x:v>Ready</x:v>
      </x:c>
      <x:c r="D4249" s="6" t="str">
        <x:v>平</x:v>
      </x:c>
      <x:c r="E4249" s="6" t="str">
        <x:v>ywen [jwen] (平)</x:v>
      </x:c>
      <x:c r="F4249" s="6" t="str">
        <x:v>1</x:v>
      </x:c>
      <x:c r="G4249" s="6" t="str">
        <x:v>Tang 300 gap; frequency 1; provisional from Xun Gong</x:v>
      </x:c>
      <x:c r="H4249" s="6" t="str">
        <x:f>IF(B4249="平","平",IF(B4249="","","仄"))</x:f>
        <x:v>平</x:v>
      </x:c>
      <x:c r="I4249" s="6" t="str">
        <x:f>IF(D4233="","",IF(AND(ISNUMBER(SEARCH("平",D4233)),OR(ISNUMBER(SEARCH("上",D4233)),ISNUMBER(SEARCH("去",D4233)),ISNUMBER(SEARCH("入",D4233)))),"Ambiguous",IF(ISNUMBER(SEARCH("平",D4233)),"平","仄")))</x:f>
        <x:v>Ambiguous</x:v>
      </x:c>
      <x:c r="J4249" s="7" t="str">
        <x:v>Xun Gong, Tang 300 gap fill</x:v>
      </x:c>
    </x:row>
    <x:row r="4250">
      <x:c r="A4250" s="5" t="str">
        <x:v>鉞</x:v>
      </x:c>
      <x:c r="B4250" s="6" t="str">
        <x:v>入</x:v>
      </x:c>
      <x:c r="C4250" s="6" t="str">
        <x:f>IF(B4250="","Needs decision","Ready")</x:f>
        <x:v>Ready</x:v>
      </x:c>
      <x:c r="D4250" s="6" t="str">
        <x:v>入</x:v>
      </x:c>
      <x:c r="E4250" s="6" t="str">
        <x:v>hjwot (D)</x:v>
      </x:c>
      <x:c r="F4250" s="6" t="str">
        <x:v>1</x:v>
      </x:c>
      <x:c r="G4250" s="6" t="str"/>
      <x:c r="H4250" s="6" t="str">
        <x:f>IF(B4250="平","平",IF(B4250="","","仄"))</x:f>
        <x:v>仄</x:v>
      </x:c>
      <x:c r="I4250" s="6" t="str">
        <x:f>IF(D4234="","",IF(AND(ISNUMBER(SEARCH("平",D4234)),OR(ISNUMBER(SEARCH("上",D4234)),ISNUMBER(SEARCH("去",D4234)),ISNUMBER(SEARCH("入",D4234)))),"Ambiguous",IF(ISNUMBER(SEARCH("平",D4234)),"平","仄")))</x:f>
        <x:v>平</x:v>
      </x:c>
      <x:c r="J4250" s="7" t="str"/>
    </x:row>
    <x:row r="4251">
      <x:c r="A4251" s="5" t="str">
        <x:v>鉤</x:v>
      </x:c>
      <x:c r="B4251" s="6" t="str">
        <x:v>平</x:v>
      </x:c>
      <x:c r="C4251" s="6" t="str">
        <x:f>IF(B4251="","Needs decision","Ready")</x:f>
        <x:v>Ready</x:v>
      </x:c>
      <x:c r="D4251" s="6" t="str">
        <x:v>平</x:v>
      </x:c>
      <x:c r="E4251" s="6" t="str">
        <x:v>kuw (A)</x:v>
      </x:c>
      <x:c r="F4251" s="6" t="str">
        <x:v>1</x:v>
      </x:c>
      <x:c r="G4251" s="6" t="str"/>
      <x:c r="H4251" s="6" t="str">
        <x:f>IF(B4251="平","平",IF(B4251="","","仄"))</x:f>
        <x:v>平</x:v>
      </x:c>
      <x:c r="I4251" s="6" t="str">
        <x:f>IF(D4235="","",IF(AND(ISNUMBER(SEARCH("平",D4235)),OR(ISNUMBER(SEARCH("上",D4235)),ISNUMBER(SEARCH("去",D4235)),ISNUMBER(SEARCH("入",D4235)))),"Ambiguous",IF(ISNUMBER(SEARCH("平",D4235)),"平","仄")))</x:f>
        <x:v>平</x:v>
      </x:c>
      <x:c r="J4251" s="7" t="str"/>
    </x:row>
    <x:row r="4252">
      <x:c r="A4252" s="5" t="str">
        <x:v>鉥</x:v>
      </x:c>
      <x:c r="B4252" s="6" t="str">
        <x:v>入</x:v>
      </x:c>
      <x:c r="C4252" s="6" t="str">
        <x:f>IF(B4252="","Needs decision","Ready")</x:f>
        <x:v>Ready</x:v>
      </x:c>
      <x:c r="D4252" s="6" t="str">
        <x:v>入</x:v>
      </x:c>
      <x:c r="E4252" s="6" t="str">
        <x:v>zywit (D)</x:v>
      </x:c>
      <x:c r="F4252" s="6" t="str">
        <x:v>1</x:v>
      </x:c>
      <x:c r="G4252" s="6" t="str"/>
      <x:c r="H4252" s="6" t="str">
        <x:f>IF(B4252="平","平",IF(B4252="","","仄"))</x:f>
        <x:v>仄</x:v>
      </x:c>
      <x:c r="I4252" s="6" t="str">
        <x:f>IF(D4236="","",IF(AND(ISNUMBER(SEARCH("平",D4236)),OR(ISNUMBER(SEARCH("上",D4236)),ISNUMBER(SEARCH("去",D4236)),ISNUMBER(SEARCH("入",D4236)))),"Ambiguous",IF(ISNUMBER(SEARCH("平",D4236)),"平","仄")))</x:f>
        <x:v>Ambiguous</x:v>
      </x:c>
      <x:c r="J4252" s="7" t="str"/>
    </x:row>
    <x:row r="4253">
      <x:c r="A4253" s="5" t="str">
        <x:v>鉸</x:v>
      </x:c>
      <x:c r="B4253" s="6" t="str">
        <x:v>上</x:v>
      </x:c>
      <x:c r="C4253" s="6" t="str">
        <x:f>IF(B4253="","Needs decision","Ready")</x:f>
        <x:v>Ready</x:v>
      </x:c>
      <x:c r="D4253" s="6" t="str">
        <x:v>上</x:v>
      </x:c>
      <x:c r="E4253" s="6" t="str">
        <x:v>kaewX (B)</x:v>
      </x:c>
      <x:c r="F4253" s="6" t="str">
        <x:v>1</x:v>
      </x:c>
      <x:c r="G4253" s="6" t="str"/>
      <x:c r="H4253" s="6" t="str">
        <x:f>IF(B4253="平","平",IF(B4253="","","仄"))</x:f>
        <x:v>仄</x:v>
      </x:c>
      <x:c r="I4253" s="6" t="str">
        <x:f>IF(D4237="","",IF(AND(ISNUMBER(SEARCH("平",D4237)),OR(ISNUMBER(SEARCH("上",D4237)),ISNUMBER(SEARCH("去",D4237)),ISNUMBER(SEARCH("入",D4237)))),"Ambiguous",IF(ISNUMBER(SEARCH("平",D4237)),"平","仄")))</x:f>
        <x:v>仄</x:v>
      </x:c>
      <x:c r="J4253" s="7" t="str"/>
    </x:row>
    <x:row r="4254">
      <x:c r="A4254" s="5" t="str">
        <x:v>銀</x:v>
      </x:c>
      <x:c r="B4254" s="6" t="str">
        <x:v>平</x:v>
      </x:c>
      <x:c r="C4254" s="6" t="str">
        <x:f>IF(B4254="","Needs decision","Ready")</x:f>
        <x:v>Ready</x:v>
      </x:c>
      <x:c r="D4254" s="6" t="str">
        <x:v>平</x:v>
      </x:c>
      <x:c r="E4254" s="6" t="str">
        <x:v>ngin (A)</x:v>
      </x:c>
      <x:c r="F4254" s="6" t="str">
        <x:v>1</x:v>
      </x:c>
      <x:c r="G4254" s="6" t="str"/>
      <x:c r="H4254" s="6" t="str">
        <x:f>IF(B4254="平","平",IF(B4254="","","仄"))</x:f>
        <x:v>平</x:v>
      </x:c>
      <x:c r="I4254" s="6" t="str">
        <x:f>IF(D4238="","",IF(AND(ISNUMBER(SEARCH("平",D4238)),OR(ISNUMBER(SEARCH("上",D4238)),ISNUMBER(SEARCH("去",D4238)),ISNUMBER(SEARCH("入",D4238)))),"Ambiguous",IF(ISNUMBER(SEARCH("平",D4238)),"平","仄")))</x:f>
        <x:v>平</x:v>
      </x:c>
      <x:c r="J4254" s="7" t="str"/>
    </x:row>
    <x:row r="4255">
      <x:c r="A4255" s="5" t="str">
        <x:v>銅</x:v>
      </x:c>
      <x:c r="B4255" s="6" t="str">
        <x:v>平</x:v>
      </x:c>
      <x:c r="C4255" s="6" t="str">
        <x:f>IF(B4255="","Needs decision","Ready")</x:f>
        <x:v>Ready</x:v>
      </x:c>
      <x:c r="D4255" s="6" t="str">
        <x:v>平</x:v>
      </x:c>
      <x:c r="E4255" s="6" t="str">
        <x:v>duwng (A)</x:v>
      </x:c>
      <x:c r="F4255" s="6" t="str">
        <x:v>1</x:v>
      </x:c>
      <x:c r="G4255" s="6" t="str"/>
      <x:c r="H4255" s="6" t="str">
        <x:f>IF(B4255="平","平",IF(B4255="","","仄"))</x:f>
        <x:v>平</x:v>
      </x:c>
      <x:c r="I4255" s="6" t="str">
        <x:f>IF(D4239="","",IF(AND(ISNUMBER(SEARCH("平",D4239)),OR(ISNUMBER(SEARCH("上",D4239)),ISNUMBER(SEARCH("去",D4239)),ISNUMBER(SEARCH("入",D4239)))),"Ambiguous",IF(ISNUMBER(SEARCH("平",D4239)),"平","仄")))</x:f>
        <x:v>仄</x:v>
      </x:c>
      <x:c r="J4255" s="7" t="str"/>
    </x:row>
    <x:row r="4256">
      <x:c r="A4256" s="5" t="str">
        <x:v>銑</x:v>
      </x:c>
      <x:c r="B4256" s="6" t="str">
        <x:v>上</x:v>
      </x:c>
      <x:c r="C4256" s="6" t="str">
        <x:f>IF(B4256="","Needs decision","Ready")</x:f>
        <x:v>Ready</x:v>
      </x:c>
      <x:c r="D4256" s="6" t="str">
        <x:v>上</x:v>
      </x:c>
      <x:c r="E4256" s="6" t="str">
        <x:v>senX [s̙enʔ] (上)</x:v>
      </x:c>
      <x:c r="F4256" s="6" t="str">
        <x:v>1</x:v>
      </x:c>
      <x:c r="G4256" s="6" t="str">
        <x:v>Tang 300 gap; frequency 1; provisional from Xun Gong</x:v>
      </x:c>
      <x:c r="H4256" s="6" t="str">
        <x:f>IF(B4256="平","平",IF(B4256="","","仄"))</x:f>
        <x:v>仄</x:v>
      </x:c>
      <x:c r="I4256" s="6" t="str">
        <x:f>IF(D4240="","",IF(AND(ISNUMBER(SEARCH("平",D4240)),OR(ISNUMBER(SEARCH("上",D4240)),ISNUMBER(SEARCH("去",D4240)),ISNUMBER(SEARCH("入",D4240)))),"Ambiguous",IF(ISNUMBER(SEARCH("平",D4240)),"平","仄")))</x:f>
        <x:v>平</x:v>
      </x:c>
      <x:c r="J4256" s="7" t="str">
        <x:v>Xun Gong, Tang 300 gap fill</x:v>
      </x:c>
    </x:row>
    <x:row r="4257">
      <x:c r="A4257" s="5" t="str">
        <x:v>銖</x:v>
      </x:c>
      <x:c r="B4257" s="6" t="str">
        <x:v>平</x:v>
      </x:c>
      <x:c r="C4257" s="6" t="str">
        <x:f>IF(B4257="","Needs decision","Ready")</x:f>
        <x:v>Ready</x:v>
      </x:c>
      <x:c r="D4257" s="6" t="str">
        <x:v>平</x:v>
      </x:c>
      <x:c r="E4257" s="6" t="str">
        <x:v>dzyu [dʑo] (平)</x:v>
      </x:c>
      <x:c r="F4257" s="6" t="str">
        <x:v>1</x:v>
      </x:c>
      <x:c r="G4257" s="6" t="str">
        <x:v>Tang 300 gap; frequency 1; provisional from Xun Gong</x:v>
      </x:c>
      <x:c r="H4257" s="6" t="str">
        <x:f>IF(B4257="平","平",IF(B4257="","","仄"))</x:f>
        <x:v>平</x:v>
      </x:c>
      <x:c r="I4257" s="6" t="str">
        <x:f>IF(D4241="","",IF(AND(ISNUMBER(SEARCH("平",D4241)),OR(ISNUMBER(SEARCH("上",D4241)),ISNUMBER(SEARCH("去",D4241)),ISNUMBER(SEARCH("入",D4241)))),"Ambiguous",IF(ISNUMBER(SEARCH("平",D4241)),"平","仄")))</x:f>
        <x:v>仄</x:v>
      </x:c>
      <x:c r="J4257" s="7" t="str">
        <x:v>Xun Gong, Tang 300 gap fill</x:v>
      </x:c>
    </x:row>
    <x:row r="4258">
      <x:c r="A4258" s="5" t="str">
        <x:v>銘</x:v>
      </x:c>
      <x:c r="B4258" s="6" t="str">
        <x:v>平</x:v>
      </x:c>
      <x:c r="C4258" s="6" t="str">
        <x:f>IF(B4258="","Needs decision","Ready")</x:f>
        <x:v>Ready</x:v>
      </x:c>
      <x:c r="D4258" s="6" t="str">
        <x:v>平</x:v>
      </x:c>
      <x:c r="E4258" s="6" t="str">
        <x:v>meng (A)</x:v>
      </x:c>
      <x:c r="F4258" s="6" t="str">
        <x:v>1</x:v>
      </x:c>
      <x:c r="G4258" s="6" t="str"/>
      <x:c r="H4258" s="6" t="str">
        <x:f>IF(B4258="平","平",IF(B4258="","","仄"))</x:f>
        <x:v>平</x:v>
      </x:c>
      <x:c r="I4258" s="6" t="str">
        <x:f>IF(D4242="","",IF(AND(ISNUMBER(SEARCH("平",D4242)),OR(ISNUMBER(SEARCH("上",D4242)),ISNUMBER(SEARCH("去",D4242)),ISNUMBER(SEARCH("入",D4242)))),"Ambiguous",IF(ISNUMBER(SEARCH("平",D4242)),"平","仄")))</x:f>
        <x:v>仄</x:v>
      </x:c>
      <x:c r="J4258" s="7" t="str"/>
    </x:row>
    <x:row r="4259">
      <x:c r="A4259" s="5" t="str">
        <x:v>銜</x:v>
      </x:c>
      <x:c r="B4259" s="6" t="str">
        <x:v>平</x:v>
      </x:c>
      <x:c r="C4259" s="6" t="str">
        <x:f>IF(B4259="","Needs decision","Ready")</x:f>
        <x:v>Ready</x:v>
      </x:c>
      <x:c r="D4259" s="6" t="str">
        <x:v>平</x:v>
      </x:c>
      <x:c r="E4259" s="6" t="str">
        <x:v>haem (A)</x:v>
      </x:c>
      <x:c r="F4259" s="6" t="str">
        <x:v>1</x:v>
      </x:c>
      <x:c r="G4259" s="6" t="str"/>
      <x:c r="H4259" s="6" t="str">
        <x:f>IF(B4259="平","平",IF(B4259="","","仄"))</x:f>
        <x:v>平</x:v>
      </x:c>
      <x:c r="I4259" s="6" t="str">
        <x:f>IF(D4243="","",IF(AND(ISNUMBER(SEARCH("平",D4243)),OR(ISNUMBER(SEARCH("上",D4243)),ISNUMBER(SEARCH("去",D4243)),ISNUMBER(SEARCH("入",D4243)))),"Ambiguous",IF(ISNUMBER(SEARCH("平",D4243)),"平","仄")))</x:f>
        <x:v>平</x:v>
      </x:c>
      <x:c r="J4259" s="7" t="str"/>
    </x:row>
    <x:row r="4260">
      <x:c r="A4260" s="5" t="str">
        <x:v>銳</x:v>
      </x:c>
      <x:c r="B4260" s="6" t="str">
        <x:v>去</x:v>
      </x:c>
      <x:c r="C4260" s="6" t="str">
        <x:f>IF(B4260="","Needs decision","Ready")</x:f>
        <x:v>Ready</x:v>
      </x:c>
      <x:c r="D4260" s="6" t="str">
        <x:v>去</x:v>
      </x:c>
      <x:c r="E4260" s="6" t="str">
        <x:v>dwajH [d̙wɑjh] (去); ywejH [jwejh] (去)</x:v>
      </x:c>
      <x:c r="F4260" s="6" t="str">
        <x:v>2</x:v>
      </x:c>
      <x:c r="G4260" s="6" t="str">
        <x:v>Tang 300 gap; frequency 1; provisional from Xun Gong</x:v>
      </x:c>
      <x:c r="H4260" s="6" t="str">
        <x:f>IF(B4260="平","平",IF(B4260="","","仄"))</x:f>
        <x:v>仄</x:v>
      </x:c>
      <x:c r="I4260" s="6" t="str">
        <x:f>IF(D4244="","",IF(AND(ISNUMBER(SEARCH("平",D4244)),OR(ISNUMBER(SEARCH("上",D4244)),ISNUMBER(SEARCH("去",D4244)),ISNUMBER(SEARCH("入",D4244)))),"Ambiguous",IF(ISNUMBER(SEARCH("平",D4244)),"平","仄")))</x:f>
        <x:v>平</x:v>
      </x:c>
      <x:c r="J4260" s="7" t="str">
        <x:v>Xun Gong, Tang 300 gap fill</x:v>
      </x:c>
    </x:row>
    <x:row r="4261">
      <x:c r="A4261" s="5" t="str">
        <x:v>銷</x:v>
      </x:c>
      <x:c r="B4261" s="6" t="str">
        <x:v>平</x:v>
      </x:c>
      <x:c r="C4261" s="6" t="str">
        <x:f>IF(B4261="","Needs decision","Ready")</x:f>
        <x:v>Ready</x:v>
      </x:c>
      <x:c r="D4261" s="6" t="str">
        <x:v>平</x:v>
      </x:c>
      <x:c r="E4261" s="6" t="str"/>
      <x:c r="F4261" s="6" t="str"/>
      <x:c r="G4261" s="6" t="str">
        <x:v>Manual user correction/addition</x:v>
      </x:c>
      <x:c r="H4261" s="6" t="str">
        <x:f>IF(B4261="平","平",IF(B4261="","","仄"))</x:f>
        <x:v>平</x:v>
      </x:c>
      <x:c r="I4261" s="6" t="str">
        <x:f>IF(D4245="","",IF(AND(ISNUMBER(SEARCH("平",D4245)),OR(ISNUMBER(SEARCH("上",D4245)),ISNUMBER(SEARCH("去",D4245)),ISNUMBER(SEARCH("入",D4245)))),"Ambiguous",IF(ISNUMBER(SEARCH("平",D4245)),"平","仄")))</x:f>
        <x:v>仄</x:v>
      </x:c>
      <x:c r="J4261" s="7" t="str">
        <x:v>manual user correction</x:v>
      </x:c>
    </x:row>
    <x:row r="4262">
      <x:c r="A4262" s="5" t="str">
        <x:v>鋒</x:v>
      </x:c>
      <x:c r="B4262" s="6" t="str">
        <x:v>平</x:v>
      </x:c>
      <x:c r="C4262" s="6" t="str">
        <x:f>IF(B4262="","Needs decision","Ready")</x:f>
        <x:v>Ready</x:v>
      </x:c>
      <x:c r="D4262" s="6" t="str">
        <x:v>平</x:v>
      </x:c>
      <x:c r="E4262" s="6" t="str">
        <x:v>phjowng (A)</x:v>
      </x:c>
      <x:c r="F4262" s="6" t="str">
        <x:v>1</x:v>
      </x:c>
      <x:c r="G4262" s="6" t="str"/>
      <x:c r="H4262" s="6" t="str">
        <x:f>IF(B4262="平","平",IF(B4262="","","仄"))</x:f>
        <x:v>平</x:v>
      </x:c>
      <x:c r="I4262" s="6" t="str">
        <x:f>IF(D4246="","",IF(AND(ISNUMBER(SEARCH("平",D4246)),OR(ISNUMBER(SEARCH("上",D4246)),ISNUMBER(SEARCH("去",D4246)),ISNUMBER(SEARCH("入",D4246)))),"Ambiguous",IF(ISNUMBER(SEARCH("平",D4246)),"平","仄")))</x:f>
        <x:v>Ambiguous</x:v>
      </x:c>
      <x:c r="J4262" s="7" t="str"/>
    </x:row>
    <x:row r="4263">
      <x:c r="A4263" s="5" t="str">
        <x:v>鋙</x:v>
      </x:c>
      <x:c r="B4263" s="6" t="str"/>
      <x:c r="C4263" s="6" t="str">
        <x:f>IF(B4263="","Needs decision","Ready")</x:f>
        <x:v>Needs decision</x:v>
      </x:c>
      <x:c r="D4263" s="6" t="str">
        <x:v>平/上</x:v>
      </x:c>
      <x:c r="E4263" s="6" t="str">
        <x:v>ngjo (A); ngjoX (B)</x:v>
      </x:c>
      <x:c r="F4263" s="6" t="str">
        <x:v>2</x:v>
      </x:c>
      <x:c r="G4263" s="6" t="str"/>
      <x:c r="H4263" s="6" t="str">
        <x:f>IF(B4263="平","平",IF(B4263="","","仄"))</x:f>
      </x:c>
      <x:c r="I4263" s="6" t="str">
        <x:f>IF(D4247="","",IF(AND(ISNUMBER(SEARCH("平",D4247)),OR(ISNUMBER(SEARCH("上",D4247)),ISNUMBER(SEARCH("去",D4247)),ISNUMBER(SEARCH("入",D4247)))),"Ambiguous",IF(ISNUMBER(SEARCH("平",D4247)),"平","仄")))</x:f>
        <x:v>平</x:v>
      </x:c>
      <x:c r="J4263" s="7" t="str"/>
    </x:row>
    <x:row r="4264">
      <x:c r="A4264" s="5" t="str">
        <x:v>鋤</x:v>
      </x:c>
      <x:c r="B4264" s="6" t="str">
        <x:v>平</x:v>
      </x:c>
      <x:c r="C4264" s="6" t="str">
        <x:f>IF(B4264="","Needs decision","Ready")</x:f>
        <x:v>Ready</x:v>
      </x:c>
      <x:c r="D4264" s="6" t="str">
        <x:v>平</x:v>
      </x:c>
      <x:c r="E4264" s="6" t="str">
        <x:v>dzrjo (A)</x:v>
      </x:c>
      <x:c r="F4264" s="6" t="str">
        <x:v>1</x:v>
      </x:c>
      <x:c r="G4264" s="6" t="str"/>
      <x:c r="H4264" s="6" t="str">
        <x:f>IF(B4264="平","平",IF(B4264="","","仄"))</x:f>
        <x:v>平</x:v>
      </x:c>
      <x:c r="I4264" s="6" t="str">
        <x:f>IF(D4248="","",IF(AND(ISNUMBER(SEARCH("平",D4248)),OR(ISNUMBER(SEARCH("上",D4248)),ISNUMBER(SEARCH("去",D4248)),ISNUMBER(SEARCH("入",D4248)))),"Ambiguous",IF(ISNUMBER(SEARCH("平",D4248)),"平","仄")))</x:f>
        <x:v>平</x:v>
      </x:c>
      <x:c r="J4264" s="7" t="str"/>
    </x:row>
    <x:row r="4265">
      <x:c r="A4265" s="5" t="str">
        <x:v>鋩</x:v>
      </x:c>
      <x:c r="B4265" s="6" t="str">
        <x:v>平</x:v>
      </x:c>
      <x:c r="C4265" s="6" t="str">
        <x:f>IF(B4265="","Needs decision","Ready")</x:f>
        <x:v>Ready</x:v>
      </x:c>
      <x:c r="D4265" s="6" t="str">
        <x:v>平</x:v>
      </x:c>
      <x:c r="E4265" s="6" t="str">
        <x:v>mjang (A)</x:v>
      </x:c>
      <x:c r="F4265" s="6" t="str">
        <x:v>1</x:v>
      </x:c>
      <x:c r="G4265" s="6" t="str"/>
      <x:c r="H4265" s="6" t="str">
        <x:f>IF(B4265="平","平",IF(B4265="","","仄"))</x:f>
        <x:v>平</x:v>
      </x:c>
      <x:c r="I4265" s="6" t="str">
        <x:f>IF(D4249="","",IF(AND(ISNUMBER(SEARCH("平",D4249)),OR(ISNUMBER(SEARCH("上",D4249)),ISNUMBER(SEARCH("去",D4249)),ISNUMBER(SEARCH("入",D4249)))),"Ambiguous",IF(ISNUMBER(SEARCH("平",D4249)),"平","仄")))</x:f>
        <x:v>平</x:v>
      </x:c>
      <x:c r="J4265" s="7" t="str"/>
    </x:row>
    <x:row r="4266">
      <x:c r="A4266" s="5" t="str">
        <x:v>鋪</x:v>
      </x:c>
      <x:c r="B4266" s="6" t="str">
        <x:v>平</x:v>
      </x:c>
      <x:c r="C4266" s="6" t="str">
        <x:f>IF(B4266="","Needs decision","Ready")</x:f>
        <x:v>Ready</x:v>
      </x:c>
      <x:c r="D4266" s="6" t="str">
        <x:v>平</x:v>
      </x:c>
      <x:c r="E4266" s="6" t="str">
        <x:v>phju (A); phu (A)</x:v>
      </x:c>
      <x:c r="F4266" s="6" t="str">
        <x:v>2</x:v>
      </x:c>
      <x:c r="G4266" s="6" t="str"/>
      <x:c r="H4266" s="6" t="str">
        <x:f>IF(B4266="平","平",IF(B4266="","","仄"))</x:f>
        <x:v>平</x:v>
      </x:c>
      <x:c r="I4266" s="6" t="str">
        <x:f>IF(D4250="","",IF(AND(ISNUMBER(SEARCH("平",D4250)),OR(ISNUMBER(SEARCH("上",D4250)),ISNUMBER(SEARCH("去",D4250)),ISNUMBER(SEARCH("入",D4250)))),"Ambiguous",IF(ISNUMBER(SEARCH("平",D4250)),"平","仄")))</x:f>
        <x:v>仄</x:v>
      </x:c>
      <x:c r="J4266" s="7" t="str"/>
    </x:row>
    <x:row r="4267">
      <x:c r="A4267" s="5" t="str">
        <x:v>鋭</x:v>
      </x:c>
      <x:c r="B4267" s="6" t="str">
        <x:v>去</x:v>
      </x:c>
      <x:c r="C4267" s="6" t="str">
        <x:f>IF(B4267="","Needs decision","Ready")</x:f>
        <x:v>Ready</x:v>
      </x:c>
      <x:c r="D4267" s="6" t="str">
        <x:v>去</x:v>
      </x:c>
      <x:c r="E4267" s="6" t="str">
        <x:v>ywejH (C)</x:v>
      </x:c>
      <x:c r="F4267" s="6" t="str">
        <x:v>1</x:v>
      </x:c>
      <x:c r="G4267" s="6" t="str"/>
      <x:c r="H4267" s="6" t="str">
        <x:f>IF(B4267="平","平",IF(B4267="","","仄"))</x:f>
        <x:v>仄</x:v>
      </x:c>
      <x:c r="I4267" s="6" t="str">
        <x:f>IF(D4251="","",IF(AND(ISNUMBER(SEARCH("平",D4251)),OR(ISNUMBER(SEARCH("上",D4251)),ISNUMBER(SEARCH("去",D4251)),ISNUMBER(SEARCH("入",D4251)))),"Ambiguous",IF(ISNUMBER(SEARCH("平",D4251)),"平","仄")))</x:f>
        <x:v>平</x:v>
      </x:c>
      <x:c r="J4267" s="7" t="str"/>
    </x:row>
    <x:row r="4268">
      <x:c r="A4268" s="5" t="str">
        <x:v>鋸</x:v>
      </x:c>
      <x:c r="B4268" s="6" t="str">
        <x:v>去</x:v>
      </x:c>
      <x:c r="C4268" s="6" t="str">
        <x:f>IF(B4268="","Needs decision","Ready")</x:f>
        <x:v>Ready</x:v>
      </x:c>
      <x:c r="D4268" s="6" t="str">
        <x:v>去</x:v>
      </x:c>
      <x:c r="E4268" s="6" t="str">
        <x:v>kjoH (C)</x:v>
      </x:c>
      <x:c r="F4268" s="6" t="str">
        <x:v>1</x:v>
      </x:c>
      <x:c r="G4268" s="6" t="str"/>
      <x:c r="H4268" s="6" t="str">
        <x:f>IF(B4268="平","平",IF(B4268="","","仄"))</x:f>
        <x:v>仄</x:v>
      </x:c>
      <x:c r="I4268" s="6" t="str">
        <x:f>IF(D4252="","",IF(AND(ISNUMBER(SEARCH("平",D4252)),OR(ISNUMBER(SEARCH("上",D4252)),ISNUMBER(SEARCH("去",D4252)),ISNUMBER(SEARCH("入",D4252)))),"Ambiguous",IF(ISNUMBER(SEARCH("平",D4252)),"平","仄")))</x:f>
        <x:v>仄</x:v>
      </x:c>
      <x:c r="J4268" s="7" t="str"/>
    </x:row>
    <x:row r="4269">
      <x:c r="A4269" s="5" t="str">
        <x:v>鋼</x:v>
      </x:c>
      <x:c r="B4269" s="6" t="str">
        <x:v>平</x:v>
      </x:c>
      <x:c r="C4269" s="6" t="str">
        <x:f>IF(B4269="","Needs decision","Ready")</x:f>
        <x:v>Ready</x:v>
      </x:c>
      <x:c r="D4269" s="6" t="str">
        <x:v>平</x:v>
      </x:c>
      <x:c r="E4269" s="6" t="str">
        <x:v>kang (A)</x:v>
      </x:c>
      <x:c r="F4269" s="6" t="str">
        <x:v>1</x:v>
      </x:c>
      <x:c r="G4269" s="6" t="str"/>
      <x:c r="H4269" s="6" t="str">
        <x:f>IF(B4269="平","平",IF(B4269="","","仄"))</x:f>
        <x:v>平</x:v>
      </x:c>
      <x:c r="I4269" s="6" t="str">
        <x:f>IF(D4253="","",IF(AND(ISNUMBER(SEARCH("平",D4253)),OR(ISNUMBER(SEARCH("上",D4253)),ISNUMBER(SEARCH("去",D4253)),ISNUMBER(SEARCH("入",D4253)))),"Ambiguous",IF(ISNUMBER(SEARCH("平",D4253)),"平","仄")))</x:f>
        <x:v>仄</x:v>
      </x:c>
      <x:c r="J4269" s="7" t="str"/>
    </x:row>
    <x:row r="4270">
      <x:c r="A4270" s="5" t="str">
        <x:v>錄</x:v>
      </x:c>
      <x:c r="B4270" s="6" t="str">
        <x:v>入</x:v>
      </x:c>
      <x:c r="C4270" s="6" t="str">
        <x:f>IF(B4270="","Needs decision","Ready")</x:f>
        <x:v>Ready</x:v>
      </x:c>
      <x:c r="D4270" s="6" t="str">
        <x:v>入</x:v>
      </x:c>
      <x:c r="E4270" s="6" t="str">
        <x:v>ljowk (D)</x:v>
      </x:c>
      <x:c r="F4270" s="6" t="str">
        <x:v>1</x:v>
      </x:c>
      <x:c r="G4270" s="6" t="str"/>
      <x:c r="H4270" s="6" t="str">
        <x:f>IF(B4270="平","平",IF(B4270="","","仄"))</x:f>
        <x:v>仄</x:v>
      </x:c>
      <x:c r="I4270" s="6" t="str">
        <x:f>IF(D4254="","",IF(AND(ISNUMBER(SEARCH("平",D4254)),OR(ISNUMBER(SEARCH("上",D4254)),ISNUMBER(SEARCH("去",D4254)),ISNUMBER(SEARCH("入",D4254)))),"Ambiguous",IF(ISNUMBER(SEARCH("平",D4254)),"平","仄")))</x:f>
        <x:v>平</x:v>
      </x:c>
      <x:c r="J4270" s="7" t="str"/>
    </x:row>
    <x:row r="4271">
      <x:c r="A4271" s="5" t="str">
        <x:v>錘</x:v>
      </x:c>
      <x:c r="B4271" s="6" t="str">
        <x:v>平</x:v>
      </x:c>
      <x:c r="C4271" s="6" t="str">
        <x:f>IF(B4271="","Needs decision","Ready")</x:f>
        <x:v>Ready</x:v>
      </x:c>
      <x:c r="D4271" s="6" t="str">
        <x:v>平</x:v>
      </x:c>
      <x:c r="E4271" s="6" t="str">
        <x:v>drjwe (A)</x:v>
      </x:c>
      <x:c r="F4271" s="6" t="str">
        <x:v>1</x:v>
      </x:c>
      <x:c r="G4271" s="6" t="str"/>
      <x:c r="H4271" s="6" t="str">
        <x:f>IF(B4271="平","平",IF(B4271="","","仄"))</x:f>
        <x:v>平</x:v>
      </x:c>
      <x:c r="I4271" s="6" t="str">
        <x:f>IF(D4255="","",IF(AND(ISNUMBER(SEARCH("平",D4255)),OR(ISNUMBER(SEARCH("上",D4255)),ISNUMBER(SEARCH("去",D4255)),ISNUMBER(SEARCH("入",D4255)))),"Ambiguous",IF(ISNUMBER(SEARCH("平",D4255)),"平","仄")))</x:f>
        <x:v>平</x:v>
      </x:c>
      <x:c r="J4271" s="7" t="str"/>
    </x:row>
    <x:row r="4272">
      <x:c r="A4272" s="5" t="str">
        <x:v>錠</x:v>
      </x:c>
      <x:c r="B4272" s="6" t="str">
        <x:v>去</x:v>
      </x:c>
      <x:c r="C4272" s="6" t="str">
        <x:f>IF(B4272="","Needs decision","Ready")</x:f>
        <x:v>Ready</x:v>
      </x:c>
      <x:c r="D4272" s="6" t="str">
        <x:v>去</x:v>
      </x:c>
      <x:c r="E4272" s="6" t="str"/>
      <x:c r="F4272" s="6" t="str"/>
      <x:c r="G4272" s="6" t="str">
        <x:v>Manual user correction/addition</x:v>
      </x:c>
      <x:c r="H4272" s="6" t="str">
        <x:f>IF(B4272="平","平",IF(B4272="","","仄"))</x:f>
        <x:v>仄</x:v>
      </x:c>
      <x:c r="I4272" s="6" t="str">
        <x:f>IF(D4256="","",IF(AND(ISNUMBER(SEARCH("平",D4256)),OR(ISNUMBER(SEARCH("上",D4256)),ISNUMBER(SEARCH("去",D4256)),ISNUMBER(SEARCH("入",D4256)))),"Ambiguous",IF(ISNUMBER(SEARCH("平",D4256)),"平","仄")))</x:f>
        <x:v>仄</x:v>
      </x:c>
      <x:c r="J4272" s="7" t="str">
        <x:v>manual user correction</x:v>
      </x:c>
    </x:row>
    <x:row r="4273">
      <x:c r="A4273" s="5" t="str">
        <x:v>錡</x:v>
      </x:c>
      <x:c r="B4273" s="6" t="str"/>
      <x:c r="C4273" s="6" t="str">
        <x:f>IF(B4273="","Needs decision","Ready")</x:f>
        <x:v>Needs decision</x:v>
      </x:c>
      <x:c r="D4273" s="6" t="str">
        <x:v>平/上</x:v>
      </x:c>
      <x:c r="E4273" s="6" t="str">
        <x:v>gje (A); ngjeX (B)</x:v>
      </x:c>
      <x:c r="F4273" s="6" t="str">
        <x:v>2</x:v>
      </x:c>
      <x:c r="G4273" s="6" t="str"/>
      <x:c r="H4273" s="6" t="str">
        <x:f>IF(B4273="平","平",IF(B4273="","","仄"))</x:f>
      </x:c>
      <x:c r="I4273" s="6" t="str">
        <x:f>IF(D4257="","",IF(AND(ISNUMBER(SEARCH("平",D4257)),OR(ISNUMBER(SEARCH("上",D4257)),ISNUMBER(SEARCH("去",D4257)),ISNUMBER(SEARCH("入",D4257)))),"Ambiguous",IF(ISNUMBER(SEARCH("平",D4257)),"平","仄")))</x:f>
        <x:v>平</x:v>
      </x:c>
      <x:c r="J4273" s="7" t="str"/>
    </x:row>
    <x:row r="4274">
      <x:c r="A4274" s="5" t="str">
        <x:v>錢</x:v>
      </x:c>
      <x:c r="B4274" s="6" t="str">
        <x:v>平</x:v>
      </x:c>
      <x:c r="C4274" s="6" t="str">
        <x:f>IF(B4274="","Needs decision","Ready")</x:f>
        <x:v>Ready</x:v>
      </x:c>
      <x:c r="D4274" s="6" t="str">
        <x:v>平</x:v>
      </x:c>
      <x:c r="E4274" s="6" t="str">
        <x:v>dzjen (A)</x:v>
      </x:c>
      <x:c r="F4274" s="6" t="str">
        <x:v>1</x:v>
      </x:c>
      <x:c r="G4274" s="6" t="str"/>
      <x:c r="H4274" s="6" t="str">
        <x:f>IF(B4274="平","平",IF(B4274="","","仄"))</x:f>
        <x:v>平</x:v>
      </x:c>
      <x:c r="I4274" s="6" t="str">
        <x:f>IF(D4258="","",IF(AND(ISNUMBER(SEARCH("平",D4258)),OR(ISNUMBER(SEARCH("上",D4258)),ISNUMBER(SEARCH("去",D4258)),ISNUMBER(SEARCH("入",D4258)))),"Ambiguous",IF(ISNUMBER(SEARCH("平",D4258)),"平","仄")))</x:f>
        <x:v>平</x:v>
      </x:c>
      <x:c r="J4274" s="7" t="str"/>
    </x:row>
    <x:row r="4275">
      <x:c r="A4275" s="5" t="str">
        <x:v>錣</x:v>
      </x:c>
      <x:c r="B4275" s="6" t="str">
        <x:v>入</x:v>
      </x:c>
      <x:c r="C4275" s="6" t="str">
        <x:f>IF(B4275="","Needs decision","Ready")</x:f>
        <x:v>Ready</x:v>
      </x:c>
      <x:c r="D4275" s="6" t="str">
        <x:v>入</x:v>
      </x:c>
      <x:c r="E4275" s="6" t="str">
        <x:v>trwaet (D)</x:v>
      </x:c>
      <x:c r="F4275" s="6" t="str">
        <x:v>1</x:v>
      </x:c>
      <x:c r="G4275" s="6" t="str"/>
      <x:c r="H4275" s="6" t="str">
        <x:f>IF(B4275="平","平",IF(B4275="","","仄"))</x:f>
        <x:v>仄</x:v>
      </x:c>
      <x:c r="I4275" s="6" t="str">
        <x:f>IF(D4259="","",IF(AND(ISNUMBER(SEARCH("平",D4259)),OR(ISNUMBER(SEARCH("上",D4259)),ISNUMBER(SEARCH("去",D4259)),ISNUMBER(SEARCH("入",D4259)))),"Ambiguous",IF(ISNUMBER(SEARCH("平",D4259)),"平","仄")))</x:f>
        <x:v>平</x:v>
      </x:c>
      <x:c r="J4275" s="7" t="str"/>
    </x:row>
    <x:row r="4276">
      <x:c r="A4276" s="5" t="str">
        <x:v>錦</x:v>
      </x:c>
      <x:c r="B4276" s="6" t="str">
        <x:v>上</x:v>
      </x:c>
      <x:c r="C4276" s="6" t="str">
        <x:f>IF(B4276="","Needs decision","Ready")</x:f>
        <x:v>Ready</x:v>
      </x:c>
      <x:c r="D4276" s="6" t="str">
        <x:v>上</x:v>
      </x:c>
      <x:c r="E4276" s="6" t="str">
        <x:v>kimX (B)</x:v>
      </x:c>
      <x:c r="F4276" s="6" t="str">
        <x:v>1</x:v>
      </x:c>
      <x:c r="G4276" s="6" t="str"/>
      <x:c r="H4276" s="6" t="str">
        <x:f>IF(B4276="平","平",IF(B4276="","","仄"))</x:f>
        <x:v>仄</x:v>
      </x:c>
      <x:c r="I4276" s="6" t="str">
        <x:f>IF(D4260="","",IF(AND(ISNUMBER(SEARCH("平",D4260)),OR(ISNUMBER(SEARCH("上",D4260)),ISNUMBER(SEARCH("去",D4260)),ISNUMBER(SEARCH("入",D4260)))),"Ambiguous",IF(ISNUMBER(SEARCH("平",D4260)),"平","仄")))</x:f>
        <x:v>仄</x:v>
      </x:c>
      <x:c r="J4276" s="7" t="str"/>
    </x:row>
    <x:row r="4277">
      <x:c r="A4277" s="5" t="str">
        <x:v>錫</x:v>
      </x:c>
      <x:c r="B4277" s="6" t="str">
        <x:v>入</x:v>
      </x:c>
      <x:c r="C4277" s="6" t="str">
        <x:f>IF(B4277="","Needs decision","Ready")</x:f>
        <x:v>Ready</x:v>
      </x:c>
      <x:c r="D4277" s="6" t="str">
        <x:v>入</x:v>
      </x:c>
      <x:c r="E4277" s="6" t="str">
        <x:v>sek (D)</x:v>
      </x:c>
      <x:c r="F4277" s="6" t="str">
        <x:v>1</x:v>
      </x:c>
      <x:c r="G4277" s="6" t="str"/>
      <x:c r="H4277" s="6" t="str">
        <x:f>IF(B4277="平","平",IF(B4277="","","仄"))</x:f>
        <x:v>仄</x:v>
      </x:c>
      <x:c r="I4277" s="6" t="str">
        <x:f>IF(D4261="","",IF(AND(ISNUMBER(SEARCH("平",D4261)),OR(ISNUMBER(SEARCH("上",D4261)),ISNUMBER(SEARCH("去",D4261)),ISNUMBER(SEARCH("入",D4261)))),"Ambiguous",IF(ISNUMBER(SEARCH("平",D4261)),"平","仄")))</x:f>
        <x:v>平</x:v>
      </x:c>
      <x:c r="J4277" s="7" t="str"/>
    </x:row>
    <x:row r="4278">
      <x:c r="A4278" s="5" t="str">
        <x:v>錮</x:v>
      </x:c>
      <x:c r="B4278" s="6" t="str">
        <x:v>去</x:v>
      </x:c>
      <x:c r="C4278" s="6" t="str">
        <x:f>IF(B4278="","Needs decision","Ready")</x:f>
        <x:v>Ready</x:v>
      </x:c>
      <x:c r="D4278" s="6" t="str">
        <x:v>去</x:v>
      </x:c>
      <x:c r="E4278" s="6" t="str">
        <x:v>kuH (C)</x:v>
      </x:c>
      <x:c r="F4278" s="6" t="str">
        <x:v>1</x:v>
      </x:c>
      <x:c r="G4278" s="6" t="str"/>
      <x:c r="H4278" s="6" t="str">
        <x:f>IF(B4278="平","平",IF(B4278="","","仄"))</x:f>
        <x:v>仄</x:v>
      </x:c>
      <x:c r="I4278" s="6" t="str">
        <x:f>IF(D4262="","",IF(AND(ISNUMBER(SEARCH("平",D4262)),OR(ISNUMBER(SEARCH("上",D4262)),ISNUMBER(SEARCH("去",D4262)),ISNUMBER(SEARCH("入",D4262)))),"Ambiguous",IF(ISNUMBER(SEARCH("平",D4262)),"平","仄")))</x:f>
        <x:v>平</x:v>
      </x:c>
      <x:c r="J4278" s="7" t="str"/>
    </x:row>
    <x:row r="4279">
      <x:c r="A4279" s="5" t="str">
        <x:v>錯</x:v>
      </x:c>
      <x:c r="B4279" s="6" t="str">
        <x:v>入</x:v>
      </x:c>
      <x:c r="C4279" s="6" t="str">
        <x:f>IF(B4279="","Needs decision","Ready")</x:f>
        <x:v>Ready</x:v>
      </x:c>
      <x:c r="D4279" s="6" t="str">
        <x:v>入</x:v>
      </x:c>
      <x:c r="E4279" s="6" t="str">
        <x:v>tshak (D)</x:v>
      </x:c>
      <x:c r="F4279" s="6" t="str">
        <x:v>1</x:v>
      </x:c>
      <x:c r="G4279" s="6" t="str"/>
      <x:c r="H4279" s="6" t="str">
        <x:f>IF(B4279="平","平",IF(B4279="","","仄"))</x:f>
        <x:v>仄</x:v>
      </x:c>
      <x:c r="I4279" s="6" t="str">
        <x:f>IF(D4263="","",IF(AND(ISNUMBER(SEARCH("平",D4263)),OR(ISNUMBER(SEARCH("上",D4263)),ISNUMBER(SEARCH("去",D4263)),ISNUMBER(SEARCH("入",D4263)))),"Ambiguous",IF(ISNUMBER(SEARCH("平",D4263)),"平","仄")))</x:f>
        <x:v>Ambiguous</x:v>
      </x:c>
      <x:c r="J4279" s="7" t="str"/>
    </x:row>
    <x:row r="4280">
      <x:c r="A4280" s="5" t="str">
        <x:v>鍊</x:v>
      </x:c>
      <x:c r="B4280" s="6" t="str">
        <x:v>去</x:v>
      </x:c>
      <x:c r="C4280" s="6" t="str">
        <x:f>IF(B4280="","Needs decision","Ready")</x:f>
        <x:v>Ready</x:v>
      </x:c>
      <x:c r="D4280" s="6" t="str">
        <x:v>去</x:v>
      </x:c>
      <x:c r="E4280" s="6" t="str">
        <x:v>lenH (C)</x:v>
      </x:c>
      <x:c r="F4280" s="6" t="str">
        <x:v>1</x:v>
      </x:c>
      <x:c r="G4280" s="6" t="str"/>
      <x:c r="H4280" s="6" t="str">
        <x:f>IF(B4280="平","平",IF(B4280="","","仄"))</x:f>
        <x:v>仄</x:v>
      </x:c>
      <x:c r="I4280" s="6" t="str">
        <x:f>IF(D4264="","",IF(AND(ISNUMBER(SEARCH("平",D4264)),OR(ISNUMBER(SEARCH("上",D4264)),ISNUMBER(SEARCH("去",D4264)),ISNUMBER(SEARCH("入",D4264)))),"Ambiguous",IF(ISNUMBER(SEARCH("平",D4264)),"平","仄")))</x:f>
        <x:v>平</x:v>
      </x:c>
      <x:c r="J4280" s="7" t="str"/>
    </x:row>
    <x:row r="4281">
      <x:c r="A4281" s="5" t="str">
        <x:v>鍚</x:v>
      </x:c>
      <x:c r="B4281" s="6" t="str">
        <x:v>平</x:v>
      </x:c>
      <x:c r="C4281" s="6" t="str">
        <x:f>IF(B4281="","Needs decision","Ready")</x:f>
        <x:v>Ready</x:v>
      </x:c>
      <x:c r="D4281" s="6" t="str">
        <x:v>平</x:v>
      </x:c>
      <x:c r="E4281" s="6" t="str">
        <x:v>yang (A)</x:v>
      </x:c>
      <x:c r="F4281" s="6" t="str">
        <x:v>1</x:v>
      </x:c>
      <x:c r="G4281" s="6" t="str"/>
      <x:c r="H4281" s="6" t="str">
        <x:f>IF(B4281="平","平",IF(B4281="","","仄"))</x:f>
        <x:v>平</x:v>
      </x:c>
      <x:c r="I4281" s="6" t="str">
        <x:f>IF(D4265="","",IF(AND(ISNUMBER(SEARCH("平",D4265)),OR(ISNUMBER(SEARCH("上",D4265)),ISNUMBER(SEARCH("去",D4265)),ISNUMBER(SEARCH("入",D4265)))),"Ambiguous",IF(ISNUMBER(SEARCH("平",D4265)),"平","仄")))</x:f>
        <x:v>平</x:v>
      </x:c>
      <x:c r="J4281" s="7" t="str"/>
    </x:row>
    <x:row r="4282">
      <x:c r="A4282" s="5" t="str">
        <x:v>鍥</x:v>
      </x:c>
      <x:c r="B4282" s="6" t="str">
        <x:v>入</x:v>
      </x:c>
      <x:c r="C4282" s="6" t="str">
        <x:f>IF(B4282="","Needs decision","Ready")</x:f>
        <x:v>Ready</x:v>
      </x:c>
      <x:c r="D4282" s="6" t="str">
        <x:v>入</x:v>
      </x:c>
      <x:c r="E4282" s="6" t="str">
        <x:v>khet (D)</x:v>
      </x:c>
      <x:c r="F4282" s="6" t="str">
        <x:v>1</x:v>
      </x:c>
      <x:c r="G4282" s="6" t="str"/>
      <x:c r="H4282" s="6" t="str">
        <x:f>IF(B4282="平","平",IF(B4282="","","仄"))</x:f>
        <x:v>仄</x:v>
      </x:c>
      <x:c r="I4282" s="6" t="str">
        <x:f>IF(D4266="","",IF(AND(ISNUMBER(SEARCH("平",D4266)),OR(ISNUMBER(SEARCH("上",D4266)),ISNUMBER(SEARCH("去",D4266)),ISNUMBER(SEARCH("入",D4266)))),"Ambiguous",IF(ISNUMBER(SEARCH("平",D4266)),"平","仄")))</x:f>
        <x:v>平</x:v>
      </x:c>
      <x:c r="J4282" s="7" t="str"/>
    </x:row>
    <x:row r="4283">
      <x:c r="A4283" s="5" t="str">
        <x:v>鍭</x:v>
      </x:c>
      <x:c r="B4283" s="6" t="str"/>
      <x:c r="C4283" s="6" t="str">
        <x:f>IF(B4283="","Needs decision","Ready")</x:f>
        <x:v>Needs decision</x:v>
      </x:c>
      <x:c r="D4283" s="6" t="str">
        <x:v>平/去</x:v>
      </x:c>
      <x:c r="E4283" s="6" t="str">
        <x:v>huw (A); huwH (C)</x:v>
      </x:c>
      <x:c r="F4283" s="6" t="str">
        <x:v>2</x:v>
      </x:c>
      <x:c r="G4283" s="6" t="str"/>
      <x:c r="H4283" s="6" t="str">
        <x:f>IF(B4283="平","平",IF(B4283="","","仄"))</x:f>
      </x:c>
      <x:c r="I4283" s="6" t="str">
        <x:f>IF(D4267="","",IF(AND(ISNUMBER(SEARCH("平",D4267)),OR(ISNUMBER(SEARCH("上",D4267)),ISNUMBER(SEARCH("去",D4267)),ISNUMBER(SEARCH("入",D4267)))),"Ambiguous",IF(ISNUMBER(SEARCH("平",D4267)),"平","仄")))</x:f>
        <x:v>仄</x:v>
      </x:c>
      <x:c r="J4283" s="7" t="str"/>
    </x:row>
    <x:row r="4284">
      <x:c r="A4284" s="5" t="str">
        <x:v>鍼</x:v>
      </x:c>
      <x:c r="B4284" s="6" t="str">
        <x:v>平</x:v>
      </x:c>
      <x:c r="C4284" s="6" t="str">
        <x:f>IF(B4284="","Needs decision","Ready")</x:f>
        <x:v>Ready</x:v>
      </x:c>
      <x:c r="D4284" s="6" t="str">
        <x:v>平</x:v>
      </x:c>
      <x:c r="E4284" s="6" t="str">
        <x:v>tsyim (A)</x:v>
      </x:c>
      <x:c r="F4284" s="6" t="str">
        <x:v>1</x:v>
      </x:c>
      <x:c r="G4284" s="6" t="str"/>
      <x:c r="H4284" s="6" t="str">
        <x:f>IF(B4284="平","平",IF(B4284="","","仄"))</x:f>
        <x:v>平</x:v>
      </x:c>
      <x:c r="I4284" s="6" t="str">
        <x:f>IF(D4268="","",IF(AND(ISNUMBER(SEARCH("平",D4268)),OR(ISNUMBER(SEARCH("上",D4268)),ISNUMBER(SEARCH("去",D4268)),ISNUMBER(SEARCH("入",D4268)))),"Ambiguous",IF(ISNUMBER(SEARCH("平",D4268)),"平","仄")))</x:f>
        <x:v>仄</x:v>
      </x:c>
      <x:c r="J4284" s="7" t="str"/>
    </x:row>
    <x:row r="4285">
      <x:c r="A4285" s="5" t="str">
        <x:v>鍾</x:v>
      </x:c>
      <x:c r="B4285" s="6" t="str">
        <x:v>平</x:v>
      </x:c>
      <x:c r="C4285" s="6" t="str">
        <x:f>IF(B4285="","Needs decision","Ready")</x:f>
        <x:v>Ready</x:v>
      </x:c>
      <x:c r="D4285" s="6" t="str">
        <x:v>平</x:v>
      </x:c>
      <x:c r="E4285" s="6" t="str">
        <x:v>tsyowng (A)</x:v>
      </x:c>
      <x:c r="F4285" s="6" t="str">
        <x:v>1</x:v>
      </x:c>
      <x:c r="G4285" s="6" t="str"/>
      <x:c r="H4285" s="6" t="str">
        <x:f>IF(B4285="平","平",IF(B4285="","","仄"))</x:f>
        <x:v>平</x:v>
      </x:c>
      <x:c r="I4285" s="6" t="str">
        <x:f>IF(D4269="","",IF(AND(ISNUMBER(SEARCH("平",D4269)),OR(ISNUMBER(SEARCH("上",D4269)),ISNUMBER(SEARCH("去",D4269)),ISNUMBER(SEARCH("入",D4269)))),"Ambiguous",IF(ISNUMBER(SEARCH("平",D4269)),"平","仄")))</x:f>
        <x:v>平</x:v>
      </x:c>
      <x:c r="J4285" s="7" t="str"/>
    </x:row>
    <x:row r="4286">
      <x:c r="A4286" s="5" t="str">
        <x:v>鎌</x:v>
      </x:c>
      <x:c r="B4286" s="6" t="str">
        <x:v>平</x:v>
      </x:c>
      <x:c r="C4286" s="6" t="str">
        <x:f>IF(B4286="","Needs decision","Ready")</x:f>
        <x:v>Ready</x:v>
      </x:c>
      <x:c r="D4286" s="6" t="str">
        <x:v>平</x:v>
      </x:c>
      <x:c r="E4286" s="6" t="str">
        <x:v>ljem (A)</x:v>
      </x:c>
      <x:c r="F4286" s="6" t="str">
        <x:v>1</x:v>
      </x:c>
      <x:c r="G4286" s="6" t="str"/>
      <x:c r="H4286" s="6" t="str">
        <x:f>IF(B4286="平","平",IF(B4286="","","仄"))</x:f>
        <x:v>平</x:v>
      </x:c>
      <x:c r="I4286" s="6" t="str">
        <x:f>IF(D4270="","",IF(AND(ISNUMBER(SEARCH("平",D4270)),OR(ISNUMBER(SEARCH("上",D4270)),ISNUMBER(SEARCH("去",D4270)),ISNUMBER(SEARCH("入",D4270)))),"Ambiguous",IF(ISNUMBER(SEARCH("平",D4270)),"平","仄")))</x:f>
        <x:v>仄</x:v>
      </x:c>
      <x:c r="J4286" s="7" t="str"/>
    </x:row>
    <x:row r="4287">
      <x:c r="A4287" s="5" t="str">
        <x:v>鎖</x:v>
      </x:c>
      <x:c r="B4287" s="6" t="str">
        <x:v>上</x:v>
      </x:c>
      <x:c r="C4287" s="6" t="str">
        <x:f>IF(B4287="","Needs decision","Ready")</x:f>
        <x:v>Ready</x:v>
      </x:c>
      <x:c r="D4287" s="6" t="str">
        <x:v>上</x:v>
      </x:c>
      <x:c r="E4287" s="6" t="str">
        <x:v>swaX (B)</x:v>
      </x:c>
      <x:c r="F4287" s="6" t="str">
        <x:v>1</x:v>
      </x:c>
      <x:c r="G4287" s="6" t="str"/>
      <x:c r="H4287" s="6" t="str">
        <x:f>IF(B4287="平","平",IF(B4287="","","仄"))</x:f>
        <x:v>仄</x:v>
      </x:c>
      <x:c r="I4287" s="6" t="str">
        <x:f>IF(D4271="","",IF(AND(ISNUMBER(SEARCH("平",D4271)),OR(ISNUMBER(SEARCH("上",D4271)),ISNUMBER(SEARCH("去",D4271)),ISNUMBER(SEARCH("入",D4271)))),"Ambiguous",IF(ISNUMBER(SEARCH("平",D4271)),"平","仄")))</x:f>
        <x:v>平</x:v>
      </x:c>
      <x:c r="J4287" s="7" t="str"/>
    </x:row>
    <x:row r="4288">
      <x:c r="A4288" s="5" t="str">
        <x:v>鎧</x:v>
      </x:c>
      <x:c r="B4288" s="6" t="str">
        <x:v>上</x:v>
      </x:c>
      <x:c r="C4288" s="6" t="str">
        <x:f>IF(B4288="","Needs decision","Ready")</x:f>
        <x:v>Ready</x:v>
      </x:c>
      <x:c r="D4288" s="6" t="str">
        <x:v>上/去</x:v>
      </x:c>
      <x:c r="E4288" s="6" t="str">
        <x:v>khojX (B); khojH (C)</x:v>
      </x:c>
      <x:c r="F4288" s="6" t="str">
        <x:v>2</x:v>
      </x:c>
      <x:c r="G4288" s="6" t="str"/>
      <x:c r="H4288" s="6" t="str">
        <x:f>IF(B4288="平","平",IF(B4288="","","仄"))</x:f>
        <x:v>仄</x:v>
      </x:c>
      <x:c r="I4288" s="6" t="str">
        <x:f>IF(D4272="","",IF(AND(ISNUMBER(SEARCH("平",D4272)),OR(ISNUMBER(SEARCH("上",D4272)),ISNUMBER(SEARCH("去",D4272)),ISNUMBER(SEARCH("入",D4272)))),"Ambiguous",IF(ISNUMBER(SEARCH("平",D4272)),"平","仄")))</x:f>
        <x:v>仄</x:v>
      </x:c>
      <x:c r="J4288" s="7" t="str"/>
    </x:row>
    <x:row r="4289">
      <x:c r="A4289" s="5" t="str">
        <x:v>鎮</x:v>
      </x:c>
      <x:c r="B4289" s="6" t="str">
        <x:v>去</x:v>
      </x:c>
      <x:c r="C4289" s="6" t="str">
        <x:f>IF(B4289="","Needs decision","Ready")</x:f>
        <x:v>Ready</x:v>
      </x:c>
      <x:c r="D4289" s="6" t="str">
        <x:v>去</x:v>
      </x:c>
      <x:c r="E4289" s="6" t="str">
        <x:v>trinH (C)</x:v>
      </x:c>
      <x:c r="F4289" s="6" t="str">
        <x:v>1</x:v>
      </x:c>
      <x:c r="G4289" s="6" t="str"/>
      <x:c r="H4289" s="6" t="str">
        <x:f>IF(B4289="平","平",IF(B4289="","","仄"))</x:f>
        <x:v>仄</x:v>
      </x:c>
      <x:c r="I4289" s="6" t="str">
        <x:f>IF(D4273="","",IF(AND(ISNUMBER(SEARCH("平",D4273)),OR(ISNUMBER(SEARCH("上",D4273)),ISNUMBER(SEARCH("去",D4273)),ISNUMBER(SEARCH("入",D4273)))),"Ambiguous",IF(ISNUMBER(SEARCH("平",D4273)),"平","仄")))</x:f>
        <x:v>Ambiguous</x:v>
      </x:c>
      <x:c r="J4289" s="7" t="str"/>
    </x:row>
    <x:row r="4290">
      <x:c r="A4290" s="5" t="str">
        <x:v>鎰</x:v>
      </x:c>
      <x:c r="B4290" s="6" t="str">
        <x:v>入</x:v>
      </x:c>
      <x:c r="C4290" s="6" t="str">
        <x:f>IF(B4290="","Needs decision","Ready")</x:f>
        <x:v>Ready</x:v>
      </x:c>
      <x:c r="D4290" s="6" t="str">
        <x:v>入</x:v>
      </x:c>
      <x:c r="E4290" s="6" t="str">
        <x:v>yit (D)</x:v>
      </x:c>
      <x:c r="F4290" s="6" t="str">
        <x:v>1</x:v>
      </x:c>
      <x:c r="G4290" s="6" t="str"/>
      <x:c r="H4290" s="6" t="str">
        <x:f>IF(B4290="平","平",IF(B4290="","","仄"))</x:f>
        <x:v>仄</x:v>
      </x:c>
      <x:c r="I4290" s="6" t="str">
        <x:f>IF(D4274="","",IF(AND(ISNUMBER(SEARCH("平",D4274)),OR(ISNUMBER(SEARCH("上",D4274)),ISNUMBER(SEARCH("去",D4274)),ISNUMBER(SEARCH("入",D4274)))),"Ambiguous",IF(ISNUMBER(SEARCH("平",D4274)),"平","仄")))</x:f>
        <x:v>平</x:v>
      </x:c>
      <x:c r="J4290" s="7" t="str"/>
    </x:row>
    <x:row r="4291">
      <x:c r="A4291" s="5" t="str">
        <x:v>鏁</x:v>
      </x:c>
      <x:c r="B4291" s="6" t="str">
        <x:v>上</x:v>
      </x:c>
      <x:c r="C4291" s="6" t="str">
        <x:f>IF(B4291="","Needs decision","Ready")</x:f>
        <x:v>Ready</x:v>
      </x:c>
      <x:c r="D4291" s="6" t="str">
        <x:v>上</x:v>
      </x:c>
      <x:c r="E4291" s="6" t="str">
        <x:v>swaX (B)</x:v>
      </x:c>
      <x:c r="F4291" s="6" t="str">
        <x:v>1</x:v>
      </x:c>
      <x:c r="G4291" s="6" t="str"/>
      <x:c r="H4291" s="6" t="str">
        <x:f>IF(B4291="平","平",IF(B4291="","","仄"))</x:f>
        <x:v>仄</x:v>
      </x:c>
      <x:c r="I4291" s="6" t="str">
        <x:f>IF(D4275="","",IF(AND(ISNUMBER(SEARCH("平",D4275)),OR(ISNUMBER(SEARCH("上",D4275)),ISNUMBER(SEARCH("去",D4275)),ISNUMBER(SEARCH("入",D4275)))),"Ambiguous",IF(ISNUMBER(SEARCH("平",D4275)),"平","仄")))</x:f>
        <x:v>仄</x:v>
      </x:c>
      <x:c r="J4291" s="7" t="str"/>
    </x:row>
    <x:row r="4292">
      <x:c r="A4292" s="5" t="str">
        <x:v>鏃</x:v>
      </x:c>
      <x:c r="B4292" s="6" t="str">
        <x:v>入</x:v>
      </x:c>
      <x:c r="C4292" s="6" t="str">
        <x:f>IF(B4292="","Needs decision","Ready")</x:f>
        <x:v>Ready</x:v>
      </x:c>
      <x:c r="D4292" s="6" t="str">
        <x:v>入</x:v>
      </x:c>
      <x:c r="E4292" s="6" t="str">
        <x:v>tsuwk (D)</x:v>
      </x:c>
      <x:c r="F4292" s="6" t="str">
        <x:v>1</x:v>
      </x:c>
      <x:c r="G4292" s="6" t="str"/>
      <x:c r="H4292" s="6" t="str">
        <x:f>IF(B4292="平","平",IF(B4292="","","仄"))</x:f>
        <x:v>仄</x:v>
      </x:c>
      <x:c r="I4292" s="6" t="str">
        <x:f>IF(D4276="","",IF(AND(ISNUMBER(SEARCH("平",D4276)),OR(ISNUMBER(SEARCH("上",D4276)),ISNUMBER(SEARCH("去",D4276)),ISNUMBER(SEARCH("入",D4276)))),"Ambiguous",IF(ISNUMBER(SEARCH("平",D4276)),"平","仄")))</x:f>
        <x:v>仄</x:v>
      </x:c>
      <x:c r="J4292" s="7" t="str"/>
    </x:row>
    <x:row r="4293">
      <x:c r="A4293" s="5" t="str">
        <x:v>鏐</x:v>
      </x:c>
      <x:c r="B4293" s="6" t="str">
        <x:v>平</x:v>
      </x:c>
      <x:c r="C4293" s="6" t="str">
        <x:f>IF(B4293="","Needs decision","Ready")</x:f>
        <x:v>Ready</x:v>
      </x:c>
      <x:c r="D4293" s="6" t="str">
        <x:v>平</x:v>
      </x:c>
      <x:c r="E4293" s="6" t="str">
        <x:v>ljiw (A); ljuw (A)</x:v>
      </x:c>
      <x:c r="F4293" s="6" t="str">
        <x:v>2</x:v>
      </x:c>
      <x:c r="G4293" s="6" t="str"/>
      <x:c r="H4293" s="6" t="str">
        <x:f>IF(B4293="平","平",IF(B4293="","","仄"))</x:f>
        <x:v>平</x:v>
      </x:c>
      <x:c r="I4293" s="6" t="str">
        <x:f>IF(D4277="","",IF(AND(ISNUMBER(SEARCH("平",D4277)),OR(ISNUMBER(SEARCH("上",D4277)),ISNUMBER(SEARCH("去",D4277)),ISNUMBER(SEARCH("入",D4277)))),"Ambiguous",IF(ISNUMBER(SEARCH("平",D4277)),"平","仄")))</x:f>
        <x:v>仄</x:v>
      </x:c>
      <x:c r="J4293" s="7" t="str"/>
    </x:row>
    <x:row r="4294">
      <x:c r="A4294" s="5" t="str">
        <x:v>鏘</x:v>
      </x:c>
      <x:c r="B4294" s="6" t="str">
        <x:v>平</x:v>
      </x:c>
      <x:c r="C4294" s="6" t="str">
        <x:f>IF(B4294="","Needs decision","Ready")</x:f>
        <x:v>Ready</x:v>
      </x:c>
      <x:c r="D4294" s="6" t="str">
        <x:v>平</x:v>
      </x:c>
      <x:c r="E4294" s="6" t="str"/>
      <x:c r="F4294" s="6" t="str"/>
      <x:c r="G4294" s="6" t="str">
        <x:v>Manual user correction/addition</x:v>
      </x:c>
      <x:c r="H4294" s="6" t="str">
        <x:f>IF(B4294="平","平",IF(B4294="","","仄"))</x:f>
        <x:v>平</x:v>
      </x:c>
      <x:c r="I4294" s="6" t="str">
        <x:f>IF(D4278="","",IF(AND(ISNUMBER(SEARCH("平",D4278)),OR(ISNUMBER(SEARCH("上",D4278)),ISNUMBER(SEARCH("去",D4278)),ISNUMBER(SEARCH("入",D4278)))),"Ambiguous",IF(ISNUMBER(SEARCH("平",D4278)),"平","仄")))</x:f>
        <x:v>仄</x:v>
      </x:c>
      <x:c r="J4294" s="7" t="str">
        <x:v>manual user correction</x:v>
      </x:c>
    </x:row>
    <x:row r="4295">
      <x:c r="A4295" s="5" t="str">
        <x:v>鏚</x:v>
      </x:c>
      <x:c r="B4295" s="6" t="str">
        <x:v>入</x:v>
      </x:c>
      <x:c r="C4295" s="6" t="str">
        <x:f>IF(B4295="","Needs decision","Ready")</x:f>
        <x:v>Ready</x:v>
      </x:c>
      <x:c r="D4295" s="6" t="str">
        <x:v>入</x:v>
      </x:c>
      <x:c r="E4295" s="6" t="str">
        <x:v>tshek (D)</x:v>
      </x:c>
      <x:c r="F4295" s="6" t="str">
        <x:v>1</x:v>
      </x:c>
      <x:c r="G4295" s="6" t="str"/>
      <x:c r="H4295" s="6" t="str">
        <x:f>IF(B4295="平","平",IF(B4295="","","仄"))</x:f>
        <x:v>仄</x:v>
      </x:c>
      <x:c r="I4295" s="6" t="str">
        <x:f>IF(D4279="","",IF(AND(ISNUMBER(SEARCH("平",D4279)),OR(ISNUMBER(SEARCH("上",D4279)),ISNUMBER(SEARCH("去",D4279)),ISNUMBER(SEARCH("入",D4279)))),"Ambiguous",IF(ISNUMBER(SEARCH("平",D4279)),"平","仄")))</x:f>
        <x:v>仄</x:v>
      </x:c>
      <x:c r="J4295" s="7" t="str"/>
    </x:row>
    <x:row r="4296">
      <x:c r="A4296" s="5" t="str">
        <x:v>鏜</x:v>
      </x:c>
      <x:c r="B4296" s="6" t="str">
        <x:v>平</x:v>
      </x:c>
      <x:c r="C4296" s="6" t="str">
        <x:f>IF(B4296="","Needs decision","Ready")</x:f>
        <x:v>Ready</x:v>
      </x:c>
      <x:c r="D4296" s="6" t="str">
        <x:v>平</x:v>
      </x:c>
      <x:c r="E4296" s="6" t="str">
        <x:v>thang (A)</x:v>
      </x:c>
      <x:c r="F4296" s="6" t="str">
        <x:v>1</x:v>
      </x:c>
      <x:c r="G4296" s="6" t="str"/>
      <x:c r="H4296" s="6" t="str">
        <x:f>IF(B4296="平","平",IF(B4296="","","仄"))</x:f>
        <x:v>平</x:v>
      </x:c>
      <x:c r="I4296" s="6" t="str">
        <x:f>IF(D4280="","",IF(AND(ISNUMBER(SEARCH("平",D4280)),OR(ISNUMBER(SEARCH("上",D4280)),ISNUMBER(SEARCH("去",D4280)),ISNUMBER(SEARCH("入",D4280)))),"Ambiguous",IF(ISNUMBER(SEARCH("平",D4280)),"平","仄")))</x:f>
        <x:v>仄</x:v>
      </x:c>
      <x:c r="J4296" s="7" t="str"/>
    </x:row>
    <x:row r="4297">
      <x:c r="A4297" s="5" t="str">
        <x:v>鏡</x:v>
      </x:c>
      <x:c r="B4297" s="6" t="str">
        <x:v>去</x:v>
      </x:c>
      <x:c r="C4297" s="6" t="str">
        <x:f>IF(B4297="","Needs decision","Ready")</x:f>
        <x:v>Ready</x:v>
      </x:c>
      <x:c r="D4297" s="6" t="str">
        <x:v>去</x:v>
      </x:c>
      <x:c r="E4297" s="6" t="str">
        <x:v>kjaengH (C)</x:v>
      </x:c>
      <x:c r="F4297" s="6" t="str">
        <x:v>1</x:v>
      </x:c>
      <x:c r="G4297" s="6" t="str"/>
      <x:c r="H4297" s="6" t="str">
        <x:f>IF(B4297="平","平",IF(B4297="","","仄"))</x:f>
        <x:v>仄</x:v>
      </x:c>
      <x:c r="I4297" s="6" t="str">
        <x:f>IF(D4281="","",IF(AND(ISNUMBER(SEARCH("平",D4281)),OR(ISNUMBER(SEARCH("上",D4281)),ISNUMBER(SEARCH("去",D4281)),ISNUMBER(SEARCH("入",D4281)))),"Ambiguous",IF(ISNUMBER(SEARCH("平",D4281)),"平","仄")))</x:f>
        <x:v>平</x:v>
      </x:c>
      <x:c r="J4297" s="7" t="str"/>
    </x:row>
    <x:row r="4298">
      <x:c r="A4298" s="5" t="str">
        <x:v>鏤</x:v>
      </x:c>
      <x:c r="B4298" s="6" t="str">
        <x:v>去</x:v>
      </x:c>
      <x:c r="C4298" s="6" t="str">
        <x:f>IF(B4298="","Needs decision","Ready")</x:f>
        <x:v>Ready</x:v>
      </x:c>
      <x:c r="D4298" s="6" t="str">
        <x:v>去</x:v>
      </x:c>
      <x:c r="E4298" s="6" t="str">
        <x:v>luwH (C)</x:v>
      </x:c>
      <x:c r="F4298" s="6" t="str">
        <x:v>1</x:v>
      </x:c>
      <x:c r="G4298" s="6" t="str"/>
      <x:c r="H4298" s="6" t="str">
        <x:f>IF(B4298="平","平",IF(B4298="","","仄"))</x:f>
        <x:v>仄</x:v>
      </x:c>
      <x:c r="I4298" s="6" t="str">
        <x:f>IF(D4282="","",IF(AND(ISNUMBER(SEARCH("平",D4282)),OR(ISNUMBER(SEARCH("上",D4282)),ISNUMBER(SEARCH("去",D4282)),ISNUMBER(SEARCH("入",D4282)))),"Ambiguous",IF(ISNUMBER(SEARCH("平",D4282)),"平","仄")))</x:f>
        <x:v>仄</x:v>
      </x:c>
      <x:c r="J4298" s="7" t="str"/>
    </x:row>
    <x:row r="4299">
      <x:c r="A4299" s="5" t="str">
        <x:v>鐃</x:v>
      </x:c>
      <x:c r="B4299" s="6" t="str">
        <x:v>平</x:v>
      </x:c>
      <x:c r="C4299" s="6" t="str">
        <x:f>IF(B4299="","Needs decision","Ready")</x:f>
        <x:v>Ready</x:v>
      </x:c>
      <x:c r="D4299" s="6" t="str">
        <x:v>平</x:v>
      </x:c>
      <x:c r="E4299" s="6" t="str">
        <x:v>nraew (A)</x:v>
      </x:c>
      <x:c r="F4299" s="6" t="str">
        <x:v>1</x:v>
      </x:c>
      <x:c r="G4299" s="6" t="str"/>
      <x:c r="H4299" s="6" t="str">
        <x:f>IF(B4299="平","平",IF(B4299="","","仄"))</x:f>
        <x:v>平</x:v>
      </x:c>
      <x:c r="I4299" s="6" t="str">
        <x:f>IF(D4283="","",IF(AND(ISNUMBER(SEARCH("平",D4283)),OR(ISNUMBER(SEARCH("上",D4283)),ISNUMBER(SEARCH("去",D4283)),ISNUMBER(SEARCH("入",D4283)))),"Ambiguous",IF(ISNUMBER(SEARCH("平",D4283)),"平","仄")))</x:f>
        <x:v>Ambiguous</x:v>
      </x:c>
      <x:c r="J4299" s="7" t="str"/>
    </x:row>
    <x:row r="4300">
      <x:c r="A4300" s="5" t="str">
        <x:v>鐘</x:v>
      </x:c>
      <x:c r="B4300" s="6" t="str">
        <x:v>平</x:v>
      </x:c>
      <x:c r="C4300" s="6" t="str">
        <x:f>IF(B4300="","Needs decision","Ready")</x:f>
        <x:v>Ready</x:v>
      </x:c>
      <x:c r="D4300" s="6" t="str">
        <x:v>平</x:v>
      </x:c>
      <x:c r="E4300" s="6" t="str">
        <x:v>tsyowng (A)</x:v>
      </x:c>
      <x:c r="F4300" s="6" t="str">
        <x:v>1</x:v>
      </x:c>
      <x:c r="G4300" s="6" t="str"/>
      <x:c r="H4300" s="6" t="str">
        <x:f>IF(B4300="平","平",IF(B4300="","","仄"))</x:f>
        <x:v>平</x:v>
      </x:c>
      <x:c r="I4300" s="6" t="str">
        <x:f>IF(D4284="","",IF(AND(ISNUMBER(SEARCH("平",D4284)),OR(ISNUMBER(SEARCH("上",D4284)),ISNUMBER(SEARCH("去",D4284)),ISNUMBER(SEARCH("入",D4284)))),"Ambiguous",IF(ISNUMBER(SEARCH("平",D4284)),"平","仄")))</x:f>
        <x:v>平</x:v>
      </x:c>
      <x:c r="J4300" s="7" t="str"/>
    </x:row>
    <x:row r="4301">
      <x:c r="A4301" s="5" t="str">
        <x:v>鐙</x:v>
      </x:c>
      <x:c r="B4301" s="6" t="str">
        <x:v>平</x:v>
      </x:c>
      <x:c r="C4301" s="6" t="str">
        <x:f>IF(B4301="","Needs decision","Ready")</x:f>
        <x:v>Ready</x:v>
      </x:c>
      <x:c r="D4301" s="6" t="str">
        <x:v>平</x:v>
      </x:c>
      <x:c r="E4301" s="6" t="str">
        <x:v>tong (A)</x:v>
      </x:c>
      <x:c r="F4301" s="6" t="str">
        <x:v>1</x:v>
      </x:c>
      <x:c r="G4301" s="6" t="str"/>
      <x:c r="H4301" s="6" t="str">
        <x:f>IF(B4301="平","平",IF(B4301="","","仄"))</x:f>
        <x:v>平</x:v>
      </x:c>
      <x:c r="I4301" s="6" t="str">
        <x:f>IF(D4285="","",IF(AND(ISNUMBER(SEARCH("平",D4285)),OR(ISNUMBER(SEARCH("上",D4285)),ISNUMBER(SEARCH("去",D4285)),ISNUMBER(SEARCH("入",D4285)))),"Ambiguous",IF(ISNUMBER(SEARCH("平",D4285)),"平","仄")))</x:f>
        <x:v>平</x:v>
      </x:c>
      <x:c r="J4301" s="7" t="str"/>
    </x:row>
    <x:row r="4302">
      <x:c r="A4302" s="5" t="str">
        <x:v>鐫</x:v>
      </x:c>
      <x:c r="B4302" s="6" t="str">
        <x:v>平</x:v>
      </x:c>
      <x:c r="C4302" s="6" t="str">
        <x:f>IF(B4302="","Needs decision","Ready")</x:f>
        <x:v>Ready</x:v>
      </x:c>
      <x:c r="D4302" s="6" t="str">
        <x:v>平</x:v>
      </x:c>
      <x:c r="E4302" s="6" t="str">
        <x:v>tsjwen [tsjwen] (平)</x:v>
      </x:c>
      <x:c r="F4302" s="6" t="str">
        <x:v>1</x:v>
      </x:c>
      <x:c r="G4302" s="6" t="str">
        <x:v>Tang 300 gap; frequency 1; provisional from Xun Gong</x:v>
      </x:c>
      <x:c r="H4302" s="6" t="str">
        <x:f>IF(B4302="平","平",IF(B4302="","","仄"))</x:f>
        <x:v>平</x:v>
      </x:c>
      <x:c r="I4302" s="6" t="str">
        <x:f>IF(D4286="","",IF(AND(ISNUMBER(SEARCH("平",D4286)),OR(ISNUMBER(SEARCH("上",D4286)),ISNUMBER(SEARCH("去",D4286)),ISNUMBER(SEARCH("入",D4286)))),"Ambiguous",IF(ISNUMBER(SEARCH("平",D4286)),"平","仄")))</x:f>
        <x:v>平</x:v>
      </x:c>
      <x:c r="J4302" s="7" t="str">
        <x:v>Xun Gong, Tang 300 gap fill</x:v>
      </x:c>
    </x:row>
    <x:row r="4303">
      <x:c r="A4303" s="5" t="str">
        <x:v>鐵</x:v>
      </x:c>
      <x:c r="B4303" s="6" t="str">
        <x:v>入</x:v>
      </x:c>
      <x:c r="C4303" s="6" t="str">
        <x:f>IF(B4303="","Needs decision","Ready")</x:f>
        <x:v>Ready</x:v>
      </x:c>
      <x:c r="D4303" s="6" t="str">
        <x:v>入</x:v>
      </x:c>
      <x:c r="E4303" s="6" t="str">
        <x:v>thet (D)</x:v>
      </x:c>
      <x:c r="F4303" s="6" t="str">
        <x:v>1</x:v>
      </x:c>
      <x:c r="G4303" s="6" t="str"/>
      <x:c r="H4303" s="6" t="str">
        <x:f>IF(B4303="平","平",IF(B4303="","","仄"))</x:f>
        <x:v>仄</x:v>
      </x:c>
      <x:c r="I4303" s="6" t="str">
        <x:f>IF(D4287="","",IF(AND(ISNUMBER(SEARCH("平",D4287)),OR(ISNUMBER(SEARCH("上",D4287)),ISNUMBER(SEARCH("去",D4287)),ISNUMBER(SEARCH("入",D4287)))),"Ambiguous",IF(ISNUMBER(SEARCH("平",D4287)),"平","仄")))</x:f>
        <x:v>仄</x:v>
      </x:c>
      <x:c r="J4303" s="7" t="str"/>
    </x:row>
    <x:row r="4304">
      <x:c r="A4304" s="5" t="str">
        <x:v>鐸</x:v>
      </x:c>
      <x:c r="B4304" s="6" t="str">
        <x:v>入</x:v>
      </x:c>
      <x:c r="C4304" s="6" t="str">
        <x:f>IF(B4304="","Needs decision","Ready")</x:f>
        <x:v>Ready</x:v>
      </x:c>
      <x:c r="D4304" s="6" t="str">
        <x:v>入</x:v>
      </x:c>
      <x:c r="E4304" s="6" t="str">
        <x:v>dak (D)</x:v>
      </x:c>
      <x:c r="F4304" s="6" t="str">
        <x:v>1</x:v>
      </x:c>
      <x:c r="G4304" s="6" t="str"/>
      <x:c r="H4304" s="6" t="str">
        <x:f>IF(B4304="平","平",IF(B4304="","","仄"))</x:f>
        <x:v>仄</x:v>
      </x:c>
      <x:c r="I4304" s="6" t="str">
        <x:f>IF(D4288="","",IF(AND(ISNUMBER(SEARCH("平",D4288)),OR(ISNUMBER(SEARCH("上",D4288)),ISNUMBER(SEARCH("去",D4288)),ISNUMBER(SEARCH("入",D4288)))),"Ambiguous",IF(ISNUMBER(SEARCH("平",D4288)),"平","仄")))</x:f>
        <x:v>仄</x:v>
      </x:c>
      <x:c r="J4304" s="7" t="str"/>
    </x:row>
    <x:row r="4305">
      <x:c r="A4305" s="5" t="str">
        <x:v>鑄</x:v>
      </x:c>
      <x:c r="B4305" s="6" t="str">
        <x:v>去</x:v>
      </x:c>
      <x:c r="C4305" s="6" t="str">
        <x:f>IF(B4305="","Needs decision","Ready")</x:f>
        <x:v>Ready</x:v>
      </x:c>
      <x:c r="D4305" s="6" t="str">
        <x:v>去</x:v>
      </x:c>
      <x:c r="E4305" s="6" t="str">
        <x:v>tsyuH (C)</x:v>
      </x:c>
      <x:c r="F4305" s="6" t="str">
        <x:v>1</x:v>
      </x:c>
      <x:c r="G4305" s="6" t="str"/>
      <x:c r="H4305" s="6" t="str">
        <x:f>IF(B4305="平","平",IF(B4305="","","仄"))</x:f>
        <x:v>仄</x:v>
      </x:c>
      <x:c r="I4305" s="6" t="str">
        <x:f>IF(D4289="","",IF(AND(ISNUMBER(SEARCH("平",D4289)),OR(ISNUMBER(SEARCH("上",D4289)),ISNUMBER(SEARCH("去",D4289)),ISNUMBER(SEARCH("入",D4289)))),"Ambiguous",IF(ISNUMBER(SEARCH("平",D4289)),"平","仄")))</x:f>
        <x:v>仄</x:v>
      </x:c>
      <x:c r="J4305" s="7" t="str"/>
    </x:row>
    <x:row r="4306">
      <x:c r="A4306" s="5" t="str">
        <x:v>鑒</x:v>
      </x:c>
      <x:c r="B4306" s="6" t="str">
        <x:v>去</x:v>
      </x:c>
      <x:c r="C4306" s="6" t="str">
        <x:f>IF(B4306="","Needs decision","Ready")</x:f>
        <x:v>Ready</x:v>
      </x:c>
      <x:c r="D4306" s="6" t="str">
        <x:v>去</x:v>
      </x:c>
      <x:c r="E4306" s="6" t="str">
        <x:v>kaemH [見開二銜去] qaˤmh</x:v>
      </x:c>
      <x:c r="F4306" s="6" t="str">
        <x:v>1</x:v>
      </x:c>
      <x:c r="G4306" s="6" t="str">
        <x:v>Targeted preliminary fill from Xun Gong; review if uncertain</x:v>
      </x:c>
      <x:c r="H4306" s="6" t="str">
        <x:f>IF(B4306="平","平",IF(B4306="","","仄"))</x:f>
        <x:v>仄</x:v>
      </x:c>
      <x:c r="I4306" s="6" t="str">
        <x:f>IF(D4290="","",IF(AND(ISNUMBER(SEARCH("平",D4290)),OR(ISNUMBER(SEARCH("上",D4290)),ISNUMBER(SEARCH("去",D4290)),ISNUMBER(SEARCH("入",D4290)))),"Ambiguous",IF(ISNUMBER(SEARCH("平",D4290)),"平","仄")))</x:f>
        <x:v>仄</x:v>
      </x:c>
      <x:c r="J4306" s="7" t="str">
        <x:v>Xun Gong character-readings.csv</x:v>
      </x:c>
    </x:row>
    <x:row r="4307">
      <x:c r="A4307" s="5" t="str">
        <x:v>鑠</x:v>
      </x:c>
      <x:c r="B4307" s="6" t="str">
        <x:v>入</x:v>
      </x:c>
      <x:c r="C4307" s="6" t="str">
        <x:f>IF(B4307="","Needs decision","Ready")</x:f>
        <x:v>Ready</x:v>
      </x:c>
      <x:c r="D4307" s="6" t="str">
        <x:v>入</x:v>
      </x:c>
      <x:c r="E4307" s="6" t="str">
        <x:v>syak (D)</x:v>
      </x:c>
      <x:c r="F4307" s="6" t="str">
        <x:v>1</x:v>
      </x:c>
      <x:c r="G4307" s="6" t="str"/>
      <x:c r="H4307" s="6" t="str">
        <x:f>IF(B4307="平","平",IF(B4307="","","仄"))</x:f>
        <x:v>仄</x:v>
      </x:c>
      <x:c r="I4307" s="6" t="str">
        <x:f>IF(D4291="","",IF(AND(ISNUMBER(SEARCH("平",D4291)),OR(ISNUMBER(SEARCH("上",D4291)),ISNUMBER(SEARCH("去",D4291)),ISNUMBER(SEARCH("入",D4291)))),"Ambiguous",IF(ISNUMBER(SEARCH("平",D4291)),"平","仄")))</x:f>
        <x:v>仄</x:v>
      </x:c>
      <x:c r="J4307" s="7" t="str"/>
    </x:row>
    <x:row r="4308">
      <x:c r="A4308" s="5" t="str">
        <x:v>鑣</x:v>
      </x:c>
      <x:c r="B4308" s="6" t="str">
        <x:v>平</x:v>
      </x:c>
      <x:c r="C4308" s="6" t="str">
        <x:f>IF(B4308="","Needs decision","Ready")</x:f>
        <x:v>Ready</x:v>
      </x:c>
      <x:c r="D4308" s="6" t="str">
        <x:v>平</x:v>
      </x:c>
      <x:c r="E4308" s="6" t="str"/>
      <x:c r="F4308" s="6" t="str"/>
      <x:c r="G4308" s="6" t="str">
        <x:v>Manual user correction/addition</x:v>
      </x:c>
      <x:c r="H4308" s="6" t="str">
        <x:f>IF(B4308="平","平",IF(B4308="","","仄"))</x:f>
        <x:v>平</x:v>
      </x:c>
      <x:c r="I4308" s="6" t="str">
        <x:v>平</x:v>
      </x:c>
      <x:c r="J4308" s="7" t="str">
        <x:v>manual user correction</x:v>
      </x:c>
    </x:row>
    <x:row r="4309">
      <x:c r="A4309" s="5" t="str">
        <x:v>鑪</x:v>
      </x:c>
      <x:c r="B4309" s="6" t="str">
        <x:v>平</x:v>
      </x:c>
      <x:c r="C4309" s="6" t="str">
        <x:f>IF(B4309="","Needs decision","Ready")</x:f>
        <x:v>Ready</x:v>
      </x:c>
      <x:c r="D4309" s="6" t="str">
        <x:v>平</x:v>
      </x:c>
      <x:c r="E4309" s="6" t="str">
        <x:v>lu (A)</x:v>
      </x:c>
      <x:c r="F4309" s="6" t="str">
        <x:v>1</x:v>
      </x:c>
      <x:c r="G4309" s="6" t="str"/>
      <x:c r="H4309" s="6" t="str">
        <x:f>IF(B4309="平","平",IF(B4309="","","仄"))</x:f>
        <x:v>平</x:v>
      </x:c>
      <x:c r="I4309" s="6" t="str">
        <x:f>IF(D4292="","",IF(AND(ISNUMBER(SEARCH("平",D4292)),OR(ISNUMBER(SEARCH("上",D4292)),ISNUMBER(SEARCH("去",D4292)),ISNUMBER(SEARCH("入",D4292)))),"Ambiguous",IF(ISNUMBER(SEARCH("平",D4292)),"平","仄")))</x:f>
        <x:v>仄</x:v>
      </x:c>
      <x:c r="J4309" s="7" t="str"/>
    </x:row>
    <x:row r="4310">
      <x:c r="A4310" s="5" t="str">
        <x:v>鑰</x:v>
      </x:c>
      <x:c r="B4310" s="6" t="str">
        <x:v>入</x:v>
      </x:c>
      <x:c r="C4310" s="6" t="str">
        <x:f>IF(B4310="","Needs decision","Ready")</x:f>
        <x:v>Ready</x:v>
      </x:c>
      <x:c r="D4310" s="6" t="str">
        <x:v>入</x:v>
      </x:c>
      <x:c r="E4310" s="6" t="str">
        <x:v>yak [jɑk] (入)</x:v>
      </x:c>
      <x:c r="F4310" s="6" t="str">
        <x:v>1</x:v>
      </x:c>
      <x:c r="G4310" s="6" t="str">
        <x:v>Tang 300 gap; frequency 1; provisional from Xun Gong</x:v>
      </x:c>
      <x:c r="H4310" s="6" t="str">
        <x:f>IF(B4310="平","平",IF(B4310="","","仄"))</x:f>
        <x:v>仄</x:v>
      </x:c>
      <x:c r="I4310" s="6" t="str">
        <x:f>IF(D4293="","",IF(AND(ISNUMBER(SEARCH("平",D4293)),OR(ISNUMBER(SEARCH("上",D4293)),ISNUMBER(SEARCH("去",D4293)),ISNUMBER(SEARCH("入",D4293)))),"Ambiguous",IF(ISNUMBER(SEARCH("平",D4293)),"平","仄")))</x:f>
        <x:v>平</x:v>
      </x:c>
      <x:c r="J4310" s="7" t="str">
        <x:v>Xun Gong, Tang 300 gap fill</x:v>
      </x:c>
    </x:row>
    <x:row r="4311">
      <x:c r="A4311" s="5" t="str">
        <x:v>鑽</x:v>
      </x:c>
      <x:c r="B4311" s="6" t="str">
        <x:v>平</x:v>
      </x:c>
      <x:c r="C4311" s="6" t="str">
        <x:f>IF(B4311="","Needs decision","Ready")</x:f>
        <x:v>Ready</x:v>
      </x:c>
      <x:c r="D4311" s="6" t="str">
        <x:v>平</x:v>
      </x:c>
      <x:c r="E4311" s="6" t="str">
        <x:v>tswan (A)</x:v>
      </x:c>
      <x:c r="F4311" s="6" t="str">
        <x:v>1</x:v>
      </x:c>
      <x:c r="G4311" s="6" t="str"/>
      <x:c r="H4311" s="6" t="str">
        <x:f>IF(B4311="平","平",IF(B4311="","","仄"))</x:f>
        <x:v>平</x:v>
      </x:c>
      <x:c r="I4311" s="6" t="str">
        <x:f>IF(D4294="","",IF(AND(ISNUMBER(SEARCH("平",D4294)),OR(ISNUMBER(SEARCH("上",D4294)),ISNUMBER(SEARCH("去",D4294)),ISNUMBER(SEARCH("入",D4294)))),"Ambiguous",IF(ISNUMBER(SEARCH("平",D4294)),"平","仄")))</x:f>
        <x:v>平</x:v>
      </x:c>
      <x:c r="J4311" s="7" t="str"/>
    </x:row>
    <x:row r="4312">
      <x:c r="A4312" s="5" t="str">
        <x:v>鑾</x:v>
      </x:c>
      <x:c r="B4312" s="6" t="str">
        <x:v>平</x:v>
      </x:c>
      <x:c r="C4312" s="6" t="str">
        <x:f>IF(B4312="","Needs decision","Ready")</x:f>
        <x:v>Ready</x:v>
      </x:c>
      <x:c r="D4312" s="6" t="str">
        <x:v>平</x:v>
      </x:c>
      <x:c r="E4312" s="6" t="str">
        <x:v>lwan (A)</x:v>
      </x:c>
      <x:c r="F4312" s="6" t="str">
        <x:v>1</x:v>
      </x:c>
      <x:c r="G4312" s="6" t="str"/>
      <x:c r="H4312" s="6" t="str">
        <x:f>IF(B4312="平","平",IF(B4312="","","仄"))</x:f>
        <x:v>平</x:v>
      </x:c>
      <x:c r="I4312" s="6" t="str">
        <x:f>IF(D4295="","",IF(AND(ISNUMBER(SEARCH("平",D4295)),OR(ISNUMBER(SEARCH("上",D4295)),ISNUMBER(SEARCH("去",D4295)),ISNUMBER(SEARCH("入",D4295)))),"Ambiguous",IF(ISNUMBER(SEARCH("平",D4295)),"平","仄")))</x:f>
        <x:v>仄</x:v>
      </x:c>
      <x:c r="J4312" s="7" t="str"/>
    </x:row>
    <x:row r="4313">
      <x:c r="A4313" s="5" t="str">
        <x:v>鑿</x:v>
      </x:c>
      <x:c r="B4313" s="6" t="str">
        <x:v>入</x:v>
      </x:c>
      <x:c r="C4313" s="6" t="str">
        <x:f>IF(B4313="","Needs decision","Ready")</x:f>
        <x:v>Ready</x:v>
      </x:c>
      <x:c r="D4313" s="6" t="str">
        <x:v>入</x:v>
      </x:c>
      <x:c r="E4313" s="6" t="str">
        <x:v>dzak (D); dzowk (D)</x:v>
      </x:c>
      <x:c r="F4313" s="6" t="str">
        <x:v>2</x:v>
      </x:c>
      <x:c r="G4313" s="6" t="str"/>
      <x:c r="H4313" s="6" t="str">
        <x:f>IF(B4313="平","平",IF(B4313="","","仄"))</x:f>
        <x:v>仄</x:v>
      </x:c>
      <x:c r="I4313" s="6" t="str">
        <x:f>IF(D4296="","",IF(AND(ISNUMBER(SEARCH("平",D4296)),OR(ISNUMBER(SEARCH("上",D4296)),ISNUMBER(SEARCH("去",D4296)),ISNUMBER(SEARCH("入",D4296)))),"Ambiguous",IF(ISNUMBER(SEARCH("平",D4296)),"平","仄")))</x:f>
        <x:v>平</x:v>
      </x:c>
      <x:c r="J4313" s="7" t="str"/>
    </x:row>
    <x:row r="4314">
      <x:c r="A4314" s="5" t="str">
        <x:v>長</x:v>
      </x:c>
      <x:c r="B4314" s="6" t="str"/>
      <x:c r="C4314" s="6" t="str">
        <x:f>IF(B4314="","Needs decision","Ready")</x:f>
        <x:v>Needs decision</x:v>
      </x:c>
      <x:c r="D4314" s="6" t="str">
        <x:v>平/上</x:v>
      </x:c>
      <x:c r="E4314" s="6" t="str">
        <x:v>drjang (A); trjangX (B)</x:v>
      </x:c>
      <x:c r="F4314" s="6" t="str">
        <x:v>2</x:v>
      </x:c>
      <x:c r="G4314" s="6" t="str"/>
      <x:c r="H4314" s="6" t="str">
        <x:f>IF(B4314="平","平",IF(B4314="","","仄"))</x:f>
      </x:c>
      <x:c r="I4314" s="6" t="str">
        <x:f>IF(D4297="","",IF(AND(ISNUMBER(SEARCH("平",D4297)),OR(ISNUMBER(SEARCH("上",D4297)),ISNUMBER(SEARCH("去",D4297)),ISNUMBER(SEARCH("入",D4297)))),"Ambiguous",IF(ISNUMBER(SEARCH("平",D4297)),"平","仄")))</x:f>
        <x:v>仄</x:v>
      </x:c>
      <x:c r="J4314" s="7" t="str"/>
    </x:row>
    <x:row r="4315">
      <x:c r="A4315" s="5" t="str">
        <x:v>門</x:v>
      </x:c>
      <x:c r="B4315" s="6" t="str">
        <x:v>平</x:v>
      </x:c>
      <x:c r="C4315" s="6" t="str">
        <x:f>IF(B4315="","Needs decision","Ready")</x:f>
        <x:v>Ready</x:v>
      </x:c>
      <x:c r="D4315" s="6" t="str">
        <x:v>平</x:v>
      </x:c>
      <x:c r="E4315" s="6" t="str">
        <x:v>mwon (A)</x:v>
      </x:c>
      <x:c r="F4315" s="6" t="str">
        <x:v>1</x:v>
      </x:c>
      <x:c r="G4315" s="6" t="str"/>
      <x:c r="H4315" s="6" t="str">
        <x:f>IF(B4315="平","平",IF(B4315="","","仄"))</x:f>
        <x:v>平</x:v>
      </x:c>
      <x:c r="I4315" s="6" t="str">
        <x:f>IF(D4298="","",IF(AND(ISNUMBER(SEARCH("平",D4298)),OR(ISNUMBER(SEARCH("上",D4298)),ISNUMBER(SEARCH("去",D4298)),ISNUMBER(SEARCH("入",D4298)))),"Ambiguous",IF(ISNUMBER(SEARCH("平",D4298)),"平","仄")))</x:f>
        <x:v>仄</x:v>
      </x:c>
      <x:c r="J4315" s="7" t="str"/>
    </x:row>
    <x:row r="4316">
      <x:c r="A4316" s="5" t="str">
        <x:v>閉</x:v>
      </x:c>
      <x:c r="B4316" s="6" t="str">
        <x:v>去</x:v>
      </x:c>
      <x:c r="C4316" s="6" t="str">
        <x:f>IF(B4316="","Needs decision","Ready")</x:f>
        <x:v>Ready</x:v>
      </x:c>
      <x:c r="D4316" s="6" t="str">
        <x:v>去</x:v>
      </x:c>
      <x:c r="E4316" s="6" t="str">
        <x:v>pejH (C)</x:v>
      </x:c>
      <x:c r="F4316" s="6" t="str">
        <x:v>1</x:v>
      </x:c>
      <x:c r="G4316" s="6" t="str"/>
      <x:c r="H4316" s="6" t="str">
        <x:f>IF(B4316="平","平",IF(B4316="","","仄"))</x:f>
        <x:v>仄</x:v>
      </x:c>
      <x:c r="I4316" s="6" t="str">
        <x:f>IF(D4299="","",IF(AND(ISNUMBER(SEARCH("平",D4299)),OR(ISNUMBER(SEARCH("上",D4299)),ISNUMBER(SEARCH("去",D4299)),ISNUMBER(SEARCH("入",D4299)))),"Ambiguous",IF(ISNUMBER(SEARCH("平",D4299)),"平","仄")))</x:f>
        <x:v>平</x:v>
      </x:c>
      <x:c r="J4316" s="7" t="str"/>
    </x:row>
    <x:row r="4317">
      <x:c r="A4317" s="5" t="str">
        <x:v>開</x:v>
      </x:c>
      <x:c r="B4317" s="6" t="str">
        <x:v>平</x:v>
      </x:c>
      <x:c r="C4317" s="6" t="str">
        <x:f>IF(B4317="","Needs decision","Ready")</x:f>
        <x:v>Ready</x:v>
      </x:c>
      <x:c r="D4317" s="6" t="str">
        <x:v>平</x:v>
      </x:c>
      <x:c r="E4317" s="6" t="str">
        <x:v>khoj (A)</x:v>
      </x:c>
      <x:c r="F4317" s="6" t="str">
        <x:v>1</x:v>
      </x:c>
      <x:c r="G4317" s="6" t="str"/>
      <x:c r="H4317" s="6" t="str">
        <x:f>IF(B4317="平","平",IF(B4317="","","仄"))</x:f>
        <x:v>平</x:v>
      </x:c>
      <x:c r="I4317" s="6" t="str">
        <x:f>IF(D4300="","",IF(AND(ISNUMBER(SEARCH("平",D4300)),OR(ISNUMBER(SEARCH("上",D4300)),ISNUMBER(SEARCH("去",D4300)),ISNUMBER(SEARCH("入",D4300)))),"Ambiguous",IF(ISNUMBER(SEARCH("平",D4300)),"平","仄")))</x:f>
        <x:v>平</x:v>
      </x:c>
      <x:c r="J4317" s="7" t="str"/>
    </x:row>
    <x:row r="4318">
      <x:c r="A4318" s="5" t="str">
        <x:v>閏</x:v>
      </x:c>
      <x:c r="B4318" s="6" t="str">
        <x:v>去</x:v>
      </x:c>
      <x:c r="C4318" s="6" t="str">
        <x:f>IF(B4318="","Needs decision","Ready")</x:f>
        <x:v>Ready</x:v>
      </x:c>
      <x:c r="D4318" s="6" t="str">
        <x:v>去</x:v>
      </x:c>
      <x:c r="E4318" s="6" t="str">
        <x:v>nywinH (C)</x:v>
      </x:c>
      <x:c r="F4318" s="6" t="str">
        <x:v>1</x:v>
      </x:c>
      <x:c r="G4318" s="6" t="str"/>
      <x:c r="H4318" s="6" t="str">
        <x:f>IF(B4318="平","平",IF(B4318="","","仄"))</x:f>
        <x:v>仄</x:v>
      </x:c>
      <x:c r="I4318" s="6" t="str">
        <x:f>IF(D4301="","",IF(AND(ISNUMBER(SEARCH("平",D4301)),OR(ISNUMBER(SEARCH("上",D4301)),ISNUMBER(SEARCH("去",D4301)),ISNUMBER(SEARCH("入",D4301)))),"Ambiguous",IF(ISNUMBER(SEARCH("平",D4301)),"平","仄")))</x:f>
        <x:v>平</x:v>
      </x:c>
      <x:c r="J4318" s="7" t="str"/>
    </x:row>
    <x:row r="4319">
      <x:c r="A4319" s="5" t="str">
        <x:v>閑</x:v>
      </x:c>
      <x:c r="B4319" s="6" t="str">
        <x:v>平</x:v>
      </x:c>
      <x:c r="C4319" s="6" t="str">
        <x:f>IF(B4319="","Needs decision","Ready")</x:f>
        <x:v>Ready</x:v>
      </x:c>
      <x:c r="D4319" s="6" t="str">
        <x:v>平</x:v>
      </x:c>
      <x:c r="E4319" s="6" t="str">
        <x:v>hean (A)</x:v>
      </x:c>
      <x:c r="F4319" s="6" t="str">
        <x:v>1</x:v>
      </x:c>
      <x:c r="G4319" s="6" t="str"/>
      <x:c r="H4319" s="6" t="str">
        <x:f>IF(B4319="平","平",IF(B4319="","","仄"))</x:f>
        <x:v>平</x:v>
      </x:c>
      <x:c r="I4319" s="6" t="str">
        <x:f>IF(D4302="","",IF(AND(ISNUMBER(SEARCH("平",D4302)),OR(ISNUMBER(SEARCH("上",D4302)),ISNUMBER(SEARCH("去",D4302)),ISNUMBER(SEARCH("入",D4302)))),"Ambiguous",IF(ISNUMBER(SEARCH("平",D4302)),"平","仄")))</x:f>
        <x:v>平</x:v>
      </x:c>
      <x:c r="J4319" s="7" t="str"/>
    </x:row>
    <x:row r="4320">
      <x:c r="A4320" s="5" t="str">
        <x:v>閒</x:v>
      </x:c>
      <x:c r="B4320" s="6" t="str">
        <x:v>平</x:v>
      </x:c>
      <x:c r="C4320" s="6" t="str">
        <x:f>IF(B4320="","Needs decision","Ready")</x:f>
        <x:v>Ready</x:v>
      </x:c>
      <x:c r="D4320" s="6" t="str">
        <x:v>平/去</x:v>
      </x:c>
      <x:c r="E4320" s="6" t="str">
        <x:v>kean [qeˤn] (平); keanH [qeˤnh] (去)</x:v>
      </x:c>
      <x:c r="F4320" s="6" t="str">
        <x:v>2</x:v>
      </x:c>
      <x:c r="G4320" s="6" t="str">
        <x:v>Tang 300 gap; frequency 18; ambiguous in Xun Gong; User workbook edit 2026-09-03</x:v>
      </x:c>
      <x:c r="H4320" s="6" t="str">
        <x:f>IF(B4320="平","平",IF(B4320="","","仄"))</x:f>
        <x:v>平</x:v>
      </x:c>
      <x:c r="I4320" s="6" t="str">
        <x:f>IF(D4303="","",IF(AND(ISNUMBER(SEARCH("平",D4303)),OR(ISNUMBER(SEARCH("上",D4303)),ISNUMBER(SEARCH("去",D4303)),ISNUMBER(SEARCH("入",D4303)))),"Ambiguous",IF(ISNUMBER(SEARCH("平",D4303)),"平","仄")))</x:f>
        <x:v>仄</x:v>
      </x:c>
      <x:c r="J4320" s="7" t="str">
        <x:v>manual user correction</x:v>
      </x:c>
    </x:row>
    <x:row r="4321">
      <x:c r="A4321" s="5" t="str">
        <x:v>間</x:v>
      </x:c>
      <x:c r="B4321" s="6" t="str">
        <x:v>平</x:v>
      </x:c>
      <x:c r="C4321" s="6" t="str">
        <x:f>IF(B4321="","Needs decision","Ready")</x:f>
        <x:v>Ready</x:v>
      </x:c>
      <x:c r="D4321" s="6" t="str">
        <x:v>平</x:v>
      </x:c>
      <x:c r="E4321" s="6" t="str">
        <x:v>kean (A); hean (A)</x:v>
      </x:c>
      <x:c r="F4321" s="6" t="str">
        <x:v>2</x:v>
      </x:c>
      <x:c r="G4321" s="6" t="str"/>
      <x:c r="H4321" s="6" t="str">
        <x:f>IF(B4321="平","平",IF(B4321="","","仄"))</x:f>
        <x:v>平</x:v>
      </x:c>
      <x:c r="I4321" s="6" t="str">
        <x:f>IF(D4304="","",IF(AND(ISNUMBER(SEARCH("平",D4304)),OR(ISNUMBER(SEARCH("上",D4304)),ISNUMBER(SEARCH("去",D4304)),ISNUMBER(SEARCH("入",D4304)))),"Ambiguous",IF(ISNUMBER(SEARCH("平",D4304)),"平","仄")))</x:f>
        <x:v>仄</x:v>
      </x:c>
      <x:c r="J4321" s="7" t="str"/>
    </x:row>
    <x:row r="4322">
      <x:c r="A4322" s="5" t="str">
        <x:v>閔</x:v>
      </x:c>
      <x:c r="B4322" s="6" t="str">
        <x:v>上</x:v>
      </x:c>
      <x:c r="C4322" s="6" t="str">
        <x:f>IF(B4322="","Needs decision","Ready")</x:f>
        <x:v>Ready</x:v>
      </x:c>
      <x:c r="D4322" s="6" t="str">
        <x:v>上</x:v>
      </x:c>
      <x:c r="E4322" s="6" t="str">
        <x:v>minX (B)</x:v>
      </x:c>
      <x:c r="F4322" s="6" t="str">
        <x:v>1</x:v>
      </x:c>
      <x:c r="G4322" s="6" t="str"/>
      <x:c r="H4322" s="6" t="str">
        <x:f>IF(B4322="平","平",IF(B4322="","","仄"))</x:f>
        <x:v>仄</x:v>
      </x:c>
      <x:c r="I4322" s="6" t="str">
        <x:f>IF(D4305="","",IF(AND(ISNUMBER(SEARCH("平",D4305)),OR(ISNUMBER(SEARCH("上",D4305)),ISNUMBER(SEARCH("去",D4305)),ISNUMBER(SEARCH("入",D4305)))),"Ambiguous",IF(ISNUMBER(SEARCH("平",D4305)),"平","仄")))</x:f>
        <x:v>仄</x:v>
      </x:c>
      <x:c r="J4322" s="7" t="str"/>
    </x:row>
    <x:row r="4323">
      <x:c r="A4323" s="5" t="str">
        <x:v>閟</x:v>
      </x:c>
      <x:c r="B4323" s="6" t="str">
        <x:v>去</x:v>
      </x:c>
      <x:c r="C4323" s="6" t="str">
        <x:f>IF(B4323="","Needs decision","Ready")</x:f>
        <x:v>Ready</x:v>
      </x:c>
      <x:c r="D4323" s="6" t="str">
        <x:v>去</x:v>
      </x:c>
      <x:c r="E4323" s="6" t="str">
        <x:v>pijH (C)</x:v>
      </x:c>
      <x:c r="F4323" s="6" t="str">
        <x:v>1</x:v>
      </x:c>
      <x:c r="G4323" s="6" t="str"/>
      <x:c r="H4323" s="6" t="str">
        <x:f>IF(B4323="平","平",IF(B4323="","","仄"))</x:f>
        <x:v>仄</x:v>
      </x:c>
      <x:c r="I4323" s="6" t="str">
        <x:f>IF(D4306="","",IF(AND(ISNUMBER(SEARCH("平",D4306)),OR(ISNUMBER(SEARCH("上",D4306)),ISNUMBER(SEARCH("去",D4306)),ISNUMBER(SEARCH("入",D4306)))),"Ambiguous",IF(ISNUMBER(SEARCH("平",D4306)),"平","仄")))</x:f>
        <x:v>仄</x:v>
      </x:c>
      <x:c r="J4323" s="7" t="str"/>
    </x:row>
    <x:row r="4324">
      <x:c r="A4324" s="5" t="str">
        <x:v>閣</x:v>
      </x:c>
      <x:c r="B4324" s="6" t="str">
        <x:v>入</x:v>
      </x:c>
      <x:c r="C4324" s="6" t="str">
        <x:f>IF(B4324="","Needs decision","Ready")</x:f>
        <x:v>Ready</x:v>
      </x:c>
      <x:c r="D4324" s="6" t="str">
        <x:v>入</x:v>
      </x:c>
      <x:c r="E4324" s="6" t="str">
        <x:v>kak (D)</x:v>
      </x:c>
      <x:c r="F4324" s="6" t="str">
        <x:v>1</x:v>
      </x:c>
      <x:c r="G4324" s="6" t="str"/>
      <x:c r="H4324" s="6" t="str">
        <x:f>IF(B4324="平","平",IF(B4324="","","仄"))</x:f>
        <x:v>仄</x:v>
      </x:c>
      <x:c r="I4324" s="6" t="str">
        <x:f>IF(D4307="","",IF(AND(ISNUMBER(SEARCH("平",D4307)),OR(ISNUMBER(SEARCH("上",D4307)),ISNUMBER(SEARCH("去",D4307)),ISNUMBER(SEARCH("入",D4307)))),"Ambiguous",IF(ISNUMBER(SEARCH("平",D4307)),"平","仄")))</x:f>
        <x:v>仄</x:v>
      </x:c>
      <x:c r="J4324" s="7" t="str"/>
    </x:row>
    <x:row r="4325">
      <x:c r="A4325" s="5" t="str">
        <x:v>閤</x:v>
      </x:c>
      <x:c r="B4325" s="6" t="str">
        <x:v>入</x:v>
      </x:c>
      <x:c r="C4325" s="6" t="str">
        <x:f>IF(B4325="","Needs decision","Ready")</x:f>
        <x:v>Ready</x:v>
      </x:c>
      <x:c r="D4325" s="6" t="str">
        <x:v>入</x:v>
      </x:c>
      <x:c r="E4325" s="6" t="str">
        <x:v>kop (D)</x:v>
      </x:c>
      <x:c r="F4325" s="6" t="str">
        <x:v>1</x:v>
      </x:c>
      <x:c r="G4325" s="6" t="str"/>
      <x:c r="H4325" s="6" t="str">
        <x:f>IF(B4325="平","平",IF(B4325="","","仄"))</x:f>
        <x:v>仄</x:v>
      </x:c>
      <x:c r="I4325" s="6" t="str">
        <x:f>IF(D4308="","",IF(AND(ISNUMBER(SEARCH("平",D4308)),OR(ISNUMBER(SEARCH("上",D4308)),ISNUMBER(SEARCH("去",D4308)),ISNUMBER(SEARCH("入",D4308)))),"Ambiguous",IF(ISNUMBER(SEARCH("平",D4308)),"平","仄")))</x:f>
        <x:v>平</x:v>
      </x:c>
      <x:c r="J4325" s="7" t="str"/>
    </x:row>
    <x:row r="4326">
      <x:c r="A4326" s="5" t="str">
        <x:v>閨</x:v>
      </x:c>
      <x:c r="B4326" s="6" t="str">
        <x:v>平</x:v>
      </x:c>
      <x:c r="C4326" s="6" t="str">
        <x:f>IF(B4326="","Needs decision","Ready")</x:f>
        <x:v>Ready</x:v>
      </x:c>
      <x:c r="D4326" s="6" t="str">
        <x:v>平</x:v>
      </x:c>
      <x:c r="E4326" s="6" t="str"/>
      <x:c r="F4326" s="6" t="str"/>
      <x:c r="G4326" s="6" t="str">
        <x:v>Manual user correction/addition</x:v>
      </x:c>
      <x:c r="H4326" s="6" t="str">
        <x:f>IF(B4326="平","平",IF(B4326="","","仄"))</x:f>
        <x:v>平</x:v>
      </x:c>
      <x:c r="I4326" s="6" t="str">
        <x:f>IF(D4309="","",IF(AND(ISNUMBER(SEARCH("平",D4309)),OR(ISNUMBER(SEARCH("上",D4309)),ISNUMBER(SEARCH("去",D4309)),ISNUMBER(SEARCH("入",D4309)))),"Ambiguous",IF(ISNUMBER(SEARCH("平",D4309)),"平","仄")))</x:f>
        <x:v>平</x:v>
      </x:c>
      <x:c r="J4326" s="7" t="str">
        <x:v>manual user correction</x:v>
      </x:c>
    </x:row>
    <x:row r="4327">
      <x:c r="A4327" s="5" t="str">
        <x:v>閩</x:v>
      </x:c>
      <x:c r="B4327" s="6" t="str">
        <x:v>平</x:v>
      </x:c>
      <x:c r="C4327" s="6" t="str">
        <x:f>IF(B4327="","Needs decision","Ready")</x:f>
        <x:v>Ready</x:v>
      </x:c>
      <x:c r="D4327" s="6" t="str">
        <x:v>平</x:v>
      </x:c>
      <x:c r="E4327" s="6" t="str">
        <x:v>min (A)</x:v>
      </x:c>
      <x:c r="F4327" s="6" t="str">
        <x:v>1</x:v>
      </x:c>
      <x:c r="G4327" s="6" t="str"/>
      <x:c r="H4327" s="6" t="str">
        <x:f>IF(B4327="平","平",IF(B4327="","","仄"))</x:f>
        <x:v>平</x:v>
      </x:c>
      <x:c r="I4327" s="6" t="str">
        <x:f>IF(D4310="","",IF(AND(ISNUMBER(SEARCH("平",D4310)),OR(ISNUMBER(SEARCH("上",D4310)),ISNUMBER(SEARCH("去",D4310)),ISNUMBER(SEARCH("入",D4310)))),"Ambiguous",IF(ISNUMBER(SEARCH("平",D4310)),"平","仄")))</x:f>
        <x:v>仄</x:v>
      </x:c>
      <x:c r="J4327" s="7" t="str"/>
    </x:row>
    <x:row r="4328">
      <x:c r="A4328" s="5" t="str">
        <x:v>閭</x:v>
      </x:c>
      <x:c r="B4328" s="6" t="str">
        <x:v>平</x:v>
      </x:c>
      <x:c r="C4328" s="6" t="str">
        <x:f>IF(B4328="","Needs decision","Ready")</x:f>
        <x:v>Ready</x:v>
      </x:c>
      <x:c r="D4328" s="6" t="str">
        <x:v>平</x:v>
      </x:c>
      <x:c r="E4328" s="6" t="str"/>
      <x:c r="F4328" s="6" t="str"/>
      <x:c r="G4328" s="6" t="str">
        <x:v>Manual user correction/addition</x:v>
      </x:c>
      <x:c r="H4328" s="6" t="str">
        <x:f>IF(B4328="平","平",IF(B4328="","","仄"))</x:f>
        <x:v>平</x:v>
      </x:c>
      <x:c r="I4328" s="6" t="str">
        <x:f>IF(D4311="","",IF(AND(ISNUMBER(SEARCH("平",D4311)),OR(ISNUMBER(SEARCH("上",D4311)),ISNUMBER(SEARCH("去",D4311)),ISNUMBER(SEARCH("入",D4311)))),"Ambiguous",IF(ISNUMBER(SEARCH("平",D4311)),"平","仄")))</x:f>
        <x:v>平</x:v>
      </x:c>
      <x:c r="J4328" s="7" t="str">
        <x:v>manual user correction</x:v>
      </x:c>
    </x:row>
    <x:row r="4329">
      <x:c r="A4329" s="5" t="str">
        <x:v>閱</x:v>
      </x:c>
      <x:c r="B4329" s="6" t="str">
        <x:v>入</x:v>
      </x:c>
      <x:c r="C4329" s="6" t="str">
        <x:f>IF(B4329="","Needs decision","Ready")</x:f>
        <x:v>Ready</x:v>
      </x:c>
      <x:c r="D4329" s="6" t="str">
        <x:v>入</x:v>
      </x:c>
      <x:c r="E4329" s="6" t="str"/>
      <x:c r="F4329" s="6" t="str"/>
      <x:c r="G4329" s="6" t="str">
        <x:v>Manual user correction/addition</x:v>
      </x:c>
      <x:c r="H4329" s="6" t="str">
        <x:f>IF(B4329="平","平",IF(B4329="","","仄"))</x:f>
        <x:v>仄</x:v>
      </x:c>
      <x:c r="I4329" s="6" t="str">
        <x:f>IF(D4312="","",IF(AND(ISNUMBER(SEARCH("平",D4312)),OR(ISNUMBER(SEARCH("上",D4312)),ISNUMBER(SEARCH("去",D4312)),ISNUMBER(SEARCH("入",D4312)))),"Ambiguous",IF(ISNUMBER(SEARCH("平",D4312)),"平","仄")))</x:f>
        <x:v>平</x:v>
      </x:c>
      <x:c r="J4329" s="7" t="str">
        <x:v>manual user correction</x:v>
      </x:c>
    </x:row>
    <x:row r="4330">
      <x:c r="A4330" s="5" t="str">
        <x:v>閲</x:v>
      </x:c>
      <x:c r="B4330" s="6" t="str">
        <x:v>入</x:v>
      </x:c>
      <x:c r="C4330" s="6" t="str">
        <x:f>IF(B4330="","Needs decision","Ready")</x:f>
        <x:v>Ready</x:v>
      </x:c>
      <x:c r="D4330" s="6" t="str">
        <x:v>入</x:v>
      </x:c>
      <x:c r="E4330" s="6" t="str">
        <x:v>ywet (D)</x:v>
      </x:c>
      <x:c r="F4330" s="6" t="str">
        <x:v>1</x:v>
      </x:c>
      <x:c r="G4330" s="6" t="str"/>
      <x:c r="H4330" s="6" t="str">
        <x:f>IF(B4330="平","平",IF(B4330="","","仄"))</x:f>
        <x:v>仄</x:v>
      </x:c>
      <x:c r="I4330" s="6" t="str">
        <x:f>IF(D4313="","",IF(AND(ISNUMBER(SEARCH("平",D4313)),OR(ISNUMBER(SEARCH("上",D4313)),ISNUMBER(SEARCH("去",D4313)),ISNUMBER(SEARCH("入",D4313)))),"Ambiguous",IF(ISNUMBER(SEARCH("平",D4313)),"平","仄")))</x:f>
        <x:v>仄</x:v>
      </x:c>
      <x:c r="J4330" s="7" t="str"/>
    </x:row>
    <x:row r="4331">
      <x:c r="A4331" s="5" t="str">
        <x:v>閶</x:v>
      </x:c>
      <x:c r="B4331" s="6" t="str">
        <x:v>平</x:v>
      </x:c>
      <x:c r="C4331" s="6" t="str">
        <x:f>IF(B4331="","Needs decision","Ready")</x:f>
        <x:v>Ready</x:v>
      </x:c>
      <x:c r="D4331" s="6" t="str">
        <x:v>平</x:v>
      </x:c>
      <x:c r="E4331" s="6" t="str">
        <x:v>tsyhang [tɕʰɑŋ] (平)</x:v>
      </x:c>
      <x:c r="F4331" s="6" t="str">
        <x:v>1</x:v>
      </x:c>
      <x:c r="G4331" s="6" t="str">
        <x:v>Tang 300 gap; frequency 2; provisional from Xun Gong</x:v>
      </x:c>
      <x:c r="H4331" s="6" t="str">
        <x:f>IF(B4331="平","平",IF(B4331="","","仄"))</x:f>
        <x:v>平</x:v>
      </x:c>
      <x:c r="I4331" s="6" t="str">
        <x:f>IF(D4314="","",IF(AND(ISNUMBER(SEARCH("平",D4314)),OR(ISNUMBER(SEARCH("上",D4314)),ISNUMBER(SEARCH("去",D4314)),ISNUMBER(SEARCH("入",D4314)))),"Ambiguous",IF(ISNUMBER(SEARCH("平",D4314)),"平","仄")))</x:f>
        <x:v>Ambiguous</x:v>
      </x:c>
      <x:c r="J4331" s="7" t="str">
        <x:v>Xun Gong, Tang 300 gap fill</x:v>
      </x:c>
    </x:row>
    <x:row r="4332">
      <x:c r="A4332" s="5" t="str">
        <x:v>閻</x:v>
      </x:c>
      <x:c r="B4332" s="6" t="str">
        <x:v>平</x:v>
      </x:c>
      <x:c r="C4332" s="6" t="str">
        <x:f>IF(B4332="","Needs decision","Ready")</x:f>
        <x:v>Ready</x:v>
      </x:c>
      <x:c r="D4332" s="6" t="str">
        <x:v>平</x:v>
      </x:c>
      <x:c r="E4332" s="6" t="str">
        <x:v>yem (A)</x:v>
      </x:c>
      <x:c r="F4332" s="6" t="str">
        <x:v>1</x:v>
      </x:c>
      <x:c r="G4332" s="6" t="str"/>
      <x:c r="H4332" s="6" t="str">
        <x:f>IF(B4332="平","平",IF(B4332="","","仄"))</x:f>
        <x:v>平</x:v>
      </x:c>
      <x:c r="I4332" s="6" t="str">
        <x:f>IF(D4315="","",IF(AND(ISNUMBER(SEARCH("平",D4315)),OR(ISNUMBER(SEARCH("上",D4315)),ISNUMBER(SEARCH("去",D4315)),ISNUMBER(SEARCH("入",D4315)))),"Ambiguous",IF(ISNUMBER(SEARCH("平",D4315)),"平","仄")))</x:f>
        <x:v>平</x:v>
      </x:c>
      <x:c r="J4332" s="7" t="str"/>
    </x:row>
    <x:row r="4333">
      <x:c r="A4333" s="5" t="str">
        <x:v>閼</x:v>
      </x:c>
      <x:c r="B4333" s="6" t="str">
        <x:v>入</x:v>
      </x:c>
      <x:c r="C4333" s="6" t="str">
        <x:f>IF(B4333="","Needs decision","Ready")</x:f>
        <x:v>Ready</x:v>
      </x:c>
      <x:c r="D4333" s="6" t="str">
        <x:v>入</x:v>
      </x:c>
      <x:c r="E4333" s="6" t="str">
        <x:v>'at (D)</x:v>
      </x:c>
      <x:c r="F4333" s="6" t="str">
        <x:v>1</x:v>
      </x:c>
      <x:c r="G4333" s="6" t="str"/>
      <x:c r="H4333" s="6" t="str">
        <x:f>IF(B4333="平","平",IF(B4333="","","仄"))</x:f>
        <x:v>仄</x:v>
      </x:c>
      <x:c r="I4333" s="6" t="str">
        <x:f>IF(D4316="","",IF(AND(ISNUMBER(SEARCH("平",D4316)),OR(ISNUMBER(SEARCH("上",D4316)),ISNUMBER(SEARCH("去",D4316)),ISNUMBER(SEARCH("入",D4316)))),"Ambiguous",IF(ISNUMBER(SEARCH("平",D4316)),"平","仄")))</x:f>
        <x:v>仄</x:v>
      </x:c>
      <x:c r="J4333" s="7" t="str"/>
    </x:row>
    <x:row r="4334">
      <x:c r="A4334" s="5" t="str">
        <x:v>闃</x:v>
      </x:c>
      <x:c r="B4334" s="6" t="str">
        <x:v>入</x:v>
      </x:c>
      <x:c r="C4334" s="6" t="str">
        <x:f>IF(B4334="","Needs decision","Ready")</x:f>
        <x:v>Ready</x:v>
      </x:c>
      <x:c r="D4334" s="6" t="str">
        <x:v>入</x:v>
      </x:c>
      <x:c r="E4334" s="6" t="str">
        <x:v>khwek (D)</x:v>
      </x:c>
      <x:c r="F4334" s="6" t="str">
        <x:v>1</x:v>
      </x:c>
      <x:c r="G4334" s="6" t="str"/>
      <x:c r="H4334" s="6" t="str">
        <x:f>IF(B4334="平","平",IF(B4334="","","仄"))</x:f>
        <x:v>仄</x:v>
      </x:c>
      <x:c r="I4334" s="6" t="str">
        <x:f>IF(D4317="","",IF(AND(ISNUMBER(SEARCH("平",D4317)),OR(ISNUMBER(SEARCH("上",D4317)),ISNUMBER(SEARCH("去",D4317)),ISNUMBER(SEARCH("入",D4317)))),"Ambiguous",IF(ISNUMBER(SEARCH("平",D4317)),"平","仄")))</x:f>
        <x:v>平</x:v>
      </x:c>
      <x:c r="J4334" s="7" t="str"/>
    </x:row>
    <x:row r="4335">
      <x:c r="A4335" s="5" t="str">
        <x:v>闇</x:v>
      </x:c>
      <x:c r="B4335" s="6" t="str">
        <x:v>去</x:v>
      </x:c>
      <x:c r="C4335" s="6" t="str">
        <x:f>IF(B4335="","Needs decision","Ready")</x:f>
        <x:v>Ready</x:v>
      </x:c>
      <x:c r="D4335" s="6" t="str">
        <x:v>去</x:v>
      </x:c>
      <x:c r="E4335" s="6" t="str">
        <x:v>'omH [影開一覃去] ʔ̙əmh</x:v>
      </x:c>
      <x:c r="F4335" s="6" t="str">
        <x:v>1</x:v>
      </x:c>
      <x:c r="G4335" s="6" t="str">
        <x:v>Targeted preliminary fill from Xun Gong; review if uncertain</x:v>
      </x:c>
      <x:c r="H4335" s="6" t="str">
        <x:f>IF(B4335="平","平",IF(B4335="","","仄"))</x:f>
        <x:v>仄</x:v>
      </x:c>
      <x:c r="I4335" s="6" t="str">
        <x:f>IF(D4318="","",IF(AND(ISNUMBER(SEARCH("平",D4318)),OR(ISNUMBER(SEARCH("上",D4318)),ISNUMBER(SEARCH("去",D4318)),ISNUMBER(SEARCH("入",D4318)))),"Ambiguous",IF(ISNUMBER(SEARCH("平",D4318)),"平","仄")))</x:f>
        <x:v>仄</x:v>
      </x:c>
      <x:c r="J4335" s="7" t="str">
        <x:v>Xun Gong character-readings.csv</x:v>
      </x:c>
    </x:row>
    <x:row r="4336">
      <x:c r="A4336" s="5" t="str">
        <x:v>闈</x:v>
      </x:c>
      <x:c r="B4336" s="6" t="str">
        <x:v>平</x:v>
      </x:c>
      <x:c r="C4336" s="6" t="str">
        <x:f>IF(B4336="","Needs decision","Ready")</x:f>
        <x:v>Ready</x:v>
      </x:c>
      <x:c r="D4336" s="6" t="str">
        <x:v>平</x:v>
      </x:c>
      <x:c r="E4336" s="6" t="str">
        <x:v>hjw+j [wɨj] (平)</x:v>
      </x:c>
      <x:c r="F4336" s="6" t="str">
        <x:v>1</x:v>
      </x:c>
      <x:c r="G4336" s="6" t="str">
        <x:v>Tang 300 gap; frequency 1; provisional from Xun Gong</x:v>
      </x:c>
      <x:c r="H4336" s="6" t="str">
        <x:f>IF(B4336="平","平",IF(B4336="","","仄"))</x:f>
        <x:v>平</x:v>
      </x:c>
      <x:c r="I4336" s="6" t="str">
        <x:f>IF(D4319="","",IF(AND(ISNUMBER(SEARCH("平",D4319)),OR(ISNUMBER(SEARCH("上",D4319)),ISNUMBER(SEARCH("去",D4319)),ISNUMBER(SEARCH("入",D4319)))),"Ambiguous",IF(ISNUMBER(SEARCH("平",D4319)),"平","仄")))</x:f>
        <x:v>平</x:v>
      </x:c>
      <x:c r="J4336" s="7" t="str">
        <x:v>Xun Gong, Tang 300 gap fill</x:v>
      </x:c>
    </x:row>
    <x:row r="4337">
      <x:c r="A4337" s="5" t="str">
        <x:v>闊</x:v>
      </x:c>
      <x:c r="B4337" s="6" t="str">
        <x:v>入</x:v>
      </x:c>
      <x:c r="C4337" s="6" t="str">
        <x:f>IF(B4337="","Needs decision","Ready")</x:f>
        <x:v>Ready</x:v>
      </x:c>
      <x:c r="D4337" s="6" t="str">
        <x:v>入</x:v>
      </x:c>
      <x:c r="E4337" s="6" t="str">
        <x:v>khwat (D)</x:v>
      </x:c>
      <x:c r="F4337" s="6" t="str">
        <x:v>1</x:v>
      </x:c>
      <x:c r="G4337" s="6" t="str"/>
      <x:c r="H4337" s="6" t="str">
        <x:f>IF(B4337="平","平",IF(B4337="","","仄"))</x:f>
        <x:v>仄</x:v>
      </x:c>
      <x:c r="I4337" s="6" t="str">
        <x:f>IF(D4320="","",IF(AND(ISNUMBER(SEARCH("平",D4320)),OR(ISNUMBER(SEARCH("上",D4320)),ISNUMBER(SEARCH("去",D4320)),ISNUMBER(SEARCH("入",D4320)))),"Ambiguous",IF(ISNUMBER(SEARCH("平",D4320)),"平","仄")))</x:f>
        <x:v>Ambiguous</x:v>
      </x:c>
      <x:c r="J4337" s="7" t="str"/>
    </x:row>
    <x:row r="4338">
      <x:c r="A4338" s="5" t="str">
        <x:v>闋</x:v>
      </x:c>
      <x:c r="B4338" s="6" t="str">
        <x:v>入</x:v>
      </x:c>
      <x:c r="C4338" s="6" t="str">
        <x:f>IF(B4338="","Needs decision","Ready")</x:f>
        <x:v>Ready</x:v>
      </x:c>
      <x:c r="D4338" s="6" t="str">
        <x:v>入</x:v>
      </x:c>
      <x:c r="E4338" s="6" t="str">
        <x:v>khwet (D)</x:v>
      </x:c>
      <x:c r="F4338" s="6" t="str">
        <x:v>1</x:v>
      </x:c>
      <x:c r="G4338" s="6" t="str"/>
      <x:c r="H4338" s="6" t="str">
        <x:f>IF(B4338="平","平",IF(B4338="","","仄"))</x:f>
        <x:v>仄</x:v>
      </x:c>
      <x:c r="I4338" s="6" t="str">
        <x:f>IF(D4321="","",IF(AND(ISNUMBER(SEARCH("平",D4321)),OR(ISNUMBER(SEARCH("上",D4321)),ISNUMBER(SEARCH("去",D4321)),ISNUMBER(SEARCH("入",D4321)))),"Ambiguous",IF(ISNUMBER(SEARCH("平",D4321)),"平","仄")))</x:f>
        <x:v>平</x:v>
      </x:c>
      <x:c r="J4338" s="7" t="str"/>
    </x:row>
    <x:row r="4339">
      <x:c r="A4339" s="5" t="str">
        <x:v>闌</x:v>
      </x:c>
      <x:c r="B4339" s="6" t="str">
        <x:v>平</x:v>
      </x:c>
      <x:c r="C4339" s="6" t="str">
        <x:f>IF(B4339="","Needs decision","Ready")</x:f>
        <x:v>Ready</x:v>
      </x:c>
      <x:c r="D4339" s="6" t="str">
        <x:v>平</x:v>
      </x:c>
      <x:c r="E4339" s="6" t="str">
        <x:v>lan (A)</x:v>
      </x:c>
      <x:c r="F4339" s="6" t="str">
        <x:v>1</x:v>
      </x:c>
      <x:c r="G4339" s="6" t="str"/>
      <x:c r="H4339" s="6" t="str">
        <x:f>IF(B4339="平","平",IF(B4339="","","仄"))</x:f>
        <x:v>平</x:v>
      </x:c>
      <x:c r="I4339" s="6" t="str">
        <x:f>IF(D4322="","",IF(AND(ISNUMBER(SEARCH("平",D4322)),OR(ISNUMBER(SEARCH("上",D4322)),ISNUMBER(SEARCH("去",D4322)),ISNUMBER(SEARCH("入",D4322)))),"Ambiguous",IF(ISNUMBER(SEARCH("平",D4322)),"平","仄")))</x:f>
        <x:v>仄</x:v>
      </x:c>
      <x:c r="J4339" s="7" t="str"/>
    </x:row>
    <x:row r="4340">
      <x:c r="A4340" s="5" t="str">
        <x:v>闍</x:v>
      </x:c>
      <x:c r="B4340" s="6" t="str">
        <x:v>平</x:v>
      </x:c>
      <x:c r="C4340" s="6" t="str">
        <x:f>IF(B4340="","Needs decision","Ready")</x:f>
        <x:v>Ready</x:v>
      </x:c>
      <x:c r="D4340" s="6" t="str">
        <x:v>平</x:v>
      </x:c>
      <x:c r="E4340" s="6" t="str"/>
      <x:c r="F4340" s="6" t="str"/>
      <x:c r="G4340" s="6" t="str">
        <x:v>Manual user correction/addition</x:v>
      </x:c>
      <x:c r="H4340" s="6" t="str">
        <x:f>IF(B4340="平","平",IF(B4340="","","仄"))</x:f>
        <x:v>平</x:v>
      </x:c>
      <x:c r="I4340" s="6" t="str">
        <x:f>IF(D4323="","",IF(AND(ISNUMBER(SEARCH("平",D4323)),OR(ISNUMBER(SEARCH("上",D4323)),ISNUMBER(SEARCH("去",D4323)),ISNUMBER(SEARCH("入",D4323)))),"Ambiguous",IF(ISNUMBER(SEARCH("平",D4323)),"平","仄")))</x:f>
        <x:v>仄</x:v>
      </x:c>
      <x:c r="J4340" s="7" t="str">
        <x:v>manual user correction</x:v>
      </x:c>
    </x:row>
    <x:row r="4341">
      <x:c r="A4341" s="5" t="str">
        <x:v>闐</x:v>
      </x:c>
      <x:c r="B4341" s="6" t="str">
        <x:v>平</x:v>
      </x:c>
      <x:c r="C4341" s="6" t="str">
        <x:f>IF(B4341="","Needs decision","Ready")</x:f>
        <x:v>Ready</x:v>
      </x:c>
      <x:c r="D4341" s="6" t="str">
        <x:v>平</x:v>
      </x:c>
      <x:c r="E4341" s="6" t="str"/>
      <x:c r="F4341" s="6" t="str"/>
      <x:c r="G4341" s="6" t="str">
        <x:v>Manual user correction/addition</x:v>
      </x:c>
      <x:c r="H4341" s="6" t="str">
        <x:f>IF(B4341="平","平",IF(B4341="","","仄"))</x:f>
        <x:v>平</x:v>
      </x:c>
      <x:c r="I4341" s="6" t="str">
        <x:f>IF(D4324="","",IF(AND(ISNUMBER(SEARCH("平",D4324)),OR(ISNUMBER(SEARCH("上",D4324)),ISNUMBER(SEARCH("去",D4324)),ISNUMBER(SEARCH("入",D4324)))),"Ambiguous",IF(ISNUMBER(SEARCH("平",D4324)),"平","仄")))</x:f>
        <x:v>仄</x:v>
      </x:c>
      <x:c r="J4341" s="7" t="str">
        <x:v>manual user correction</x:v>
      </x:c>
    </x:row>
    <x:row r="4342">
      <x:c r="A4342" s="5" t="str">
        <x:v>闑</x:v>
      </x:c>
      <x:c r="B4342" s="6" t="str">
        <x:v>入</x:v>
      </x:c>
      <x:c r="C4342" s="6" t="str">
        <x:f>IF(B4342="","Needs decision","Ready")</x:f>
        <x:v>Ready</x:v>
      </x:c>
      <x:c r="D4342" s="6" t="str">
        <x:v>入</x:v>
      </x:c>
      <x:c r="E4342" s="6" t="str">
        <x:v>nget (D); ngjet (D)</x:v>
      </x:c>
      <x:c r="F4342" s="6" t="str">
        <x:v>2</x:v>
      </x:c>
      <x:c r="G4342" s="6" t="str"/>
      <x:c r="H4342" s="6" t="str">
        <x:f>IF(B4342="平","平",IF(B4342="","","仄"))</x:f>
        <x:v>仄</x:v>
      </x:c>
      <x:c r="I4342" s="6" t="str">
        <x:f>IF(D4325="","",IF(AND(ISNUMBER(SEARCH("平",D4325)),OR(ISNUMBER(SEARCH("上",D4325)),ISNUMBER(SEARCH("去",D4325)),ISNUMBER(SEARCH("入",D4325)))),"Ambiguous",IF(ISNUMBER(SEARCH("平",D4325)),"平","仄")))</x:f>
        <x:v>仄</x:v>
      </x:c>
      <x:c r="J4342" s="7" t="str"/>
    </x:row>
    <x:row r="4343">
      <x:c r="A4343" s="5" t="str">
        <x:v>闔</x:v>
      </x:c>
      <x:c r="B4343" s="6" t="str">
        <x:v>入</x:v>
      </x:c>
      <x:c r="C4343" s="6" t="str">
        <x:f>IF(B4343="","Needs decision","Ready")</x:f>
        <x:v>Ready</x:v>
      </x:c>
      <x:c r="D4343" s="6" t="str">
        <x:v>入</x:v>
      </x:c>
      <x:c r="E4343" s="6" t="str"/>
      <x:c r="F4343" s="6" t="str"/>
      <x:c r="G4343" s="6" t="str">
        <x:v>Manual user correction/addition</x:v>
      </x:c>
      <x:c r="H4343" s="6" t="str">
        <x:f>IF(B4343="平","平",IF(B4343="","","仄"))</x:f>
        <x:v>仄</x:v>
      </x:c>
      <x:c r="I4343" s="6" t="str">
        <x:f>IF(D4326="","",IF(AND(ISNUMBER(SEARCH("平",D4326)),OR(ISNUMBER(SEARCH("上",D4326)),ISNUMBER(SEARCH("去",D4326)),ISNUMBER(SEARCH("入",D4326)))),"Ambiguous",IF(ISNUMBER(SEARCH("平",D4326)),"平","仄")))</x:f>
        <x:v>平</x:v>
      </x:c>
      <x:c r="J4343" s="7" t="str">
        <x:v>manual user correction</x:v>
      </x:c>
    </x:row>
    <x:row r="4344">
      <x:c r="A4344" s="5" t="str">
        <x:v>闕</x:v>
      </x:c>
      <x:c r="B4344" s="6" t="str">
        <x:v>入</x:v>
      </x:c>
      <x:c r="C4344" s="6" t="str">
        <x:f>IF(B4344="","Needs decision","Ready")</x:f>
        <x:v>Ready</x:v>
      </x:c>
      <x:c r="D4344" s="6" t="str">
        <x:v>入</x:v>
      </x:c>
      <x:c r="E4344" s="6" t="str">
        <x:v>khjwot (D)</x:v>
      </x:c>
      <x:c r="F4344" s="6" t="str">
        <x:v>1</x:v>
      </x:c>
      <x:c r="G4344" s="6" t="str"/>
      <x:c r="H4344" s="6" t="str">
        <x:f>IF(B4344="平","平",IF(B4344="","","仄"))</x:f>
        <x:v>仄</x:v>
      </x:c>
      <x:c r="I4344" s="6" t="str">
        <x:f>IF(D4327="","",IF(AND(ISNUMBER(SEARCH("平",D4327)),OR(ISNUMBER(SEARCH("上",D4327)),ISNUMBER(SEARCH("去",D4327)),ISNUMBER(SEARCH("入",D4327)))),"Ambiguous",IF(ISNUMBER(SEARCH("平",D4327)),"平","仄")))</x:f>
        <x:v>平</x:v>
      </x:c>
      <x:c r="J4344" s="7" t="str"/>
    </x:row>
    <x:row r="4345">
      <x:c r="A4345" s="5" t="str">
        <x:v>關</x:v>
      </x:c>
      <x:c r="B4345" s="6" t="str">
        <x:v>平</x:v>
      </x:c>
      <x:c r="C4345" s="6" t="str">
        <x:f>IF(B4345="","Needs decision","Ready")</x:f>
        <x:v>Ready</x:v>
      </x:c>
      <x:c r="D4345" s="6" t="str">
        <x:v>平</x:v>
      </x:c>
      <x:c r="E4345" s="6" t="str">
        <x:v>kwaen (A)</x:v>
      </x:c>
      <x:c r="F4345" s="6" t="str">
        <x:v>1</x:v>
      </x:c>
      <x:c r="G4345" s="6" t="str"/>
      <x:c r="H4345" s="6" t="str">
        <x:f>IF(B4345="平","平",IF(B4345="","","仄"))</x:f>
        <x:v>平</x:v>
      </x:c>
      <x:c r="I4345" s="6" t="str">
        <x:f>IF(D4328="","",IF(AND(ISNUMBER(SEARCH("平",D4328)),OR(ISNUMBER(SEARCH("上",D4328)),ISNUMBER(SEARCH("去",D4328)),ISNUMBER(SEARCH("入",D4328)))),"Ambiguous",IF(ISNUMBER(SEARCH("平",D4328)),"平","仄")))</x:f>
        <x:v>平</x:v>
      </x:c>
      <x:c r="J4345" s="7" t="str"/>
    </x:row>
    <x:row r="4346">
      <x:c r="A4346" s="5" t="str">
        <x:v>阜</x:v>
      </x:c>
      <x:c r="B4346" s="6" t="str">
        <x:v>上</x:v>
      </x:c>
      <x:c r="C4346" s="6" t="str">
        <x:f>IF(B4346="","Needs decision","Ready")</x:f>
        <x:v>Ready</x:v>
      </x:c>
      <x:c r="D4346" s="6" t="str">
        <x:v>上</x:v>
      </x:c>
      <x:c r="E4346" s="6" t="str">
        <x:v>bjuwX (B)</x:v>
      </x:c>
      <x:c r="F4346" s="6" t="str">
        <x:v>1</x:v>
      </x:c>
      <x:c r="G4346" s="6" t="str"/>
      <x:c r="H4346" s="6" t="str">
        <x:f>IF(B4346="平","平",IF(B4346="","","仄"))</x:f>
        <x:v>仄</x:v>
      </x:c>
      <x:c r="I4346" s="6" t="str">
        <x:f>IF(D4329="","",IF(AND(ISNUMBER(SEARCH("平",D4329)),OR(ISNUMBER(SEARCH("上",D4329)),ISNUMBER(SEARCH("去",D4329)),ISNUMBER(SEARCH("入",D4329)))),"Ambiguous",IF(ISNUMBER(SEARCH("平",D4329)),"平","仄")))</x:f>
        <x:v>仄</x:v>
      </x:c>
      <x:c r="J4346" s="7" t="str"/>
    </x:row>
    <x:row r="4347">
      <x:c r="A4347" s="5" t="str">
        <x:v>阡</x:v>
      </x:c>
      <x:c r="B4347" s="6" t="str">
        <x:v>平</x:v>
      </x:c>
      <x:c r="C4347" s="6" t="str">
        <x:f>IF(B4347="","Needs decision","Ready")</x:f>
        <x:v>Ready</x:v>
      </x:c>
      <x:c r="D4347" s="6" t="str">
        <x:v>平</x:v>
      </x:c>
      <x:c r="E4347" s="6" t="str">
        <x:v>tshen (A)</x:v>
      </x:c>
      <x:c r="F4347" s="6" t="str">
        <x:v>1</x:v>
      </x:c>
      <x:c r="G4347" s="6" t="str"/>
      <x:c r="H4347" s="6" t="str">
        <x:f>IF(B4347="平","平",IF(B4347="","","仄"))</x:f>
        <x:v>平</x:v>
      </x:c>
      <x:c r="I4347" s="6" t="str">
        <x:f>IF(D4330="","",IF(AND(ISNUMBER(SEARCH("平",D4330)),OR(ISNUMBER(SEARCH("上",D4330)),ISNUMBER(SEARCH("去",D4330)),ISNUMBER(SEARCH("入",D4330)))),"Ambiguous",IF(ISNUMBER(SEARCH("平",D4330)),"平","仄")))</x:f>
        <x:v>仄</x:v>
      </x:c>
      <x:c r="J4347" s="7" t="str"/>
    </x:row>
    <x:row r="4348">
      <x:c r="A4348" s="5" t="str">
        <x:v>阨</x:v>
      </x:c>
      <x:c r="B4348" s="6" t="str">
        <x:v>入</x:v>
      </x:c>
      <x:c r="C4348" s="6" t="str">
        <x:f>IF(B4348="","Needs decision","Ready")</x:f>
        <x:v>Ready</x:v>
      </x:c>
      <x:c r="D4348" s="6" t="str">
        <x:v>入</x:v>
      </x:c>
      <x:c r="E4348" s="6" t="str">
        <x:v>'eak (D)</x:v>
      </x:c>
      <x:c r="F4348" s="6" t="str">
        <x:v>1</x:v>
      </x:c>
      <x:c r="G4348" s="6" t="str"/>
      <x:c r="H4348" s="6" t="str">
        <x:f>IF(B4348="平","平",IF(B4348="","","仄"))</x:f>
        <x:v>仄</x:v>
      </x:c>
      <x:c r="I4348" s="6" t="str">
        <x:f>IF(D4331="","",IF(AND(ISNUMBER(SEARCH("平",D4331)),OR(ISNUMBER(SEARCH("上",D4331)),ISNUMBER(SEARCH("去",D4331)),ISNUMBER(SEARCH("入",D4331)))),"Ambiguous",IF(ISNUMBER(SEARCH("平",D4331)),"平","仄")))</x:f>
        <x:v>平</x:v>
      </x:c>
      <x:c r="J4348" s="7" t="str"/>
    </x:row>
    <x:row r="4349">
      <x:c r="A4349" s="5" t="str">
        <x:v>阪</x:v>
      </x:c>
      <x:c r="B4349" s="6" t="str">
        <x:v>上</x:v>
      </x:c>
      <x:c r="C4349" s="6" t="str">
        <x:f>IF(B4349="","Needs decision","Ready")</x:f>
        <x:v>Ready</x:v>
      </x:c>
      <x:c r="D4349" s="6" t="str">
        <x:v>上</x:v>
      </x:c>
      <x:c r="E4349" s="6" t="str">
        <x:v>pjonX (B)</x:v>
      </x:c>
      <x:c r="F4349" s="6" t="str">
        <x:v>1</x:v>
      </x:c>
      <x:c r="G4349" s="6" t="str"/>
      <x:c r="H4349" s="6" t="str">
        <x:f>IF(B4349="平","平",IF(B4349="","","仄"))</x:f>
        <x:v>仄</x:v>
      </x:c>
      <x:c r="I4349" s="6" t="str">
        <x:f>IF(D4332="","",IF(AND(ISNUMBER(SEARCH("平",D4332)),OR(ISNUMBER(SEARCH("上",D4332)),ISNUMBER(SEARCH("去",D4332)),ISNUMBER(SEARCH("入",D4332)))),"Ambiguous",IF(ISNUMBER(SEARCH("平",D4332)),"平","仄")))</x:f>
        <x:v>平</x:v>
      </x:c>
      <x:c r="J4349" s="7" t="str"/>
    </x:row>
    <x:row r="4350">
      <x:c r="A4350" s="5" t="str">
        <x:v>阮</x:v>
      </x:c>
      <x:c r="B4350" s="6" t="str">
        <x:v>上</x:v>
      </x:c>
      <x:c r="C4350" s="6" t="str">
        <x:f>IF(B4350="","Needs decision","Ready")</x:f>
        <x:v>Ready</x:v>
      </x:c>
      <x:c r="D4350" s="6" t="str">
        <x:v>上</x:v>
      </x:c>
      <x:c r="E4350" s="6" t="str"/>
      <x:c r="F4350" s="6" t="str"/>
      <x:c r="G4350" s="6" t="str">
        <x:v>Manual user correction/addition</x:v>
      </x:c>
      <x:c r="H4350" s="6" t="str">
        <x:f>IF(B4350="平","平",IF(B4350="","","仄"))</x:f>
        <x:v>仄</x:v>
      </x:c>
      <x:c r="I4350" s="6" t="str">
        <x:f>IF(D4333="","",IF(AND(ISNUMBER(SEARCH("平",D4333)),OR(ISNUMBER(SEARCH("上",D4333)),ISNUMBER(SEARCH("去",D4333)),ISNUMBER(SEARCH("入",D4333)))),"Ambiguous",IF(ISNUMBER(SEARCH("平",D4333)),"平","仄")))</x:f>
        <x:v>仄</x:v>
      </x:c>
      <x:c r="J4350" s="7" t="str">
        <x:v>manual user correction</x:v>
      </x:c>
    </x:row>
    <x:row r="4351">
      <x:c r="A4351" s="5" t="str">
        <x:v>防</x:v>
      </x:c>
      <x:c r="B4351" s="6" t="str">
        <x:v>平</x:v>
      </x:c>
      <x:c r="C4351" s="6" t="str">
        <x:f>IF(B4351="","Needs decision","Ready")</x:f>
        <x:v>Ready</x:v>
      </x:c>
      <x:c r="D4351" s="6" t="str">
        <x:v>平</x:v>
      </x:c>
      <x:c r="E4351" s="6" t="str">
        <x:v>bjang (A)</x:v>
      </x:c>
      <x:c r="F4351" s="6" t="str">
        <x:v>1</x:v>
      </x:c>
      <x:c r="G4351" s="6" t="str"/>
      <x:c r="H4351" s="6" t="str">
        <x:f>IF(B4351="平","平",IF(B4351="","","仄"))</x:f>
        <x:v>平</x:v>
      </x:c>
      <x:c r="I4351" s="6" t="str">
        <x:f>IF(D4334="","",IF(AND(ISNUMBER(SEARCH("平",D4334)),OR(ISNUMBER(SEARCH("上",D4334)),ISNUMBER(SEARCH("去",D4334)),ISNUMBER(SEARCH("入",D4334)))),"Ambiguous",IF(ISNUMBER(SEARCH("平",D4334)),"平","仄")))</x:f>
        <x:v>仄</x:v>
      </x:c>
      <x:c r="J4351" s="7" t="str"/>
    </x:row>
    <x:row r="4352">
      <x:c r="A4352" s="5" t="str">
        <x:v>阸</x:v>
      </x:c>
      <x:c r="B4352" s="6" t="str">
        <x:v>去</x:v>
      </x:c>
      <x:c r="C4352" s="6" t="str">
        <x:f>IF(B4352="","Needs decision","Ready")</x:f>
        <x:v>Ready</x:v>
      </x:c>
      <x:c r="D4352" s="6" t="str">
        <x:v>去</x:v>
      </x:c>
      <x:c r="E4352" s="6" t="str">
        <x:v>'eaH (C)</x:v>
      </x:c>
      <x:c r="F4352" s="6" t="str">
        <x:v>1</x:v>
      </x:c>
      <x:c r="G4352" s="6" t="str"/>
      <x:c r="H4352" s="6" t="str">
        <x:f>IF(B4352="平","平",IF(B4352="","","仄"))</x:f>
        <x:v>仄</x:v>
      </x:c>
      <x:c r="I4352" s="6" t="str">
        <x:f>IF(D4335="","",IF(AND(ISNUMBER(SEARCH("平",D4335)),OR(ISNUMBER(SEARCH("上",D4335)),ISNUMBER(SEARCH("去",D4335)),ISNUMBER(SEARCH("入",D4335)))),"Ambiguous",IF(ISNUMBER(SEARCH("平",D4335)),"平","仄")))</x:f>
        <x:v>仄</x:v>
      </x:c>
      <x:c r="J4352" s="7" t="str"/>
    </x:row>
    <x:row r="4353">
      <x:c r="A4353" s="5" t="str">
        <x:v>阻</x:v>
      </x:c>
      <x:c r="B4353" s="6" t="str">
        <x:v>上</x:v>
      </x:c>
      <x:c r="C4353" s="6" t="str">
        <x:f>IF(B4353="","Needs decision","Ready")</x:f>
        <x:v>Ready</x:v>
      </x:c>
      <x:c r="D4353" s="6" t="str">
        <x:v>上</x:v>
      </x:c>
      <x:c r="E4353" s="6" t="str">
        <x:v>tsrjoX (B)</x:v>
      </x:c>
      <x:c r="F4353" s="6" t="str">
        <x:v>1</x:v>
      </x:c>
      <x:c r="G4353" s="6" t="str"/>
      <x:c r="H4353" s="6" t="str">
        <x:f>IF(B4353="平","平",IF(B4353="","","仄"))</x:f>
        <x:v>仄</x:v>
      </x:c>
      <x:c r="I4353" s="6" t="str">
        <x:f>IF(D4336="","",IF(AND(ISNUMBER(SEARCH("平",D4336)),OR(ISNUMBER(SEARCH("上",D4336)),ISNUMBER(SEARCH("去",D4336)),ISNUMBER(SEARCH("入",D4336)))),"Ambiguous",IF(ISNUMBER(SEARCH("平",D4336)),"平","仄")))</x:f>
        <x:v>平</x:v>
      </x:c>
      <x:c r="J4353" s="7" t="str"/>
    </x:row>
    <x:row r="4354">
      <x:c r="A4354" s="5" t="str">
        <x:v>阽</x:v>
      </x:c>
      <x:c r="B4354" s="6" t="str">
        <x:v>平</x:v>
      </x:c>
      <x:c r="C4354" s="6" t="str">
        <x:f>IF(B4354="","Needs decision","Ready")</x:f>
        <x:v>Ready</x:v>
      </x:c>
      <x:c r="D4354" s="6" t="str">
        <x:v>平</x:v>
      </x:c>
      <x:c r="E4354" s="6" t="str">
        <x:v>yem (A)</x:v>
      </x:c>
      <x:c r="F4354" s="6" t="str">
        <x:v>1</x:v>
      </x:c>
      <x:c r="G4354" s="6" t="str"/>
      <x:c r="H4354" s="6" t="str">
        <x:f>IF(B4354="平","平",IF(B4354="","","仄"))</x:f>
        <x:v>平</x:v>
      </x:c>
      <x:c r="I4354" s="6" t="str">
        <x:f>IF(D4337="","",IF(AND(ISNUMBER(SEARCH("平",D4337)),OR(ISNUMBER(SEARCH("上",D4337)),ISNUMBER(SEARCH("去",D4337)),ISNUMBER(SEARCH("入",D4337)))),"Ambiguous",IF(ISNUMBER(SEARCH("平",D4337)),"平","仄")))</x:f>
        <x:v>仄</x:v>
      </x:c>
      <x:c r="J4354" s="7" t="str"/>
    </x:row>
    <x:row r="4355">
      <x:c r="A4355" s="5" t="str">
        <x:v>阿</x:v>
      </x:c>
      <x:c r="B4355" s="6" t="str">
        <x:v>平</x:v>
      </x:c>
      <x:c r="C4355" s="6" t="str">
        <x:f>IF(B4355="","Needs decision","Ready")</x:f>
        <x:v>Ready</x:v>
      </x:c>
      <x:c r="D4355" s="6" t="str">
        <x:v>平</x:v>
      </x:c>
      <x:c r="E4355" s="6" t="str">
        <x:v>'a (A)</x:v>
      </x:c>
      <x:c r="F4355" s="6" t="str">
        <x:v>1</x:v>
      </x:c>
      <x:c r="G4355" s="6" t="str"/>
      <x:c r="H4355" s="6" t="str">
        <x:f>IF(B4355="平","平",IF(B4355="","","仄"))</x:f>
        <x:v>平</x:v>
      </x:c>
      <x:c r="I4355" s="6" t="str">
        <x:f>IF(D4338="","",IF(AND(ISNUMBER(SEARCH("平",D4338)),OR(ISNUMBER(SEARCH("上",D4338)),ISNUMBER(SEARCH("去",D4338)),ISNUMBER(SEARCH("入",D4338)))),"Ambiguous",IF(ISNUMBER(SEARCH("平",D4338)),"平","仄")))</x:f>
        <x:v>仄</x:v>
      </x:c>
      <x:c r="J4355" s="7" t="str"/>
    </x:row>
    <x:row r="4356">
      <x:c r="A4356" s="5" t="str">
        <x:v>陂</x:v>
      </x:c>
      <x:c r="B4356" s="6" t="str">
        <x:v>平</x:v>
      </x:c>
      <x:c r="C4356" s="6" t="str">
        <x:f>IF(B4356="","Needs decision","Ready")</x:f>
        <x:v>Ready</x:v>
      </x:c>
      <x:c r="D4356" s="6" t="str">
        <x:v>平</x:v>
      </x:c>
      <x:c r="E4356" s="6" t="str">
        <x:v>pje (A)</x:v>
      </x:c>
      <x:c r="F4356" s="6" t="str">
        <x:v>1</x:v>
      </x:c>
      <x:c r="G4356" s="6" t="str"/>
      <x:c r="H4356" s="6" t="str">
        <x:f>IF(B4356="平","平",IF(B4356="","","仄"))</x:f>
        <x:v>平</x:v>
      </x:c>
      <x:c r="I4356" s="6" t="str">
        <x:f>IF(D4339="","",IF(AND(ISNUMBER(SEARCH("平",D4339)),OR(ISNUMBER(SEARCH("上",D4339)),ISNUMBER(SEARCH("去",D4339)),ISNUMBER(SEARCH("入",D4339)))),"Ambiguous",IF(ISNUMBER(SEARCH("平",D4339)),"平","仄")))</x:f>
        <x:v>平</x:v>
      </x:c>
      <x:c r="J4356" s="7" t="str"/>
    </x:row>
    <x:row r="4357">
      <x:c r="A4357" s="5" t="str">
        <x:v>附</x:v>
      </x:c>
      <x:c r="B4357" s="6" t="str">
        <x:v>去</x:v>
      </x:c>
      <x:c r="C4357" s="6" t="str">
        <x:f>IF(B4357="","Needs decision","Ready")</x:f>
        <x:v>Ready</x:v>
      </x:c>
      <x:c r="D4357" s="6" t="str">
        <x:v>去</x:v>
      </x:c>
      <x:c r="E4357" s="6" t="str">
        <x:v>bjuH (C)</x:v>
      </x:c>
      <x:c r="F4357" s="6" t="str">
        <x:v>1</x:v>
      </x:c>
      <x:c r="G4357" s="6" t="str"/>
      <x:c r="H4357" s="6" t="str">
        <x:f>IF(B4357="平","平",IF(B4357="","","仄"))</x:f>
        <x:v>仄</x:v>
      </x:c>
      <x:c r="I4357" s="6" t="str">
        <x:f>IF(D4340="","",IF(AND(ISNUMBER(SEARCH("平",D4340)),OR(ISNUMBER(SEARCH("上",D4340)),ISNUMBER(SEARCH("去",D4340)),ISNUMBER(SEARCH("入",D4340)))),"Ambiguous",IF(ISNUMBER(SEARCH("平",D4340)),"平","仄")))</x:f>
        <x:v>平</x:v>
      </x:c>
      <x:c r="J4357" s="7" t="str"/>
    </x:row>
    <x:row r="4358">
      <x:c r="A4358" s="5" t="str">
        <x:v>陋</x:v>
      </x:c>
      <x:c r="B4358" s="6" t="str">
        <x:v>去</x:v>
      </x:c>
      <x:c r="C4358" s="6" t="str">
        <x:f>IF(B4358="","Needs decision","Ready")</x:f>
        <x:v>Ready</x:v>
      </x:c>
      <x:c r="D4358" s="6" t="str">
        <x:v>去</x:v>
      </x:c>
      <x:c r="E4358" s="6" t="str">
        <x:v>luwH (C)</x:v>
      </x:c>
      <x:c r="F4358" s="6" t="str">
        <x:v>1</x:v>
      </x:c>
      <x:c r="G4358" s="6" t="str"/>
      <x:c r="H4358" s="6" t="str">
        <x:f>IF(B4358="平","平",IF(B4358="","","仄"))</x:f>
        <x:v>仄</x:v>
      </x:c>
      <x:c r="I4358" s="6" t="str">
        <x:f>IF(D4341="","",IF(AND(ISNUMBER(SEARCH("平",D4341)),OR(ISNUMBER(SEARCH("上",D4341)),ISNUMBER(SEARCH("去",D4341)),ISNUMBER(SEARCH("入",D4341)))),"Ambiguous",IF(ISNUMBER(SEARCH("平",D4341)),"平","仄")))</x:f>
        <x:v>平</x:v>
      </x:c>
      <x:c r="J4358" s="7" t="str"/>
    </x:row>
    <x:row r="4359">
      <x:c r="A4359" s="5" t="str">
        <x:v>陌</x:v>
      </x:c>
      <x:c r="B4359" s="6" t="str">
        <x:v>入</x:v>
      </x:c>
      <x:c r="C4359" s="6" t="str">
        <x:f>IF(B4359="","Needs decision","Ready")</x:f>
        <x:v>Ready</x:v>
      </x:c>
      <x:c r="D4359" s="6" t="str">
        <x:v>入</x:v>
      </x:c>
      <x:c r="E4359" s="6" t="str">
        <x:v>maek (D)</x:v>
      </x:c>
      <x:c r="F4359" s="6" t="str">
        <x:v>1</x:v>
      </x:c>
      <x:c r="G4359" s="6" t="str"/>
      <x:c r="H4359" s="6" t="str">
        <x:f>IF(B4359="平","平",IF(B4359="","","仄"))</x:f>
        <x:v>仄</x:v>
      </x:c>
      <x:c r="I4359" s="6" t="str">
        <x:f>IF(D4342="","",IF(AND(ISNUMBER(SEARCH("平",D4342)),OR(ISNUMBER(SEARCH("上",D4342)),ISNUMBER(SEARCH("去",D4342)),ISNUMBER(SEARCH("入",D4342)))),"Ambiguous",IF(ISNUMBER(SEARCH("平",D4342)),"平","仄")))</x:f>
        <x:v>仄</x:v>
      </x:c>
      <x:c r="J4359" s="7" t="str"/>
    </x:row>
    <x:row r="4360">
      <x:c r="A4360" s="5" t="str">
        <x:v>降</x:v>
      </x:c>
      <x:c r="B4360" s="6" t="str"/>
      <x:c r="C4360" s="6" t="str">
        <x:f>IF(B4360="","Needs decision","Ready")</x:f>
        <x:v>Needs decision</x:v>
      </x:c>
      <x:c r="D4360" s="6" t="str">
        <x:v>去/平</x:v>
      </x:c>
      <x:c r="E4360" s="6" t="str">
        <x:v>kaewngH (C); haewng (A)</x:v>
      </x:c>
      <x:c r="F4360" s="6" t="str">
        <x:v>2</x:v>
      </x:c>
      <x:c r="G4360" s="6" t="str"/>
      <x:c r="H4360" s="6" t="str">
        <x:f>IF(B4360="平","平",IF(B4360="","","仄"))</x:f>
      </x:c>
      <x:c r="I4360" s="6" t="str">
        <x:f>IF(D4343="","",IF(AND(ISNUMBER(SEARCH("平",D4343)),OR(ISNUMBER(SEARCH("上",D4343)),ISNUMBER(SEARCH("去",D4343)),ISNUMBER(SEARCH("入",D4343)))),"Ambiguous",IF(ISNUMBER(SEARCH("平",D4343)),"平","仄")))</x:f>
        <x:v>仄</x:v>
      </x:c>
      <x:c r="J4360" s="7" t="str"/>
    </x:row>
    <x:row r="4361">
      <x:c r="A4361" s="5" t="str">
        <x:v>限</x:v>
      </x:c>
      <x:c r="B4361" s="6" t="str">
        <x:v>上</x:v>
      </x:c>
      <x:c r="C4361" s="6" t="str">
        <x:f>IF(B4361="","Needs decision","Ready")</x:f>
        <x:v>Ready</x:v>
      </x:c>
      <x:c r="D4361" s="6" t="str">
        <x:v>上</x:v>
      </x:c>
      <x:c r="E4361" s="6" t="str">
        <x:v>heanX (B)</x:v>
      </x:c>
      <x:c r="F4361" s="6" t="str">
        <x:v>1</x:v>
      </x:c>
      <x:c r="G4361" s="6" t="str"/>
      <x:c r="H4361" s="6" t="str">
        <x:f>IF(B4361="平","平",IF(B4361="","","仄"))</x:f>
        <x:v>仄</x:v>
      </x:c>
      <x:c r="I4361" s="6" t="str">
        <x:f>IF(D4344="","",IF(AND(ISNUMBER(SEARCH("平",D4344)),OR(ISNUMBER(SEARCH("上",D4344)),ISNUMBER(SEARCH("去",D4344)),ISNUMBER(SEARCH("入",D4344)))),"Ambiguous",IF(ISNUMBER(SEARCH("平",D4344)),"平","仄")))</x:f>
        <x:v>仄</x:v>
      </x:c>
      <x:c r="J4361" s="7" t="str"/>
    </x:row>
    <x:row r="4362">
      <x:c r="A4362" s="5" t="str">
        <x:v>陘</x:v>
      </x:c>
      <x:c r="B4362" s="6" t="str">
        <x:v>平</x:v>
      </x:c>
      <x:c r="C4362" s="6" t="str">
        <x:f>IF(B4362="","Needs decision","Ready")</x:f>
        <x:v>Ready</x:v>
      </x:c>
      <x:c r="D4362" s="6" t="str">
        <x:v>平</x:v>
      </x:c>
      <x:c r="E4362" s="6" t="str">
        <x:v>heng (A)</x:v>
      </x:c>
      <x:c r="F4362" s="6" t="str">
        <x:v>1</x:v>
      </x:c>
      <x:c r="G4362" s="6" t="str"/>
      <x:c r="H4362" s="6" t="str">
        <x:f>IF(B4362="平","平",IF(B4362="","","仄"))</x:f>
        <x:v>平</x:v>
      </x:c>
      <x:c r="I4362" s="6" t="str">
        <x:f>IF(D4345="","",IF(AND(ISNUMBER(SEARCH("平",D4345)),OR(ISNUMBER(SEARCH("上",D4345)),ISNUMBER(SEARCH("去",D4345)),ISNUMBER(SEARCH("入",D4345)))),"Ambiguous",IF(ISNUMBER(SEARCH("平",D4345)),"平","仄")))</x:f>
        <x:v>平</x:v>
      </x:c>
      <x:c r="J4362" s="7" t="str"/>
    </x:row>
    <x:row r="4363">
      <x:c r="A4363" s="5" t="str">
        <x:v>陛</x:v>
      </x:c>
      <x:c r="B4363" s="6" t="str">
        <x:v>上</x:v>
      </x:c>
      <x:c r="C4363" s="6" t="str">
        <x:f>IF(B4363="","Needs decision","Ready")</x:f>
        <x:v>Ready</x:v>
      </x:c>
      <x:c r="D4363" s="6" t="str">
        <x:v>上</x:v>
      </x:c>
      <x:c r="E4363" s="6" t="str">
        <x:v>bejX [b̙ejʔ] (上)</x:v>
      </x:c>
      <x:c r="F4363" s="6" t="str">
        <x:v>1</x:v>
      </x:c>
      <x:c r="G4363" s="6" t="str">
        <x:v>Tang 300 gap; frequency 1; provisional from Xun Gong</x:v>
      </x:c>
      <x:c r="H4363" s="6" t="str">
        <x:f>IF(B4363="平","平",IF(B4363="","","仄"))</x:f>
        <x:v>仄</x:v>
      </x:c>
      <x:c r="I4363" s="6" t="str">
        <x:f>IF(D4346="","",IF(AND(ISNUMBER(SEARCH("平",D4346)),OR(ISNUMBER(SEARCH("上",D4346)),ISNUMBER(SEARCH("去",D4346)),ISNUMBER(SEARCH("入",D4346)))),"Ambiguous",IF(ISNUMBER(SEARCH("平",D4346)),"平","仄")))</x:f>
        <x:v>仄</x:v>
      </x:c>
      <x:c r="J4363" s="7" t="str">
        <x:v>Xun Gong, Tang 300 gap fill</x:v>
      </x:c>
    </x:row>
    <x:row r="4364">
      <x:c r="A4364" s="5" t="str">
        <x:v>陞</x:v>
      </x:c>
      <x:c r="B4364" s="6" t="str">
        <x:v>平</x:v>
      </x:c>
      <x:c r="C4364" s="6" t="str">
        <x:f>IF(B4364="","Needs decision","Ready")</x:f>
        <x:v>Ready</x:v>
      </x:c>
      <x:c r="D4364" s="6" t="str">
        <x:v>平</x:v>
      </x:c>
      <x:c r="E4364" s="6" t="str">
        <x:v>sying (A)</x:v>
      </x:c>
      <x:c r="F4364" s="6" t="str">
        <x:v>1</x:v>
      </x:c>
      <x:c r="G4364" s="6" t="str"/>
      <x:c r="H4364" s="6" t="str">
        <x:f>IF(B4364="平","平",IF(B4364="","","仄"))</x:f>
        <x:v>平</x:v>
      </x:c>
      <x:c r="I4364" s="6" t="str">
        <x:f>IF(D4347="","",IF(AND(ISNUMBER(SEARCH("平",D4347)),OR(ISNUMBER(SEARCH("上",D4347)),ISNUMBER(SEARCH("去",D4347)),ISNUMBER(SEARCH("入",D4347)))),"Ambiguous",IF(ISNUMBER(SEARCH("平",D4347)),"平","仄")))</x:f>
        <x:v>平</x:v>
      </x:c>
      <x:c r="J4364" s="7" t="str"/>
    </x:row>
    <x:row r="4365">
      <x:c r="A4365" s="5" t="str">
        <x:v>陟</x:v>
      </x:c>
      <x:c r="B4365" s="6" t="str">
        <x:v>入</x:v>
      </x:c>
      <x:c r="C4365" s="6" t="str">
        <x:f>IF(B4365="","Needs decision","Ready")</x:f>
        <x:v>Ready</x:v>
      </x:c>
      <x:c r="D4365" s="6" t="str">
        <x:v>入</x:v>
      </x:c>
      <x:c r="E4365" s="6" t="str">
        <x:v>trik (D)</x:v>
      </x:c>
      <x:c r="F4365" s="6" t="str">
        <x:v>1</x:v>
      </x:c>
      <x:c r="G4365" s="6" t="str"/>
      <x:c r="H4365" s="6" t="str">
        <x:f>IF(B4365="平","平",IF(B4365="","","仄"))</x:f>
        <x:v>仄</x:v>
      </x:c>
      <x:c r="I4365" s="6" t="str">
        <x:f>IF(D4348="","",IF(AND(ISNUMBER(SEARCH("平",D4348)),OR(ISNUMBER(SEARCH("上",D4348)),ISNUMBER(SEARCH("去",D4348)),ISNUMBER(SEARCH("入",D4348)))),"Ambiguous",IF(ISNUMBER(SEARCH("平",D4348)),"平","仄")))</x:f>
        <x:v>仄</x:v>
      </x:c>
      <x:c r="J4365" s="7" t="str"/>
    </x:row>
    <x:row r="4366">
      <x:c r="A4366" s="5" t="str">
        <x:v>院</x:v>
      </x:c>
      <x:c r="B4366" s="6" t="str">
        <x:v>去</x:v>
      </x:c>
      <x:c r="C4366" s="6" t="str">
        <x:f>IF(B4366="","Needs decision","Ready")</x:f>
        <x:v>Ready</x:v>
      </x:c>
      <x:c r="D4366" s="6" t="str">
        <x:v>去</x:v>
      </x:c>
      <x:c r="E4366" s="6" t="str">
        <x:v>hjwenH (C)</x:v>
      </x:c>
      <x:c r="F4366" s="6" t="str">
        <x:v>1</x:v>
      </x:c>
      <x:c r="G4366" s="6" t="str"/>
      <x:c r="H4366" s="6" t="str">
        <x:f>IF(B4366="平","平",IF(B4366="","","仄"))</x:f>
        <x:v>仄</x:v>
      </x:c>
      <x:c r="I4366" s="6" t="str">
        <x:f>IF(D4349="","",IF(AND(ISNUMBER(SEARCH("平",D4349)),OR(ISNUMBER(SEARCH("上",D4349)),ISNUMBER(SEARCH("去",D4349)),ISNUMBER(SEARCH("入",D4349)))),"Ambiguous",IF(ISNUMBER(SEARCH("平",D4349)),"平","仄")))</x:f>
        <x:v>仄</x:v>
      </x:c>
      <x:c r="J4366" s="7" t="str"/>
    </x:row>
    <x:row r="4367">
      <x:c r="A4367" s="5" t="str">
        <x:v>陣</x:v>
      </x:c>
      <x:c r="B4367" s="6" t="str">
        <x:v>去</x:v>
      </x:c>
      <x:c r="C4367" s="6" t="str">
        <x:f>IF(B4367="","Needs decision","Ready")</x:f>
        <x:v>Ready</x:v>
      </x:c>
      <x:c r="D4367" s="6" t="str">
        <x:v>去</x:v>
      </x:c>
      <x:c r="E4367" s="6" t="str">
        <x:v>drinH (C)</x:v>
      </x:c>
      <x:c r="F4367" s="6" t="str">
        <x:v>1</x:v>
      </x:c>
      <x:c r="G4367" s="6" t="str"/>
      <x:c r="H4367" s="6" t="str">
        <x:f>IF(B4367="平","平",IF(B4367="","","仄"))</x:f>
        <x:v>仄</x:v>
      </x:c>
      <x:c r="I4367" s="6" t="str">
        <x:f>IF(D4350="","",IF(AND(ISNUMBER(SEARCH("平",D4350)),OR(ISNUMBER(SEARCH("上",D4350)),ISNUMBER(SEARCH("去",D4350)),ISNUMBER(SEARCH("入",D4350)))),"Ambiguous",IF(ISNUMBER(SEARCH("平",D4350)),"平","仄")))</x:f>
        <x:v>仄</x:v>
      </x:c>
      <x:c r="J4367" s="7" t="str"/>
    </x:row>
    <x:row r="4368">
      <x:c r="A4368" s="5" t="str">
        <x:v>除</x:v>
      </x:c>
      <x:c r="B4368" s="6" t="str">
        <x:v>平</x:v>
      </x:c>
      <x:c r="C4368" s="6" t="str">
        <x:f>IF(B4368="","Needs decision","Ready")</x:f>
        <x:v>Ready</x:v>
      </x:c>
      <x:c r="D4368" s="6" t="str">
        <x:v>平/去</x:v>
      </x:c>
      <x:c r="E4368" s="6" t="str">
        <x:v>drjo (A); drjoH (C)</x:v>
      </x:c>
      <x:c r="F4368" s="6" t="str">
        <x:v>2</x:v>
      </x:c>
      <x:c r="G4368" s="6" t="str">
        <x:v>User workbook edit 2026-09-03</x:v>
      </x:c>
      <x:c r="H4368" s="6" t="str">
        <x:f>IF(B4368="平","平",IF(B4368="","","仄"))</x:f>
        <x:v>平</x:v>
      </x:c>
      <x:c r="I4368" s="6" t="str">
        <x:f>IF(D4351="","",IF(AND(ISNUMBER(SEARCH("平",D4351)),OR(ISNUMBER(SEARCH("上",D4351)),ISNUMBER(SEARCH("去",D4351)),ISNUMBER(SEARCH("入",D4351)))),"Ambiguous",IF(ISNUMBER(SEARCH("平",D4351)),"平","仄")))</x:f>
        <x:v>平</x:v>
      </x:c>
      <x:c r="J4368" s="7" t="str">
        <x:v>manual user correction</x:v>
      </x:c>
    </x:row>
    <x:row r="4369">
      <x:c r="A4369" s="5" t="str">
        <x:v>陪</x:v>
      </x:c>
      <x:c r="B4369" s="6" t="str">
        <x:v>平</x:v>
      </x:c>
      <x:c r="C4369" s="6" t="str">
        <x:f>IF(B4369="","Needs decision","Ready")</x:f>
        <x:v>Ready</x:v>
      </x:c>
      <x:c r="D4369" s="6" t="str">
        <x:v>平</x:v>
      </x:c>
      <x:c r="E4369" s="6" t="str">
        <x:v>bwoj [b̙wəj] (平)</x:v>
      </x:c>
      <x:c r="F4369" s="6" t="str">
        <x:v>1</x:v>
      </x:c>
      <x:c r="G4369" s="6" t="str">
        <x:v>Tang 300 gap; frequency 1; provisional from Xun Gong</x:v>
      </x:c>
      <x:c r="H4369" s="6" t="str">
        <x:f>IF(B4369="平","平",IF(B4369="","","仄"))</x:f>
        <x:v>平</x:v>
      </x:c>
      <x:c r="I4369" s="6" t="str">
        <x:f>IF(D4352="","",IF(AND(ISNUMBER(SEARCH("平",D4352)),OR(ISNUMBER(SEARCH("上",D4352)),ISNUMBER(SEARCH("去",D4352)),ISNUMBER(SEARCH("入",D4352)))),"Ambiguous",IF(ISNUMBER(SEARCH("平",D4352)),"平","仄")))</x:f>
        <x:v>仄</x:v>
      </x:c>
      <x:c r="J4369" s="7" t="str">
        <x:v>Xun Gong, Tang 300 gap fill</x:v>
      </x:c>
    </x:row>
    <x:row r="4370">
      <x:c r="A4370" s="5" t="str">
        <x:v>陬</x:v>
      </x:c>
      <x:c r="B4370" s="6" t="str">
        <x:v>平</x:v>
      </x:c>
      <x:c r="C4370" s="6" t="str">
        <x:f>IF(B4370="","Needs decision","Ready")</x:f>
        <x:v>Ready</x:v>
      </x:c>
      <x:c r="D4370" s="6" t="str">
        <x:v>平</x:v>
      </x:c>
      <x:c r="E4370" s="6" t="str">
        <x:v>tsrjuw [莊三尤平] tʂɨ̯u; tsuw [精一侯平] t̙s̙u; tsju [精合三虞平] tsjo</x:v>
      </x:c>
      <x:c r="F4370" s="6" t="str">
        <x:v>3</x:v>
      </x:c>
      <x:c r="G4370" s="6" t="str">
        <x:v>Targeted preliminary fill from Xun Gong; review if uncertain</x:v>
      </x:c>
      <x:c r="H4370" s="6" t="str">
        <x:f>IF(B4370="平","平",IF(B4370="","","仄"))</x:f>
        <x:v>平</x:v>
      </x:c>
      <x:c r="I4370" s="6" t="str">
        <x:f>IF(D4353="","",IF(AND(ISNUMBER(SEARCH("平",D4353)),OR(ISNUMBER(SEARCH("上",D4353)),ISNUMBER(SEARCH("去",D4353)),ISNUMBER(SEARCH("入",D4353)))),"Ambiguous",IF(ISNUMBER(SEARCH("平",D4353)),"平","仄")))</x:f>
        <x:v>仄</x:v>
      </x:c>
      <x:c r="J4370" s="7" t="str">
        <x:v>Xun Gong character-readings.csv</x:v>
      </x:c>
    </x:row>
    <x:row r="4371">
      <x:c r="A4371" s="5" t="str">
        <x:v>陰</x:v>
      </x:c>
      <x:c r="B4371" s="6" t="str">
        <x:v>平</x:v>
      </x:c>
      <x:c r="C4371" s="6" t="str">
        <x:f>IF(B4371="","Needs decision","Ready")</x:f>
        <x:v>Ready</x:v>
      </x:c>
      <x:c r="D4371" s="6" t="str">
        <x:v>平</x:v>
      </x:c>
      <x:c r="E4371" s="6" t="str">
        <x:v>'im (A)</x:v>
      </x:c>
      <x:c r="F4371" s="6" t="str">
        <x:v>1</x:v>
      </x:c>
      <x:c r="G4371" s="6" t="str"/>
      <x:c r="H4371" s="6" t="str">
        <x:f>IF(B4371="平","平",IF(B4371="","","仄"))</x:f>
        <x:v>平</x:v>
      </x:c>
      <x:c r="I4371" s="6" t="str">
        <x:f>IF(D4354="","",IF(AND(ISNUMBER(SEARCH("平",D4354)),OR(ISNUMBER(SEARCH("上",D4354)),ISNUMBER(SEARCH("去",D4354)),ISNUMBER(SEARCH("入",D4354)))),"Ambiguous",IF(ISNUMBER(SEARCH("平",D4354)),"平","仄")))</x:f>
        <x:v>平</x:v>
      </x:c>
      <x:c r="J4371" s="7" t="str"/>
    </x:row>
    <x:row r="4372">
      <x:c r="A4372" s="5" t="str">
        <x:v>陲</x:v>
      </x:c>
      <x:c r="B4372" s="6" t="str">
        <x:v>平</x:v>
      </x:c>
      <x:c r="C4372" s="6" t="str">
        <x:f>IF(B4372="","Needs decision","Ready")</x:f>
        <x:v>Ready</x:v>
      </x:c>
      <x:c r="D4372" s="6" t="str">
        <x:v>平</x:v>
      </x:c>
      <x:c r="E4372" s="6" t="str">
        <x:v>dzywe [dʑwie] (平)</x:v>
      </x:c>
      <x:c r="F4372" s="6" t="str">
        <x:v>1</x:v>
      </x:c>
      <x:c r="G4372" s="6" t="str">
        <x:v>Tang 300 gap; frequency 2; provisional from Xun Gong</x:v>
      </x:c>
      <x:c r="H4372" s="6" t="str">
        <x:f>IF(B4372="平","平",IF(B4372="","","仄"))</x:f>
        <x:v>平</x:v>
      </x:c>
      <x:c r="I4372" s="6" t="str">
        <x:f>IF(D4355="","",IF(AND(ISNUMBER(SEARCH("平",D4355)),OR(ISNUMBER(SEARCH("上",D4355)),ISNUMBER(SEARCH("去",D4355)),ISNUMBER(SEARCH("入",D4355)))),"Ambiguous",IF(ISNUMBER(SEARCH("平",D4355)),"平","仄")))</x:f>
        <x:v>平</x:v>
      </x:c>
      <x:c r="J4372" s="7" t="str">
        <x:v>Xun Gong, Tang 300 gap fill</x:v>
      </x:c>
    </x:row>
    <x:row r="4373">
      <x:c r="A4373" s="5" t="str">
        <x:v>陳</x:v>
      </x:c>
      <x:c r="B4373" s="6" t="str">
        <x:v>平</x:v>
      </x:c>
      <x:c r="C4373" s="6" t="str">
        <x:f>IF(B4373="","Needs decision","Ready")</x:f>
        <x:v>Ready</x:v>
      </x:c>
      <x:c r="D4373" s="6" t="str">
        <x:v>平/去</x:v>
      </x:c>
      <x:c r="E4373" s="6" t="str">
        <x:v>drin (A); drinH (C)</x:v>
      </x:c>
      <x:c r="F4373" s="6" t="str">
        <x:v>2</x:v>
      </x:c>
      <x:c r="G4373" s="6" t="str">
        <x:v>User workbook edit 2026-09-03</x:v>
      </x:c>
      <x:c r="H4373" s="6" t="str">
        <x:f>IF(B4373="平","平",IF(B4373="","","仄"))</x:f>
        <x:v>平</x:v>
      </x:c>
      <x:c r="I4373" s="6" t="str">
        <x:f>IF(D4356="","",IF(AND(ISNUMBER(SEARCH("平",D4356)),OR(ISNUMBER(SEARCH("上",D4356)),ISNUMBER(SEARCH("去",D4356)),ISNUMBER(SEARCH("入",D4356)))),"Ambiguous",IF(ISNUMBER(SEARCH("平",D4356)),"平","仄")))</x:f>
        <x:v>平</x:v>
      </x:c>
      <x:c r="J4373" s="7" t="str">
        <x:v>manual user correction</x:v>
      </x:c>
    </x:row>
    <x:row r="4374">
      <x:c r="A4374" s="5" t="str">
        <x:v>陵</x:v>
      </x:c>
      <x:c r="B4374" s="6" t="str">
        <x:v>平</x:v>
      </x:c>
      <x:c r="C4374" s="6" t="str">
        <x:f>IF(B4374="","Needs decision","Ready")</x:f>
        <x:v>Ready</x:v>
      </x:c>
      <x:c r="D4374" s="6" t="str">
        <x:v>平</x:v>
      </x:c>
      <x:c r="E4374" s="6" t="str">
        <x:v>ling (A)</x:v>
      </x:c>
      <x:c r="F4374" s="6" t="str">
        <x:v>1</x:v>
      </x:c>
      <x:c r="G4374" s="6" t="str"/>
      <x:c r="H4374" s="6" t="str">
        <x:f>IF(B4374="平","平",IF(B4374="","","仄"))</x:f>
        <x:v>平</x:v>
      </x:c>
      <x:c r="I4374" s="6" t="str">
        <x:f>IF(D4357="","",IF(AND(ISNUMBER(SEARCH("平",D4357)),OR(ISNUMBER(SEARCH("上",D4357)),ISNUMBER(SEARCH("去",D4357)),ISNUMBER(SEARCH("入",D4357)))),"Ambiguous",IF(ISNUMBER(SEARCH("平",D4357)),"平","仄")))</x:f>
        <x:v>仄</x:v>
      </x:c>
      <x:c r="J4374" s="7" t="str"/>
    </x:row>
    <x:row r="4375">
      <x:c r="A4375" s="5" t="str">
        <x:v>陶</x:v>
      </x:c>
      <x:c r="B4375" s="6" t="str">
        <x:v>平</x:v>
      </x:c>
      <x:c r="C4375" s="6" t="str">
        <x:f>IF(B4375="","Needs decision","Ready")</x:f>
        <x:v>Ready</x:v>
      </x:c>
      <x:c r="D4375" s="6" t="str">
        <x:v>平</x:v>
      </x:c>
      <x:c r="E4375" s="6" t="str"/>
      <x:c r="F4375" s="6" t="str"/>
      <x:c r="G4375" s="6" t="str">
        <x:v>Manual user correction/addition</x:v>
      </x:c>
      <x:c r="H4375" s="6" t="str">
        <x:f>IF(B4375="平","平",IF(B4375="","","仄"))</x:f>
        <x:v>平</x:v>
      </x:c>
      <x:c r="I4375" s="6" t="str">
        <x:f>IF(D4358="","",IF(AND(ISNUMBER(SEARCH("平",D4358)),OR(ISNUMBER(SEARCH("上",D4358)),ISNUMBER(SEARCH("去",D4358)),ISNUMBER(SEARCH("入",D4358)))),"Ambiguous",IF(ISNUMBER(SEARCH("平",D4358)),"平","仄")))</x:f>
        <x:v>仄</x:v>
      </x:c>
      <x:c r="J4375" s="7" t="str">
        <x:v>manual user correction</x:v>
      </x:c>
    </x:row>
    <x:row r="4376">
      <x:c r="A4376" s="5" t="str">
        <x:v>陷</x:v>
      </x:c>
      <x:c r="B4376" s="6" t="str">
        <x:v>去</x:v>
      </x:c>
      <x:c r="C4376" s="6" t="str">
        <x:f>IF(B4376="","Needs decision","Ready")</x:f>
        <x:v>Ready</x:v>
      </x:c>
      <x:c r="D4376" s="6" t="str">
        <x:v>去</x:v>
      </x:c>
      <x:c r="E4376" s="6" t="str">
        <x:v>heamH (C)</x:v>
      </x:c>
      <x:c r="F4376" s="6" t="str">
        <x:v>1</x:v>
      </x:c>
      <x:c r="G4376" s="6" t="str"/>
      <x:c r="H4376" s="6" t="str">
        <x:f>IF(B4376="平","平",IF(B4376="","","仄"))</x:f>
        <x:v>仄</x:v>
      </x:c>
      <x:c r="I4376" s="6" t="str">
        <x:f>IF(D4359="","",IF(AND(ISNUMBER(SEARCH("平",D4359)),OR(ISNUMBER(SEARCH("上",D4359)),ISNUMBER(SEARCH("去",D4359)),ISNUMBER(SEARCH("入",D4359)))),"Ambiguous",IF(ISNUMBER(SEARCH("平",D4359)),"平","仄")))</x:f>
        <x:v>仄</x:v>
      </x:c>
      <x:c r="J4376" s="7" t="str"/>
    </x:row>
    <x:row r="4377">
      <x:c r="A4377" s="5" t="str">
        <x:v>陸</x:v>
      </x:c>
      <x:c r="B4377" s="6" t="str">
        <x:v>入</x:v>
      </x:c>
      <x:c r="C4377" s="6" t="str">
        <x:f>IF(B4377="","Needs decision","Ready")</x:f>
        <x:v>Ready</x:v>
      </x:c>
      <x:c r="D4377" s="6" t="str">
        <x:v>入</x:v>
      </x:c>
      <x:c r="E4377" s="6" t="str">
        <x:v>ljuwk (D)</x:v>
      </x:c>
      <x:c r="F4377" s="6" t="str">
        <x:v>1</x:v>
      </x:c>
      <x:c r="G4377" s="6" t="str"/>
      <x:c r="H4377" s="6" t="str">
        <x:f>IF(B4377="平","平",IF(B4377="","","仄"))</x:f>
        <x:v>仄</x:v>
      </x:c>
      <x:c r="I4377" s="6" t="str">
        <x:f>IF(D4360="","",IF(AND(ISNUMBER(SEARCH("平",D4360)),OR(ISNUMBER(SEARCH("上",D4360)),ISNUMBER(SEARCH("去",D4360)),ISNUMBER(SEARCH("入",D4360)))),"Ambiguous",IF(ISNUMBER(SEARCH("平",D4360)),"平","仄")))</x:f>
        <x:v>Ambiguous</x:v>
      </x:c>
      <x:c r="J4377" s="7" t="str"/>
    </x:row>
    <x:row r="4378">
      <x:c r="A4378" s="5" t="str">
        <x:v>陻</x:v>
      </x:c>
      <x:c r="B4378" s="6" t="str">
        <x:v>平</x:v>
      </x:c>
      <x:c r="C4378" s="6" t="str">
        <x:f>IF(B4378="","Needs decision","Ready")</x:f>
        <x:v>Ready</x:v>
      </x:c>
      <x:c r="D4378" s="6" t="str">
        <x:v>平</x:v>
      </x:c>
      <x:c r="E4378" s="6" t="str">
        <x:v>'jin (A)</x:v>
      </x:c>
      <x:c r="F4378" s="6" t="str">
        <x:v>1</x:v>
      </x:c>
      <x:c r="G4378" s="6" t="str"/>
      <x:c r="H4378" s="6" t="str">
        <x:f>IF(B4378="平","平",IF(B4378="","","仄"))</x:f>
        <x:v>平</x:v>
      </x:c>
      <x:c r="I4378" s="6" t="str">
        <x:f>IF(D4361="","",IF(AND(ISNUMBER(SEARCH("平",D4361)),OR(ISNUMBER(SEARCH("上",D4361)),ISNUMBER(SEARCH("去",D4361)),ISNUMBER(SEARCH("入",D4361)))),"Ambiguous",IF(ISNUMBER(SEARCH("平",D4361)),"平","仄")))</x:f>
        <x:v>仄</x:v>
      </x:c>
      <x:c r="J4378" s="7" t="str"/>
    </x:row>
    <x:row r="4379">
      <x:c r="A4379" s="5" t="str">
        <x:v>陼</x:v>
      </x:c>
      <x:c r="B4379" s="6" t="str">
        <x:v>上</x:v>
      </x:c>
      <x:c r="C4379" s="6" t="str">
        <x:f>IF(B4379="","Needs decision","Ready")</x:f>
        <x:v>Ready</x:v>
      </x:c>
      <x:c r="D4379" s="6" t="str">
        <x:v>上</x:v>
      </x:c>
      <x:c r="E4379" s="6" t="str">
        <x:v>tsyoX (B)</x:v>
      </x:c>
      <x:c r="F4379" s="6" t="str">
        <x:v>1</x:v>
      </x:c>
      <x:c r="G4379" s="6" t="str"/>
      <x:c r="H4379" s="6" t="str">
        <x:f>IF(B4379="平","平",IF(B4379="","","仄"))</x:f>
        <x:v>仄</x:v>
      </x:c>
      <x:c r="I4379" s="6" t="str">
        <x:f>IF(D4362="","",IF(AND(ISNUMBER(SEARCH("平",D4362)),OR(ISNUMBER(SEARCH("上",D4362)),ISNUMBER(SEARCH("去",D4362)),ISNUMBER(SEARCH("入",D4362)))),"Ambiguous",IF(ISNUMBER(SEARCH("平",D4362)),"平","仄")))</x:f>
        <x:v>平</x:v>
      </x:c>
      <x:c r="J4379" s="7" t="str"/>
    </x:row>
    <x:row r="4380">
      <x:c r="A4380" s="5" t="str">
        <x:v>陽</x:v>
      </x:c>
      <x:c r="B4380" s="6" t="str">
        <x:v>平</x:v>
      </x:c>
      <x:c r="C4380" s="6" t="str">
        <x:f>IF(B4380="","Needs decision","Ready")</x:f>
        <x:v>Ready</x:v>
      </x:c>
      <x:c r="D4380" s="6" t="str">
        <x:v>平</x:v>
      </x:c>
      <x:c r="E4380" s="6" t="str">
        <x:v>yang (A)</x:v>
      </x:c>
      <x:c r="F4380" s="6" t="str">
        <x:v>1</x:v>
      </x:c>
      <x:c r="G4380" s="6" t="str"/>
      <x:c r="H4380" s="6" t="str">
        <x:f>IF(B4380="平","平",IF(B4380="","","仄"))</x:f>
        <x:v>平</x:v>
      </x:c>
      <x:c r="I4380" s="6" t="str">
        <x:f>IF(D4363="","",IF(AND(ISNUMBER(SEARCH("平",D4363)),OR(ISNUMBER(SEARCH("上",D4363)),ISNUMBER(SEARCH("去",D4363)),ISNUMBER(SEARCH("入",D4363)))),"Ambiguous",IF(ISNUMBER(SEARCH("平",D4363)),"平","仄")))</x:f>
        <x:v>仄</x:v>
      </x:c>
      <x:c r="J4380" s="7" t="str"/>
    </x:row>
    <x:row r="4381">
      <x:c r="A4381" s="5" t="str">
        <x:v>隄</x:v>
      </x:c>
      <x:c r="B4381" s="6" t="str">
        <x:v>平</x:v>
      </x:c>
      <x:c r="C4381" s="6" t="str">
        <x:f>IF(B4381="","Needs decision","Ready")</x:f>
        <x:v>Ready</x:v>
      </x:c>
      <x:c r="D4381" s="6" t="str">
        <x:v>平</x:v>
      </x:c>
      <x:c r="E4381" s="6" t="str">
        <x:v>dej [d̙ej] (平); tej [t̙ej] (平)</x:v>
      </x:c>
      <x:c r="F4381" s="6" t="str">
        <x:v>2</x:v>
      </x:c>
      <x:c r="G4381" s="6" t="str">
        <x:v>Tang 300 gap; frequency 2; provisional from Xun Gong</x:v>
      </x:c>
      <x:c r="H4381" s="6" t="str">
        <x:f>IF(B4381="平","平",IF(B4381="","","仄"))</x:f>
        <x:v>平</x:v>
      </x:c>
      <x:c r="I4381" s="6" t="str">
        <x:f>IF(D4364="","",IF(AND(ISNUMBER(SEARCH("平",D4364)),OR(ISNUMBER(SEARCH("上",D4364)),ISNUMBER(SEARCH("去",D4364)),ISNUMBER(SEARCH("入",D4364)))),"Ambiguous",IF(ISNUMBER(SEARCH("平",D4364)),"平","仄")))</x:f>
        <x:v>平</x:v>
      </x:c>
      <x:c r="J4381" s="7" t="str">
        <x:v>Xun Gong, Tang 300 gap fill</x:v>
      </x:c>
    </x:row>
    <x:row r="4382">
      <x:c r="A4382" s="5" t="str">
        <x:v>隅</x:v>
      </x:c>
      <x:c r="B4382" s="6" t="str">
        <x:v>平</x:v>
      </x:c>
      <x:c r="C4382" s="6" t="str">
        <x:f>IF(B4382="","Needs decision","Ready")</x:f>
        <x:v>Ready</x:v>
      </x:c>
      <x:c r="D4382" s="6" t="str">
        <x:v>平</x:v>
      </x:c>
      <x:c r="E4382" s="6" t="str">
        <x:v>ngju (A)</x:v>
      </x:c>
      <x:c r="F4382" s="6" t="str">
        <x:v>1</x:v>
      </x:c>
      <x:c r="G4382" s="6" t="str"/>
      <x:c r="H4382" s="6" t="str">
        <x:f>IF(B4382="平","平",IF(B4382="","","仄"))</x:f>
        <x:v>平</x:v>
      </x:c>
      <x:c r="I4382" s="6" t="str">
        <x:f>IF(D4365="","",IF(AND(ISNUMBER(SEARCH("平",D4365)),OR(ISNUMBER(SEARCH("上",D4365)),ISNUMBER(SEARCH("去",D4365)),ISNUMBER(SEARCH("入",D4365)))),"Ambiguous",IF(ISNUMBER(SEARCH("平",D4365)),"平","仄")))</x:f>
        <x:v>仄</x:v>
      </x:c>
      <x:c r="J4382" s="7" t="str"/>
    </x:row>
    <x:row r="4383">
      <x:c r="A4383" s="5" t="str">
        <x:v>隆</x:v>
      </x:c>
      <x:c r="B4383" s="6" t="str">
        <x:v>平</x:v>
      </x:c>
      <x:c r="C4383" s="6" t="str">
        <x:f>IF(B4383="","Needs decision","Ready")</x:f>
        <x:v>Ready</x:v>
      </x:c>
      <x:c r="D4383" s="6" t="str">
        <x:v>平</x:v>
      </x:c>
      <x:c r="E4383" s="6" t="str">
        <x:v>ljuwng (A)</x:v>
      </x:c>
      <x:c r="F4383" s="6" t="str">
        <x:v>1</x:v>
      </x:c>
      <x:c r="G4383" s="6" t="str"/>
      <x:c r="H4383" s="6" t="str">
        <x:f>IF(B4383="平","平",IF(B4383="","","仄"))</x:f>
        <x:v>平</x:v>
      </x:c>
      <x:c r="I4383" s="6" t="str">
        <x:f>IF(D4366="","",IF(AND(ISNUMBER(SEARCH("平",D4366)),OR(ISNUMBER(SEARCH("上",D4366)),ISNUMBER(SEARCH("去",D4366)),ISNUMBER(SEARCH("入",D4366)))),"Ambiguous",IF(ISNUMBER(SEARCH("平",D4366)),"平","仄")))</x:f>
        <x:v>仄</x:v>
      </x:c>
      <x:c r="J4383" s="7" t="str"/>
    </x:row>
    <x:row r="4384">
      <x:c r="A4384" s="5" t="str">
        <x:v>隈</x:v>
      </x:c>
      <x:c r="B4384" s="6" t="str">
        <x:v>平</x:v>
      </x:c>
      <x:c r="C4384" s="6" t="str">
        <x:f>IF(B4384="","Needs decision","Ready")</x:f>
        <x:v>Ready</x:v>
      </x:c>
      <x:c r="D4384" s="6" t="str">
        <x:v>平</x:v>
      </x:c>
      <x:c r="E4384" s="6" t="str">
        <x:v>'woj (A)</x:v>
      </x:c>
      <x:c r="F4384" s="6" t="str">
        <x:v>1</x:v>
      </x:c>
      <x:c r="G4384" s="6" t="str"/>
      <x:c r="H4384" s="6" t="str">
        <x:f>IF(B4384="平","平",IF(B4384="","","仄"))</x:f>
        <x:v>平</x:v>
      </x:c>
      <x:c r="I4384" s="6" t="str">
        <x:f>IF(D4367="","",IF(AND(ISNUMBER(SEARCH("平",D4367)),OR(ISNUMBER(SEARCH("上",D4367)),ISNUMBER(SEARCH("去",D4367)),ISNUMBER(SEARCH("入",D4367)))),"Ambiguous",IF(ISNUMBER(SEARCH("平",D4367)),"平","仄")))</x:f>
        <x:v>仄</x:v>
      </x:c>
      <x:c r="J4384" s="7" t="str"/>
    </x:row>
    <x:row r="4385">
      <x:c r="A4385" s="5" t="str">
        <x:v>隊</x:v>
      </x:c>
      <x:c r="B4385" s="6" t="str">
        <x:v>去</x:v>
      </x:c>
      <x:c r="C4385" s="6" t="str">
        <x:f>IF(B4385="","Needs decision","Ready")</x:f>
        <x:v>Ready</x:v>
      </x:c>
      <x:c r="D4385" s="6" t="str">
        <x:v>去</x:v>
      </x:c>
      <x:c r="E4385" s="6" t="str">
        <x:v>dwojH (C); drwijH (C)</x:v>
      </x:c>
      <x:c r="F4385" s="6" t="str">
        <x:v>2</x:v>
      </x:c>
      <x:c r="G4385" s="6" t="str"/>
      <x:c r="H4385" s="6" t="str">
        <x:f>IF(B4385="平","平",IF(B4385="","","仄"))</x:f>
        <x:v>仄</x:v>
      </x:c>
      <x:c r="I4385" s="6" t="str">
        <x:f>IF(D4368="","",IF(AND(ISNUMBER(SEARCH("平",D4368)),OR(ISNUMBER(SEARCH("上",D4368)),ISNUMBER(SEARCH("去",D4368)),ISNUMBER(SEARCH("入",D4368)))),"Ambiguous",IF(ISNUMBER(SEARCH("平",D4368)),"平","仄")))</x:f>
        <x:v>Ambiguous</x:v>
      </x:c>
      <x:c r="J4385" s="7" t="str"/>
    </x:row>
    <x:row r="4386">
      <x:c r="A4386" s="5" t="str">
        <x:v>隋</x:v>
      </x:c>
      <x:c r="B4386" s="6" t="str">
        <x:v>平</x:v>
      </x:c>
      <x:c r="C4386" s="6" t="str">
        <x:f>IF(B4386="","Needs decision","Ready")</x:f>
        <x:v>Ready</x:v>
      </x:c>
      <x:c r="D4386" s="6" t="str">
        <x:v>去/上/平</x:v>
      </x:c>
      <x:c r="E4386" s="6" t="str">
        <x:v>xjwieH (C); dwaX (B); zjwe (A); sjweH (C); thwaX (B)</x:v>
      </x:c>
      <x:c r="F4386" s="6" t="str">
        <x:v>5</x:v>
      </x:c>
      <x:c r="G4386" s="6" t="str">
        <x:v>User workbook edit 2026-09-03</x:v>
      </x:c>
      <x:c r="H4386" s="6" t="str">
        <x:f>IF(B4386="平","平",IF(B4386="","","仄"))</x:f>
        <x:v>平</x:v>
      </x:c>
      <x:c r="I4386" s="6" t="str">
        <x:f>IF(D4369="","",IF(AND(ISNUMBER(SEARCH("平",D4369)),OR(ISNUMBER(SEARCH("上",D4369)),ISNUMBER(SEARCH("去",D4369)),ISNUMBER(SEARCH("入",D4369)))),"Ambiguous",IF(ISNUMBER(SEARCH("平",D4369)),"平","仄")))</x:f>
        <x:v>平</x:v>
      </x:c>
      <x:c r="J4386" s="7" t="str">
        <x:v>manual user correction</x:v>
      </x:c>
    </x:row>
    <x:row r="4387">
      <x:c r="A4387" s="5" t="str">
        <x:v>隍</x:v>
      </x:c>
      <x:c r="B4387" s="6" t="str">
        <x:v>平</x:v>
      </x:c>
      <x:c r="C4387" s="6" t="str">
        <x:f>IF(B4387="","Needs decision","Ready")</x:f>
        <x:v>Ready</x:v>
      </x:c>
      <x:c r="D4387" s="6" t="str">
        <x:v>平</x:v>
      </x:c>
      <x:c r="E4387" s="6" t="str">
        <x:v>hwang (A)</x:v>
      </x:c>
      <x:c r="F4387" s="6" t="str">
        <x:v>1</x:v>
      </x:c>
      <x:c r="G4387" s="6" t="str"/>
      <x:c r="H4387" s="6" t="str">
        <x:f>IF(B4387="平","平",IF(B4387="","","仄"))</x:f>
        <x:v>平</x:v>
      </x:c>
      <x:c r="I4387" s="6" t="str">
        <x:f>IF(D4370="","",IF(AND(ISNUMBER(SEARCH("平",D4370)),OR(ISNUMBER(SEARCH("上",D4370)),ISNUMBER(SEARCH("去",D4370)),ISNUMBER(SEARCH("入",D4370)))),"Ambiguous",IF(ISNUMBER(SEARCH("平",D4370)),"平","仄")))</x:f>
        <x:v>平</x:v>
      </x:c>
      <x:c r="J4387" s="7" t="str"/>
    </x:row>
    <x:row r="4388">
      <x:c r="A4388" s="5" t="str">
        <x:v>階</x:v>
      </x:c>
      <x:c r="B4388" s="6" t="str">
        <x:v>平</x:v>
      </x:c>
      <x:c r="C4388" s="6" t="str">
        <x:f>IF(B4388="","Needs decision","Ready")</x:f>
        <x:v>Ready</x:v>
      </x:c>
      <x:c r="D4388" s="6" t="str">
        <x:v>平</x:v>
      </x:c>
      <x:c r="E4388" s="6" t="str">
        <x:v>keaj (A)</x:v>
      </x:c>
      <x:c r="F4388" s="6" t="str">
        <x:v>1</x:v>
      </x:c>
      <x:c r="G4388" s="6" t="str"/>
      <x:c r="H4388" s="6" t="str">
        <x:f>IF(B4388="平","平",IF(B4388="","","仄"))</x:f>
        <x:v>平</x:v>
      </x:c>
      <x:c r="I4388" s="6" t="str">
        <x:f>IF(D4371="","",IF(AND(ISNUMBER(SEARCH("平",D4371)),OR(ISNUMBER(SEARCH("上",D4371)),ISNUMBER(SEARCH("去",D4371)),ISNUMBER(SEARCH("入",D4371)))),"Ambiguous",IF(ISNUMBER(SEARCH("平",D4371)),"平","仄")))</x:f>
        <x:v>平</x:v>
      </x:c>
      <x:c r="J4388" s="7" t="str"/>
    </x:row>
    <x:row r="4389">
      <x:c r="A4389" s="5" t="str">
        <x:v>隓</x:v>
      </x:c>
      <x:c r="B4389" s="6" t="str">
        <x:v>上</x:v>
      </x:c>
      <x:c r="C4389" s="6" t="str">
        <x:f>IF(B4389="","Needs decision","Ready")</x:f>
        <x:v>Ready</x:v>
      </x:c>
      <x:c r="D4389" s="6" t="str">
        <x:v>上</x:v>
      </x:c>
      <x:c r="E4389" s="6" t="str">
        <x:v>dwaX (B)</x:v>
      </x:c>
      <x:c r="F4389" s="6" t="str">
        <x:v>1</x:v>
      </x:c>
      <x:c r="G4389" s="6" t="str"/>
      <x:c r="H4389" s="6" t="str">
        <x:f>IF(B4389="平","平",IF(B4389="","","仄"))</x:f>
        <x:v>仄</x:v>
      </x:c>
      <x:c r="I4389" s="6" t="str">
        <x:f>IF(D4372="","",IF(AND(ISNUMBER(SEARCH("平",D4372)),OR(ISNUMBER(SEARCH("上",D4372)),ISNUMBER(SEARCH("去",D4372)),ISNUMBER(SEARCH("入",D4372)))),"Ambiguous",IF(ISNUMBER(SEARCH("平",D4372)),"平","仄")))</x:f>
        <x:v>平</x:v>
      </x:c>
      <x:c r="J4389" s="7" t="str"/>
    </x:row>
    <x:row r="4390">
      <x:c r="A4390" s="5" t="str">
        <x:v>隔</x:v>
      </x:c>
      <x:c r="B4390" s="6" t="str">
        <x:v>入</x:v>
      </x:c>
      <x:c r="C4390" s="6" t="str">
        <x:f>IF(B4390="","Needs decision","Ready")</x:f>
        <x:v>Ready</x:v>
      </x:c>
      <x:c r="D4390" s="6" t="str">
        <x:v>入</x:v>
      </x:c>
      <x:c r="E4390" s="6" t="str">
        <x:v>keak (D)</x:v>
      </x:c>
      <x:c r="F4390" s="6" t="str">
        <x:v>1</x:v>
      </x:c>
      <x:c r="G4390" s="6" t="str"/>
      <x:c r="H4390" s="6" t="str">
        <x:f>IF(B4390="平","平",IF(B4390="","","仄"))</x:f>
        <x:v>仄</x:v>
      </x:c>
      <x:c r="I4390" s="6" t="str">
        <x:f>IF(D4373="","",IF(AND(ISNUMBER(SEARCH("平",D4373)),OR(ISNUMBER(SEARCH("上",D4373)),ISNUMBER(SEARCH("去",D4373)),ISNUMBER(SEARCH("入",D4373)))),"Ambiguous",IF(ISNUMBER(SEARCH("平",D4373)),"平","仄")))</x:f>
        <x:v>Ambiguous</x:v>
      </x:c>
      <x:c r="J4390" s="7" t="str"/>
    </x:row>
    <x:row r="4391">
      <x:c r="A4391" s="5" t="str">
        <x:v>隕</x:v>
      </x:c>
      <x:c r="B4391" s="6" t="str">
        <x:v>上</x:v>
      </x:c>
      <x:c r="C4391" s="6" t="str">
        <x:f>IF(B4391="","Needs decision","Ready")</x:f>
        <x:v>Ready</x:v>
      </x:c>
      <x:c r="D4391" s="6" t="str">
        <x:v>上</x:v>
      </x:c>
      <x:c r="E4391" s="6" t="str">
        <x:v>hwinX (B)</x:v>
      </x:c>
      <x:c r="F4391" s="6" t="str">
        <x:v>1</x:v>
      </x:c>
      <x:c r="G4391" s="6" t="str"/>
      <x:c r="H4391" s="6" t="str">
        <x:f>IF(B4391="平","平",IF(B4391="","","仄"))</x:f>
        <x:v>仄</x:v>
      </x:c>
      <x:c r="I4391" s="6" t="str">
        <x:f>IF(D4374="","",IF(AND(ISNUMBER(SEARCH("平",D4374)),OR(ISNUMBER(SEARCH("上",D4374)),ISNUMBER(SEARCH("去",D4374)),ISNUMBER(SEARCH("入",D4374)))),"Ambiguous",IF(ISNUMBER(SEARCH("平",D4374)),"平","仄")))</x:f>
        <x:v>平</x:v>
      </x:c>
      <x:c r="J4391" s="7" t="str"/>
    </x:row>
    <x:row r="4392">
      <x:c r="A4392" s="5" t="str">
        <x:v>隗</x:v>
      </x:c>
      <x:c r="B4392" s="6" t="str">
        <x:v>上</x:v>
      </x:c>
      <x:c r="C4392" s="6" t="str">
        <x:f>IF(B4392="","Needs decision","Ready")</x:f>
        <x:v>Ready</x:v>
      </x:c>
      <x:c r="D4392" s="6" t="str">
        <x:v>上</x:v>
      </x:c>
      <x:c r="E4392" s="6" t="str">
        <x:v>ngwojX [ɴwəjʔ] (上)</x:v>
      </x:c>
      <x:c r="F4392" s="6" t="str">
        <x:v>1</x:v>
      </x:c>
      <x:c r="G4392" s="6" t="str">
        <x:v>Tang 300 gap; frequency 1; provisional from Xun Gong</x:v>
      </x:c>
      <x:c r="H4392" s="6" t="str">
        <x:f>IF(B4392="平","平",IF(B4392="","","仄"))</x:f>
        <x:v>仄</x:v>
      </x:c>
      <x:c r="I4392" s="6" t="str">
        <x:f>IF(D4375="","",IF(AND(ISNUMBER(SEARCH("平",D4375)),OR(ISNUMBER(SEARCH("上",D4375)),ISNUMBER(SEARCH("去",D4375)),ISNUMBER(SEARCH("入",D4375)))),"Ambiguous",IF(ISNUMBER(SEARCH("平",D4375)),"平","仄")))</x:f>
        <x:v>平</x:v>
      </x:c>
      <x:c r="J4392" s="7" t="str">
        <x:v>Xun Gong, Tang 300 gap fill</x:v>
      </x:c>
    </x:row>
    <x:row r="4393">
      <x:c r="A4393" s="5" t="str">
        <x:v>隘</x:v>
      </x:c>
      <x:c r="B4393" s="6" t="str"/>
      <x:c r="C4393" s="6" t="str">
        <x:f>IF(B4393="","Needs decision","Ready")</x:f>
        <x:v>Needs decision</x:v>
      </x:c>
      <x:c r="D4393" s="6" t="str">
        <x:v>去/入</x:v>
      </x:c>
      <x:c r="E4393" s="6" t="str">
        <x:v>'eaH (C); 'eak (D)</x:v>
      </x:c>
      <x:c r="F4393" s="6" t="str">
        <x:v>2</x:v>
      </x:c>
      <x:c r="G4393" s="6" t="str"/>
      <x:c r="H4393" s="6" t="str">
        <x:f>IF(B4393="平","平",IF(B4393="","","仄"))</x:f>
      </x:c>
      <x:c r="I4393" s="6" t="str">
        <x:f>IF(D4376="","",IF(AND(ISNUMBER(SEARCH("平",D4376)),OR(ISNUMBER(SEARCH("上",D4376)),ISNUMBER(SEARCH("去",D4376)),ISNUMBER(SEARCH("入",D4376)))),"Ambiguous",IF(ISNUMBER(SEARCH("平",D4376)),"平","仄")))</x:f>
        <x:v>仄</x:v>
      </x:c>
      <x:c r="J4393" s="7" t="str"/>
    </x:row>
    <x:row r="4394">
      <x:c r="A4394" s="5" t="str">
        <x:v>隙</x:v>
      </x:c>
      <x:c r="B4394" s="6" t="str">
        <x:v>入</x:v>
      </x:c>
      <x:c r="C4394" s="6" t="str">
        <x:f>IF(B4394="","Needs decision","Ready")</x:f>
        <x:v>Ready</x:v>
      </x:c>
      <x:c r="D4394" s="6" t="str">
        <x:v>入</x:v>
      </x:c>
      <x:c r="E4394" s="6" t="str">
        <x:v>khjaek (D)</x:v>
      </x:c>
      <x:c r="F4394" s="6" t="str">
        <x:v>1</x:v>
      </x:c>
      <x:c r="G4394" s="6" t="str"/>
      <x:c r="H4394" s="6" t="str">
        <x:f>IF(B4394="平","平",IF(B4394="","","仄"))</x:f>
        <x:v>仄</x:v>
      </x:c>
      <x:c r="I4394" s="6" t="str">
        <x:f>IF(D4377="","",IF(AND(ISNUMBER(SEARCH("平",D4377)),OR(ISNUMBER(SEARCH("上",D4377)),ISNUMBER(SEARCH("去",D4377)),ISNUMBER(SEARCH("入",D4377)))),"Ambiguous",IF(ISNUMBER(SEARCH("平",D4377)),"平","仄")))</x:f>
        <x:v>仄</x:v>
      </x:c>
      <x:c r="J4394" s="7" t="str"/>
    </x:row>
    <x:row r="4395">
      <x:c r="A4395" s="5" t="str">
        <x:v>際</x:v>
      </x:c>
      <x:c r="B4395" s="6" t="str">
        <x:v>去</x:v>
      </x:c>
      <x:c r="C4395" s="6" t="str">
        <x:f>IF(B4395="","Needs decision","Ready")</x:f>
        <x:v>Ready</x:v>
      </x:c>
      <x:c r="D4395" s="6" t="str">
        <x:v>去</x:v>
      </x:c>
      <x:c r="E4395" s="6" t="str">
        <x:v>tsjejH (C)</x:v>
      </x:c>
      <x:c r="F4395" s="6" t="str">
        <x:v>1</x:v>
      </x:c>
      <x:c r="G4395" s="6" t="str"/>
      <x:c r="H4395" s="6" t="str">
        <x:f>IF(B4395="平","平",IF(B4395="","","仄"))</x:f>
        <x:v>仄</x:v>
      </x:c>
      <x:c r="I4395" s="6" t="str">
        <x:f>IF(D4378="","",IF(AND(ISNUMBER(SEARCH("平",D4378)),OR(ISNUMBER(SEARCH("上",D4378)),ISNUMBER(SEARCH("去",D4378)),ISNUMBER(SEARCH("入",D4378)))),"Ambiguous",IF(ISNUMBER(SEARCH("平",D4378)),"平","仄")))</x:f>
        <x:v>平</x:v>
      </x:c>
      <x:c r="J4395" s="7" t="str"/>
    </x:row>
    <x:row r="4396">
      <x:c r="A4396" s="5" t="str">
        <x:v>障</x:v>
      </x:c>
      <x:c r="B4396" s="6" t="str"/>
      <x:c r="C4396" s="6" t="str">
        <x:f>IF(B4396="","Needs decision","Ready")</x:f>
        <x:v>Needs decision</x:v>
      </x:c>
      <x:c r="D4396" s="6" t="str">
        <x:v>去/平</x:v>
      </x:c>
      <x:c r="E4396" s="6" t="str">
        <x:v>tsyangH [章開三陽去] tɕɑŋh; tsyang [章開三陽平] tɕɑŋ</x:v>
      </x:c>
      <x:c r="F4396" s="6" t="str">
        <x:v>2</x:v>
      </x:c>
      <x:c r="G4396" s="6" t="str">
        <x:v>Targeted preliminary fill from Xun Gong; review if uncertain</x:v>
      </x:c>
      <x:c r="H4396" s="6" t="str">
        <x:f>IF(B4396="平","平",IF(B4396="","","仄"))</x:f>
      </x:c>
      <x:c r="I4396" s="6" t="str">
        <x:f>IF(D4379="","",IF(AND(ISNUMBER(SEARCH("平",D4379)),OR(ISNUMBER(SEARCH("上",D4379)),ISNUMBER(SEARCH("去",D4379)),ISNUMBER(SEARCH("入",D4379)))),"Ambiguous",IF(ISNUMBER(SEARCH("平",D4379)),"平","仄")))</x:f>
        <x:v>仄</x:v>
      </x:c>
      <x:c r="J4396" s="7" t="str">
        <x:v>Xun Gong character-readings.csv</x:v>
      </x:c>
    </x:row>
    <x:row r="4397">
      <x:c r="A4397" s="5" t="str">
        <x:v>隤</x:v>
      </x:c>
      <x:c r="B4397" s="6" t="str">
        <x:v>平</x:v>
      </x:c>
      <x:c r="C4397" s="6" t="str">
        <x:f>IF(B4397="","Needs decision","Ready")</x:f>
        <x:v>Ready</x:v>
      </x:c>
      <x:c r="D4397" s="6" t="str">
        <x:v>平</x:v>
      </x:c>
      <x:c r="E4397" s="6" t="str">
        <x:v>dwoj (A)</x:v>
      </x:c>
      <x:c r="F4397" s="6" t="str">
        <x:v>1</x:v>
      </x:c>
      <x:c r="G4397" s="6" t="str"/>
      <x:c r="H4397" s="6" t="str">
        <x:f>IF(B4397="平","平",IF(B4397="","","仄"))</x:f>
        <x:v>平</x:v>
      </x:c>
      <x:c r="I4397" s="6" t="str">
        <x:f>IF(D4380="","",IF(AND(ISNUMBER(SEARCH("平",D4380)),OR(ISNUMBER(SEARCH("上",D4380)),ISNUMBER(SEARCH("去",D4380)),ISNUMBER(SEARCH("入",D4380)))),"Ambiguous",IF(ISNUMBER(SEARCH("平",D4380)),"平","仄")))</x:f>
        <x:v>平</x:v>
      </x:c>
      <x:c r="J4397" s="7" t="str"/>
    </x:row>
    <x:row r="4398">
      <x:c r="A4398" s="5" t="str">
        <x:v>隧</x:v>
      </x:c>
      <x:c r="B4398" s="6" t="str">
        <x:v>去</x:v>
      </x:c>
      <x:c r="C4398" s="6" t="str">
        <x:f>IF(B4398="","Needs decision","Ready")</x:f>
        <x:v>Ready</x:v>
      </x:c>
      <x:c r="D4398" s="6" t="str">
        <x:v>去</x:v>
      </x:c>
      <x:c r="E4398" s="6" t="str">
        <x:v>zwijH (C)</x:v>
      </x:c>
      <x:c r="F4398" s="6" t="str">
        <x:v>1</x:v>
      </x:c>
      <x:c r="G4398" s="6" t="str"/>
      <x:c r="H4398" s="6" t="str">
        <x:f>IF(B4398="平","平",IF(B4398="","","仄"))</x:f>
        <x:v>仄</x:v>
      </x:c>
      <x:c r="I4398" s="6" t="str">
        <x:f>IF(D4381="","",IF(AND(ISNUMBER(SEARCH("平",D4381)),OR(ISNUMBER(SEARCH("上",D4381)),ISNUMBER(SEARCH("去",D4381)),ISNUMBER(SEARCH("入",D4381)))),"Ambiguous",IF(ISNUMBER(SEARCH("平",D4381)),"平","仄")))</x:f>
        <x:v>平</x:v>
      </x:c>
      <x:c r="J4398" s="7" t="str"/>
    </x:row>
    <x:row r="4399">
      <x:c r="A4399" s="5" t="str">
        <x:v>隨</x:v>
      </x:c>
      <x:c r="B4399" s="6" t="str">
        <x:v>平</x:v>
      </x:c>
      <x:c r="C4399" s="6" t="str">
        <x:f>IF(B4399="","Needs decision","Ready")</x:f>
        <x:v>Ready</x:v>
      </x:c>
      <x:c r="D4399" s="6" t="str">
        <x:v>平</x:v>
      </x:c>
      <x:c r="E4399" s="6" t="str">
        <x:v>zjwe (A)</x:v>
      </x:c>
      <x:c r="F4399" s="6" t="str">
        <x:v>1</x:v>
      </x:c>
      <x:c r="G4399" s="6" t="str"/>
      <x:c r="H4399" s="6" t="str">
        <x:f>IF(B4399="平","平",IF(B4399="","","仄"))</x:f>
        <x:v>平</x:v>
      </x:c>
      <x:c r="I4399" s="6" t="str">
        <x:f>IF(D4382="","",IF(AND(ISNUMBER(SEARCH("平",D4382)),OR(ISNUMBER(SEARCH("上",D4382)),ISNUMBER(SEARCH("去",D4382)),ISNUMBER(SEARCH("入",D4382)))),"Ambiguous",IF(ISNUMBER(SEARCH("平",D4382)),"平","仄")))</x:f>
        <x:v>平</x:v>
      </x:c>
      <x:c r="J4399" s="7" t="str"/>
    </x:row>
    <x:row r="4400">
      <x:c r="A4400" s="5" t="str">
        <x:v>隩</x:v>
      </x:c>
      <x:c r="B4400" s="6" t="str"/>
      <x:c r="C4400" s="6" t="str">
        <x:f>IF(B4400="","Needs decision","Ready")</x:f>
        <x:v>Needs decision</x:v>
      </x:c>
      <x:c r="D4400" s="6" t="str">
        <x:v>去/入</x:v>
      </x:c>
      <x:c r="E4400" s="6" t="str">
        <x:v>'awH [ʔ̙əwh] (去); 'juwk [ʔɨ̯uk] (入)</x:v>
      </x:c>
      <x:c r="F4400" s="6" t="str">
        <x:v>2</x:v>
      </x:c>
      <x:c r="G4400" s="6" t="str">
        <x:v>Tang 300 gap; frequency 1; ambiguous in Xun Gong</x:v>
      </x:c>
      <x:c r="H4400" s="6" t="str">
        <x:f>IF(B4400="平","平",IF(B4400="","","仄"))</x:f>
      </x:c>
      <x:c r="I4400" s="6" t="str">
        <x:f>IF(D4383="","",IF(AND(ISNUMBER(SEARCH("平",D4383)),OR(ISNUMBER(SEARCH("上",D4383)),ISNUMBER(SEARCH("去",D4383)),ISNUMBER(SEARCH("入",D4383)))),"Ambiguous",IF(ISNUMBER(SEARCH("平",D4383)),"平","仄")))</x:f>
        <x:v>平</x:v>
      </x:c>
      <x:c r="J4400" s="7" t="str">
        <x:v>Xun Gong, Tang 300 gap fill</x:v>
      </x:c>
    </x:row>
    <x:row r="4401">
      <x:c r="A4401" s="5" t="str">
        <x:v>險</x:v>
      </x:c>
      <x:c r="B4401" s="6" t="str">
        <x:v>上</x:v>
      </x:c>
      <x:c r="C4401" s="6" t="str">
        <x:f>IF(B4401="","Needs decision","Ready")</x:f>
        <x:v>Ready</x:v>
      </x:c>
      <x:c r="D4401" s="6" t="str">
        <x:v>上</x:v>
      </x:c>
      <x:c r="E4401" s="6" t="str">
        <x:v>xjaemX (B); xjemX (B)</x:v>
      </x:c>
      <x:c r="F4401" s="6" t="str">
        <x:v>2</x:v>
      </x:c>
      <x:c r="G4401" s="6" t="str"/>
      <x:c r="H4401" s="6" t="str">
        <x:f>IF(B4401="平","平",IF(B4401="","","仄"))</x:f>
        <x:v>仄</x:v>
      </x:c>
      <x:c r="I4401" s="6" t="str">
        <x:f>IF(D4384="","",IF(AND(ISNUMBER(SEARCH("平",D4384)),OR(ISNUMBER(SEARCH("上",D4384)),ISNUMBER(SEARCH("去",D4384)),ISNUMBER(SEARCH("入",D4384)))),"Ambiguous",IF(ISNUMBER(SEARCH("平",D4384)),"平","仄")))</x:f>
        <x:v>平</x:v>
      </x:c>
      <x:c r="J4401" s="7" t="str"/>
    </x:row>
    <x:row r="4402">
      <x:c r="A4402" s="5" t="str">
        <x:v>隮</x:v>
      </x:c>
      <x:c r="B4402" s="6" t="str">
        <x:v>平</x:v>
      </x:c>
      <x:c r="C4402" s="6" t="str">
        <x:f>IF(B4402="","Needs decision","Ready")</x:f>
        <x:v>Ready</x:v>
      </x:c>
      <x:c r="D4402" s="6" t="str">
        <x:v>平</x:v>
      </x:c>
      <x:c r="E4402" s="6" t="str">
        <x:v>tsej (A)</x:v>
      </x:c>
      <x:c r="F4402" s="6" t="str">
        <x:v>1</x:v>
      </x:c>
      <x:c r="G4402" s="6" t="str"/>
      <x:c r="H4402" s="6" t="str">
        <x:f>IF(B4402="平","平",IF(B4402="","","仄"))</x:f>
        <x:v>平</x:v>
      </x:c>
      <x:c r="I4402" s="6" t="str">
        <x:f>IF(D4385="","",IF(AND(ISNUMBER(SEARCH("平",D4385)),OR(ISNUMBER(SEARCH("上",D4385)),ISNUMBER(SEARCH("去",D4385)),ISNUMBER(SEARCH("入",D4385)))),"Ambiguous",IF(ISNUMBER(SEARCH("平",D4385)),"平","仄")))</x:f>
        <x:v>仄</x:v>
      </x:c>
      <x:c r="J4402" s="7" t="str"/>
    </x:row>
    <x:row r="4403">
      <x:c r="A4403" s="5" t="str">
        <x:v>隰</x:v>
      </x:c>
      <x:c r="B4403" s="6" t="str">
        <x:v>入</x:v>
      </x:c>
      <x:c r="C4403" s="6" t="str">
        <x:f>IF(B4403="","Needs decision","Ready")</x:f>
        <x:v>Ready</x:v>
      </x:c>
      <x:c r="D4403" s="6" t="str">
        <x:v>入</x:v>
      </x:c>
      <x:c r="E4403" s="6" t="str">
        <x:v>zip (D)</x:v>
      </x:c>
      <x:c r="F4403" s="6" t="str">
        <x:v>1</x:v>
      </x:c>
      <x:c r="G4403" s="6" t="str"/>
      <x:c r="H4403" s="6" t="str">
        <x:f>IF(B4403="平","平",IF(B4403="","","仄"))</x:f>
        <x:v>仄</x:v>
      </x:c>
      <x:c r="I4403" s="6" t="str">
        <x:f>IF(D4386="","",IF(AND(ISNUMBER(SEARCH("平",D4386)),OR(ISNUMBER(SEARCH("上",D4386)),ISNUMBER(SEARCH("去",D4386)),ISNUMBER(SEARCH("入",D4386)))),"Ambiguous",IF(ISNUMBER(SEARCH("平",D4386)),"平","仄")))</x:f>
        <x:v>Ambiguous</x:v>
      </x:c>
      <x:c r="J4403" s="7" t="str"/>
    </x:row>
    <x:row r="4404">
      <x:c r="A4404" s="5" t="str">
        <x:v>隱</x:v>
      </x:c>
      <x:c r="B4404" s="6" t="str">
        <x:v>上</x:v>
      </x:c>
      <x:c r="C4404" s="6" t="str">
        <x:f>IF(B4404="","Needs decision","Ready")</x:f>
        <x:v>Ready</x:v>
      </x:c>
      <x:c r="D4404" s="6" t="str">
        <x:v>上/去</x:v>
      </x:c>
      <x:c r="E4404" s="6" t="str">
        <x:v>'j+nX (B); 'j+nH (C)</x:v>
      </x:c>
      <x:c r="F4404" s="6" t="str">
        <x:v>2</x:v>
      </x:c>
      <x:c r="G4404" s="6" t="str"/>
      <x:c r="H4404" s="6" t="str">
        <x:f>IF(B4404="平","平",IF(B4404="","","仄"))</x:f>
        <x:v>仄</x:v>
      </x:c>
      <x:c r="I4404" s="6" t="str">
        <x:f>IF(D4387="","",IF(AND(ISNUMBER(SEARCH("平",D4387)),OR(ISNUMBER(SEARCH("上",D4387)),ISNUMBER(SEARCH("去",D4387)),ISNUMBER(SEARCH("入",D4387)))),"Ambiguous",IF(ISNUMBER(SEARCH("平",D4387)),"平","仄")))</x:f>
        <x:v>平</x:v>
      </x:c>
      <x:c r="J4404" s="7" t="str"/>
    </x:row>
    <x:row r="4405">
      <x:c r="A4405" s="5" t="str">
        <x:v>隳</x:v>
      </x:c>
      <x:c r="B4405" s="6" t="str">
        <x:v>平</x:v>
      </x:c>
      <x:c r="C4405" s="6" t="str">
        <x:f>IF(B4405="","Needs decision","Ready")</x:f>
        <x:v>Ready</x:v>
      </x:c>
      <x:c r="D4405" s="6" t="str">
        <x:v>平</x:v>
      </x:c>
      <x:c r="E4405" s="6" t="str">
        <x:v>xjwie (A)</x:v>
      </x:c>
      <x:c r="F4405" s="6" t="str">
        <x:v>1</x:v>
      </x:c>
      <x:c r="G4405" s="6" t="str"/>
      <x:c r="H4405" s="6" t="str">
        <x:f>IF(B4405="平","平",IF(B4405="","","仄"))</x:f>
        <x:v>平</x:v>
      </x:c>
      <x:c r="I4405" s="6" t="str">
        <x:f>IF(D4388="","",IF(AND(ISNUMBER(SEARCH("平",D4388)),OR(ISNUMBER(SEARCH("上",D4388)),ISNUMBER(SEARCH("去",D4388)),ISNUMBER(SEARCH("入",D4388)))),"Ambiguous",IF(ISNUMBER(SEARCH("平",D4388)),"平","仄")))</x:f>
        <x:v>平</x:v>
      </x:c>
      <x:c r="J4405" s="7" t="str"/>
    </x:row>
    <x:row r="4406">
      <x:c r="A4406" s="5" t="str">
        <x:v>隴</x:v>
      </x:c>
      <x:c r="B4406" s="6" t="str">
        <x:v>上</x:v>
      </x:c>
      <x:c r="C4406" s="6" t="str">
        <x:f>IF(B4406="","Needs decision","Ready")</x:f>
        <x:v>Ready</x:v>
      </x:c>
      <x:c r="D4406" s="6" t="str">
        <x:v>上</x:v>
      </x:c>
      <x:c r="E4406" s="6" t="str">
        <x:v>ljowngX (B)</x:v>
      </x:c>
      <x:c r="F4406" s="6" t="str">
        <x:v>1</x:v>
      </x:c>
      <x:c r="G4406" s="6" t="str"/>
      <x:c r="H4406" s="6" t="str">
        <x:f>IF(B4406="平","平",IF(B4406="","","仄"))</x:f>
        <x:v>仄</x:v>
      </x:c>
      <x:c r="I4406" s="6" t="str">
        <x:f>IF(D4389="","",IF(AND(ISNUMBER(SEARCH("平",D4389)),OR(ISNUMBER(SEARCH("上",D4389)),ISNUMBER(SEARCH("去",D4389)),ISNUMBER(SEARCH("入",D4389)))),"Ambiguous",IF(ISNUMBER(SEARCH("平",D4389)),"平","仄")))</x:f>
        <x:v>仄</x:v>
      </x:c>
      <x:c r="J4406" s="7" t="str"/>
    </x:row>
    <x:row r="4407">
      <x:c r="A4407" s="5" t="str">
        <x:v>隶</x:v>
      </x:c>
      <x:c r="B4407" s="6" t="str">
        <x:v>去</x:v>
      </x:c>
      <x:c r="C4407" s="6" t="str">
        <x:f>IF(B4407="","Needs decision","Ready")</x:f>
        <x:v>Ready</x:v>
      </x:c>
      <x:c r="D4407" s="6" t="str">
        <x:v>去</x:v>
      </x:c>
      <x:c r="E4407" s="6" t="str">
        <x:v>dojH (C)</x:v>
      </x:c>
      <x:c r="F4407" s="6" t="str">
        <x:v>1</x:v>
      </x:c>
      <x:c r="G4407" s="6" t="str"/>
      <x:c r="H4407" s="6" t="str">
        <x:f>IF(B4407="平","平",IF(B4407="","","仄"))</x:f>
        <x:v>仄</x:v>
      </x:c>
      <x:c r="I4407" s="6" t="str">
        <x:f>IF(D4390="","",IF(AND(ISNUMBER(SEARCH("平",D4390)),OR(ISNUMBER(SEARCH("上",D4390)),ISNUMBER(SEARCH("去",D4390)),ISNUMBER(SEARCH("入",D4390)))),"Ambiguous",IF(ISNUMBER(SEARCH("平",D4390)),"平","仄")))</x:f>
        <x:v>仄</x:v>
      </x:c>
      <x:c r="J4407" s="7" t="str"/>
    </x:row>
    <x:row r="4408">
      <x:c r="A4408" s="5" t="str">
        <x:v>隸</x:v>
      </x:c>
      <x:c r="B4408" s="6" t="str">
        <x:v>去</x:v>
      </x:c>
      <x:c r="C4408" s="6" t="str">
        <x:f>IF(B4408="","Needs decision","Ready")</x:f>
        <x:v>Ready</x:v>
      </x:c>
      <x:c r="D4408" s="6" t="str">
        <x:v>去</x:v>
      </x:c>
      <x:c r="E4408" s="6" t="str">
        <x:v>lejH (C)</x:v>
      </x:c>
      <x:c r="F4408" s="6" t="str">
        <x:v>1</x:v>
      </x:c>
      <x:c r="G4408" s="6" t="str"/>
      <x:c r="H4408" s="6" t="str">
        <x:f>IF(B4408="平","平",IF(B4408="","","仄"))</x:f>
        <x:v>仄</x:v>
      </x:c>
      <x:c r="I4408" s="6" t="str">
        <x:f>IF(D4391="","",IF(AND(ISNUMBER(SEARCH("平",D4391)),OR(ISNUMBER(SEARCH("上",D4391)),ISNUMBER(SEARCH("去",D4391)),ISNUMBER(SEARCH("入",D4391)))),"Ambiguous",IF(ISNUMBER(SEARCH("平",D4391)),"平","仄")))</x:f>
        <x:v>仄</x:v>
      </x:c>
      <x:c r="J4408" s="7" t="str"/>
    </x:row>
    <x:row r="4409">
      <x:c r="A4409" s="5" t="str">
        <x:v>隹</x:v>
      </x:c>
      <x:c r="B4409" s="6" t="str">
        <x:v>平</x:v>
      </x:c>
      <x:c r="C4409" s="6" t="str">
        <x:f>IF(B4409="","Needs decision","Ready")</x:f>
        <x:v>Ready</x:v>
      </x:c>
      <x:c r="D4409" s="6" t="str">
        <x:v>平</x:v>
      </x:c>
      <x:c r="E4409" s="6" t="str">
        <x:v>tsywij (A)</x:v>
      </x:c>
      <x:c r="F4409" s="6" t="str">
        <x:v>1</x:v>
      </x:c>
      <x:c r="G4409" s="6" t="str"/>
      <x:c r="H4409" s="6" t="str">
        <x:f>IF(B4409="平","平",IF(B4409="","","仄"))</x:f>
        <x:v>平</x:v>
      </x:c>
      <x:c r="I4409" s="6" t="str">
        <x:f>IF(D4392="","",IF(AND(ISNUMBER(SEARCH("平",D4392)),OR(ISNUMBER(SEARCH("上",D4392)),ISNUMBER(SEARCH("去",D4392)),ISNUMBER(SEARCH("入",D4392)))),"Ambiguous",IF(ISNUMBER(SEARCH("平",D4392)),"平","仄")))</x:f>
        <x:v>仄</x:v>
      </x:c>
      <x:c r="J4409" s="7" t="str"/>
    </x:row>
    <x:row r="4410">
      <x:c r="A4410" s="5" t="str">
        <x:v>隺</x:v>
      </x:c>
      <x:c r="B4410" s="6" t="str">
        <x:v>入</x:v>
      </x:c>
      <x:c r="C4410" s="6" t="str">
        <x:f>IF(B4410="","Needs decision","Ready")</x:f>
        <x:v>Ready</x:v>
      </x:c>
      <x:c r="D4410" s="6" t="str">
        <x:v>入</x:v>
      </x:c>
      <x:c r="E4410" s="6" t="str">
        <x:v>howk (D)</x:v>
      </x:c>
      <x:c r="F4410" s="6" t="str">
        <x:v>1</x:v>
      </x:c>
      <x:c r="G4410" s="6" t="str"/>
      <x:c r="H4410" s="6" t="str">
        <x:f>IF(B4410="平","平",IF(B4410="","","仄"))</x:f>
        <x:v>仄</x:v>
      </x:c>
      <x:c r="I4410" s="6" t="str">
        <x:f>IF(D4393="","",IF(AND(ISNUMBER(SEARCH("平",D4393)),OR(ISNUMBER(SEARCH("上",D4393)),ISNUMBER(SEARCH("去",D4393)),ISNUMBER(SEARCH("入",D4393)))),"Ambiguous",IF(ISNUMBER(SEARCH("平",D4393)),"平","仄")))</x:f>
        <x:v>仄</x:v>
      </x:c>
      <x:c r="J4410" s="7" t="str"/>
    </x:row>
    <x:row r="4411">
      <x:c r="A4411" s="5" t="str">
        <x:v>隻</x:v>
      </x:c>
      <x:c r="B4411" s="6" t="str">
        <x:v>入</x:v>
      </x:c>
      <x:c r="C4411" s="6" t="str">
        <x:f>IF(B4411="","Needs decision","Ready")</x:f>
        <x:v>Ready</x:v>
      </x:c>
      <x:c r="D4411" s="6" t="str">
        <x:v>入</x:v>
      </x:c>
      <x:c r="E4411" s="6" t="str">
        <x:v>tsyek (D)</x:v>
      </x:c>
      <x:c r="F4411" s="6" t="str">
        <x:v>1</x:v>
      </x:c>
      <x:c r="G4411" s="6" t="str"/>
      <x:c r="H4411" s="6" t="str">
        <x:f>IF(B4411="平","平",IF(B4411="","","仄"))</x:f>
        <x:v>仄</x:v>
      </x:c>
      <x:c r="I4411" s="6" t="str">
        <x:f>IF(D4394="","",IF(AND(ISNUMBER(SEARCH("平",D4394)),OR(ISNUMBER(SEARCH("上",D4394)),ISNUMBER(SEARCH("去",D4394)),ISNUMBER(SEARCH("入",D4394)))),"Ambiguous",IF(ISNUMBER(SEARCH("平",D4394)),"平","仄")))</x:f>
        <x:v>仄</x:v>
      </x:c>
      <x:c r="J4411" s="7" t="str"/>
    </x:row>
    <x:row r="4412">
      <x:c r="A4412" s="5" t="str">
        <x:v>隼</x:v>
      </x:c>
      <x:c r="B4412" s="6" t="str">
        <x:v>上</x:v>
      </x:c>
      <x:c r="C4412" s="6" t="str">
        <x:f>IF(B4412="","Needs decision","Ready")</x:f>
        <x:v>Ready</x:v>
      </x:c>
      <x:c r="D4412" s="6" t="str">
        <x:v>上</x:v>
      </x:c>
      <x:c r="E4412" s="6" t="str">
        <x:v>swinX (B)</x:v>
      </x:c>
      <x:c r="F4412" s="6" t="str">
        <x:v>1</x:v>
      </x:c>
      <x:c r="G4412" s="6" t="str"/>
      <x:c r="H4412" s="6" t="str">
        <x:f>IF(B4412="平","平",IF(B4412="","","仄"))</x:f>
        <x:v>仄</x:v>
      </x:c>
      <x:c r="I4412" s="6" t="str">
        <x:f>IF(D4395="","",IF(AND(ISNUMBER(SEARCH("平",D4395)),OR(ISNUMBER(SEARCH("上",D4395)),ISNUMBER(SEARCH("去",D4395)),ISNUMBER(SEARCH("入",D4395)))),"Ambiguous",IF(ISNUMBER(SEARCH("平",D4395)),"平","仄")))</x:f>
        <x:v>仄</x:v>
      </x:c>
      <x:c r="J4412" s="7" t="str"/>
    </x:row>
    <x:row r="4413">
      <x:c r="A4413" s="5" t="str">
        <x:v>雀</x:v>
      </x:c>
      <x:c r="B4413" s="6" t="str">
        <x:v>入</x:v>
      </x:c>
      <x:c r="C4413" s="6" t="str">
        <x:f>IF(B4413="","Needs decision","Ready")</x:f>
        <x:v>Ready</x:v>
      </x:c>
      <x:c r="D4413" s="6" t="str">
        <x:v>入</x:v>
      </x:c>
      <x:c r="E4413" s="6" t="str">
        <x:v>tsjak (D)</x:v>
      </x:c>
      <x:c r="F4413" s="6" t="str">
        <x:v>1</x:v>
      </x:c>
      <x:c r="G4413" s="6" t="str"/>
      <x:c r="H4413" s="6" t="str">
        <x:f>IF(B4413="平","平",IF(B4413="","","仄"))</x:f>
        <x:v>仄</x:v>
      </x:c>
      <x:c r="I4413" s="6" t="str">
        <x:f>IF(D4396="","",IF(AND(ISNUMBER(SEARCH("平",D4396)),OR(ISNUMBER(SEARCH("上",D4396)),ISNUMBER(SEARCH("去",D4396)),ISNUMBER(SEARCH("入",D4396)))),"Ambiguous",IF(ISNUMBER(SEARCH("平",D4396)),"平","仄")))</x:f>
        <x:v>Ambiguous</x:v>
      </x:c>
      <x:c r="J4413" s="7" t="str"/>
    </x:row>
    <x:row r="4414">
      <x:c r="A4414" s="5" t="str">
        <x:v>雁</x:v>
      </x:c>
      <x:c r="B4414" s="6" t="str">
        <x:v>去</x:v>
      </x:c>
      <x:c r="C4414" s="6" t="str">
        <x:f>IF(B4414="","Needs decision","Ready")</x:f>
        <x:v>Ready</x:v>
      </x:c>
      <x:c r="D4414" s="6" t="str">
        <x:v>去</x:v>
      </x:c>
      <x:c r="E4414" s="6" t="str">
        <x:v>ngaenH (C)</x:v>
      </x:c>
      <x:c r="F4414" s="6" t="str">
        <x:v>1</x:v>
      </x:c>
      <x:c r="G4414" s="6" t="str"/>
      <x:c r="H4414" s="6" t="str">
        <x:f>IF(B4414="平","平",IF(B4414="","","仄"))</x:f>
        <x:v>仄</x:v>
      </x:c>
      <x:c r="I4414" s="6" t="str">
        <x:f>IF(D4397="","",IF(AND(ISNUMBER(SEARCH("平",D4397)),OR(ISNUMBER(SEARCH("上",D4397)),ISNUMBER(SEARCH("去",D4397)),ISNUMBER(SEARCH("入",D4397)))),"Ambiguous",IF(ISNUMBER(SEARCH("平",D4397)),"平","仄")))</x:f>
        <x:v>平</x:v>
      </x:c>
      <x:c r="J4414" s="7" t="str"/>
    </x:row>
    <x:row r="4415">
      <x:c r="A4415" s="5" t="str">
        <x:v>雄</x:v>
      </x:c>
      <x:c r="B4415" s="6" t="str">
        <x:v>平</x:v>
      </x:c>
      <x:c r="C4415" s="6" t="str">
        <x:f>IF(B4415="","Needs decision","Ready")</x:f>
        <x:v>Ready</x:v>
      </x:c>
      <x:c r="D4415" s="6" t="str">
        <x:v>平</x:v>
      </x:c>
      <x:c r="E4415" s="6" t="str">
        <x:v>hjuwng (A)</x:v>
      </x:c>
      <x:c r="F4415" s="6" t="str">
        <x:v>1</x:v>
      </x:c>
      <x:c r="G4415" s="6" t="str"/>
      <x:c r="H4415" s="6" t="str">
        <x:f>IF(B4415="平","平",IF(B4415="","","仄"))</x:f>
        <x:v>平</x:v>
      </x:c>
      <x:c r="I4415" s="6" t="str">
        <x:f>IF(D4398="","",IF(AND(ISNUMBER(SEARCH("平",D4398)),OR(ISNUMBER(SEARCH("上",D4398)),ISNUMBER(SEARCH("去",D4398)),ISNUMBER(SEARCH("入",D4398)))),"Ambiguous",IF(ISNUMBER(SEARCH("平",D4398)),"平","仄")))</x:f>
        <x:v>仄</x:v>
      </x:c>
      <x:c r="J4415" s="7" t="str"/>
    </x:row>
    <x:row r="4416">
      <x:c r="A4416" s="5" t="str">
        <x:v>雅</x:v>
      </x:c>
      <x:c r="B4416" s="6" t="str">
        <x:v>上</x:v>
      </x:c>
      <x:c r="C4416" s="6" t="str">
        <x:f>IF(B4416="","Needs decision","Ready")</x:f>
        <x:v>Ready</x:v>
      </x:c>
      <x:c r="D4416" s="6" t="str">
        <x:v>上</x:v>
      </x:c>
      <x:c r="E4416" s="6" t="str">
        <x:v>ngaeX (B)</x:v>
      </x:c>
      <x:c r="F4416" s="6" t="str">
        <x:v>1</x:v>
      </x:c>
      <x:c r="G4416" s="6" t="str"/>
      <x:c r="H4416" s="6" t="str">
        <x:f>IF(B4416="平","平",IF(B4416="","","仄"))</x:f>
        <x:v>仄</x:v>
      </x:c>
      <x:c r="I4416" s="6" t="str">
        <x:f>IF(D4399="","",IF(AND(ISNUMBER(SEARCH("平",D4399)),OR(ISNUMBER(SEARCH("上",D4399)),ISNUMBER(SEARCH("去",D4399)),ISNUMBER(SEARCH("入",D4399)))),"Ambiguous",IF(ISNUMBER(SEARCH("平",D4399)),"平","仄")))</x:f>
        <x:v>平</x:v>
      </x:c>
      <x:c r="J4416" s="7" t="str"/>
    </x:row>
    <x:row r="4417">
      <x:c r="A4417" s="5" t="str">
        <x:v>集</x:v>
      </x:c>
      <x:c r="B4417" s="6" t="str">
        <x:v>入</x:v>
      </x:c>
      <x:c r="C4417" s="6" t="str">
        <x:f>IF(B4417="","Needs decision","Ready")</x:f>
        <x:v>Ready</x:v>
      </x:c>
      <x:c r="D4417" s="6" t="str">
        <x:v>入</x:v>
      </x:c>
      <x:c r="E4417" s="6" t="str">
        <x:v>dzip (D)</x:v>
      </x:c>
      <x:c r="F4417" s="6" t="str">
        <x:v>1</x:v>
      </x:c>
      <x:c r="G4417" s="6" t="str"/>
      <x:c r="H4417" s="6" t="str">
        <x:f>IF(B4417="平","平",IF(B4417="","","仄"))</x:f>
        <x:v>仄</x:v>
      </x:c>
      <x:c r="I4417" s="6" t="str">
        <x:f>IF(D4400="","",IF(AND(ISNUMBER(SEARCH("平",D4400)),OR(ISNUMBER(SEARCH("上",D4400)),ISNUMBER(SEARCH("去",D4400)),ISNUMBER(SEARCH("入",D4400)))),"Ambiguous",IF(ISNUMBER(SEARCH("平",D4400)),"平","仄")))</x:f>
        <x:v>仄</x:v>
      </x:c>
      <x:c r="J4417" s="7" t="str"/>
    </x:row>
    <x:row r="4418">
      <x:c r="A4418" s="5" t="str">
        <x:v>雇</x:v>
      </x:c>
      <x:c r="B4418" s="6" t="str">
        <x:v>去</x:v>
      </x:c>
      <x:c r="C4418" s="6" t="str">
        <x:f>IF(B4418="","Needs decision","Ready")</x:f>
        <x:v>Ready</x:v>
      </x:c>
      <x:c r="D4418" s="6" t="str">
        <x:v>去</x:v>
      </x:c>
      <x:c r="E4418" s="6" t="str">
        <x:v>kuH (C)</x:v>
      </x:c>
      <x:c r="F4418" s="6" t="str">
        <x:v>1</x:v>
      </x:c>
      <x:c r="G4418" s="6" t="str"/>
      <x:c r="H4418" s="6" t="str">
        <x:f>IF(B4418="平","平",IF(B4418="","","仄"))</x:f>
        <x:v>仄</x:v>
      </x:c>
      <x:c r="I4418" s="6" t="str">
        <x:f>IF(D4401="","",IF(AND(ISNUMBER(SEARCH("平",D4401)),OR(ISNUMBER(SEARCH("上",D4401)),ISNUMBER(SEARCH("去",D4401)),ISNUMBER(SEARCH("入",D4401)))),"Ambiguous",IF(ISNUMBER(SEARCH("平",D4401)),"平","仄")))</x:f>
        <x:v>仄</x:v>
      </x:c>
      <x:c r="J4418" s="7" t="str"/>
    </x:row>
    <x:row r="4419">
      <x:c r="A4419" s="5" t="str">
        <x:v>雈</x:v>
      </x:c>
      <x:c r="B4419" s="6" t="str">
        <x:v>平</x:v>
      </x:c>
      <x:c r="C4419" s="6" t="str">
        <x:f>IF(B4419="","Needs decision","Ready")</x:f>
        <x:v>Ready</x:v>
      </x:c>
      <x:c r="D4419" s="6" t="str">
        <x:v>平</x:v>
      </x:c>
      <x:c r="E4419" s="6" t="str">
        <x:v>hwan (A)</x:v>
      </x:c>
      <x:c r="F4419" s="6" t="str">
        <x:v>1</x:v>
      </x:c>
      <x:c r="G4419" s="6" t="str"/>
      <x:c r="H4419" s="6" t="str">
        <x:f>IF(B4419="平","平",IF(B4419="","","仄"))</x:f>
        <x:v>平</x:v>
      </x:c>
      <x:c r="I4419" s="6" t="str">
        <x:f>IF(D4402="","",IF(AND(ISNUMBER(SEARCH("平",D4402)),OR(ISNUMBER(SEARCH("上",D4402)),ISNUMBER(SEARCH("去",D4402)),ISNUMBER(SEARCH("入",D4402)))),"Ambiguous",IF(ISNUMBER(SEARCH("平",D4402)),"平","仄")))</x:f>
        <x:v>平</x:v>
      </x:c>
      <x:c r="J4419" s="7" t="str"/>
    </x:row>
    <x:row r="4420">
      <x:c r="A4420" s="5" t="str">
        <x:v>雉</x:v>
      </x:c>
      <x:c r="B4420" s="6" t="str">
        <x:v>上</x:v>
      </x:c>
      <x:c r="C4420" s="6" t="str">
        <x:f>IF(B4420="","Needs decision","Ready")</x:f>
        <x:v>Ready</x:v>
      </x:c>
      <x:c r="D4420" s="6" t="str">
        <x:v>上</x:v>
      </x:c>
      <x:c r="E4420" s="6" t="str">
        <x:v>drijX (B)</x:v>
      </x:c>
      <x:c r="F4420" s="6" t="str">
        <x:v>1</x:v>
      </x:c>
      <x:c r="G4420" s="6" t="str"/>
      <x:c r="H4420" s="6" t="str">
        <x:f>IF(B4420="平","平",IF(B4420="","","仄"))</x:f>
        <x:v>仄</x:v>
      </x:c>
      <x:c r="I4420" s="6" t="str">
        <x:f>IF(D4403="","",IF(AND(ISNUMBER(SEARCH("平",D4403)),OR(ISNUMBER(SEARCH("上",D4403)),ISNUMBER(SEARCH("去",D4403)),ISNUMBER(SEARCH("入",D4403)))),"Ambiguous",IF(ISNUMBER(SEARCH("平",D4403)),"平","仄")))</x:f>
        <x:v>仄</x:v>
      </x:c>
      <x:c r="J4420" s="7" t="str"/>
    </x:row>
    <x:row r="4421">
      <x:c r="A4421" s="5" t="str">
        <x:v>雊</x:v>
      </x:c>
      <x:c r="B4421" s="6" t="str">
        <x:v>去</x:v>
      </x:c>
      <x:c r="C4421" s="6" t="str">
        <x:f>IF(B4421="","Needs decision","Ready")</x:f>
        <x:v>Ready</x:v>
      </x:c>
      <x:c r="D4421" s="6" t="str">
        <x:v>去</x:v>
      </x:c>
      <x:c r="E4421" s="6" t="str">
        <x:v>kuwH [quh] (去)</x:v>
      </x:c>
      <x:c r="F4421" s="6" t="str">
        <x:v>1</x:v>
      </x:c>
      <x:c r="G4421" s="6" t="str">
        <x:v>Tang 300 gap; frequency 1; provisional from Xun Gong</x:v>
      </x:c>
      <x:c r="H4421" s="6" t="str">
        <x:f>IF(B4421="平","平",IF(B4421="","","仄"))</x:f>
        <x:v>仄</x:v>
      </x:c>
      <x:c r="I4421" s="6" t="str">
        <x:f>IF(D4404="","",IF(AND(ISNUMBER(SEARCH("平",D4404)),OR(ISNUMBER(SEARCH("上",D4404)),ISNUMBER(SEARCH("去",D4404)),ISNUMBER(SEARCH("入",D4404)))),"Ambiguous",IF(ISNUMBER(SEARCH("平",D4404)),"平","仄")))</x:f>
        <x:v>仄</x:v>
      </x:c>
      <x:c r="J4421" s="7" t="str">
        <x:v>Xun Gong, Tang 300 gap fill</x:v>
      </x:c>
    </x:row>
    <x:row r="4422">
      <x:c r="A4422" s="5" t="str">
        <x:v>雌</x:v>
      </x:c>
      <x:c r="B4422" s="6" t="str">
        <x:v>平</x:v>
      </x:c>
      <x:c r="C4422" s="6" t="str">
        <x:f>IF(B4422="","Needs decision","Ready")</x:f>
        <x:v>Ready</x:v>
      </x:c>
      <x:c r="D4422" s="6" t="str">
        <x:v>平</x:v>
      </x:c>
      <x:c r="E4422" s="6" t="str">
        <x:v>tshje [tsʰie] (平)</x:v>
      </x:c>
      <x:c r="F4422" s="6" t="str">
        <x:v>1</x:v>
      </x:c>
      <x:c r="G4422" s="6" t="str">
        <x:v>Tang 300 gap; frequency 1; provisional from Xun Gong</x:v>
      </x:c>
      <x:c r="H4422" s="6" t="str">
        <x:f>IF(B4422="平","平",IF(B4422="","","仄"))</x:f>
        <x:v>平</x:v>
      </x:c>
      <x:c r="I4422" s="6" t="str">
        <x:f>IF(D4405="","",IF(AND(ISNUMBER(SEARCH("平",D4405)),OR(ISNUMBER(SEARCH("上",D4405)),ISNUMBER(SEARCH("去",D4405)),ISNUMBER(SEARCH("入",D4405)))),"Ambiguous",IF(ISNUMBER(SEARCH("平",D4405)),"平","仄")))</x:f>
        <x:v>平</x:v>
      </x:c>
      <x:c r="J4422" s="7" t="str">
        <x:v>Xun Gong, Tang 300 gap fill</x:v>
      </x:c>
    </x:row>
    <x:row r="4423">
      <x:c r="A4423" s="5" t="str">
        <x:v>雍</x:v>
      </x:c>
      <x:c r="B4423" s="6" t="str">
        <x:v>平</x:v>
      </x:c>
      <x:c r="C4423" s="6" t="str">
        <x:f>IF(B4423="","Needs decision","Ready")</x:f>
        <x:v>Ready</x:v>
      </x:c>
      <x:c r="D4423" s="6" t="str">
        <x:v>去/平</x:v>
      </x:c>
      <x:c r="E4423" s="6" t="str">
        <x:v>'jowngH [影三C鍾去] ʔɨ̯oŋh; 'jowng [影三C鍾平] ʔɨ̯oŋ</x:v>
      </x:c>
      <x:c r="F4423" s="6" t="str">
        <x:v>2</x:v>
      </x:c>
      <x:c r="G4423" s="6" t="str">
        <x:v>Targeted preliminary fill from Xun Gong; review if uncertain; User workbook edit 2026-09-03</x:v>
      </x:c>
      <x:c r="H4423" s="6" t="str">
        <x:f>IF(B4423="平","平",IF(B4423="","","仄"))</x:f>
        <x:v>平</x:v>
      </x:c>
      <x:c r="I4423" s="6" t="str">
        <x:f>IF(D4406="","",IF(AND(ISNUMBER(SEARCH("平",D4406)),OR(ISNUMBER(SEARCH("上",D4406)),ISNUMBER(SEARCH("去",D4406)),ISNUMBER(SEARCH("入",D4406)))),"Ambiguous",IF(ISNUMBER(SEARCH("平",D4406)),"平","仄")))</x:f>
        <x:v>仄</x:v>
      </x:c>
      <x:c r="J4423" s="7" t="str">
        <x:v>manual user correction</x:v>
      </x:c>
    </x:row>
    <x:row r="4424">
      <x:c r="A4424" s="5" t="str">
        <x:v>雎</x:v>
      </x:c>
      <x:c r="B4424" s="6" t="str">
        <x:v>平</x:v>
      </x:c>
      <x:c r="C4424" s="6" t="str">
        <x:f>IF(B4424="","Needs decision","Ready")</x:f>
        <x:v>Ready</x:v>
      </x:c>
      <x:c r="D4424" s="6" t="str">
        <x:v>平</x:v>
      </x:c>
      <x:c r="E4424" s="6" t="str">
        <x:v>tshjo (A)</x:v>
      </x:c>
      <x:c r="F4424" s="6" t="str">
        <x:v>1</x:v>
      </x:c>
      <x:c r="G4424" s="6" t="str"/>
      <x:c r="H4424" s="6" t="str">
        <x:f>IF(B4424="平","平",IF(B4424="","","仄"))</x:f>
        <x:v>平</x:v>
      </x:c>
      <x:c r="I4424" s="6" t="str">
        <x:f>IF(D4407="","",IF(AND(ISNUMBER(SEARCH("平",D4407)),OR(ISNUMBER(SEARCH("上",D4407)),ISNUMBER(SEARCH("去",D4407)),ISNUMBER(SEARCH("入",D4407)))),"Ambiguous",IF(ISNUMBER(SEARCH("平",D4407)),"平","仄")))</x:f>
        <x:v>仄</x:v>
      </x:c>
      <x:c r="J4424" s="7" t="str"/>
    </x:row>
    <x:row r="4425">
      <x:c r="A4425" s="5" t="str">
        <x:v>雕</x:v>
      </x:c>
      <x:c r="B4425" s="6" t="str">
        <x:v>平</x:v>
      </x:c>
      <x:c r="C4425" s="6" t="str">
        <x:f>IF(B4425="","Needs decision","Ready")</x:f>
        <x:v>Ready</x:v>
      </x:c>
      <x:c r="D4425" s="6" t="str">
        <x:v>平</x:v>
      </x:c>
      <x:c r="E4425" s="6" t="str">
        <x:v>tew (A)</x:v>
      </x:c>
      <x:c r="F4425" s="6" t="str">
        <x:v>1</x:v>
      </x:c>
      <x:c r="G4425" s="6" t="str"/>
      <x:c r="H4425" s="6" t="str">
        <x:f>IF(B4425="平","平",IF(B4425="","","仄"))</x:f>
        <x:v>平</x:v>
      </x:c>
      <x:c r="I4425" s="6" t="str">
        <x:f>IF(D4408="","",IF(AND(ISNUMBER(SEARCH("平",D4408)),OR(ISNUMBER(SEARCH("上",D4408)),ISNUMBER(SEARCH("去",D4408)),ISNUMBER(SEARCH("入",D4408)))),"Ambiguous",IF(ISNUMBER(SEARCH("平",D4408)),"平","仄")))</x:f>
        <x:v>仄</x:v>
      </x:c>
      <x:c r="J4425" s="7" t="str"/>
    </x:row>
    <x:row r="4426">
      <x:c r="A4426" s="5" t="str">
        <x:v>雖</x:v>
      </x:c>
      <x:c r="B4426" s="6" t="str">
        <x:v>平</x:v>
      </x:c>
      <x:c r="C4426" s="6" t="str">
        <x:f>IF(B4426="","Needs decision","Ready")</x:f>
        <x:v>Ready</x:v>
      </x:c>
      <x:c r="D4426" s="6" t="str">
        <x:v>平</x:v>
      </x:c>
      <x:c r="E4426" s="6" t="str">
        <x:v>swij (A)</x:v>
      </x:c>
      <x:c r="F4426" s="6" t="str">
        <x:v>1</x:v>
      </x:c>
      <x:c r="G4426" s="6" t="str"/>
      <x:c r="H4426" s="6" t="str">
        <x:f>IF(B4426="平","平",IF(B4426="","","仄"))</x:f>
        <x:v>平</x:v>
      </x:c>
      <x:c r="I4426" s="6" t="str">
        <x:f>IF(D4409="","",IF(AND(ISNUMBER(SEARCH("平",D4409)),OR(ISNUMBER(SEARCH("上",D4409)),ISNUMBER(SEARCH("去",D4409)),ISNUMBER(SEARCH("入",D4409)))),"Ambiguous",IF(ISNUMBER(SEARCH("平",D4409)),"平","仄")))</x:f>
        <x:v>平</x:v>
      </x:c>
      <x:c r="J4426" s="7" t="str"/>
    </x:row>
    <x:row r="4427">
      <x:c r="A4427" s="5" t="str">
        <x:v>雙</x:v>
      </x:c>
      <x:c r="B4427" s="6" t="str">
        <x:v>平</x:v>
      </x:c>
      <x:c r="C4427" s="6" t="str">
        <x:f>IF(B4427="","Needs decision","Ready")</x:f>
        <x:v>Ready</x:v>
      </x:c>
      <x:c r="D4427" s="6" t="str">
        <x:v>平</x:v>
      </x:c>
      <x:c r="E4427" s="6" t="str">
        <x:v>sraewng (A)</x:v>
      </x:c>
      <x:c r="F4427" s="6" t="str">
        <x:v>1</x:v>
      </x:c>
      <x:c r="G4427" s="6" t="str"/>
      <x:c r="H4427" s="6" t="str">
        <x:f>IF(B4427="平","平",IF(B4427="","","仄"))</x:f>
        <x:v>平</x:v>
      </x:c>
      <x:c r="I4427" s="6" t="str">
        <x:f>IF(D4410="","",IF(AND(ISNUMBER(SEARCH("平",D4410)),OR(ISNUMBER(SEARCH("上",D4410)),ISNUMBER(SEARCH("去",D4410)),ISNUMBER(SEARCH("入",D4410)))),"Ambiguous",IF(ISNUMBER(SEARCH("平",D4410)),"平","仄")))</x:f>
        <x:v>仄</x:v>
      </x:c>
      <x:c r="J4427" s="7" t="str"/>
    </x:row>
    <x:row r="4428">
      <x:c r="A4428" s="5" t="str">
        <x:v>雚</x:v>
      </x:c>
      <x:c r="B4428" s="6" t="str">
        <x:v>去</x:v>
      </x:c>
      <x:c r="C4428" s="6" t="str">
        <x:f>IF(B4428="","Needs decision","Ready")</x:f>
        <x:v>Ready</x:v>
      </x:c>
      <x:c r="D4428" s="6" t="str">
        <x:v>去</x:v>
      </x:c>
      <x:c r="E4428" s="6" t="str">
        <x:v>kwanH (C)</x:v>
      </x:c>
      <x:c r="F4428" s="6" t="str">
        <x:v>1</x:v>
      </x:c>
      <x:c r="G4428" s="6" t="str"/>
      <x:c r="H4428" s="6" t="str">
        <x:f>IF(B4428="平","平",IF(B4428="","","仄"))</x:f>
        <x:v>仄</x:v>
      </x:c>
      <x:c r="I4428" s="6" t="str">
        <x:f>IF(D4411="","",IF(AND(ISNUMBER(SEARCH("平",D4411)),OR(ISNUMBER(SEARCH("上",D4411)),ISNUMBER(SEARCH("去",D4411)),ISNUMBER(SEARCH("入",D4411)))),"Ambiguous",IF(ISNUMBER(SEARCH("平",D4411)),"平","仄")))</x:f>
        <x:v>仄</x:v>
      </x:c>
      <x:c r="J4428" s="7" t="str"/>
    </x:row>
    <x:row r="4429">
      <x:c r="A4429" s="5" t="str">
        <x:v>雛</x:v>
      </x:c>
      <x:c r="B4429" s="6" t="str">
        <x:v>平</x:v>
      </x:c>
      <x:c r="C4429" s="6" t="str">
        <x:f>IF(B4429="","Needs decision","Ready")</x:f>
        <x:v>Ready</x:v>
      </x:c>
      <x:c r="D4429" s="6" t="str">
        <x:v>平</x:v>
      </x:c>
      <x:c r="E4429" s="6" t="str">
        <x:v>dzrju [dʐɨ̯o] (平)</x:v>
      </x:c>
      <x:c r="F4429" s="6" t="str">
        <x:v>1</x:v>
      </x:c>
      <x:c r="G4429" s="6" t="str">
        <x:v>Tang 300 gap; frequency 2; provisional from Xun Gong</x:v>
      </x:c>
      <x:c r="H4429" s="6" t="str">
        <x:f>IF(B4429="平","平",IF(B4429="","","仄"))</x:f>
        <x:v>平</x:v>
      </x:c>
      <x:c r="I4429" s="6" t="str">
        <x:f>IF(D4412="","",IF(AND(ISNUMBER(SEARCH("平",D4412)),OR(ISNUMBER(SEARCH("上",D4412)),ISNUMBER(SEARCH("去",D4412)),ISNUMBER(SEARCH("入",D4412)))),"Ambiguous",IF(ISNUMBER(SEARCH("平",D4412)),"平","仄")))</x:f>
        <x:v>仄</x:v>
      </x:c>
      <x:c r="J4429" s="7" t="str">
        <x:v>Xun Gong, Tang 300 gap fill</x:v>
      </x:c>
    </x:row>
    <x:row r="4430">
      <x:c r="A4430" s="5" t="str">
        <x:v>雜</x:v>
      </x:c>
      <x:c r="B4430" s="6" t="str">
        <x:v>入</x:v>
      </x:c>
      <x:c r="C4430" s="6" t="str">
        <x:f>IF(B4430="","Needs decision","Ready")</x:f>
        <x:v>Ready</x:v>
      </x:c>
      <x:c r="D4430" s="6" t="str">
        <x:v>入</x:v>
      </x:c>
      <x:c r="E4430" s="6" t="str">
        <x:v>dzop (D)</x:v>
      </x:c>
      <x:c r="F4430" s="6" t="str">
        <x:v>1</x:v>
      </x:c>
      <x:c r="G4430" s="6" t="str"/>
      <x:c r="H4430" s="6" t="str">
        <x:f>IF(B4430="平","平",IF(B4430="","","仄"))</x:f>
        <x:v>仄</x:v>
      </x:c>
      <x:c r="I4430" s="6" t="str">
        <x:f>IF(D4413="","",IF(AND(ISNUMBER(SEARCH("平",D4413)),OR(ISNUMBER(SEARCH("上",D4413)),ISNUMBER(SEARCH("去",D4413)),ISNUMBER(SEARCH("入",D4413)))),"Ambiguous",IF(ISNUMBER(SEARCH("平",D4413)),"平","仄")))</x:f>
        <x:v>仄</x:v>
      </x:c>
      <x:c r="J4430" s="7" t="str"/>
    </x:row>
    <x:row r="4431">
      <x:c r="A4431" s="5" t="str">
        <x:v>雞</x:v>
      </x:c>
      <x:c r="B4431" s="6" t="str">
        <x:v>平</x:v>
      </x:c>
      <x:c r="C4431" s="6" t="str">
        <x:f>IF(B4431="","Needs decision","Ready")</x:f>
        <x:v>Ready</x:v>
      </x:c>
      <x:c r="D4431" s="6" t="str">
        <x:v>平</x:v>
      </x:c>
      <x:c r="E4431" s="6" t="str">
        <x:v>kej (A)</x:v>
      </x:c>
      <x:c r="F4431" s="6" t="str">
        <x:v>1</x:v>
      </x:c>
      <x:c r="G4431" s="6" t="str"/>
      <x:c r="H4431" s="6" t="str">
        <x:f>IF(B4431="平","平",IF(B4431="","","仄"))</x:f>
        <x:v>平</x:v>
      </x:c>
      <x:c r="I4431" s="6" t="str">
        <x:f>IF(D4414="","",IF(AND(ISNUMBER(SEARCH("平",D4414)),OR(ISNUMBER(SEARCH("上",D4414)),ISNUMBER(SEARCH("去",D4414)),ISNUMBER(SEARCH("入",D4414)))),"Ambiguous",IF(ISNUMBER(SEARCH("平",D4414)),"平","仄")))</x:f>
        <x:v>仄</x:v>
      </x:c>
      <x:c r="J4431" s="7" t="str"/>
    </x:row>
    <x:row r="4432">
      <x:c r="A4432" s="5" t="str">
        <x:v>離</x:v>
      </x:c>
      <x:c r="B4432" s="6" t="str">
        <x:v>平</x:v>
      </x:c>
      <x:c r="C4432" s="6" t="str">
        <x:f>IF(B4432="","Needs decision","Ready")</x:f>
        <x:v>Ready</x:v>
      </x:c>
      <x:c r="D4432" s="6" t="str">
        <x:v>平/去</x:v>
      </x:c>
      <x:c r="E4432" s="6" t="str">
        <x:v>lje (A); ljeH (C)</x:v>
      </x:c>
      <x:c r="F4432" s="6" t="str">
        <x:v>2</x:v>
      </x:c>
      <x:c r="G4432" s="6" t="str"/>
      <x:c r="H4432" s="6" t="str">
        <x:f>IF(B4432="平","平",IF(B4432="","","仄"))</x:f>
        <x:v>平</x:v>
      </x:c>
      <x:c r="I4432" s="6" t="str">
        <x:f>IF(D4415="","",IF(AND(ISNUMBER(SEARCH("平",D4415)),OR(ISNUMBER(SEARCH("上",D4415)),ISNUMBER(SEARCH("去",D4415)),ISNUMBER(SEARCH("入",D4415)))),"Ambiguous",IF(ISNUMBER(SEARCH("平",D4415)),"平","仄")))</x:f>
        <x:v>平</x:v>
      </x:c>
      <x:c r="J4432" s="7" t="str"/>
    </x:row>
    <x:row r="4433">
      <x:c r="A4433" s="5" t="str">
        <x:v>難</x:v>
      </x:c>
      <x:c r="B4433" s="6" t="str"/>
      <x:c r="C4433" s="6" t="str">
        <x:f>IF(B4433="","Needs decision","Ready")</x:f>
        <x:v>Needs decision</x:v>
      </x:c>
      <x:c r="D4433" s="6" t="str">
        <x:v>平/去</x:v>
      </x:c>
      <x:c r="E4433" s="6" t="str">
        <x:v>nan (A); nanH (C)</x:v>
      </x:c>
      <x:c r="F4433" s="6" t="str">
        <x:v>2</x:v>
      </x:c>
      <x:c r="G4433" s="6" t="str"/>
      <x:c r="H4433" s="6" t="str">
        <x:f>IF(B4433="平","平",IF(B4433="","","仄"))</x:f>
      </x:c>
      <x:c r="I4433" s="6" t="str">
        <x:f>IF(D4416="","",IF(AND(ISNUMBER(SEARCH("平",D4416)),OR(ISNUMBER(SEARCH("上",D4416)),ISNUMBER(SEARCH("去",D4416)),ISNUMBER(SEARCH("入",D4416)))),"Ambiguous",IF(ISNUMBER(SEARCH("平",D4416)),"平","仄")))</x:f>
        <x:v>仄</x:v>
      </x:c>
      <x:c r="J4433" s="7" t="str"/>
    </x:row>
    <x:row r="4434">
      <x:c r="A4434" s="5" t="str">
        <x:v>雨</x:v>
      </x:c>
      <x:c r="B4434" s="6" t="str">
        <x:v>上</x:v>
      </x:c>
      <x:c r="C4434" s="6" t="str">
        <x:f>IF(B4434="","Needs decision","Ready")</x:f>
        <x:v>Ready</x:v>
      </x:c>
      <x:c r="D4434" s="6" t="str">
        <x:v>上/去</x:v>
      </x:c>
      <x:c r="E4434" s="6" t="str">
        <x:v>hjuX (B); hjuH (C)</x:v>
      </x:c>
      <x:c r="F4434" s="6" t="str">
        <x:v>2</x:v>
      </x:c>
      <x:c r="G4434" s="6" t="str">
        <x:v>User workbook edit 2026-09-03</x:v>
      </x:c>
      <x:c r="H4434" s="6" t="str">
        <x:f>IF(B4434="平","平",IF(B4434="","","仄"))</x:f>
        <x:v>仄</x:v>
      </x:c>
      <x:c r="I4434" s="6" t="str">
        <x:f>IF(D4417="","",IF(AND(ISNUMBER(SEARCH("平",D4417)),OR(ISNUMBER(SEARCH("上",D4417)),ISNUMBER(SEARCH("去",D4417)),ISNUMBER(SEARCH("入",D4417)))),"Ambiguous",IF(ISNUMBER(SEARCH("平",D4417)),"平","仄")))</x:f>
        <x:v>仄</x:v>
      </x:c>
      <x:c r="J4434" s="7" t="str">
        <x:v>manual user correction</x:v>
      </x:c>
    </x:row>
    <x:row r="4435">
      <x:c r="A4435" s="5" t="str">
        <x:v>雩</x:v>
      </x:c>
      <x:c r="B4435" s="6" t="str">
        <x:v>平</x:v>
      </x:c>
      <x:c r="C4435" s="6" t="str">
        <x:f>IF(B4435="","Needs decision","Ready")</x:f>
        <x:v>Ready</x:v>
      </x:c>
      <x:c r="D4435" s="6" t="str">
        <x:v>平</x:v>
      </x:c>
      <x:c r="E4435" s="6" t="str">
        <x:v>hju (A)</x:v>
      </x:c>
      <x:c r="F4435" s="6" t="str">
        <x:v>1</x:v>
      </x:c>
      <x:c r="G4435" s="6" t="str"/>
      <x:c r="H4435" s="6" t="str">
        <x:f>IF(B4435="平","平",IF(B4435="","","仄"))</x:f>
        <x:v>平</x:v>
      </x:c>
      <x:c r="I4435" s="6" t="str">
        <x:f>IF(D4418="","",IF(AND(ISNUMBER(SEARCH("平",D4418)),OR(ISNUMBER(SEARCH("上",D4418)),ISNUMBER(SEARCH("去",D4418)),ISNUMBER(SEARCH("入",D4418)))),"Ambiguous",IF(ISNUMBER(SEARCH("平",D4418)),"平","仄")))</x:f>
        <x:v>仄</x:v>
      </x:c>
      <x:c r="J4435" s="7" t="str"/>
    </x:row>
    <x:row r="4436">
      <x:c r="A4436" s="5" t="str">
        <x:v>雪</x:v>
      </x:c>
      <x:c r="B4436" s="6" t="str">
        <x:v>入</x:v>
      </x:c>
      <x:c r="C4436" s="6" t="str">
        <x:f>IF(B4436="","Needs decision","Ready")</x:f>
        <x:v>Ready</x:v>
      </x:c>
      <x:c r="D4436" s="6" t="str">
        <x:v>入</x:v>
      </x:c>
      <x:c r="E4436" s="6" t="str">
        <x:v>sjwet (D)</x:v>
      </x:c>
      <x:c r="F4436" s="6" t="str">
        <x:v>1</x:v>
      </x:c>
      <x:c r="G4436" s="6" t="str"/>
      <x:c r="H4436" s="6" t="str">
        <x:f>IF(B4436="平","平",IF(B4436="","","仄"))</x:f>
        <x:v>仄</x:v>
      </x:c>
      <x:c r="I4436" s="6" t="str">
        <x:f>IF(D4419="","",IF(AND(ISNUMBER(SEARCH("平",D4419)),OR(ISNUMBER(SEARCH("上",D4419)),ISNUMBER(SEARCH("去",D4419)),ISNUMBER(SEARCH("入",D4419)))),"Ambiguous",IF(ISNUMBER(SEARCH("平",D4419)),"平","仄")))</x:f>
        <x:v>平</x:v>
      </x:c>
      <x:c r="J4436" s="7" t="str"/>
    </x:row>
    <x:row r="4437">
      <x:c r="A4437" s="5" t="str">
        <x:v>雱</x:v>
      </x:c>
      <x:c r="B4437" s="6" t="str">
        <x:v>平</x:v>
      </x:c>
      <x:c r="C4437" s="6" t="str">
        <x:f>IF(B4437="","Needs decision","Ready")</x:f>
        <x:v>Ready</x:v>
      </x:c>
      <x:c r="D4437" s="6" t="str">
        <x:v>平</x:v>
      </x:c>
      <x:c r="E4437" s="6" t="str">
        <x:v>phang (A)</x:v>
      </x:c>
      <x:c r="F4437" s="6" t="str">
        <x:v>1</x:v>
      </x:c>
      <x:c r="G4437" s="6" t="str"/>
      <x:c r="H4437" s="6" t="str">
        <x:f>IF(B4437="平","平",IF(B4437="","","仄"))</x:f>
        <x:v>平</x:v>
      </x:c>
      <x:c r="I4437" s="6" t="str">
        <x:f>IF(D4420="","",IF(AND(ISNUMBER(SEARCH("平",D4420)),OR(ISNUMBER(SEARCH("上",D4420)),ISNUMBER(SEARCH("去",D4420)),ISNUMBER(SEARCH("入",D4420)))),"Ambiguous",IF(ISNUMBER(SEARCH("平",D4420)),"平","仄")))</x:f>
        <x:v>仄</x:v>
      </x:c>
      <x:c r="J4437" s="7" t="str"/>
    </x:row>
    <x:row r="4438">
      <x:c r="A4438" s="5" t="str">
        <x:v>雲</x:v>
      </x:c>
      <x:c r="B4438" s="6" t="str">
        <x:v>平</x:v>
      </x:c>
      <x:c r="C4438" s="6" t="str">
        <x:f>IF(B4438="","Needs decision","Ready")</x:f>
        <x:v>Ready</x:v>
      </x:c>
      <x:c r="D4438" s="6" t="str">
        <x:v>平</x:v>
      </x:c>
      <x:c r="E4438" s="6" t="str">
        <x:v>hjun (A)</x:v>
      </x:c>
      <x:c r="F4438" s="6" t="str">
        <x:v>1</x:v>
      </x:c>
      <x:c r="G4438" s="6" t="str"/>
      <x:c r="H4438" s="6" t="str">
        <x:f>IF(B4438="平","平",IF(B4438="","","仄"))</x:f>
        <x:v>平</x:v>
      </x:c>
      <x:c r="I4438" s="6" t="str">
        <x:f>IF(D4421="","",IF(AND(ISNUMBER(SEARCH("平",D4421)),OR(ISNUMBER(SEARCH("上",D4421)),ISNUMBER(SEARCH("去",D4421)),ISNUMBER(SEARCH("入",D4421)))),"Ambiguous",IF(ISNUMBER(SEARCH("平",D4421)),"平","仄")))</x:f>
        <x:v>仄</x:v>
      </x:c>
      <x:c r="J4438" s="7" t="str"/>
    </x:row>
    <x:row r="4439">
      <x:c r="A4439" s="5" t="str">
        <x:v>零</x:v>
      </x:c>
      <x:c r="B4439" s="6" t="str">
        <x:v>平</x:v>
      </x:c>
      <x:c r="C4439" s="6" t="str">
        <x:f>IF(B4439="","Needs decision","Ready")</x:f>
        <x:v>Ready</x:v>
      </x:c>
      <x:c r="D4439" s="6" t="str">
        <x:v>平</x:v>
      </x:c>
      <x:c r="E4439" s="6" t="str">
        <x:v>leng (A)</x:v>
      </x:c>
      <x:c r="F4439" s="6" t="str">
        <x:v>1</x:v>
      </x:c>
      <x:c r="G4439" s="6" t="str"/>
      <x:c r="H4439" s="6" t="str">
        <x:f>IF(B4439="平","平",IF(B4439="","","仄"))</x:f>
        <x:v>平</x:v>
      </x:c>
      <x:c r="I4439" s="6" t="str">
        <x:f>IF(D4422="","",IF(AND(ISNUMBER(SEARCH("平",D4422)),OR(ISNUMBER(SEARCH("上",D4422)),ISNUMBER(SEARCH("去",D4422)),ISNUMBER(SEARCH("入",D4422)))),"Ambiguous",IF(ISNUMBER(SEARCH("平",D4422)),"平","仄")))</x:f>
        <x:v>平</x:v>
      </x:c>
      <x:c r="J4439" s="7" t="str"/>
    </x:row>
    <x:row r="4440">
      <x:c r="A4440" s="5" t="str">
        <x:v>雷</x:v>
      </x:c>
      <x:c r="B4440" s="6" t="str">
        <x:v>平</x:v>
      </x:c>
      <x:c r="C4440" s="6" t="str">
        <x:f>IF(B4440="","Needs decision","Ready")</x:f>
        <x:v>Ready</x:v>
      </x:c>
      <x:c r="D4440" s="6" t="str">
        <x:v>平</x:v>
      </x:c>
      <x:c r="E4440" s="6" t="str">
        <x:v>lwoj (A)</x:v>
      </x:c>
      <x:c r="F4440" s="6" t="str">
        <x:v>1</x:v>
      </x:c>
      <x:c r="G4440" s="6" t="str"/>
      <x:c r="H4440" s="6" t="str">
        <x:f>IF(B4440="平","平",IF(B4440="","","仄"))</x:f>
        <x:v>平</x:v>
      </x:c>
      <x:c r="I4440" s="6" t="str">
        <x:f>IF(D4423="","",IF(AND(ISNUMBER(SEARCH("平",D4423)),OR(ISNUMBER(SEARCH("上",D4423)),ISNUMBER(SEARCH("去",D4423)),ISNUMBER(SEARCH("入",D4423)))),"Ambiguous",IF(ISNUMBER(SEARCH("平",D4423)),"平","仄")))</x:f>
        <x:v>Ambiguous</x:v>
      </x:c>
      <x:c r="J4440" s="7" t="str"/>
    </x:row>
    <x:row r="4441">
      <x:c r="A4441" s="5" t="str">
        <x:v>雹</x:v>
      </x:c>
      <x:c r="B4441" s="6" t="str">
        <x:v>入</x:v>
      </x:c>
      <x:c r="C4441" s="6" t="str">
        <x:f>IF(B4441="","Needs decision","Ready")</x:f>
        <x:v>Ready</x:v>
      </x:c>
      <x:c r="D4441" s="6" t="str">
        <x:v>入</x:v>
      </x:c>
      <x:c r="E4441" s="6" t="str">
        <x:v>baewk (D)</x:v>
      </x:c>
      <x:c r="F4441" s="6" t="str">
        <x:v>1</x:v>
      </x:c>
      <x:c r="G4441" s="6" t="str"/>
      <x:c r="H4441" s="6" t="str">
        <x:f>IF(B4441="平","平",IF(B4441="","","仄"))</x:f>
        <x:v>仄</x:v>
      </x:c>
      <x:c r="I4441" s="6" t="str">
        <x:f>IF(D4424="","",IF(AND(ISNUMBER(SEARCH("平",D4424)),OR(ISNUMBER(SEARCH("上",D4424)),ISNUMBER(SEARCH("去",D4424)),ISNUMBER(SEARCH("入",D4424)))),"Ambiguous",IF(ISNUMBER(SEARCH("平",D4424)),"平","仄")))</x:f>
        <x:v>平</x:v>
      </x:c>
      <x:c r="J4441" s="7" t="str"/>
    </x:row>
    <x:row r="4442">
      <x:c r="A4442" s="5" t="str">
        <x:v>電</x:v>
      </x:c>
      <x:c r="B4442" s="6" t="str">
        <x:v>去</x:v>
      </x:c>
      <x:c r="C4442" s="6" t="str">
        <x:f>IF(B4442="","Needs decision","Ready")</x:f>
        <x:v>Ready</x:v>
      </x:c>
      <x:c r="D4442" s="6" t="str">
        <x:v>去</x:v>
      </x:c>
      <x:c r="E4442" s="6" t="str">
        <x:v>denH (C)</x:v>
      </x:c>
      <x:c r="F4442" s="6" t="str">
        <x:v>1</x:v>
      </x:c>
      <x:c r="G4442" s="6" t="str"/>
      <x:c r="H4442" s="6" t="str">
        <x:f>IF(B4442="平","平",IF(B4442="","","仄"))</x:f>
        <x:v>仄</x:v>
      </x:c>
      <x:c r="I4442" s="6" t="str">
        <x:f>IF(D4425="","",IF(AND(ISNUMBER(SEARCH("平",D4425)),OR(ISNUMBER(SEARCH("上",D4425)),ISNUMBER(SEARCH("去",D4425)),ISNUMBER(SEARCH("入",D4425)))),"Ambiguous",IF(ISNUMBER(SEARCH("平",D4425)),"平","仄")))</x:f>
        <x:v>平</x:v>
      </x:c>
      <x:c r="J4442" s="7" t="str"/>
    </x:row>
    <x:row r="4443">
      <x:c r="A4443" s="5" t="str">
        <x:v>需</x:v>
      </x:c>
      <x:c r="B4443" s="6" t="str">
        <x:v>平</x:v>
      </x:c>
      <x:c r="C4443" s="6" t="str">
        <x:f>IF(B4443="","Needs decision","Ready")</x:f>
        <x:v>Ready</x:v>
      </x:c>
      <x:c r="D4443" s="6" t="str">
        <x:v>平</x:v>
      </x:c>
      <x:c r="E4443" s="6" t="str">
        <x:v>sju (A)</x:v>
      </x:c>
      <x:c r="F4443" s="6" t="str">
        <x:v>1</x:v>
      </x:c>
      <x:c r="G4443" s="6" t="str"/>
      <x:c r="H4443" s="6" t="str">
        <x:f>IF(B4443="平","平",IF(B4443="","","仄"))</x:f>
        <x:v>平</x:v>
      </x:c>
      <x:c r="I4443" s="6" t="str">
        <x:f>IF(D4426="","",IF(AND(ISNUMBER(SEARCH("平",D4426)),OR(ISNUMBER(SEARCH("上",D4426)),ISNUMBER(SEARCH("去",D4426)),ISNUMBER(SEARCH("入",D4426)))),"Ambiguous",IF(ISNUMBER(SEARCH("平",D4426)),"平","仄")))</x:f>
        <x:v>平</x:v>
      </x:c>
      <x:c r="J4443" s="7" t="str"/>
    </x:row>
    <x:row r="4444">
      <x:c r="A4444" s="5" t="str">
        <x:v>霄</x:v>
      </x:c>
      <x:c r="B4444" s="6" t="str">
        <x:v>平</x:v>
      </x:c>
      <x:c r="C4444" s="6" t="str">
        <x:f>IF(B4444="","Needs decision","Ready")</x:f>
        <x:v>Ready</x:v>
      </x:c>
      <x:c r="D4444" s="6" t="str">
        <x:v>平</x:v>
      </x:c>
      <x:c r="E4444" s="6" t="str">
        <x:v>sjew (A)</x:v>
      </x:c>
      <x:c r="F4444" s="6" t="str">
        <x:v>1</x:v>
      </x:c>
      <x:c r="G4444" s="6" t="str"/>
      <x:c r="H4444" s="6" t="str">
        <x:f>IF(B4444="平","平",IF(B4444="","","仄"))</x:f>
        <x:v>平</x:v>
      </x:c>
      <x:c r="I4444" s="6" t="str">
        <x:f>IF(D4427="","",IF(AND(ISNUMBER(SEARCH("平",D4427)),OR(ISNUMBER(SEARCH("上",D4427)),ISNUMBER(SEARCH("去",D4427)),ISNUMBER(SEARCH("入",D4427)))),"Ambiguous",IF(ISNUMBER(SEARCH("平",D4427)),"平","仄")))</x:f>
        <x:v>平</x:v>
      </x:c>
      <x:c r="J4444" s="7" t="str"/>
    </x:row>
    <x:row r="4445">
      <x:c r="A4445" s="5" t="str">
        <x:v>霆</x:v>
      </x:c>
      <x:c r="B4445" s="6" t="str"/>
      <x:c r="C4445" s="6" t="str">
        <x:f>IF(B4445="","Needs decision","Ready")</x:f>
        <x:v>Needs decision</x:v>
      </x:c>
      <x:c r="D4445" s="6" t="str">
        <x:v>平/上</x:v>
      </x:c>
      <x:c r="E4445" s="6" t="str">
        <x:v>deng [d̙eŋ] (平); dengX [d̙eŋʔ] (上)</x:v>
      </x:c>
      <x:c r="F4445" s="6" t="str">
        <x:v>2</x:v>
      </x:c>
      <x:c r="G4445" s="6" t="str">
        <x:v>Tang 300 gap; frequency 1; ambiguous in Xun Gong</x:v>
      </x:c>
      <x:c r="H4445" s="6" t="str">
        <x:f>IF(B4445="平","平",IF(B4445="","","仄"))</x:f>
      </x:c>
      <x:c r="I4445" s="6" t="str">
        <x:f>IF(D4428="","",IF(AND(ISNUMBER(SEARCH("平",D4428)),OR(ISNUMBER(SEARCH("上",D4428)),ISNUMBER(SEARCH("去",D4428)),ISNUMBER(SEARCH("入",D4428)))),"Ambiguous",IF(ISNUMBER(SEARCH("平",D4428)),"平","仄")))</x:f>
        <x:v>仄</x:v>
      </x:c>
      <x:c r="J4445" s="7" t="str">
        <x:v>Xun Gong, Tang 300 gap fill</x:v>
      </x:c>
    </x:row>
    <x:row r="4446">
      <x:c r="A4446" s="5" t="str">
        <x:v>震</x:v>
      </x:c>
      <x:c r="B4446" s="6" t="str">
        <x:v>去</x:v>
      </x:c>
      <x:c r="C4446" s="6" t="str">
        <x:f>IF(B4446="","Needs decision","Ready")</x:f>
        <x:v>Ready</x:v>
      </x:c>
      <x:c r="D4446" s="6" t="str">
        <x:v>去</x:v>
      </x:c>
      <x:c r="E4446" s="6" t="str">
        <x:v>tsyinH (C)</x:v>
      </x:c>
      <x:c r="F4446" s="6" t="str">
        <x:v>1</x:v>
      </x:c>
      <x:c r="G4446" s="6" t="str"/>
      <x:c r="H4446" s="6" t="str">
        <x:f>IF(B4446="平","平",IF(B4446="","","仄"))</x:f>
        <x:v>仄</x:v>
      </x:c>
      <x:c r="I4446" s="6" t="str">
        <x:f>IF(D4429="","",IF(AND(ISNUMBER(SEARCH("平",D4429)),OR(ISNUMBER(SEARCH("上",D4429)),ISNUMBER(SEARCH("去",D4429)),ISNUMBER(SEARCH("入",D4429)))),"Ambiguous",IF(ISNUMBER(SEARCH("平",D4429)),"平","仄")))</x:f>
        <x:v>平</x:v>
      </x:c>
      <x:c r="J4446" s="7" t="str"/>
    </x:row>
    <x:row r="4447">
      <x:c r="A4447" s="5" t="str">
        <x:v>霏</x:v>
      </x:c>
      <x:c r="B4447" s="6" t="str">
        <x:v>平</x:v>
      </x:c>
      <x:c r="C4447" s="6" t="str">
        <x:f>IF(B4447="","Needs decision","Ready")</x:f>
        <x:v>Ready</x:v>
      </x:c>
      <x:c r="D4447" s="6" t="str">
        <x:v>平</x:v>
      </x:c>
      <x:c r="E4447" s="6" t="str">
        <x:v>phj+j [滂三C微平] pʰwɨj</x:v>
      </x:c>
      <x:c r="F4447" s="6" t="str">
        <x:v>1</x:v>
      </x:c>
      <x:c r="G4447" s="6" t="str">
        <x:v>Targeted preliminary fill from Xun Gong; review if uncertain</x:v>
      </x:c>
      <x:c r="H4447" s="6" t="str">
        <x:f>IF(B4447="平","平",IF(B4447="","","仄"))</x:f>
        <x:v>平</x:v>
      </x:c>
      <x:c r="I4447" s="6" t="str">
        <x:f>IF(D4430="","",IF(AND(ISNUMBER(SEARCH("平",D4430)),OR(ISNUMBER(SEARCH("上",D4430)),ISNUMBER(SEARCH("去",D4430)),ISNUMBER(SEARCH("入",D4430)))),"Ambiguous",IF(ISNUMBER(SEARCH("平",D4430)),"平","仄")))</x:f>
        <x:v>仄</x:v>
      </x:c>
      <x:c r="J4447" s="7" t="str">
        <x:v>Xun Gong character-readings.csv</x:v>
      </x:c>
    </x:row>
    <x:row r="4448">
      <x:c r="A4448" s="5" t="str">
        <x:v>霑</x:v>
      </x:c>
      <x:c r="B4448" s="6" t="str">
        <x:v>平</x:v>
      </x:c>
      <x:c r="C4448" s="6" t="str">
        <x:f>IF(B4448="","Needs decision","Ready")</x:f>
        <x:v>Ready</x:v>
      </x:c>
      <x:c r="D4448" s="6" t="str">
        <x:v>平</x:v>
      </x:c>
      <x:c r="E4448" s="6" t="str"/>
      <x:c r="F4448" s="6" t="str"/>
      <x:c r="G4448" s="6" t="str">
        <x:v>Manual user correction/addition</x:v>
      </x:c>
      <x:c r="H4448" s="6" t="str">
        <x:f>IF(B4448="平","平",IF(B4448="","","仄"))</x:f>
        <x:v>平</x:v>
      </x:c>
      <x:c r="I4448" s="6" t="str">
        <x:f>IF(D4431="","",IF(AND(ISNUMBER(SEARCH("平",D4431)),OR(ISNUMBER(SEARCH("上",D4431)),ISNUMBER(SEARCH("去",D4431)),ISNUMBER(SEARCH("入",D4431)))),"Ambiguous",IF(ISNUMBER(SEARCH("平",D4431)),"平","仄")))</x:f>
        <x:v>平</x:v>
      </x:c>
      <x:c r="J4448" s="7" t="str">
        <x:v>manual user correction</x:v>
      </x:c>
    </x:row>
    <x:row r="4449">
      <x:c r="A4449" s="5" t="str">
        <x:v>霓</x:v>
      </x:c>
      <x:c r="B4449" s="6" t="str">
        <x:v>平</x:v>
      </x:c>
      <x:c r="C4449" s="6" t="str">
        <x:f>IF(B4449="","Needs decision","Ready")</x:f>
        <x:v>Ready</x:v>
      </x:c>
      <x:c r="D4449" s="6" t="str">
        <x:v>平</x:v>
      </x:c>
      <x:c r="E4449" s="6" t="str"/>
      <x:c r="F4449" s="6" t="str"/>
      <x:c r="G4449" s="6" t="str">
        <x:v>Manual user correction/addition</x:v>
      </x:c>
      <x:c r="H4449" s="6" t="str">
        <x:f>IF(B4449="平","平",IF(B4449="","","仄"))</x:f>
        <x:v>平</x:v>
      </x:c>
      <x:c r="I4449" s="6" t="str">
        <x:f>IF(D4432="","",IF(AND(ISNUMBER(SEARCH("平",D4432)),OR(ISNUMBER(SEARCH("上",D4432)),ISNUMBER(SEARCH("去",D4432)),ISNUMBER(SEARCH("入",D4432)))),"Ambiguous",IF(ISNUMBER(SEARCH("平",D4432)),"平","仄")))</x:f>
        <x:v>Ambiguous</x:v>
      </x:c>
      <x:c r="J4449" s="7" t="str">
        <x:v>manual user correction</x:v>
      </x:c>
    </x:row>
    <x:row r="4450">
      <x:c r="A4450" s="5" t="str">
        <x:v>霜</x:v>
      </x:c>
      <x:c r="B4450" s="6" t="str">
        <x:v>平</x:v>
      </x:c>
      <x:c r="C4450" s="6" t="str">
        <x:f>IF(B4450="","Needs decision","Ready")</x:f>
        <x:v>Ready</x:v>
      </x:c>
      <x:c r="D4450" s="6" t="str">
        <x:v>平</x:v>
      </x:c>
      <x:c r="E4450" s="6" t="str">
        <x:v>srjang (A)</x:v>
      </x:c>
      <x:c r="F4450" s="6" t="str">
        <x:v>1</x:v>
      </x:c>
      <x:c r="G4450" s="6" t="str"/>
      <x:c r="H4450" s="6" t="str">
        <x:f>IF(B4450="平","平",IF(B4450="","","仄"))</x:f>
        <x:v>平</x:v>
      </x:c>
      <x:c r="I4450" s="6" t="str">
        <x:f>IF(D4433="","",IF(AND(ISNUMBER(SEARCH("平",D4433)),OR(ISNUMBER(SEARCH("上",D4433)),ISNUMBER(SEARCH("去",D4433)),ISNUMBER(SEARCH("入",D4433)))),"Ambiguous",IF(ISNUMBER(SEARCH("平",D4433)),"平","仄")))</x:f>
        <x:v>Ambiguous</x:v>
      </x:c>
      <x:c r="J4450" s="7" t="str"/>
    </x:row>
    <x:row r="4451">
      <x:c r="A4451" s="5" t="str">
        <x:v>霞</x:v>
      </x:c>
      <x:c r="B4451" s="6" t="str">
        <x:v>平</x:v>
      </x:c>
      <x:c r="C4451" s="6" t="str">
        <x:f>IF(B4451="","Needs decision","Ready")</x:f>
        <x:v>Ready</x:v>
      </x:c>
      <x:c r="D4451" s="6" t="str">
        <x:v>平</x:v>
      </x:c>
      <x:c r="E4451" s="6" t="str"/>
      <x:c r="F4451" s="6" t="str"/>
      <x:c r="G4451" s="6" t="str">
        <x:v>Manual user correction/addition</x:v>
      </x:c>
      <x:c r="H4451" s="6" t="str">
        <x:f>IF(B4451="平","平",IF(B4451="","","仄"))</x:f>
        <x:v>平</x:v>
      </x:c>
      <x:c r="I4451" s="6" t="str">
        <x:f>IF(D4434="","",IF(AND(ISNUMBER(SEARCH("平",D4434)),OR(ISNUMBER(SEARCH("上",D4434)),ISNUMBER(SEARCH("去",D4434)),ISNUMBER(SEARCH("入",D4434)))),"Ambiguous",IF(ISNUMBER(SEARCH("平",D4434)),"平","仄")))</x:f>
        <x:v>仄</x:v>
      </x:c>
      <x:c r="J4451" s="7" t="str">
        <x:v>manual user correction</x:v>
      </x:c>
    </x:row>
    <x:row r="4452">
      <x:c r="A4452" s="5" t="str">
        <x:v>霧</x:v>
      </x:c>
      <x:c r="B4452" s="6" t="str">
        <x:v>去</x:v>
      </x:c>
      <x:c r="C4452" s="6" t="str">
        <x:f>IF(B4452="","Needs decision","Ready")</x:f>
        <x:v>Ready</x:v>
      </x:c>
      <x:c r="D4452" s="6" t="str">
        <x:v>去</x:v>
      </x:c>
      <x:c r="E4452" s="6" t="str">
        <x:v>mjuH (C)</x:v>
      </x:c>
      <x:c r="F4452" s="6" t="str">
        <x:v>1</x:v>
      </x:c>
      <x:c r="G4452" s="6" t="str"/>
      <x:c r="H4452" s="6" t="str">
        <x:f>IF(B4452="平","平",IF(B4452="","","仄"))</x:f>
        <x:v>仄</x:v>
      </x:c>
      <x:c r="I4452" s="6" t="str">
        <x:f>IF(D4435="","",IF(AND(ISNUMBER(SEARCH("平",D4435)),OR(ISNUMBER(SEARCH("上",D4435)),ISNUMBER(SEARCH("去",D4435)),ISNUMBER(SEARCH("入",D4435)))),"Ambiguous",IF(ISNUMBER(SEARCH("平",D4435)),"平","仄")))</x:f>
        <x:v>平</x:v>
      </x:c>
      <x:c r="J4452" s="7" t="str"/>
    </x:row>
    <x:row r="4453">
      <x:c r="A4453" s="5" t="str">
        <x:v>霰</x:v>
      </x:c>
      <x:c r="B4453" s="6" t="str">
        <x:v>去</x:v>
      </x:c>
      <x:c r="C4453" s="6" t="str">
        <x:f>IF(B4453="","Needs decision","Ready")</x:f>
        <x:v>Ready</x:v>
      </x:c>
      <x:c r="D4453" s="6" t="str">
        <x:v>去</x:v>
      </x:c>
      <x:c r="E4453" s="6" t="str">
        <x:v>senH (C)</x:v>
      </x:c>
      <x:c r="F4453" s="6" t="str">
        <x:v>1</x:v>
      </x:c>
      <x:c r="G4453" s="6" t="str"/>
      <x:c r="H4453" s="6" t="str">
        <x:f>IF(B4453="平","平",IF(B4453="","","仄"))</x:f>
        <x:v>仄</x:v>
      </x:c>
      <x:c r="I4453" s="6" t="str">
        <x:f>IF(D4436="","",IF(AND(ISNUMBER(SEARCH("平",D4436)),OR(ISNUMBER(SEARCH("上",D4436)),ISNUMBER(SEARCH("去",D4436)),ISNUMBER(SEARCH("入",D4436)))),"Ambiguous",IF(ISNUMBER(SEARCH("平",D4436)),"平","仄")))</x:f>
        <x:v>仄</x:v>
      </x:c>
      <x:c r="J4453" s="7" t="str"/>
    </x:row>
    <x:row r="4454">
      <x:c r="A4454" s="5" t="str">
        <x:v>露</x:v>
      </x:c>
      <x:c r="B4454" s="6" t="str">
        <x:v>去</x:v>
      </x:c>
      <x:c r="C4454" s="6" t="str">
        <x:f>IF(B4454="","Needs decision","Ready")</x:f>
        <x:v>Ready</x:v>
      </x:c>
      <x:c r="D4454" s="6" t="str">
        <x:v>去</x:v>
      </x:c>
      <x:c r="E4454" s="6" t="str">
        <x:v>luH (C)</x:v>
      </x:c>
      <x:c r="F4454" s="6" t="str">
        <x:v>1</x:v>
      </x:c>
      <x:c r="G4454" s="6" t="str"/>
      <x:c r="H4454" s="6" t="str">
        <x:f>IF(B4454="平","平",IF(B4454="","","仄"))</x:f>
        <x:v>仄</x:v>
      </x:c>
      <x:c r="I4454" s="6" t="str">
        <x:f>IF(D4437="","",IF(AND(ISNUMBER(SEARCH("平",D4437)),OR(ISNUMBER(SEARCH("上",D4437)),ISNUMBER(SEARCH("去",D4437)),ISNUMBER(SEARCH("入",D4437)))),"Ambiguous",IF(ISNUMBER(SEARCH("平",D4437)),"平","仄")))</x:f>
        <x:v>平</x:v>
      </x:c>
      <x:c r="J4454" s="7" t="str"/>
    </x:row>
    <x:row r="4455">
      <x:c r="A4455" s="5" t="str">
        <x:v>霸</x:v>
      </x:c>
      <x:c r="B4455" s="6" t="str"/>
      <x:c r="C4455" s="6" t="str">
        <x:f>IF(B4455="","Needs decision","Ready")</x:f>
        <x:v>Needs decision</x:v>
      </x:c>
      <x:c r="D4455" s="6" t="str">
        <x:v>去/入</x:v>
      </x:c>
      <x:c r="E4455" s="6" t="str">
        <x:v>paeH (C); phaek (D)</x:v>
      </x:c>
      <x:c r="F4455" s="6" t="str">
        <x:v>2</x:v>
      </x:c>
      <x:c r="G4455" s="6" t="str"/>
      <x:c r="H4455" s="6" t="str">
        <x:f>IF(B4455="平","平",IF(B4455="","","仄"))</x:f>
      </x:c>
      <x:c r="I4455" s="6" t="str">
        <x:f>IF(D4438="","",IF(AND(ISNUMBER(SEARCH("平",D4438)),OR(ISNUMBER(SEARCH("上",D4438)),ISNUMBER(SEARCH("去",D4438)),ISNUMBER(SEARCH("入",D4438)))),"Ambiguous",IF(ISNUMBER(SEARCH("平",D4438)),"平","仄")))</x:f>
        <x:v>平</x:v>
      </x:c>
      <x:c r="J4455" s="7" t="str"/>
    </x:row>
    <x:row r="4456">
      <x:c r="A4456" s="5" t="str">
        <x:v>霹</x:v>
      </x:c>
      <x:c r="B4456" s="6" t="str">
        <x:v>入</x:v>
      </x:c>
      <x:c r="C4456" s="6" t="str">
        <x:f>IF(B4456="","Needs decision","Ready")</x:f>
        <x:v>Ready</x:v>
      </x:c>
      <x:c r="D4456" s="6" t="str">
        <x:v>入</x:v>
      </x:c>
      <x:c r="E4456" s="6" t="str">
        <x:v>phek [p̙ʰek] (入)</x:v>
      </x:c>
      <x:c r="F4456" s="6" t="str">
        <x:v>1</x:v>
      </x:c>
      <x:c r="G4456" s="6" t="str">
        <x:v>Tang 300 gap; frequency 3; provisional from Xun Gong</x:v>
      </x:c>
      <x:c r="H4456" s="6" t="str">
        <x:f>IF(B4456="平","平",IF(B4456="","","仄"))</x:f>
        <x:v>仄</x:v>
      </x:c>
      <x:c r="I4456" s="6" t="str">
        <x:f>IF(D4439="","",IF(AND(ISNUMBER(SEARCH("平",D4439)),OR(ISNUMBER(SEARCH("上",D4439)),ISNUMBER(SEARCH("去",D4439)),ISNUMBER(SEARCH("入",D4439)))),"Ambiguous",IF(ISNUMBER(SEARCH("平",D4439)),"平","仄")))</x:f>
        <x:v>平</x:v>
      </x:c>
      <x:c r="J4456" s="7" t="str">
        <x:v>Xun Gong, Tang 300 gap fill</x:v>
      </x:c>
    </x:row>
    <x:row r="4457">
      <x:c r="A4457" s="5" t="str">
        <x:v>霽</x:v>
      </x:c>
      <x:c r="B4457" s="6" t="str">
        <x:v>去</x:v>
      </x:c>
      <x:c r="C4457" s="6" t="str">
        <x:f>IF(B4457="","Needs decision","Ready")</x:f>
        <x:v>Ready</x:v>
      </x:c>
      <x:c r="D4457" s="6" t="str">
        <x:v>去</x:v>
      </x:c>
      <x:c r="E4457" s="6" t="str"/>
      <x:c r="F4457" s="6" t="str"/>
      <x:c r="G4457" s="6" t="str">
        <x:v>Manual user correction/addition</x:v>
      </x:c>
      <x:c r="H4457" s="6" t="str">
        <x:f>IF(B4457="平","平",IF(B4457="","","仄"))</x:f>
        <x:v>仄</x:v>
      </x:c>
      <x:c r="I4457" s="6" t="str">
        <x:f>IF(D4440="","",IF(AND(ISNUMBER(SEARCH("平",D4440)),OR(ISNUMBER(SEARCH("上",D4440)),ISNUMBER(SEARCH("去",D4440)),ISNUMBER(SEARCH("入",D4440)))),"Ambiguous",IF(ISNUMBER(SEARCH("平",D4440)),"平","仄")))</x:f>
        <x:v>平</x:v>
      </x:c>
      <x:c r="J4457" s="7" t="str">
        <x:v>manual user correction</x:v>
      </x:c>
    </x:row>
    <x:row r="4458">
      <x:c r="A4458" s="5" t="str">
        <x:v>霾</x:v>
      </x:c>
      <x:c r="B4458" s="6" t="str">
        <x:v>平</x:v>
      </x:c>
      <x:c r="C4458" s="6" t="str">
        <x:f>IF(B4458="","Needs decision","Ready")</x:f>
        <x:v>Ready</x:v>
      </x:c>
      <x:c r="D4458" s="6" t="str">
        <x:v>平</x:v>
      </x:c>
      <x:c r="E4458" s="6" t="str">
        <x:v>meaj (A)</x:v>
      </x:c>
      <x:c r="F4458" s="6" t="str">
        <x:v>1</x:v>
      </x:c>
      <x:c r="G4458" s="6" t="str"/>
      <x:c r="H4458" s="6" t="str">
        <x:f>IF(B4458="平","平",IF(B4458="","","仄"))</x:f>
        <x:v>平</x:v>
      </x:c>
      <x:c r="I4458" s="6" t="str">
        <x:f>IF(D4441="","",IF(AND(ISNUMBER(SEARCH("平",D4441)),OR(ISNUMBER(SEARCH("上",D4441)),ISNUMBER(SEARCH("去",D4441)),ISNUMBER(SEARCH("入",D4441)))),"Ambiguous",IF(ISNUMBER(SEARCH("平",D4441)),"平","仄")))</x:f>
        <x:v>仄</x:v>
      </x:c>
      <x:c r="J4458" s="7" t="str"/>
    </x:row>
    <x:row r="4459">
      <x:c r="A4459" s="5" t="str">
        <x:v>靁</x:v>
      </x:c>
      <x:c r="B4459" s="6" t="str">
        <x:v>平</x:v>
      </x:c>
      <x:c r="C4459" s="6" t="str">
        <x:f>IF(B4459="","Needs decision","Ready")</x:f>
        <x:v>Ready</x:v>
      </x:c>
      <x:c r="D4459" s="6" t="str">
        <x:v>平</x:v>
      </x:c>
      <x:c r="E4459" s="6" t="str">
        <x:v>lwoj (A)</x:v>
      </x:c>
      <x:c r="F4459" s="6" t="str">
        <x:v>1</x:v>
      </x:c>
      <x:c r="G4459" s="6" t="str"/>
      <x:c r="H4459" s="6" t="str">
        <x:f>IF(B4459="平","平",IF(B4459="","","仄"))</x:f>
        <x:v>平</x:v>
      </x:c>
      <x:c r="I4459" s="6" t="str">
        <x:f>IF(D4442="","",IF(AND(ISNUMBER(SEARCH("平",D4442)),OR(ISNUMBER(SEARCH("上",D4442)),ISNUMBER(SEARCH("去",D4442)),ISNUMBER(SEARCH("入",D4442)))),"Ambiguous",IF(ISNUMBER(SEARCH("平",D4442)),"平","仄")))</x:f>
        <x:v>仄</x:v>
      </x:c>
      <x:c r="J4459" s="7" t="str"/>
    </x:row>
    <x:row r="4460">
      <x:c r="A4460" s="5" t="str">
        <x:v>靂</x:v>
      </x:c>
      <x:c r="B4460" s="6" t="str">
        <x:v>入</x:v>
      </x:c>
      <x:c r="C4460" s="6" t="str">
        <x:f>IF(B4460="","Needs decision","Ready")</x:f>
        <x:v>Ready</x:v>
      </x:c>
      <x:c r="D4460" s="6" t="str">
        <x:v>入</x:v>
      </x:c>
      <x:c r="E4460" s="6" t="str">
        <x:v>lek [l̙ek] (入)</x:v>
      </x:c>
      <x:c r="F4460" s="6" t="str">
        <x:v>1</x:v>
      </x:c>
      <x:c r="G4460" s="6" t="str">
        <x:v>Tang 300 gap; frequency 3; provisional from Xun Gong</x:v>
      </x:c>
      <x:c r="H4460" s="6" t="str">
        <x:f>IF(B4460="平","平",IF(B4460="","","仄"))</x:f>
        <x:v>仄</x:v>
      </x:c>
      <x:c r="I4460" s="6" t="str">
        <x:f>IF(D4443="","",IF(AND(ISNUMBER(SEARCH("平",D4443)),OR(ISNUMBER(SEARCH("上",D4443)),ISNUMBER(SEARCH("去",D4443)),ISNUMBER(SEARCH("入",D4443)))),"Ambiguous",IF(ISNUMBER(SEARCH("平",D4443)),"平","仄")))</x:f>
        <x:v>平</x:v>
      </x:c>
      <x:c r="J4460" s="7" t="str">
        <x:v>Xun Gong, Tang 300 gap fill</x:v>
      </x:c>
    </x:row>
    <x:row r="4461">
      <x:c r="A4461" s="5" t="str">
        <x:v>靄</x:v>
      </x:c>
      <x:c r="B4461" s="6" t="str"/>
      <x:c r="C4461" s="6" t="str">
        <x:f>IF(B4461="","Needs decision","Ready")</x:f>
        <x:v>Needs decision</x:v>
      </x:c>
      <x:c r="D4461" s="6" t="str">
        <x:v>去/入</x:v>
      </x:c>
      <x:c r="E4461" s="6" t="str">
        <x:v>'ajH [ʔ̙ɑjh] (去); 'at [ʔ̙ɑt] (入)</x:v>
      </x:c>
      <x:c r="F4461" s="6" t="str">
        <x:v>2</x:v>
      </x:c>
      <x:c r="G4461" s="6" t="str">
        <x:v>Tang 300 gap; frequency 3; ambiguous in Xun Gong</x:v>
      </x:c>
      <x:c r="H4461" s="6" t="str">
        <x:f>IF(B4461="平","平",IF(B4461="","","仄"))</x:f>
      </x:c>
      <x:c r="I4461" s="6" t="str">
        <x:f>IF(D4444="","",IF(AND(ISNUMBER(SEARCH("平",D4444)),OR(ISNUMBER(SEARCH("上",D4444)),ISNUMBER(SEARCH("去",D4444)),ISNUMBER(SEARCH("入",D4444)))),"Ambiguous",IF(ISNUMBER(SEARCH("平",D4444)),"平","仄")))</x:f>
        <x:v>平</x:v>
      </x:c>
      <x:c r="J4461" s="7" t="str">
        <x:v>Xun Gong, Tang 300 gap fill</x:v>
      </x:c>
    </x:row>
    <x:row r="4462">
      <x:c r="A4462" s="5" t="str">
        <x:v>靈</x:v>
      </x:c>
      <x:c r="B4462" s="6" t="str">
        <x:v>平</x:v>
      </x:c>
      <x:c r="C4462" s="6" t="str">
        <x:f>IF(B4462="","Needs decision","Ready")</x:f>
        <x:v>Ready</x:v>
      </x:c>
      <x:c r="D4462" s="6" t="str">
        <x:v>平</x:v>
      </x:c>
      <x:c r="E4462" s="6" t="str">
        <x:v>leng (A)</x:v>
      </x:c>
      <x:c r="F4462" s="6" t="str">
        <x:v>1</x:v>
      </x:c>
      <x:c r="G4462" s="6" t="str"/>
      <x:c r="H4462" s="6" t="str">
        <x:f>IF(B4462="平","平",IF(B4462="","","仄"))</x:f>
        <x:v>平</x:v>
      </x:c>
      <x:c r="I4462" s="6" t="str">
        <x:f>IF(D4445="","",IF(AND(ISNUMBER(SEARCH("平",D4445)),OR(ISNUMBER(SEARCH("上",D4445)),ISNUMBER(SEARCH("去",D4445)),ISNUMBER(SEARCH("入",D4445)))),"Ambiguous",IF(ISNUMBER(SEARCH("平",D4445)),"平","仄")))</x:f>
        <x:v>Ambiguous</x:v>
      </x:c>
      <x:c r="J4462" s="7" t="str"/>
    </x:row>
    <x:row r="4463">
      <x:c r="A4463" s="5" t="str">
        <x:v>靑</x:v>
      </x:c>
      <x:c r="B4463" s="6" t="str">
        <x:v>平</x:v>
      </x:c>
      <x:c r="C4463" s="6" t="str">
        <x:f>IF(B4463="","Needs decision","Ready")</x:f>
        <x:v>Ready</x:v>
      </x:c>
      <x:c r="D4463" s="6" t="str">
        <x:v>平</x:v>
      </x:c>
      <x:c r="E4463" s="6" t="str">
        <x:v>tsheng [清開四青平] t̙s̙ʰeŋ</x:v>
      </x:c>
      <x:c r="F4463" s="6" t="str">
        <x:v>1</x:v>
      </x:c>
      <x:c r="G4463" s="6" t="str">
        <x:v>Targeted preliminary fill from Xun Gong; review if uncertain (looked up under 青)</x:v>
      </x:c>
      <x:c r="H4463" s="6" t="str">
        <x:f>IF(B4463="平","平",IF(B4463="","","仄"))</x:f>
        <x:v>平</x:v>
      </x:c>
      <x:c r="I4463" s="6" t="str">
        <x:f>IF(D4446="","",IF(AND(ISNUMBER(SEARCH("平",D4446)),OR(ISNUMBER(SEARCH("上",D4446)),ISNUMBER(SEARCH("去",D4446)),ISNUMBER(SEARCH("入",D4446)))),"Ambiguous",IF(ISNUMBER(SEARCH("平",D4446)),"平","仄")))</x:f>
        <x:v>仄</x:v>
      </x:c>
      <x:c r="J4463" s="7" t="str">
        <x:v>Xun Gong character-readings.csv</x:v>
      </x:c>
    </x:row>
    <x:row r="4464">
      <x:c r="A4464" s="5" t="str">
        <x:v>青</x:v>
      </x:c>
      <x:c r="B4464" s="6" t="str">
        <x:v>平</x:v>
      </x:c>
      <x:c r="C4464" s="6" t="str">
        <x:f>IF(B4464="","Needs decision","Ready")</x:f>
        <x:v>Ready</x:v>
      </x:c>
      <x:c r="D4464" s="6" t="str">
        <x:v>平</x:v>
      </x:c>
      <x:c r="E4464" s="6" t="str">
        <x:v>tsheng (A)</x:v>
      </x:c>
      <x:c r="F4464" s="6" t="str">
        <x:v>1</x:v>
      </x:c>
      <x:c r="G4464" s="6" t="str"/>
      <x:c r="H4464" s="6" t="str">
        <x:f>IF(B4464="平","平",IF(B4464="","","仄"))</x:f>
        <x:v>平</x:v>
      </x:c>
      <x:c r="I4464" s="6" t="str">
        <x:f>IF(D4447="","",IF(AND(ISNUMBER(SEARCH("平",D4447)),OR(ISNUMBER(SEARCH("上",D4447)),ISNUMBER(SEARCH("去",D4447)),ISNUMBER(SEARCH("入",D4447)))),"Ambiguous",IF(ISNUMBER(SEARCH("平",D4447)),"平","仄")))</x:f>
        <x:v>平</x:v>
      </x:c>
      <x:c r="J4464" s="7" t="str"/>
    </x:row>
    <x:row r="4465">
      <x:c r="A4465" s="5" t="str">
        <x:v>靖</x:v>
      </x:c>
      <x:c r="B4465" s="6" t="str">
        <x:v>上</x:v>
      </x:c>
      <x:c r="C4465" s="6" t="str">
        <x:f>IF(B4465="","Needs decision","Ready")</x:f>
        <x:v>Ready</x:v>
      </x:c>
      <x:c r="D4465" s="6" t="str">
        <x:v>上</x:v>
      </x:c>
      <x:c r="E4465" s="6" t="str"/>
      <x:c r="F4465" s="6" t="str"/>
      <x:c r="G4465" s="6" t="str">
        <x:v>Manual user correction/addition</x:v>
      </x:c>
      <x:c r="H4465" s="6" t="str">
        <x:f>IF(B4465="平","平",IF(B4465="","","仄"))</x:f>
        <x:v>仄</x:v>
      </x:c>
      <x:c r="I4465" s="6" t="str">
        <x:f>IF(D4448="","",IF(AND(ISNUMBER(SEARCH("平",D4448)),OR(ISNUMBER(SEARCH("上",D4448)),ISNUMBER(SEARCH("去",D4448)),ISNUMBER(SEARCH("入",D4448)))),"Ambiguous",IF(ISNUMBER(SEARCH("平",D4448)),"平","仄")))</x:f>
        <x:v>平</x:v>
      </x:c>
      <x:c r="J4465" s="7" t="str">
        <x:v>manual user correction</x:v>
      </x:c>
    </x:row>
    <x:row r="4466">
      <x:c r="A4466" s="5" t="str">
        <x:v>靜</x:v>
      </x:c>
      <x:c r="B4466" s="6" t="str">
        <x:v>上</x:v>
      </x:c>
      <x:c r="C4466" s="6" t="str">
        <x:f>IF(B4466="","Needs decision","Ready")</x:f>
        <x:v>Ready</x:v>
      </x:c>
      <x:c r="D4466" s="6" t="str">
        <x:v>上</x:v>
      </x:c>
      <x:c r="E4466" s="6" t="str">
        <x:v>dzjengX [dzjaŋʔ] (上)</x:v>
      </x:c>
      <x:c r="F4466" s="6" t="str">
        <x:v>1</x:v>
      </x:c>
      <x:c r="G4466" s="6" t="str">
        <x:v>Tang 300 gap; frequency 17; provisional from Xun Gong</x:v>
      </x:c>
      <x:c r="H4466" s="6" t="str">
        <x:f>IF(B4466="平","平",IF(B4466="","","仄"))</x:f>
        <x:v>仄</x:v>
      </x:c>
      <x:c r="I4466" s="6" t="str">
        <x:f>IF(D4449="","",IF(AND(ISNUMBER(SEARCH("平",D4449)),OR(ISNUMBER(SEARCH("上",D4449)),ISNUMBER(SEARCH("去",D4449)),ISNUMBER(SEARCH("入",D4449)))),"Ambiguous",IF(ISNUMBER(SEARCH("平",D4449)),"平","仄")))</x:f>
        <x:v>平</x:v>
      </x:c>
      <x:c r="J4466" s="7" t="str">
        <x:v>Xun Gong, Tang 300 gap fill</x:v>
      </x:c>
    </x:row>
    <x:row r="4467">
      <x:c r="A4467" s="5" t="str">
        <x:v>非</x:v>
      </x:c>
      <x:c r="B4467" s="6" t="str">
        <x:v>平</x:v>
      </x:c>
      <x:c r="C4467" s="6" t="str">
        <x:f>IF(B4467="","Needs decision","Ready")</x:f>
        <x:v>Ready</x:v>
      </x:c>
      <x:c r="D4467" s="6" t="str">
        <x:v>平</x:v>
      </x:c>
      <x:c r="E4467" s="6" t="str">
        <x:v>pj+j (A)</x:v>
      </x:c>
      <x:c r="F4467" s="6" t="str">
        <x:v>1</x:v>
      </x:c>
      <x:c r="G4467" s="6" t="str"/>
      <x:c r="H4467" s="6" t="str">
        <x:f>IF(B4467="平","平",IF(B4467="","","仄"))</x:f>
        <x:v>平</x:v>
      </x:c>
      <x:c r="I4467" s="6" t="str">
        <x:f>IF(D4450="","",IF(AND(ISNUMBER(SEARCH("平",D4450)),OR(ISNUMBER(SEARCH("上",D4450)),ISNUMBER(SEARCH("去",D4450)),ISNUMBER(SEARCH("入",D4450)))),"Ambiguous",IF(ISNUMBER(SEARCH("平",D4450)),"平","仄")))</x:f>
        <x:v>平</x:v>
      </x:c>
      <x:c r="J4467" s="7" t="str"/>
    </x:row>
    <x:row r="4468">
      <x:c r="A4468" s="5" t="str">
        <x:v>靡</x:v>
      </x:c>
      <x:c r="B4468" s="6" t="str">
        <x:v>上</x:v>
      </x:c>
      <x:c r="C4468" s="6" t="str">
        <x:f>IF(B4468="","Needs decision","Ready")</x:f>
        <x:v>Ready</x:v>
      </x:c>
      <x:c r="D4468" s="6" t="str">
        <x:v>平/上</x:v>
      </x:c>
      <x:c r="E4468" s="6" t="str">
        <x:v>mje (A); mjeX (B)</x:v>
      </x:c>
      <x:c r="F4468" s="6" t="str">
        <x:v>2</x:v>
      </x:c>
      <x:c r="G4468" s="6" t="str">
        <x:v>Manual user correction/addition</x:v>
      </x:c>
      <x:c r="H4468" s="6" t="str">
        <x:f>IF(B4468="平","平",IF(B4468="","","仄"))</x:f>
        <x:v>仄</x:v>
      </x:c>
      <x:c r="I4468" s="6" t="str">
        <x:f>IF(D4451="","",IF(AND(ISNUMBER(SEARCH("平",D4451)),OR(ISNUMBER(SEARCH("上",D4451)),ISNUMBER(SEARCH("去",D4451)),ISNUMBER(SEARCH("入",D4451)))),"Ambiguous",IF(ISNUMBER(SEARCH("平",D4451)),"平","仄")))</x:f>
        <x:v>平</x:v>
      </x:c>
      <x:c r="J4468" s="7" t="str">
        <x:v>manual user correction</x:v>
      </x:c>
    </x:row>
    <x:row r="4469">
      <x:c r="A4469" s="5" t="str">
        <x:v>面</x:v>
      </x:c>
      <x:c r="B4469" s="6" t="str">
        <x:v>去</x:v>
      </x:c>
      <x:c r="C4469" s="6" t="str">
        <x:f>IF(B4469="","Needs decision","Ready")</x:f>
        <x:v>Ready</x:v>
      </x:c>
      <x:c r="D4469" s="6" t="str">
        <x:v>去</x:v>
      </x:c>
      <x:c r="E4469" s="6" t="str">
        <x:v>mjienH (C)</x:v>
      </x:c>
      <x:c r="F4469" s="6" t="str">
        <x:v>1</x:v>
      </x:c>
      <x:c r="G4469" s="6" t="str"/>
      <x:c r="H4469" s="6" t="str">
        <x:f>IF(B4469="平","平",IF(B4469="","","仄"))</x:f>
        <x:v>仄</x:v>
      </x:c>
      <x:c r="I4469" s="6" t="str">
        <x:f>IF(D4452="","",IF(AND(ISNUMBER(SEARCH("平",D4452)),OR(ISNUMBER(SEARCH("上",D4452)),ISNUMBER(SEARCH("去",D4452)),ISNUMBER(SEARCH("入",D4452)))),"Ambiguous",IF(ISNUMBER(SEARCH("平",D4452)),"平","仄")))</x:f>
        <x:v>仄</x:v>
      </x:c>
      <x:c r="J4469" s="7" t="str"/>
    </x:row>
    <x:row r="4470">
      <x:c r="A4470" s="5" t="str">
        <x:v>靧</x:v>
      </x:c>
      <x:c r="B4470" s="6" t="str">
        <x:v>去</x:v>
      </x:c>
      <x:c r="C4470" s="6" t="str">
        <x:f>IF(B4470="","Needs decision","Ready")</x:f>
        <x:v>Ready</x:v>
      </x:c>
      <x:c r="D4470" s="6" t="str">
        <x:v>去</x:v>
      </x:c>
      <x:c r="E4470" s="6" t="str">
        <x:v>xwojH (C)</x:v>
      </x:c>
      <x:c r="F4470" s="6" t="str">
        <x:v>1</x:v>
      </x:c>
      <x:c r="G4470" s="6" t="str"/>
      <x:c r="H4470" s="6" t="str">
        <x:f>IF(B4470="平","平",IF(B4470="","","仄"))</x:f>
        <x:v>仄</x:v>
      </x:c>
      <x:c r="I4470" s="6" t="str">
        <x:f>IF(D4453="","",IF(AND(ISNUMBER(SEARCH("平",D4453)),OR(ISNUMBER(SEARCH("上",D4453)),ISNUMBER(SEARCH("去",D4453)),ISNUMBER(SEARCH("入",D4453)))),"Ambiguous",IF(ISNUMBER(SEARCH("平",D4453)),"平","仄")))</x:f>
        <x:v>仄</x:v>
      </x:c>
      <x:c r="J4470" s="7" t="str"/>
    </x:row>
    <x:row r="4471">
      <x:c r="A4471" s="5" t="str">
        <x:v>革</x:v>
      </x:c>
      <x:c r="B4471" s="6" t="str">
        <x:v>入</x:v>
      </x:c>
      <x:c r="C4471" s="6" t="str">
        <x:f>IF(B4471="","Needs decision","Ready")</x:f>
        <x:v>Ready</x:v>
      </x:c>
      <x:c r="D4471" s="6" t="str">
        <x:v>入</x:v>
      </x:c>
      <x:c r="E4471" s="6" t="str">
        <x:v>keak (D)</x:v>
      </x:c>
      <x:c r="F4471" s="6" t="str">
        <x:v>1</x:v>
      </x:c>
      <x:c r="G4471" s="6" t="str"/>
      <x:c r="H4471" s="6" t="str">
        <x:f>IF(B4471="平","平",IF(B4471="","","仄"))</x:f>
        <x:v>仄</x:v>
      </x:c>
      <x:c r="I4471" s="6" t="str">
        <x:f>IF(D4454="","",IF(AND(ISNUMBER(SEARCH("平",D4454)),OR(ISNUMBER(SEARCH("上",D4454)),ISNUMBER(SEARCH("去",D4454)),ISNUMBER(SEARCH("入",D4454)))),"Ambiguous",IF(ISNUMBER(SEARCH("平",D4454)),"平","仄")))</x:f>
        <x:v>仄</x:v>
      </x:c>
      <x:c r="J4471" s="7" t="str"/>
    </x:row>
    <x:row r="4472">
      <x:c r="A4472" s="5" t="str">
        <x:v>鞀</x:v>
      </x:c>
      <x:c r="B4472" s="6" t="str">
        <x:v>平</x:v>
      </x:c>
      <x:c r="C4472" s="6" t="str">
        <x:f>IF(B4472="","Needs decision","Ready")</x:f>
        <x:v>Ready</x:v>
      </x:c>
      <x:c r="D4472" s="6" t="str">
        <x:v>平</x:v>
      </x:c>
      <x:c r="E4472" s="6" t="str">
        <x:v>daw (A)</x:v>
      </x:c>
      <x:c r="F4472" s="6" t="str">
        <x:v>1</x:v>
      </x:c>
      <x:c r="G4472" s="6" t="str"/>
      <x:c r="H4472" s="6" t="str">
        <x:f>IF(B4472="平","平",IF(B4472="","","仄"))</x:f>
        <x:v>平</x:v>
      </x:c>
      <x:c r="I4472" s="6" t="str">
        <x:f>IF(D4455="","",IF(AND(ISNUMBER(SEARCH("平",D4455)),OR(ISNUMBER(SEARCH("上",D4455)),ISNUMBER(SEARCH("去",D4455)),ISNUMBER(SEARCH("入",D4455)))),"Ambiguous",IF(ISNUMBER(SEARCH("平",D4455)),"平","仄")))</x:f>
        <x:v>仄</x:v>
      </x:c>
      <x:c r="J4472" s="7" t="str"/>
    </x:row>
    <x:row r="4473">
      <x:c r="A4473" s="5" t="str">
        <x:v>鞋</x:v>
      </x:c>
      <x:c r="B4473" s="6" t="str">
        <x:v>平</x:v>
      </x:c>
      <x:c r="C4473" s="6" t="str">
        <x:f>IF(B4473="","Needs decision","Ready")</x:f>
        <x:v>Ready</x:v>
      </x:c>
      <x:c r="D4473" s="6" t="str">
        <x:v>平</x:v>
      </x:c>
      <x:c r="E4473" s="6" t="str">
        <x:v>hea (A)</x:v>
      </x:c>
      <x:c r="F4473" s="6" t="str">
        <x:v>1</x:v>
      </x:c>
      <x:c r="G4473" s="6" t="str"/>
      <x:c r="H4473" s="6" t="str">
        <x:f>IF(B4473="平","平",IF(B4473="","","仄"))</x:f>
        <x:v>平</x:v>
      </x:c>
      <x:c r="I4473" s="6" t="str">
        <x:f>IF(D4456="","",IF(AND(ISNUMBER(SEARCH("平",D4456)),OR(ISNUMBER(SEARCH("上",D4456)),ISNUMBER(SEARCH("去",D4456)),ISNUMBER(SEARCH("入",D4456)))),"Ambiguous",IF(ISNUMBER(SEARCH("平",D4456)),"平","仄")))</x:f>
        <x:v>仄</x:v>
      </x:c>
      <x:c r="J4473" s="7" t="str"/>
    </x:row>
    <x:row r="4474">
      <x:c r="A4474" s="5" t="str">
        <x:v>鞌</x:v>
      </x:c>
      <x:c r="B4474" s="6" t="str">
        <x:v>平</x:v>
      </x:c>
      <x:c r="C4474" s="6" t="str">
        <x:f>IF(B4474="","Needs decision","Ready")</x:f>
        <x:v>Ready</x:v>
      </x:c>
      <x:c r="D4474" s="6" t="str">
        <x:v>平</x:v>
      </x:c>
      <x:c r="E4474" s="6" t="str">
        <x:v>'an (A)</x:v>
      </x:c>
      <x:c r="F4474" s="6" t="str">
        <x:v>1</x:v>
      </x:c>
      <x:c r="G4474" s="6" t="str"/>
      <x:c r="H4474" s="6" t="str">
        <x:f>IF(B4474="平","平",IF(B4474="","","仄"))</x:f>
        <x:v>平</x:v>
      </x:c>
      <x:c r="I4474" s="6" t="str">
        <x:f>IF(D4457="","",IF(AND(ISNUMBER(SEARCH("平",D4457)),OR(ISNUMBER(SEARCH("上",D4457)),ISNUMBER(SEARCH("去",D4457)),ISNUMBER(SEARCH("入",D4457)))),"Ambiguous",IF(ISNUMBER(SEARCH("平",D4457)),"平","仄")))</x:f>
        <x:v>仄</x:v>
      </x:c>
      <x:c r="J4474" s="7" t="str"/>
    </x:row>
    <x:row r="4475">
      <x:c r="A4475" s="5" t="str">
        <x:v>鞍</x:v>
      </x:c>
      <x:c r="B4475" s="6" t="str">
        <x:v>平</x:v>
      </x:c>
      <x:c r="C4475" s="6" t="str">
        <x:f>IF(B4475="","Needs decision","Ready")</x:f>
        <x:v>Ready</x:v>
      </x:c>
      <x:c r="D4475" s="6" t="str">
        <x:v>平</x:v>
      </x:c>
      <x:c r="E4475" s="6" t="str">
        <x:v>'an (A)</x:v>
      </x:c>
      <x:c r="F4475" s="6" t="str">
        <x:v>1</x:v>
      </x:c>
      <x:c r="G4475" s="6" t="str"/>
      <x:c r="H4475" s="6" t="str">
        <x:f>IF(B4475="平","平",IF(B4475="","","仄"))</x:f>
        <x:v>平</x:v>
      </x:c>
      <x:c r="I4475" s="6" t="str">
        <x:f>IF(D4458="","",IF(AND(ISNUMBER(SEARCH("平",D4458)),OR(ISNUMBER(SEARCH("上",D4458)),ISNUMBER(SEARCH("去",D4458)),ISNUMBER(SEARCH("入",D4458)))),"Ambiguous",IF(ISNUMBER(SEARCH("平",D4458)),"平","仄")))</x:f>
        <x:v>平</x:v>
      </x:c>
      <x:c r="J4475" s="7" t="str"/>
    </x:row>
    <x:row r="4476">
      <x:c r="A4476" s="5" t="str">
        <x:v>鞏</x:v>
      </x:c>
      <x:c r="B4476" s="6" t="str">
        <x:v>上</x:v>
      </x:c>
      <x:c r="C4476" s="6" t="str">
        <x:f>IF(B4476="","Needs decision","Ready")</x:f>
        <x:v>Ready</x:v>
      </x:c>
      <x:c r="D4476" s="6" t="str">
        <x:v>上</x:v>
      </x:c>
      <x:c r="E4476" s="6" t="str">
        <x:v>kjowngX (B)</x:v>
      </x:c>
      <x:c r="F4476" s="6" t="str">
        <x:v>1</x:v>
      </x:c>
      <x:c r="G4476" s="6" t="str"/>
      <x:c r="H4476" s="6" t="str">
        <x:f>IF(B4476="平","平",IF(B4476="","","仄"))</x:f>
        <x:v>仄</x:v>
      </x:c>
      <x:c r="I4476" s="6" t="str">
        <x:f>IF(D4459="","",IF(AND(ISNUMBER(SEARCH("平",D4459)),OR(ISNUMBER(SEARCH("上",D4459)),ISNUMBER(SEARCH("去",D4459)),ISNUMBER(SEARCH("入",D4459)))),"Ambiguous",IF(ISNUMBER(SEARCH("平",D4459)),"平","仄")))</x:f>
        <x:v>平</x:v>
      </x:c>
      <x:c r="J4476" s="7" t="str"/>
    </x:row>
    <x:row r="4477">
      <x:c r="A4477" s="5" t="str">
        <x:v>鞙</x:v>
      </x:c>
      <x:c r="B4477" s="6" t="str">
        <x:v>上</x:v>
      </x:c>
      <x:c r="C4477" s="6" t="str">
        <x:f>IF(B4477="","Needs decision","Ready")</x:f>
        <x:v>Ready</x:v>
      </x:c>
      <x:c r="D4477" s="6" t="str">
        <x:v>上</x:v>
      </x:c>
      <x:c r="E4477" s="6" t="str">
        <x:v>hwenX (B)</x:v>
      </x:c>
      <x:c r="F4477" s="6" t="str">
        <x:v>1</x:v>
      </x:c>
      <x:c r="G4477" s="6" t="str"/>
      <x:c r="H4477" s="6" t="str">
        <x:f>IF(B4477="平","平",IF(B4477="","","仄"))</x:f>
        <x:v>仄</x:v>
      </x:c>
      <x:c r="I4477" s="6" t="str">
        <x:f>IF(D4460="","",IF(AND(ISNUMBER(SEARCH("平",D4460)),OR(ISNUMBER(SEARCH("上",D4460)),ISNUMBER(SEARCH("去",D4460)),ISNUMBER(SEARCH("入",D4460)))),"Ambiguous",IF(ISNUMBER(SEARCH("平",D4460)),"平","仄")))</x:f>
        <x:v>仄</x:v>
      </x:c>
      <x:c r="J4477" s="7" t="str"/>
    </x:row>
    <x:row r="4478">
      <x:c r="A4478" s="5" t="str">
        <x:v>鞚</x:v>
      </x:c>
      <x:c r="B4478" s="6" t="str">
        <x:v>去</x:v>
      </x:c>
      <x:c r="C4478" s="6" t="str">
        <x:f>IF(B4478="","Needs decision","Ready")</x:f>
        <x:v>Ready</x:v>
      </x:c>
      <x:c r="D4478" s="6" t="str">
        <x:v>去</x:v>
      </x:c>
      <x:c r="E4478" s="6" t="str">
        <x:v>khuwngH [qʰuŋh] (去)</x:v>
      </x:c>
      <x:c r="F4478" s="6" t="str">
        <x:v>1</x:v>
      </x:c>
      <x:c r="G4478" s="6" t="str">
        <x:v>Tang 300 gap; frequency 1; provisional from Xun Gong</x:v>
      </x:c>
      <x:c r="H4478" s="6" t="str">
        <x:f>IF(B4478="平","平",IF(B4478="","","仄"))</x:f>
        <x:v>仄</x:v>
      </x:c>
      <x:c r="I4478" s="6" t="str">
        <x:f>IF(D4461="","",IF(AND(ISNUMBER(SEARCH("平",D4461)),OR(ISNUMBER(SEARCH("上",D4461)),ISNUMBER(SEARCH("去",D4461)),ISNUMBER(SEARCH("入",D4461)))),"Ambiguous",IF(ISNUMBER(SEARCH("平",D4461)),"平","仄")))</x:f>
        <x:v>仄</x:v>
      </x:c>
      <x:c r="J4478" s="7" t="str">
        <x:v>Xun Gong, Tang 300 gap fill</x:v>
      </x:c>
    </x:row>
    <x:row r="4479">
      <x:c r="A4479" s="5" t="str">
        <x:v>鞠</x:v>
      </x:c>
      <x:c r="B4479" s="6" t="str">
        <x:v>入</x:v>
      </x:c>
      <x:c r="C4479" s="6" t="str">
        <x:f>IF(B4479="","Needs decision","Ready")</x:f>
        <x:v>Ready</x:v>
      </x:c>
      <x:c r="D4479" s="6" t="str">
        <x:v>入</x:v>
      </x:c>
      <x:c r="E4479" s="6" t="str">
        <x:v>gjuwk [ɡɨ̯uk] (入); khjuwk [kʰɨ̯uk] (入); kjuwk [kɨ̯uk] (入)</x:v>
      </x:c>
      <x:c r="F4479" s="6" t="str">
        <x:v>3</x:v>
      </x:c>
      <x:c r="G4479" s="6" t="str">
        <x:v>Tang 300 gap; frequency 1; provisional from Xun Gong</x:v>
      </x:c>
      <x:c r="H4479" s="6" t="str">
        <x:f>IF(B4479="平","平",IF(B4479="","","仄"))</x:f>
        <x:v>仄</x:v>
      </x:c>
      <x:c r="I4479" s="6" t="str">
        <x:f>IF(D4462="","",IF(AND(ISNUMBER(SEARCH("平",D4462)),OR(ISNUMBER(SEARCH("上",D4462)),ISNUMBER(SEARCH("去",D4462)),ISNUMBER(SEARCH("入",D4462)))),"Ambiguous",IF(ISNUMBER(SEARCH("平",D4462)),"平","仄")))</x:f>
        <x:v>平</x:v>
      </x:c>
      <x:c r="J4479" s="7" t="str">
        <x:v>Xun Gong, Tang 300 gap fill</x:v>
      </x:c>
    </x:row>
    <x:row r="4480">
      <x:c r="A4480" s="5" t="str">
        <x:v>鞫</x:v>
      </x:c>
      <x:c r="B4480" s="6" t="str">
        <x:v>入</x:v>
      </x:c>
      <x:c r="C4480" s="6" t="str">
        <x:f>IF(B4480="","Needs decision","Ready")</x:f>
        <x:v>Ready</x:v>
      </x:c>
      <x:c r="D4480" s="6" t="str">
        <x:v>入</x:v>
      </x:c>
      <x:c r="E4480" s="6" t="str">
        <x:v>kjuwk (D)</x:v>
      </x:c>
      <x:c r="F4480" s="6" t="str">
        <x:v>1</x:v>
      </x:c>
      <x:c r="G4480" s="6" t="str"/>
      <x:c r="H4480" s="6" t="str">
        <x:f>IF(B4480="平","平",IF(B4480="","","仄"))</x:f>
        <x:v>仄</x:v>
      </x:c>
      <x:c r="I4480" s="6" t="str">
        <x:f>IF(D4463="","",IF(AND(ISNUMBER(SEARCH("平",D4463)),OR(ISNUMBER(SEARCH("上",D4463)),ISNUMBER(SEARCH("去",D4463)),ISNUMBER(SEARCH("入",D4463)))),"Ambiguous",IF(ISNUMBER(SEARCH("平",D4463)),"平","仄")))</x:f>
        <x:v>平</x:v>
      </x:c>
      <x:c r="J4480" s="7" t="str"/>
    </x:row>
    <x:row r="4481">
      <x:c r="A4481" s="5" t="str">
        <x:v>鞭</x:v>
      </x:c>
      <x:c r="B4481" s="6" t="str">
        <x:v>平</x:v>
      </x:c>
      <x:c r="C4481" s="6" t="str">
        <x:f>IF(B4481="","Needs decision","Ready")</x:f>
        <x:v>Ready</x:v>
      </x:c>
      <x:c r="D4481" s="6" t="str">
        <x:v>平</x:v>
      </x:c>
      <x:c r="E4481" s="6" t="str">
        <x:v>pjien (A)</x:v>
      </x:c>
      <x:c r="F4481" s="6" t="str">
        <x:v>1</x:v>
      </x:c>
      <x:c r="G4481" s="6" t="str"/>
      <x:c r="H4481" s="6" t="str">
        <x:f>IF(B4481="平","平",IF(B4481="","","仄"))</x:f>
        <x:v>平</x:v>
      </x:c>
      <x:c r="I4481" s="6" t="str">
        <x:f>IF(D4464="","",IF(AND(ISNUMBER(SEARCH("平",D4464)),OR(ISNUMBER(SEARCH("上",D4464)),ISNUMBER(SEARCH("去",D4464)),ISNUMBER(SEARCH("入",D4464)))),"Ambiguous",IF(ISNUMBER(SEARCH("平",D4464)),"平","仄")))</x:f>
        <x:v>平</x:v>
      </x:c>
      <x:c r="J4481" s="7" t="str"/>
    </x:row>
    <x:row r="4482">
      <x:c r="A4482" s="5" t="str">
        <x:v>鞵</x:v>
      </x:c>
      <x:c r="B4482" s="6" t="str">
        <x:v>平</x:v>
      </x:c>
      <x:c r="C4482" s="6" t="str">
        <x:f>IF(B4482="","Needs decision","Ready")</x:f>
        <x:v>Ready</x:v>
      </x:c>
      <x:c r="D4482" s="6" t="str">
        <x:v>平</x:v>
      </x:c>
      <x:c r="E4482" s="6" t="str">
        <x:v>hea (A)</x:v>
      </x:c>
      <x:c r="F4482" s="6" t="str">
        <x:v>1</x:v>
      </x:c>
      <x:c r="G4482" s="6" t="str"/>
      <x:c r="H4482" s="6" t="str">
        <x:f>IF(B4482="平","平",IF(B4482="","","仄"))</x:f>
        <x:v>平</x:v>
      </x:c>
      <x:c r="I4482" s="6" t="str">
        <x:f>IF(D4465="","",IF(AND(ISNUMBER(SEARCH("平",D4465)),OR(ISNUMBER(SEARCH("上",D4465)),ISNUMBER(SEARCH("去",D4465)),ISNUMBER(SEARCH("入",D4465)))),"Ambiguous",IF(ISNUMBER(SEARCH("平",D4465)),"平","仄")))</x:f>
        <x:v>仄</x:v>
      </x:c>
      <x:c r="J4482" s="7" t="str"/>
    </x:row>
    <x:row r="4483">
      <x:c r="A4483" s="5" t="str">
        <x:v>鞻</x:v>
      </x:c>
      <x:c r="B4483" s="6" t="str">
        <x:v>去</x:v>
      </x:c>
      <x:c r="C4483" s="6" t="str">
        <x:f>IF(B4483="","Needs decision","Ready")</x:f>
        <x:v>Ready</x:v>
      </x:c>
      <x:c r="D4483" s="6" t="str">
        <x:v>去</x:v>
      </x:c>
      <x:c r="E4483" s="6" t="str">
        <x:v>kjuH (C)</x:v>
      </x:c>
      <x:c r="F4483" s="6" t="str">
        <x:v>1</x:v>
      </x:c>
      <x:c r="G4483" s="6" t="str"/>
      <x:c r="H4483" s="6" t="str">
        <x:f>IF(B4483="平","平",IF(B4483="","","仄"))</x:f>
        <x:v>仄</x:v>
      </x:c>
      <x:c r="I4483" s="6" t="str">
        <x:f>IF(D4466="","",IF(AND(ISNUMBER(SEARCH("平",D4466)),OR(ISNUMBER(SEARCH("上",D4466)),ISNUMBER(SEARCH("去",D4466)),ISNUMBER(SEARCH("入",D4466)))),"Ambiguous",IF(ISNUMBER(SEARCH("平",D4466)),"平","仄")))</x:f>
        <x:v>仄</x:v>
      </x:c>
      <x:c r="J4483" s="7" t="str"/>
    </x:row>
    <x:row r="4484">
      <x:c r="A4484" s="5" t="str">
        <x:v>鞿</x:v>
      </x:c>
      <x:c r="B4484" s="6" t="str">
        <x:v>平</x:v>
      </x:c>
      <x:c r="C4484" s="6" t="str">
        <x:f>IF(B4484="","Needs decision","Ready")</x:f>
        <x:v>Ready</x:v>
      </x:c>
      <x:c r="D4484" s="6" t="str">
        <x:v>平</x:v>
      </x:c>
      <x:c r="E4484" s="6" t="str">
        <x:v>kj+j [kɨj] (平)</x:v>
      </x:c>
      <x:c r="F4484" s="6" t="str">
        <x:v>1</x:v>
      </x:c>
      <x:c r="G4484" s="6" t="str">
        <x:v>Tang 300 gap; frequency 1; provisional from Xun Gong</x:v>
      </x:c>
      <x:c r="H4484" s="6" t="str">
        <x:f>IF(B4484="平","平",IF(B4484="","","仄"))</x:f>
        <x:v>平</x:v>
      </x:c>
      <x:c r="I4484" s="6" t="str">
        <x:f>IF(D4467="","",IF(AND(ISNUMBER(SEARCH("平",D4467)),OR(ISNUMBER(SEARCH("上",D4467)),ISNUMBER(SEARCH("去",D4467)),ISNUMBER(SEARCH("入",D4467)))),"Ambiguous",IF(ISNUMBER(SEARCH("平",D4467)),"平","仄")))</x:f>
        <x:v>平</x:v>
      </x:c>
      <x:c r="J4484" s="7" t="str">
        <x:v>Xun Gong, Tang 300 gap fill</x:v>
      </x:c>
    </x:row>
    <x:row r="4485">
      <x:c r="A4485" s="5" t="str">
        <x:v>韈</x:v>
      </x:c>
      <x:c r="B4485" s="6" t="str">
        <x:v>入</x:v>
      </x:c>
      <x:c r="C4485" s="6" t="str">
        <x:f>IF(B4485="","Needs decision","Ready")</x:f>
        <x:v>Ready</x:v>
      </x:c>
      <x:c r="D4485" s="6" t="str">
        <x:v>入</x:v>
      </x:c>
      <x:c r="E4485" s="6" t="str">
        <x:v>mjot (D)</x:v>
      </x:c>
      <x:c r="F4485" s="6" t="str">
        <x:v>1</x:v>
      </x:c>
      <x:c r="G4485" s="6" t="str"/>
      <x:c r="H4485" s="6" t="str">
        <x:f>IF(B4485="平","平",IF(B4485="","","仄"))</x:f>
        <x:v>仄</x:v>
      </x:c>
      <x:c r="I4485" s="6" t="str">
        <x:f>IF(D4468="","",IF(AND(ISNUMBER(SEARCH("平",D4468)),OR(ISNUMBER(SEARCH("上",D4468)),ISNUMBER(SEARCH("去",D4468)),ISNUMBER(SEARCH("入",D4468)))),"Ambiguous",IF(ISNUMBER(SEARCH("平",D4468)),"平","仄")))</x:f>
        <x:v>Ambiguous</x:v>
      </x:c>
      <x:c r="J4485" s="7" t="str"/>
    </x:row>
    <x:row r="4486">
      <x:c r="A4486" s="5" t="str">
        <x:v>韋</x:v>
      </x:c>
      <x:c r="B4486" s="6" t="str">
        <x:v>平</x:v>
      </x:c>
      <x:c r="C4486" s="6" t="str">
        <x:f>IF(B4486="","Needs decision","Ready")</x:f>
        <x:v>Ready</x:v>
      </x:c>
      <x:c r="D4486" s="6" t="str">
        <x:v>平</x:v>
      </x:c>
      <x:c r="E4486" s="6" t="str">
        <x:v>hjw+j (A)</x:v>
      </x:c>
      <x:c r="F4486" s="6" t="str">
        <x:v>1</x:v>
      </x:c>
      <x:c r="G4486" s="6" t="str"/>
      <x:c r="H4486" s="6" t="str">
        <x:f>IF(B4486="平","平",IF(B4486="","","仄"))</x:f>
        <x:v>平</x:v>
      </x:c>
      <x:c r="I4486" s="6" t="str">
        <x:f>IF(D4469="","",IF(AND(ISNUMBER(SEARCH("平",D4469)),OR(ISNUMBER(SEARCH("上",D4469)),ISNUMBER(SEARCH("去",D4469)),ISNUMBER(SEARCH("入",D4469)))),"Ambiguous",IF(ISNUMBER(SEARCH("平",D4469)),"平","仄")))</x:f>
        <x:v>仄</x:v>
      </x:c>
      <x:c r="J4486" s="7" t="str"/>
    </x:row>
    <x:row r="4487">
      <x:c r="A4487" s="5" t="str">
        <x:v>韐</x:v>
      </x:c>
      <x:c r="B4487" s="6" t="str">
        <x:v>入</x:v>
      </x:c>
      <x:c r="C4487" s="6" t="str">
        <x:f>IF(B4487="","Needs decision","Ready")</x:f>
        <x:v>Ready</x:v>
      </x:c>
      <x:c r="D4487" s="6" t="str">
        <x:v>入</x:v>
      </x:c>
      <x:c r="E4487" s="6" t="str">
        <x:v>keap (D); kop (D)</x:v>
      </x:c>
      <x:c r="F4487" s="6" t="str">
        <x:v>2</x:v>
      </x:c>
      <x:c r="G4487" s="6" t="str"/>
      <x:c r="H4487" s="6" t="str">
        <x:f>IF(B4487="平","平",IF(B4487="","","仄"))</x:f>
        <x:v>仄</x:v>
      </x:c>
      <x:c r="I4487" s="6" t="str">
        <x:f>IF(D4470="","",IF(AND(ISNUMBER(SEARCH("平",D4470)),OR(ISNUMBER(SEARCH("上",D4470)),ISNUMBER(SEARCH("去",D4470)),ISNUMBER(SEARCH("入",D4470)))),"Ambiguous",IF(ISNUMBER(SEARCH("平",D4470)),"平","仄")))</x:f>
        <x:v>仄</x:v>
      </x:c>
      <x:c r="J4487" s="7" t="str"/>
    </x:row>
    <x:row r="4488">
      <x:c r="A4488" s="5" t="str">
        <x:v>韓</x:v>
      </x:c>
      <x:c r="B4488" s="6" t="str">
        <x:v>平</x:v>
      </x:c>
      <x:c r="C4488" s="6" t="str">
        <x:f>IF(B4488="","Needs decision","Ready")</x:f>
        <x:v>Ready</x:v>
      </x:c>
      <x:c r="D4488" s="6" t="str">
        <x:v>平</x:v>
      </x:c>
      <x:c r="E4488" s="6" t="str">
        <x:v>han (A)</x:v>
      </x:c>
      <x:c r="F4488" s="6" t="str">
        <x:v>1</x:v>
      </x:c>
      <x:c r="G4488" s="6" t="str"/>
      <x:c r="H4488" s="6" t="str">
        <x:f>IF(B4488="平","平",IF(B4488="","","仄"))</x:f>
        <x:v>平</x:v>
      </x:c>
      <x:c r="I4488" s="6" t="str">
        <x:f>IF(D4471="","",IF(AND(ISNUMBER(SEARCH("平",D4471)),OR(ISNUMBER(SEARCH("上",D4471)),ISNUMBER(SEARCH("去",D4471)),ISNUMBER(SEARCH("入",D4471)))),"Ambiguous",IF(ISNUMBER(SEARCH("平",D4471)),"平","仄")))</x:f>
        <x:v>仄</x:v>
      </x:c>
      <x:c r="J4488" s="7" t="str"/>
    </x:row>
    <x:row r="4489">
      <x:c r="A4489" s="5" t="str">
        <x:v>韘</x:v>
      </x:c>
      <x:c r="B4489" s="6" t="str">
        <x:v>入</x:v>
      </x:c>
      <x:c r="C4489" s="6" t="str">
        <x:f>IF(B4489="","Needs decision","Ready")</x:f>
        <x:v>Ready</x:v>
      </x:c>
      <x:c r="D4489" s="6" t="str">
        <x:v>入</x:v>
      </x:c>
      <x:c r="E4489" s="6" t="str">
        <x:v>syep (D)</x:v>
      </x:c>
      <x:c r="F4489" s="6" t="str">
        <x:v>1</x:v>
      </x:c>
      <x:c r="G4489" s="6" t="str"/>
      <x:c r="H4489" s="6" t="str">
        <x:f>IF(B4489="平","平",IF(B4489="","","仄"))</x:f>
        <x:v>仄</x:v>
      </x:c>
      <x:c r="I4489" s="6" t="str">
        <x:f>IF(D4472="","",IF(AND(ISNUMBER(SEARCH("平",D4472)),OR(ISNUMBER(SEARCH("上",D4472)),ISNUMBER(SEARCH("去",D4472)),ISNUMBER(SEARCH("入",D4472)))),"Ambiguous",IF(ISNUMBER(SEARCH("平",D4472)),"平","仄")))</x:f>
        <x:v>平</x:v>
      </x:c>
      <x:c r="J4489" s="7" t="str"/>
    </x:row>
    <x:row r="4490">
      <x:c r="A4490" s="5" t="str">
        <x:v>韠</x:v>
      </x:c>
      <x:c r="B4490" s="6" t="str">
        <x:v>入</x:v>
      </x:c>
      <x:c r="C4490" s="6" t="str">
        <x:f>IF(B4490="","Needs decision","Ready")</x:f>
        <x:v>Ready</x:v>
      </x:c>
      <x:c r="D4490" s="6" t="str">
        <x:v>入</x:v>
      </x:c>
      <x:c r="E4490" s="6" t="str">
        <x:v>pjit (D)</x:v>
      </x:c>
      <x:c r="F4490" s="6" t="str">
        <x:v>1</x:v>
      </x:c>
      <x:c r="G4490" s="6" t="str"/>
      <x:c r="H4490" s="6" t="str">
        <x:f>IF(B4490="平","平",IF(B4490="","","仄"))</x:f>
        <x:v>仄</x:v>
      </x:c>
      <x:c r="I4490" s="6" t="str">
        <x:f>IF(D4473="","",IF(AND(ISNUMBER(SEARCH("平",D4473)),OR(ISNUMBER(SEARCH("上",D4473)),ISNUMBER(SEARCH("去",D4473)),ISNUMBER(SEARCH("入",D4473)))),"Ambiguous",IF(ISNUMBER(SEARCH("平",D4473)),"平","仄")))</x:f>
        <x:v>平</x:v>
      </x:c>
      <x:c r="J4490" s="7" t="str"/>
    </x:row>
    <x:row r="4491">
      <x:c r="A4491" s="5" t="str">
        <x:v>韡</x:v>
      </x:c>
      <x:c r="B4491" s="6" t="str">
        <x:v>上</x:v>
      </x:c>
      <x:c r="C4491" s="6" t="str">
        <x:f>IF(B4491="","Needs decision","Ready")</x:f>
        <x:v>Ready</x:v>
      </x:c>
      <x:c r="D4491" s="6" t="str">
        <x:v>上</x:v>
      </x:c>
      <x:c r="E4491" s="6" t="str">
        <x:v>hjw+jX (B)</x:v>
      </x:c>
      <x:c r="F4491" s="6" t="str">
        <x:v>1</x:v>
      </x:c>
      <x:c r="G4491" s="6" t="str"/>
      <x:c r="H4491" s="6" t="str">
        <x:f>IF(B4491="平","平",IF(B4491="","","仄"))</x:f>
        <x:v>仄</x:v>
      </x:c>
      <x:c r="I4491" s="6" t="str">
        <x:f>IF(D4474="","",IF(AND(ISNUMBER(SEARCH("平",D4474)),OR(ISNUMBER(SEARCH("上",D4474)),ISNUMBER(SEARCH("去",D4474)),ISNUMBER(SEARCH("入",D4474)))),"Ambiguous",IF(ISNUMBER(SEARCH("平",D4474)),"平","仄")))</x:f>
        <x:v>平</x:v>
      </x:c>
      <x:c r="J4491" s="7" t="str"/>
    </x:row>
    <x:row r="4492">
      <x:c r="A4492" s="5" t="str">
        <x:v>韭</x:v>
      </x:c>
      <x:c r="B4492" s="6" t="str">
        <x:v>上</x:v>
      </x:c>
      <x:c r="C4492" s="6" t="str">
        <x:f>IF(B4492="","Needs decision","Ready")</x:f>
        <x:v>Ready</x:v>
      </x:c>
      <x:c r="D4492" s="6" t="str">
        <x:v>上</x:v>
      </x:c>
      <x:c r="E4492" s="6" t="str">
        <x:v>kjuwX (B)</x:v>
      </x:c>
      <x:c r="F4492" s="6" t="str">
        <x:v>1</x:v>
      </x:c>
      <x:c r="G4492" s="6" t="str"/>
      <x:c r="H4492" s="6" t="str">
        <x:f>IF(B4492="平","平",IF(B4492="","","仄"))</x:f>
        <x:v>仄</x:v>
      </x:c>
      <x:c r="I4492" s="6" t="str">
        <x:f>IF(D4475="","",IF(AND(ISNUMBER(SEARCH("平",D4475)),OR(ISNUMBER(SEARCH("上",D4475)),ISNUMBER(SEARCH("去",D4475)),ISNUMBER(SEARCH("入",D4475)))),"Ambiguous",IF(ISNUMBER(SEARCH("平",D4475)),"平","仄")))</x:f>
        <x:v>平</x:v>
      </x:c>
      <x:c r="J4492" s="7" t="str"/>
    </x:row>
    <x:row r="4493">
      <x:c r="A4493" s="5" t="str">
        <x:v>音</x:v>
      </x:c>
      <x:c r="B4493" s="6" t="str">
        <x:v>平</x:v>
      </x:c>
      <x:c r="C4493" s="6" t="str">
        <x:f>IF(B4493="","Needs decision","Ready")</x:f>
        <x:v>Ready</x:v>
      </x:c>
      <x:c r="D4493" s="6" t="str">
        <x:v>平</x:v>
      </x:c>
      <x:c r="E4493" s="6" t="str">
        <x:v>'im (A)</x:v>
      </x:c>
      <x:c r="F4493" s="6" t="str">
        <x:v>1</x:v>
      </x:c>
      <x:c r="G4493" s="6" t="str"/>
      <x:c r="H4493" s="6" t="str">
        <x:f>IF(B4493="平","平",IF(B4493="","","仄"))</x:f>
        <x:v>平</x:v>
      </x:c>
      <x:c r="I4493" s="6" t="str">
        <x:f>IF(D4476="","",IF(AND(ISNUMBER(SEARCH("平",D4476)),OR(ISNUMBER(SEARCH("上",D4476)),ISNUMBER(SEARCH("去",D4476)),ISNUMBER(SEARCH("入",D4476)))),"Ambiguous",IF(ISNUMBER(SEARCH("平",D4476)),"平","仄")))</x:f>
        <x:v>仄</x:v>
      </x:c>
      <x:c r="J4493" s="7" t="str"/>
    </x:row>
    <x:row r="4494">
      <x:c r="A4494" s="5" t="str">
        <x:v>韵</x:v>
      </x:c>
      <x:c r="B4494" s="6" t="str">
        <x:v>去</x:v>
      </x:c>
      <x:c r="C4494" s="6" t="str">
        <x:f>IF(B4494="","Needs decision","Ready")</x:f>
        <x:v>Ready</x:v>
      </x:c>
      <x:c r="D4494" s="6" t="str">
        <x:v>去</x:v>
      </x:c>
      <x:c r="E4494" s="6" t="str">
        <x:v>hwinH (C)</x:v>
      </x:c>
      <x:c r="F4494" s="6" t="str">
        <x:v>1</x:v>
      </x:c>
      <x:c r="G4494" s="6" t="str"/>
      <x:c r="H4494" s="6" t="str">
        <x:f>IF(B4494="平","平",IF(B4494="","","仄"))</x:f>
        <x:v>仄</x:v>
      </x:c>
      <x:c r="I4494" s="6" t="str">
        <x:f>IF(D4477="","",IF(AND(ISNUMBER(SEARCH("平",D4477)),OR(ISNUMBER(SEARCH("上",D4477)),ISNUMBER(SEARCH("去",D4477)),ISNUMBER(SEARCH("入",D4477)))),"Ambiguous",IF(ISNUMBER(SEARCH("平",D4477)),"平","仄")))</x:f>
        <x:v>仄</x:v>
      </x:c>
      <x:c r="J4494" s="7" t="str"/>
    </x:row>
    <x:row r="4495">
      <x:c r="A4495" s="5" t="str">
        <x:v>韻</x:v>
      </x:c>
      <x:c r="B4495" s="6" t="str">
        <x:v>去</x:v>
      </x:c>
      <x:c r="C4495" s="6" t="str">
        <x:f>IF(B4495="","Needs decision","Ready")</x:f>
        <x:v>Ready</x:v>
      </x:c>
      <x:c r="D4495" s="6" t="str">
        <x:v>去</x:v>
      </x:c>
      <x:c r="E4495" s="6" t="str">
        <x:v>hwinH (C)</x:v>
      </x:c>
      <x:c r="F4495" s="6" t="str">
        <x:v>1</x:v>
      </x:c>
      <x:c r="G4495" s="6" t="str"/>
      <x:c r="H4495" s="6" t="str">
        <x:f>IF(B4495="平","平",IF(B4495="","","仄"))</x:f>
        <x:v>仄</x:v>
      </x:c>
      <x:c r="I4495" s="6" t="str">
        <x:f>IF(D4478="","",IF(AND(ISNUMBER(SEARCH("平",D4478)),OR(ISNUMBER(SEARCH("上",D4478)),ISNUMBER(SEARCH("去",D4478)),ISNUMBER(SEARCH("入",D4478)))),"Ambiguous",IF(ISNUMBER(SEARCH("平",D4478)),"平","仄")))</x:f>
        <x:v>仄</x:v>
      </x:c>
      <x:c r="J4495" s="7" t="str"/>
    </x:row>
    <x:row r="4496">
      <x:c r="A4496" s="5" t="str">
        <x:v>響</x:v>
      </x:c>
      <x:c r="B4496" s="6" t="str">
        <x:v>上</x:v>
      </x:c>
      <x:c r="C4496" s="6" t="str">
        <x:f>IF(B4496="","Needs decision","Ready")</x:f>
        <x:v>Ready</x:v>
      </x:c>
      <x:c r="D4496" s="6" t="str">
        <x:v>上</x:v>
      </x:c>
      <x:c r="E4496" s="6" t="str">
        <x:v>xjangX (B)</x:v>
      </x:c>
      <x:c r="F4496" s="6" t="str">
        <x:v>1</x:v>
      </x:c>
      <x:c r="G4496" s="6" t="str"/>
      <x:c r="H4496" s="6" t="str">
        <x:f>IF(B4496="平","平",IF(B4496="","","仄"))</x:f>
        <x:v>仄</x:v>
      </x:c>
      <x:c r="I4496" s="6" t="str">
        <x:f>IF(D4479="","",IF(AND(ISNUMBER(SEARCH("平",D4479)),OR(ISNUMBER(SEARCH("上",D4479)),ISNUMBER(SEARCH("去",D4479)),ISNUMBER(SEARCH("入",D4479)))),"Ambiguous",IF(ISNUMBER(SEARCH("平",D4479)),"平","仄")))</x:f>
        <x:v>仄</x:v>
      </x:c>
      <x:c r="J4496" s="7" t="str"/>
    </x:row>
    <x:row r="4497">
      <x:c r="A4497" s="5" t="str">
        <x:v>頁</x:v>
      </x:c>
      <x:c r="B4497" s="6" t="str">
        <x:v>入</x:v>
      </x:c>
      <x:c r="C4497" s="6" t="str">
        <x:f>IF(B4497="","Needs decision","Ready")</x:f>
        <x:v>Ready</x:v>
      </x:c>
      <x:c r="D4497" s="6" t="str">
        <x:v>入</x:v>
      </x:c>
      <x:c r="E4497" s="6" t="str"/>
      <x:c r="F4497" s="6" t="str"/>
      <x:c r="G4497" s="6" t="str">
        <x:v>Manual user correction/addition</x:v>
      </x:c>
      <x:c r="H4497" s="6" t="str">
        <x:f>IF(B4497="平","平",IF(B4497="","","仄"))</x:f>
        <x:v>仄</x:v>
      </x:c>
      <x:c r="I4497" s="6" t="str">
        <x:f>IF(D4480="","",IF(AND(ISNUMBER(SEARCH("平",D4480)),OR(ISNUMBER(SEARCH("上",D4480)),ISNUMBER(SEARCH("去",D4480)),ISNUMBER(SEARCH("入",D4480)))),"Ambiguous",IF(ISNUMBER(SEARCH("平",D4480)),"平","仄")))</x:f>
        <x:v>仄</x:v>
      </x:c>
      <x:c r="J4497" s="7" t="str">
        <x:v>manual user correction</x:v>
      </x:c>
    </x:row>
    <x:row r="4498">
      <x:c r="A4498" s="5" t="str">
        <x:v>頂</x:v>
      </x:c>
      <x:c r="B4498" s="6" t="str">
        <x:v>上</x:v>
      </x:c>
      <x:c r="C4498" s="6" t="str">
        <x:f>IF(B4498="","Needs decision","Ready")</x:f>
        <x:v>Ready</x:v>
      </x:c>
      <x:c r="D4498" s="6" t="str">
        <x:v>上</x:v>
      </x:c>
      <x:c r="E4498" s="6" t="str">
        <x:v>tengX (B)</x:v>
      </x:c>
      <x:c r="F4498" s="6" t="str">
        <x:v>1</x:v>
      </x:c>
      <x:c r="G4498" s="6" t="str"/>
      <x:c r="H4498" s="6" t="str">
        <x:f>IF(B4498="平","平",IF(B4498="","","仄"))</x:f>
        <x:v>仄</x:v>
      </x:c>
      <x:c r="I4498" s="6" t="str">
        <x:f>IF(D4481="","",IF(AND(ISNUMBER(SEARCH("平",D4481)),OR(ISNUMBER(SEARCH("上",D4481)),ISNUMBER(SEARCH("去",D4481)),ISNUMBER(SEARCH("入",D4481)))),"Ambiguous",IF(ISNUMBER(SEARCH("平",D4481)),"平","仄")))</x:f>
        <x:v>平</x:v>
      </x:c>
      <x:c r="J4498" s="7" t="str"/>
    </x:row>
    <x:row r="4499">
      <x:c r="A4499" s="5" t="str">
        <x:v>頃</x:v>
      </x:c>
      <x:c r="B4499" s="6" t="str">
        <x:v>上</x:v>
      </x:c>
      <x:c r="C4499" s="6" t="str">
        <x:f>IF(B4499="","Needs decision","Ready")</x:f>
        <x:v>Ready</x:v>
      </x:c>
      <x:c r="D4499" s="6" t="str">
        <x:v>上</x:v>
      </x:c>
      <x:c r="E4499" s="6" t="str">
        <x:v>khjwiengX (B)</x:v>
      </x:c>
      <x:c r="F4499" s="6" t="str">
        <x:v>1</x:v>
      </x:c>
      <x:c r="G4499" s="6" t="str"/>
      <x:c r="H4499" s="6" t="str">
        <x:f>IF(B4499="平","平",IF(B4499="","","仄"))</x:f>
        <x:v>仄</x:v>
      </x:c>
      <x:c r="I4499" s="6" t="str">
        <x:f>IF(D4482="","",IF(AND(ISNUMBER(SEARCH("平",D4482)),OR(ISNUMBER(SEARCH("上",D4482)),ISNUMBER(SEARCH("去",D4482)),ISNUMBER(SEARCH("入",D4482)))),"Ambiguous",IF(ISNUMBER(SEARCH("平",D4482)),"平","仄")))</x:f>
        <x:v>平</x:v>
      </x:c>
      <x:c r="J4499" s="7" t="str"/>
    </x:row>
    <x:row r="4500">
      <x:c r="A4500" s="5" t="str">
        <x:v>頄</x:v>
      </x:c>
      <x:c r="B4500" s="6" t="str">
        <x:v>平</x:v>
      </x:c>
      <x:c r="C4500" s="6" t="str">
        <x:f>IF(B4500="","Needs decision","Ready")</x:f>
        <x:v>Ready</x:v>
      </x:c>
      <x:c r="D4500" s="6" t="str">
        <x:v>平</x:v>
      </x:c>
      <x:c r="E4500" s="6" t="str">
        <x:v>gwij (A)</x:v>
      </x:c>
      <x:c r="F4500" s="6" t="str">
        <x:v>1</x:v>
      </x:c>
      <x:c r="G4500" s="6" t="str"/>
      <x:c r="H4500" s="6" t="str">
        <x:f>IF(B4500="平","平",IF(B4500="","","仄"))</x:f>
        <x:v>平</x:v>
      </x:c>
      <x:c r="I4500" s="6" t="str">
        <x:f>IF(D4483="","",IF(AND(ISNUMBER(SEARCH("平",D4483)),OR(ISNUMBER(SEARCH("上",D4483)),ISNUMBER(SEARCH("去",D4483)),ISNUMBER(SEARCH("入",D4483)))),"Ambiguous",IF(ISNUMBER(SEARCH("平",D4483)),"平","仄")))</x:f>
        <x:v>仄</x:v>
      </x:c>
      <x:c r="J4500" s="7" t="str"/>
    </x:row>
    <x:row r="4501">
      <x:c r="A4501" s="5" t="str">
        <x:v>項</x:v>
      </x:c>
      <x:c r="B4501" s="6" t="str">
        <x:v>上</x:v>
      </x:c>
      <x:c r="C4501" s="6" t="str">
        <x:f>IF(B4501="","Needs decision","Ready")</x:f>
        <x:v>Ready</x:v>
      </x:c>
      <x:c r="D4501" s="6" t="str">
        <x:v>上</x:v>
      </x:c>
      <x:c r="E4501" s="6" t="str">
        <x:v>haewngX (B)</x:v>
      </x:c>
      <x:c r="F4501" s="6" t="str">
        <x:v>1</x:v>
      </x:c>
      <x:c r="G4501" s="6" t="str"/>
      <x:c r="H4501" s="6" t="str">
        <x:f>IF(B4501="平","平",IF(B4501="","","仄"))</x:f>
        <x:v>仄</x:v>
      </x:c>
      <x:c r="I4501" s="6" t="str">
        <x:f>IF(D4484="","",IF(AND(ISNUMBER(SEARCH("平",D4484)),OR(ISNUMBER(SEARCH("上",D4484)),ISNUMBER(SEARCH("去",D4484)),ISNUMBER(SEARCH("入",D4484)))),"Ambiguous",IF(ISNUMBER(SEARCH("平",D4484)),"平","仄")))</x:f>
        <x:v>平</x:v>
      </x:c>
      <x:c r="J4501" s="7" t="str"/>
    </x:row>
    <x:row r="4502">
      <x:c r="A4502" s="5" t="str">
        <x:v>順</x:v>
      </x:c>
      <x:c r="B4502" s="6" t="str">
        <x:v>去</x:v>
      </x:c>
      <x:c r="C4502" s="6" t="str">
        <x:f>IF(B4502="","Needs decision","Ready")</x:f>
        <x:v>Ready</x:v>
      </x:c>
      <x:c r="D4502" s="6" t="str">
        <x:v>去</x:v>
      </x:c>
      <x:c r="E4502" s="6" t="str">
        <x:v>zywinH (C)</x:v>
      </x:c>
      <x:c r="F4502" s="6" t="str">
        <x:v>1</x:v>
      </x:c>
      <x:c r="G4502" s="6" t="str"/>
      <x:c r="H4502" s="6" t="str">
        <x:f>IF(B4502="平","平",IF(B4502="","","仄"))</x:f>
        <x:v>仄</x:v>
      </x:c>
      <x:c r="I4502" s="6" t="str">
        <x:f>IF(D4485="","",IF(AND(ISNUMBER(SEARCH("平",D4485)),OR(ISNUMBER(SEARCH("上",D4485)),ISNUMBER(SEARCH("去",D4485)),ISNUMBER(SEARCH("入",D4485)))),"Ambiguous",IF(ISNUMBER(SEARCH("平",D4485)),"平","仄")))</x:f>
        <x:v>仄</x:v>
      </x:c>
      <x:c r="J4502" s="7" t="str"/>
    </x:row>
    <x:row r="4503">
      <x:c r="A4503" s="5" t="str">
        <x:v>須</x:v>
      </x:c>
      <x:c r="B4503" s="6" t="str">
        <x:v>平</x:v>
      </x:c>
      <x:c r="C4503" s="6" t="str">
        <x:f>IF(B4503="","Needs decision","Ready")</x:f>
        <x:v>Ready</x:v>
      </x:c>
      <x:c r="D4503" s="6" t="str">
        <x:v>平</x:v>
      </x:c>
      <x:c r="E4503" s="6" t="str">
        <x:v>sju (A)</x:v>
      </x:c>
      <x:c r="F4503" s="6" t="str">
        <x:v>1</x:v>
      </x:c>
      <x:c r="G4503" s="6" t="str"/>
      <x:c r="H4503" s="6" t="str">
        <x:f>IF(B4503="平","平",IF(B4503="","","仄"))</x:f>
        <x:v>平</x:v>
      </x:c>
      <x:c r="I4503" s="6" t="str">
        <x:f>IF(D4486="","",IF(AND(ISNUMBER(SEARCH("平",D4486)),OR(ISNUMBER(SEARCH("上",D4486)),ISNUMBER(SEARCH("去",D4486)),ISNUMBER(SEARCH("入",D4486)))),"Ambiguous",IF(ISNUMBER(SEARCH("平",D4486)),"平","仄")))</x:f>
        <x:v>平</x:v>
      </x:c>
      <x:c r="J4503" s="7" t="str"/>
    </x:row>
    <x:row r="4504">
      <x:c r="A4504" s="5" t="str">
        <x:v>頊</x:v>
      </x:c>
      <x:c r="B4504" s="6" t="str">
        <x:v>入</x:v>
      </x:c>
      <x:c r="C4504" s="6" t="str">
        <x:f>IF(B4504="","Needs decision","Ready")</x:f>
        <x:v>Ready</x:v>
      </x:c>
      <x:c r="D4504" s="6" t="str">
        <x:v>入</x:v>
      </x:c>
      <x:c r="E4504" s="6" t="str">
        <x:v>xjowk (D)</x:v>
      </x:c>
      <x:c r="F4504" s="6" t="str">
        <x:v>1</x:v>
      </x:c>
      <x:c r="G4504" s="6" t="str"/>
      <x:c r="H4504" s="6" t="str">
        <x:f>IF(B4504="平","平",IF(B4504="","","仄"))</x:f>
        <x:v>仄</x:v>
      </x:c>
      <x:c r="I4504" s="6" t="str">
        <x:f>IF(D4487="","",IF(AND(ISNUMBER(SEARCH("平",D4487)),OR(ISNUMBER(SEARCH("上",D4487)),ISNUMBER(SEARCH("去",D4487)),ISNUMBER(SEARCH("入",D4487)))),"Ambiguous",IF(ISNUMBER(SEARCH("平",D4487)),"平","仄")))</x:f>
        <x:v>仄</x:v>
      </x:c>
      <x:c r="J4504" s="7" t="str"/>
    </x:row>
    <x:row r="4505">
      <x:c r="A4505" s="5" t="str">
        <x:v>頌</x:v>
      </x:c>
      <x:c r="B4505" s="6" t="str">
        <x:v>去</x:v>
      </x:c>
      <x:c r="C4505" s="6" t="str">
        <x:f>IF(B4505="","Needs decision","Ready")</x:f>
        <x:v>Ready</x:v>
      </x:c>
      <x:c r="D4505" s="6" t="str">
        <x:v>平/去</x:v>
      </x:c>
      <x:c r="E4505" s="6" t="str">
        <x:v>yowng (A); zjowngH (C)</x:v>
      </x:c>
      <x:c r="F4505" s="6" t="str">
        <x:v>2</x:v>
      </x:c>
      <x:c r="G4505" s="6" t="str">
        <x:v>User workbook edit 2026-09-03</x:v>
      </x:c>
      <x:c r="H4505" s="6" t="str">
        <x:f>IF(B4505="平","平",IF(B4505="","","仄"))</x:f>
        <x:v>仄</x:v>
      </x:c>
      <x:c r="I4505" s="6" t="str">
        <x:f>IF(D4488="","",IF(AND(ISNUMBER(SEARCH("平",D4488)),OR(ISNUMBER(SEARCH("上",D4488)),ISNUMBER(SEARCH("去",D4488)),ISNUMBER(SEARCH("入",D4488)))),"Ambiguous",IF(ISNUMBER(SEARCH("平",D4488)),"平","仄")))</x:f>
        <x:v>平</x:v>
      </x:c>
      <x:c r="J4505" s="7" t="str">
        <x:v>manual user correction</x:v>
      </x:c>
    </x:row>
    <x:row r="4506">
      <x:c r="A4506" s="5" t="str">
        <x:v>預</x:v>
      </x:c>
      <x:c r="B4506" s="6" t="str">
        <x:v>去</x:v>
      </x:c>
      <x:c r="C4506" s="6" t="str">
        <x:f>IF(B4506="","Needs decision","Ready")</x:f>
        <x:v>Ready</x:v>
      </x:c>
      <x:c r="D4506" s="6" t="str">
        <x:v>去</x:v>
      </x:c>
      <x:c r="E4506" s="6" t="str"/>
      <x:c r="F4506" s="6" t="str"/>
      <x:c r="G4506" s="6" t="str">
        <x:v>Manual user correction/addition</x:v>
      </x:c>
      <x:c r="H4506" s="6" t="str">
        <x:f>IF(B4506="平","平",IF(B4506="","","仄"))</x:f>
        <x:v>仄</x:v>
      </x:c>
      <x:c r="I4506" s="6" t="str">
        <x:f>IF(D4489="","",IF(AND(ISNUMBER(SEARCH("平",D4489)),OR(ISNUMBER(SEARCH("上",D4489)),ISNUMBER(SEARCH("去",D4489)),ISNUMBER(SEARCH("入",D4489)))),"Ambiguous",IF(ISNUMBER(SEARCH("平",D4489)),"平","仄")))</x:f>
        <x:v>仄</x:v>
      </x:c>
      <x:c r="J4506" s="7" t="str">
        <x:v>manual user correction</x:v>
      </x:c>
    </x:row>
    <x:row r="4507">
      <x:c r="A4507" s="5" t="str">
        <x:v>頒</x:v>
      </x:c>
      <x:c r="B4507" s="6" t="str">
        <x:v>平</x:v>
      </x:c>
      <x:c r="C4507" s="6" t="str">
        <x:f>IF(B4507="","Needs decision","Ready")</x:f>
        <x:v>Ready</x:v>
      </x:c>
      <x:c r="D4507" s="6" t="str">
        <x:v>平</x:v>
      </x:c>
      <x:c r="E4507" s="6" t="str">
        <x:v>paen (A)</x:v>
      </x:c>
      <x:c r="F4507" s="6" t="str">
        <x:v>1</x:v>
      </x:c>
      <x:c r="G4507" s="6" t="str"/>
      <x:c r="H4507" s="6" t="str">
        <x:f>IF(B4507="平","平",IF(B4507="","","仄"))</x:f>
        <x:v>平</x:v>
      </x:c>
      <x:c r="I4507" s="6" t="str">
        <x:f>IF(D4490="","",IF(AND(ISNUMBER(SEARCH("平",D4490)),OR(ISNUMBER(SEARCH("上",D4490)),ISNUMBER(SEARCH("去",D4490)),ISNUMBER(SEARCH("入",D4490)))),"Ambiguous",IF(ISNUMBER(SEARCH("平",D4490)),"平","仄")))</x:f>
        <x:v>仄</x:v>
      </x:c>
      <x:c r="J4507" s="7" t="str"/>
    </x:row>
    <x:row r="4508">
      <x:c r="A4508" s="5" t="str">
        <x:v>頓</x:v>
      </x:c>
      <x:c r="B4508" s="6" t="str">
        <x:v>去</x:v>
      </x:c>
      <x:c r="C4508" s="6" t="str">
        <x:f>IF(B4508="","Needs decision","Ready")</x:f>
        <x:v>Ready</x:v>
      </x:c>
      <x:c r="D4508" s="6" t="str">
        <x:v>去</x:v>
      </x:c>
      <x:c r="E4508" s="6" t="str">
        <x:v>twonH [t̙wənh] (去)</x:v>
      </x:c>
      <x:c r="F4508" s="6" t="str">
        <x:v>1</x:v>
      </x:c>
      <x:c r="G4508" s="6" t="str">
        <x:v>Tang 300 gap; frequency 2; provisional from Xun Gong</x:v>
      </x:c>
      <x:c r="H4508" s="6" t="str">
        <x:f>IF(B4508="平","平",IF(B4508="","","仄"))</x:f>
        <x:v>仄</x:v>
      </x:c>
      <x:c r="I4508" s="6" t="str">
        <x:f>IF(D4491="","",IF(AND(ISNUMBER(SEARCH("平",D4491)),OR(ISNUMBER(SEARCH("上",D4491)),ISNUMBER(SEARCH("去",D4491)),ISNUMBER(SEARCH("入",D4491)))),"Ambiguous",IF(ISNUMBER(SEARCH("平",D4491)),"平","仄")))</x:f>
        <x:v>仄</x:v>
      </x:c>
      <x:c r="J4508" s="7" t="str">
        <x:v>Xun Gong, Tang 300 gap fill</x:v>
      </x:c>
    </x:row>
    <x:row r="4509">
      <x:c r="A4509" s="5" t="str">
        <x:v>頗</x:v>
      </x:c>
      <x:c r="B4509" s="6" t="str">
        <x:v>平</x:v>
      </x:c>
      <x:c r="C4509" s="6" t="str">
        <x:f>IF(B4509="","Needs decision","Ready")</x:f>
        <x:v>Ready</x:v>
      </x:c>
      <x:c r="D4509" s="6" t="str">
        <x:v>平</x:v>
      </x:c>
      <x:c r="E4509" s="6" t="str">
        <x:v>pha (A)</x:v>
      </x:c>
      <x:c r="F4509" s="6" t="str">
        <x:v>1</x:v>
      </x:c>
      <x:c r="G4509" s="6" t="str"/>
      <x:c r="H4509" s="6" t="str">
        <x:f>IF(B4509="平","平",IF(B4509="","","仄"))</x:f>
        <x:v>平</x:v>
      </x:c>
      <x:c r="I4509" s="6" t="str">
        <x:f>IF(D4492="","",IF(AND(ISNUMBER(SEARCH("平",D4492)),OR(ISNUMBER(SEARCH("上",D4492)),ISNUMBER(SEARCH("去",D4492)),ISNUMBER(SEARCH("入",D4492)))),"Ambiguous",IF(ISNUMBER(SEARCH("平",D4492)),"平","仄")))</x:f>
        <x:v>仄</x:v>
      </x:c>
      <x:c r="J4509" s="7" t="str"/>
    </x:row>
    <x:row r="4510">
      <x:c r="A4510" s="5" t="str">
        <x:v>領</x:v>
      </x:c>
      <x:c r="B4510" s="6" t="str">
        <x:v>上</x:v>
      </x:c>
      <x:c r="C4510" s="6" t="str">
        <x:f>IF(B4510="","Needs decision","Ready")</x:f>
        <x:v>Ready</x:v>
      </x:c>
      <x:c r="D4510" s="6" t="str">
        <x:v>上</x:v>
      </x:c>
      <x:c r="E4510" s="6" t="str">
        <x:v>ljengX (B)</x:v>
      </x:c>
      <x:c r="F4510" s="6" t="str">
        <x:v>1</x:v>
      </x:c>
      <x:c r="G4510" s="6" t="str"/>
      <x:c r="H4510" s="6" t="str">
        <x:f>IF(B4510="平","平",IF(B4510="","","仄"))</x:f>
        <x:v>仄</x:v>
      </x:c>
      <x:c r="I4510" s="6" t="str">
        <x:f>IF(D4493="","",IF(AND(ISNUMBER(SEARCH("平",D4493)),OR(ISNUMBER(SEARCH("上",D4493)),ISNUMBER(SEARCH("去",D4493)),ISNUMBER(SEARCH("入",D4493)))),"Ambiguous",IF(ISNUMBER(SEARCH("平",D4493)),"平","仄")))</x:f>
        <x:v>平</x:v>
      </x:c>
      <x:c r="J4510" s="7" t="str"/>
    </x:row>
    <x:row r="4511">
      <x:c r="A4511" s="5" t="str">
        <x:v>頞</x:v>
      </x:c>
      <x:c r="B4511" s="6" t="str">
        <x:v>入</x:v>
      </x:c>
      <x:c r="C4511" s="6" t="str">
        <x:f>IF(B4511="","Needs decision","Ready")</x:f>
        <x:v>Ready</x:v>
      </x:c>
      <x:c r="D4511" s="6" t="str">
        <x:v>入</x:v>
      </x:c>
      <x:c r="E4511" s="6" t="str">
        <x:v>'at (D)</x:v>
      </x:c>
      <x:c r="F4511" s="6" t="str">
        <x:v>1</x:v>
      </x:c>
      <x:c r="G4511" s="6" t="str"/>
      <x:c r="H4511" s="6" t="str">
        <x:f>IF(B4511="平","平",IF(B4511="","","仄"))</x:f>
        <x:v>仄</x:v>
      </x:c>
      <x:c r="I4511" s="6" t="str">
        <x:f>IF(D4494="","",IF(AND(ISNUMBER(SEARCH("平",D4494)),OR(ISNUMBER(SEARCH("上",D4494)),ISNUMBER(SEARCH("去",D4494)),ISNUMBER(SEARCH("入",D4494)))),"Ambiguous",IF(ISNUMBER(SEARCH("平",D4494)),"平","仄")))</x:f>
        <x:v>仄</x:v>
      </x:c>
      <x:c r="J4511" s="7" t="str"/>
    </x:row>
    <x:row r="4512">
      <x:c r="A4512" s="5" t="str">
        <x:v>頤</x:v>
      </x:c>
      <x:c r="B4512" s="6" t="str">
        <x:v>平</x:v>
      </x:c>
      <x:c r="C4512" s="6" t="str">
        <x:f>IF(B4512="","Needs decision","Ready")</x:f>
        <x:v>Ready</x:v>
      </x:c>
      <x:c r="D4512" s="6" t="str">
        <x:v>平</x:v>
      </x:c>
      <x:c r="E4512" s="6" t="str">
        <x:v>yi (A)</x:v>
      </x:c>
      <x:c r="F4512" s="6" t="str">
        <x:v>1</x:v>
      </x:c>
      <x:c r="G4512" s="6" t="str"/>
      <x:c r="H4512" s="6" t="str">
        <x:f>IF(B4512="平","平",IF(B4512="","","仄"))</x:f>
        <x:v>平</x:v>
      </x:c>
      <x:c r="I4512" s="6" t="str">
        <x:f>IF(D4495="","",IF(AND(ISNUMBER(SEARCH("平",D4495)),OR(ISNUMBER(SEARCH("上",D4495)),ISNUMBER(SEARCH("去",D4495)),ISNUMBER(SEARCH("入",D4495)))),"Ambiguous",IF(ISNUMBER(SEARCH("平",D4495)),"平","仄")))</x:f>
        <x:v>仄</x:v>
      </x:c>
      <x:c r="J4512" s="7" t="str"/>
    </x:row>
    <x:row r="4513">
      <x:c r="A4513" s="5" t="str">
        <x:v>頭</x:v>
      </x:c>
      <x:c r="B4513" s="6" t="str">
        <x:v>平</x:v>
      </x:c>
      <x:c r="C4513" s="6" t="str">
        <x:f>IF(B4513="","Needs decision","Ready")</x:f>
        <x:v>Ready</x:v>
      </x:c>
      <x:c r="D4513" s="6" t="str">
        <x:v>平</x:v>
      </x:c>
      <x:c r="E4513" s="6" t="str">
        <x:v>duw (A)</x:v>
      </x:c>
      <x:c r="F4513" s="6" t="str">
        <x:v>1</x:v>
      </x:c>
      <x:c r="G4513" s="6" t="str"/>
      <x:c r="H4513" s="6" t="str">
        <x:f>IF(B4513="平","平",IF(B4513="","","仄"))</x:f>
        <x:v>平</x:v>
      </x:c>
      <x:c r="I4513" s="6" t="str">
        <x:f>IF(D4496="","",IF(AND(ISNUMBER(SEARCH("平",D4496)),OR(ISNUMBER(SEARCH("上",D4496)),ISNUMBER(SEARCH("去",D4496)),ISNUMBER(SEARCH("入",D4496)))),"Ambiguous",IF(ISNUMBER(SEARCH("平",D4496)),"平","仄")))</x:f>
        <x:v>仄</x:v>
      </x:c>
      <x:c r="J4513" s="7" t="str"/>
    </x:row>
    <x:row r="4514">
      <x:c r="A4514" s="5" t="str">
        <x:v>頯</x:v>
      </x:c>
      <x:c r="B4514" s="6" t="str">
        <x:v>平</x:v>
      </x:c>
      <x:c r="C4514" s="6" t="str">
        <x:f>IF(B4514="","Needs decision","Ready")</x:f>
        <x:v>Ready</x:v>
      </x:c>
      <x:c r="D4514" s="6" t="str">
        <x:v>平</x:v>
      </x:c>
      <x:c r="E4514" s="6" t="str">
        <x:v>gwij (A)</x:v>
      </x:c>
      <x:c r="F4514" s="6" t="str">
        <x:v>1</x:v>
      </x:c>
      <x:c r="G4514" s="6" t="str"/>
      <x:c r="H4514" s="6" t="str">
        <x:f>IF(B4514="平","平",IF(B4514="","","仄"))</x:f>
        <x:v>平</x:v>
      </x:c>
      <x:c r="I4514" s="6" t="str">
        <x:f>IF(D4497="","",IF(AND(ISNUMBER(SEARCH("平",D4497)),OR(ISNUMBER(SEARCH("上",D4497)),ISNUMBER(SEARCH("去",D4497)),ISNUMBER(SEARCH("入",D4497)))),"Ambiguous",IF(ISNUMBER(SEARCH("平",D4497)),"平","仄")))</x:f>
        <x:v>仄</x:v>
      </x:c>
      <x:c r="J4514" s="7" t="str"/>
    </x:row>
    <x:row r="4515">
      <x:c r="A4515" s="5" t="str">
        <x:v>頷</x:v>
      </x:c>
      <x:c r="B4515" s="6" t="str">
        <x:v>上</x:v>
      </x:c>
      <x:c r="C4515" s="6" t="str">
        <x:f>IF(B4515="","Needs decision","Ready")</x:f>
        <x:v>Ready</x:v>
      </x:c>
      <x:c r="D4515" s="6" t="str">
        <x:v>上</x:v>
      </x:c>
      <x:c r="E4515" s="6" t="str">
        <x:v>homX (B)</x:v>
      </x:c>
      <x:c r="F4515" s="6" t="str">
        <x:v>1</x:v>
      </x:c>
      <x:c r="G4515" s="6" t="str"/>
      <x:c r="H4515" s="6" t="str">
        <x:f>IF(B4515="平","平",IF(B4515="","","仄"))</x:f>
        <x:v>仄</x:v>
      </x:c>
      <x:c r="I4515" s="6" t="str">
        <x:f>IF(D4498="","",IF(AND(ISNUMBER(SEARCH("平",D4498)),OR(ISNUMBER(SEARCH("上",D4498)),ISNUMBER(SEARCH("去",D4498)),ISNUMBER(SEARCH("入",D4498)))),"Ambiguous",IF(ISNUMBER(SEARCH("平",D4498)),"平","仄")))</x:f>
        <x:v>仄</x:v>
      </x:c>
      <x:c r="J4515" s="7" t="str"/>
    </x:row>
    <x:row r="4516">
      <x:c r="A4516" s="5" t="str">
        <x:v>頸</x:v>
      </x:c>
      <x:c r="B4516" s="6" t="str">
        <x:v>上</x:v>
      </x:c>
      <x:c r="C4516" s="6" t="str">
        <x:f>IF(B4516="","Needs decision","Ready")</x:f>
        <x:v>Ready</x:v>
      </x:c>
      <x:c r="D4516" s="6" t="str">
        <x:v>平/上</x:v>
      </x:c>
      <x:c r="E4516" s="6" t="str">
        <x:v>gjieng (A); kjiengX (B)</x:v>
      </x:c>
      <x:c r="F4516" s="6" t="str">
        <x:v>2</x:v>
      </x:c>
      <x:c r="G4516" s="6" t="str">
        <x:v>User workbook edit 2026-09-03</x:v>
      </x:c>
      <x:c r="H4516" s="6" t="str">
        <x:f>IF(B4516="平","平",IF(B4516="","","仄"))</x:f>
        <x:v>仄</x:v>
      </x:c>
      <x:c r="I4516" s="6" t="str">
        <x:f>IF(D4499="","",IF(AND(ISNUMBER(SEARCH("平",D4499)),OR(ISNUMBER(SEARCH("上",D4499)),ISNUMBER(SEARCH("去",D4499)),ISNUMBER(SEARCH("入",D4499)))),"Ambiguous",IF(ISNUMBER(SEARCH("平",D4499)),"平","仄")))</x:f>
        <x:v>仄</x:v>
      </x:c>
      <x:c r="J4516" s="7" t="str">
        <x:v>manual user correction</x:v>
      </x:c>
    </x:row>
    <x:row r="4517">
      <x:c r="A4517" s="5" t="str">
        <x:v>頹</x:v>
      </x:c>
      <x:c r="B4517" s="6" t="str">
        <x:v>平</x:v>
      </x:c>
      <x:c r="C4517" s="6" t="str">
        <x:f>IF(B4517="","Needs decision","Ready")</x:f>
        <x:v>Ready</x:v>
      </x:c>
      <x:c r="D4517" s="6" t="str">
        <x:v>平</x:v>
      </x:c>
      <x:c r="E4517" s="6" t="str">
        <x:v>dwoj [定合一灰平] d̙wəj</x:v>
      </x:c>
      <x:c r="F4517" s="6" t="str">
        <x:v>1</x:v>
      </x:c>
      <x:c r="G4517" s="6" t="str">
        <x:v>Targeted preliminary fill from Xun Gong; review if uncertain</x:v>
      </x:c>
      <x:c r="H4517" s="6" t="str">
        <x:f>IF(B4517="平","平",IF(B4517="","","仄"))</x:f>
        <x:v>平</x:v>
      </x:c>
      <x:c r="I4517" s="6" t="str">
        <x:f>IF(D4500="","",IF(AND(ISNUMBER(SEARCH("平",D4500)),OR(ISNUMBER(SEARCH("上",D4500)),ISNUMBER(SEARCH("去",D4500)),ISNUMBER(SEARCH("入",D4500)))),"Ambiguous",IF(ISNUMBER(SEARCH("平",D4500)),"平","仄")))</x:f>
        <x:v>平</x:v>
      </x:c>
      <x:c r="J4517" s="7" t="str">
        <x:v>Xun Gong character-readings.csv</x:v>
      </x:c>
    </x:row>
    <x:row r="4518">
      <x:c r="A4518" s="5" t="str">
        <x:v>頻</x:v>
      </x:c>
      <x:c r="B4518" s="6" t="str">
        <x:v>平</x:v>
      </x:c>
      <x:c r="C4518" s="6" t="str">
        <x:f>IF(B4518="","Needs decision","Ready")</x:f>
        <x:v>Ready</x:v>
      </x:c>
      <x:c r="D4518" s="6" t="str">
        <x:v>平</x:v>
      </x:c>
      <x:c r="E4518" s="6" t="str">
        <x:v>bjin (A)</x:v>
      </x:c>
      <x:c r="F4518" s="6" t="str">
        <x:v>1</x:v>
      </x:c>
      <x:c r="G4518" s="6" t="str"/>
      <x:c r="H4518" s="6" t="str">
        <x:f>IF(B4518="平","平",IF(B4518="","","仄"))</x:f>
        <x:v>平</x:v>
      </x:c>
      <x:c r="I4518" s="6" t="str">
        <x:f>IF(D4501="","",IF(AND(ISNUMBER(SEARCH("平",D4501)),OR(ISNUMBER(SEARCH("上",D4501)),ISNUMBER(SEARCH("去",D4501)),ISNUMBER(SEARCH("入",D4501)))),"Ambiguous",IF(ISNUMBER(SEARCH("平",D4501)),"平","仄")))</x:f>
        <x:v>仄</x:v>
      </x:c>
      <x:c r="J4518" s="7" t="str"/>
    </x:row>
    <x:row r="4519">
      <x:c r="A4519" s="5" t="str">
        <x:v>題</x:v>
      </x:c>
      <x:c r="B4519" s="6" t="str">
        <x:v>平</x:v>
      </x:c>
      <x:c r="C4519" s="6" t="str">
        <x:f>IF(B4519="","Needs decision","Ready")</x:f>
        <x:v>Ready</x:v>
      </x:c>
      <x:c r="D4519" s="6" t="str">
        <x:v>平</x:v>
      </x:c>
      <x:c r="E4519" s="6" t="str"/>
      <x:c r="F4519" s="6" t="str"/>
      <x:c r="G4519" s="6" t="str">
        <x:v>Manual user correction/addition</x:v>
      </x:c>
      <x:c r="H4519" s="6" t="str">
        <x:f>IF(B4519="平","平",IF(B4519="","","仄"))</x:f>
        <x:v>平</x:v>
      </x:c>
      <x:c r="I4519" s="6" t="str">
        <x:f>IF(D4502="","",IF(AND(ISNUMBER(SEARCH("平",D4502)),OR(ISNUMBER(SEARCH("上",D4502)),ISNUMBER(SEARCH("去",D4502)),ISNUMBER(SEARCH("入",D4502)))),"Ambiguous",IF(ISNUMBER(SEARCH("平",D4502)),"平","仄")))</x:f>
        <x:v>仄</x:v>
      </x:c>
      <x:c r="J4519" s="7" t="str">
        <x:v>manual user correction</x:v>
      </x:c>
    </x:row>
    <x:row r="4520">
      <x:c r="A4520" s="5" t="str">
        <x:v>額</x:v>
      </x:c>
      <x:c r="B4520" s="6" t="str">
        <x:v>入</x:v>
      </x:c>
      <x:c r="C4520" s="6" t="str">
        <x:f>IF(B4520="","Needs decision","Ready")</x:f>
        <x:v>Ready</x:v>
      </x:c>
      <x:c r="D4520" s="6" t="str">
        <x:v>入</x:v>
      </x:c>
      <x:c r="E4520" s="6" t="str">
        <x:v>ngaek (D)</x:v>
      </x:c>
      <x:c r="F4520" s="6" t="str">
        <x:v>1</x:v>
      </x:c>
      <x:c r="G4520" s="6" t="str"/>
      <x:c r="H4520" s="6" t="str">
        <x:f>IF(B4520="平","平",IF(B4520="","","仄"))</x:f>
        <x:v>仄</x:v>
      </x:c>
      <x:c r="I4520" s="6" t="str">
        <x:f>IF(D4503="","",IF(AND(ISNUMBER(SEARCH("平",D4503)),OR(ISNUMBER(SEARCH("上",D4503)),ISNUMBER(SEARCH("去",D4503)),ISNUMBER(SEARCH("入",D4503)))),"Ambiguous",IF(ISNUMBER(SEARCH("平",D4503)),"平","仄")))</x:f>
        <x:v>平</x:v>
      </x:c>
      <x:c r="J4520" s="7" t="str"/>
    </x:row>
    <x:row r="4521">
      <x:c r="A4521" s="5" t="str">
        <x:v>顏</x:v>
      </x:c>
      <x:c r="B4521" s="6" t="str">
        <x:v>平</x:v>
      </x:c>
      <x:c r="C4521" s="6" t="str">
        <x:f>IF(B4521="","Needs decision","Ready")</x:f>
        <x:v>Ready</x:v>
      </x:c>
      <x:c r="D4521" s="6" t="str">
        <x:v>平</x:v>
      </x:c>
      <x:c r="E4521" s="6" t="str">
        <x:v>ngaen (A)</x:v>
      </x:c>
      <x:c r="F4521" s="6" t="str">
        <x:v>1</x:v>
      </x:c>
      <x:c r="G4521" s="6" t="str"/>
      <x:c r="H4521" s="6" t="str">
        <x:f>IF(B4521="平","平",IF(B4521="","","仄"))</x:f>
        <x:v>平</x:v>
      </x:c>
      <x:c r="I4521" s="6" t="str">
        <x:f>IF(D4504="","",IF(AND(ISNUMBER(SEARCH("平",D4504)),OR(ISNUMBER(SEARCH("上",D4504)),ISNUMBER(SEARCH("去",D4504)),ISNUMBER(SEARCH("入",D4504)))),"Ambiguous",IF(ISNUMBER(SEARCH("平",D4504)),"平","仄")))</x:f>
        <x:v>仄</x:v>
      </x:c>
      <x:c r="J4521" s="7" t="str"/>
    </x:row>
    <x:row r="4522">
      <x:c r="A4522" s="5" t="str">
        <x:v>願</x:v>
      </x:c>
      <x:c r="B4522" s="6" t="str">
        <x:v>去</x:v>
      </x:c>
      <x:c r="C4522" s="6" t="str">
        <x:f>IF(B4522="","Needs decision","Ready")</x:f>
        <x:v>Ready</x:v>
      </x:c>
      <x:c r="D4522" s="6" t="str">
        <x:v>去</x:v>
      </x:c>
      <x:c r="E4522" s="6" t="str">
        <x:v>ngjwonH (C)</x:v>
      </x:c>
      <x:c r="F4522" s="6" t="str">
        <x:v>1</x:v>
      </x:c>
      <x:c r="G4522" s="6" t="str"/>
      <x:c r="H4522" s="6" t="str">
        <x:f>IF(B4522="平","平",IF(B4522="","","仄"))</x:f>
        <x:v>仄</x:v>
      </x:c>
      <x:c r="I4522" s="6" t="str">
        <x:f>IF(D4505="","",IF(AND(ISNUMBER(SEARCH("平",D4505)),OR(ISNUMBER(SEARCH("上",D4505)),ISNUMBER(SEARCH("去",D4505)),ISNUMBER(SEARCH("入",D4505)))),"Ambiguous",IF(ISNUMBER(SEARCH("平",D4505)),"平","仄")))</x:f>
        <x:v>Ambiguous</x:v>
      </x:c>
      <x:c r="J4522" s="7" t="str"/>
    </x:row>
    <x:row r="4523">
      <x:c r="A4523" s="5" t="str">
        <x:v>顙</x:v>
      </x:c>
      <x:c r="B4523" s="6" t="str">
        <x:v>上</x:v>
      </x:c>
      <x:c r="C4523" s="6" t="str">
        <x:f>IF(B4523="","Needs decision","Ready")</x:f>
        <x:v>Ready</x:v>
      </x:c>
      <x:c r="D4523" s="6" t="str">
        <x:v>上</x:v>
      </x:c>
      <x:c r="E4523" s="6" t="str">
        <x:v>sangX (B)</x:v>
      </x:c>
      <x:c r="F4523" s="6" t="str">
        <x:v>1</x:v>
      </x:c>
      <x:c r="G4523" s="6" t="str"/>
      <x:c r="H4523" s="6" t="str">
        <x:f>IF(B4523="平","平",IF(B4523="","","仄"))</x:f>
        <x:v>仄</x:v>
      </x:c>
      <x:c r="I4523" s="6" t="str">
        <x:f>IF(D4506="","",IF(AND(ISNUMBER(SEARCH("平",D4506)),OR(ISNUMBER(SEARCH("上",D4506)),ISNUMBER(SEARCH("去",D4506)),ISNUMBER(SEARCH("入",D4506)))),"Ambiguous",IF(ISNUMBER(SEARCH("平",D4506)),"平","仄")))</x:f>
        <x:v>仄</x:v>
      </x:c>
      <x:c r="J4523" s="7" t="str"/>
    </x:row>
    <x:row r="4524">
      <x:c r="A4524" s="5" t="str">
        <x:v>顛</x:v>
      </x:c>
      <x:c r="B4524" s="6" t="str">
        <x:v>平</x:v>
      </x:c>
      <x:c r="C4524" s="6" t="str">
        <x:f>IF(B4524="","Needs decision","Ready")</x:f>
        <x:v>Ready</x:v>
      </x:c>
      <x:c r="D4524" s="6" t="str">
        <x:v>平</x:v>
      </x:c>
      <x:c r="E4524" s="6" t="str">
        <x:v>ten (A)</x:v>
      </x:c>
      <x:c r="F4524" s="6" t="str">
        <x:v>1</x:v>
      </x:c>
      <x:c r="G4524" s="6" t="str"/>
      <x:c r="H4524" s="6" t="str">
        <x:f>IF(B4524="平","平",IF(B4524="","","仄"))</x:f>
        <x:v>平</x:v>
      </x:c>
      <x:c r="I4524" s="6" t="str">
        <x:f>IF(D4507="","",IF(AND(ISNUMBER(SEARCH("平",D4507)),OR(ISNUMBER(SEARCH("上",D4507)),ISNUMBER(SEARCH("去",D4507)),ISNUMBER(SEARCH("入",D4507)))),"Ambiguous",IF(ISNUMBER(SEARCH("平",D4507)),"平","仄")))</x:f>
        <x:v>平</x:v>
      </x:c>
      <x:c r="J4524" s="7" t="str"/>
    </x:row>
    <x:row r="4525">
      <x:c r="A4525" s="5" t="str">
        <x:v>類</x:v>
      </x:c>
      <x:c r="B4525" s="6" t="str">
        <x:v>去</x:v>
      </x:c>
      <x:c r="C4525" s="6" t="str">
        <x:f>IF(B4525="","Needs decision","Ready")</x:f>
        <x:v>Ready</x:v>
      </x:c>
      <x:c r="D4525" s="6" t="str">
        <x:v>去</x:v>
      </x:c>
      <x:c r="E4525" s="6" t="str">
        <x:v>lwijH (C)</x:v>
      </x:c>
      <x:c r="F4525" s="6" t="str">
        <x:v>1</x:v>
      </x:c>
      <x:c r="G4525" s="6" t="str"/>
      <x:c r="H4525" s="6" t="str">
        <x:f>IF(B4525="平","平",IF(B4525="","","仄"))</x:f>
        <x:v>仄</x:v>
      </x:c>
      <x:c r="I4525" s="6" t="str">
        <x:f>IF(D4508="","",IF(AND(ISNUMBER(SEARCH("平",D4508)),OR(ISNUMBER(SEARCH("上",D4508)),ISNUMBER(SEARCH("去",D4508)),ISNUMBER(SEARCH("入",D4508)))),"Ambiguous",IF(ISNUMBER(SEARCH("平",D4508)),"平","仄")))</x:f>
        <x:v>仄</x:v>
      </x:c>
      <x:c r="J4525" s="7" t="str"/>
    </x:row>
    <x:row r="4526">
      <x:c r="A4526" s="5" t="str">
        <x:v>顧</x:v>
      </x:c>
      <x:c r="B4526" s="6" t="str">
        <x:v>去</x:v>
      </x:c>
      <x:c r="C4526" s="6" t="str">
        <x:f>IF(B4526="","Needs decision","Ready")</x:f>
        <x:v>Ready</x:v>
      </x:c>
      <x:c r="D4526" s="6" t="str">
        <x:v>去</x:v>
      </x:c>
      <x:c r="E4526" s="6" t="str">
        <x:v>kuH (C)</x:v>
      </x:c>
      <x:c r="F4526" s="6" t="str">
        <x:v>1</x:v>
      </x:c>
      <x:c r="G4526" s="6" t="str"/>
      <x:c r="H4526" s="6" t="str">
        <x:f>IF(B4526="平","平",IF(B4526="","","仄"))</x:f>
        <x:v>仄</x:v>
      </x:c>
      <x:c r="I4526" s="6" t="str">
        <x:f>IF(D4509="","",IF(AND(ISNUMBER(SEARCH("平",D4509)),OR(ISNUMBER(SEARCH("上",D4509)),ISNUMBER(SEARCH("去",D4509)),ISNUMBER(SEARCH("入",D4509)))),"Ambiguous",IF(ISNUMBER(SEARCH("平",D4509)),"平","仄")))</x:f>
        <x:v>平</x:v>
      </x:c>
      <x:c r="J4526" s="7" t="str"/>
    </x:row>
    <x:row r="4527">
      <x:c r="A4527" s="5" t="str">
        <x:v>顪</x:v>
      </x:c>
      <x:c r="B4527" s="6" t="str">
        <x:v>去</x:v>
      </x:c>
      <x:c r="C4527" s="6" t="str">
        <x:f>IF(B4527="","Needs decision","Ready")</x:f>
        <x:v>Ready</x:v>
      </x:c>
      <x:c r="D4527" s="6" t="str">
        <x:v>去</x:v>
      </x:c>
      <x:c r="E4527" s="6" t="str">
        <x:v>xjwojH (C)</x:v>
      </x:c>
      <x:c r="F4527" s="6" t="str">
        <x:v>1</x:v>
      </x:c>
      <x:c r="G4527" s="6" t="str"/>
      <x:c r="H4527" s="6" t="str">
        <x:f>IF(B4527="平","平",IF(B4527="","","仄"))</x:f>
        <x:v>仄</x:v>
      </x:c>
      <x:c r="I4527" s="6" t="str">
        <x:f>IF(D4510="","",IF(AND(ISNUMBER(SEARCH("平",D4510)),OR(ISNUMBER(SEARCH("上",D4510)),ISNUMBER(SEARCH("去",D4510)),ISNUMBER(SEARCH("入",D4510)))),"Ambiguous",IF(ISNUMBER(SEARCH("平",D4510)),"平","仄")))</x:f>
        <x:v>仄</x:v>
      </x:c>
      <x:c r="J4527" s="7" t="str"/>
    </x:row>
    <x:row r="4528">
      <x:c r="A4528" s="5" t="str">
        <x:v>顯</x:v>
      </x:c>
      <x:c r="B4528" s="6" t="str">
        <x:v>上</x:v>
      </x:c>
      <x:c r="C4528" s="6" t="str">
        <x:f>IF(B4528="","Needs decision","Ready")</x:f>
        <x:v>Ready</x:v>
      </x:c>
      <x:c r="D4528" s="6" t="str">
        <x:v>上</x:v>
      </x:c>
      <x:c r="E4528" s="6" t="str">
        <x:v>xenX (B)</x:v>
      </x:c>
      <x:c r="F4528" s="6" t="str">
        <x:v>1</x:v>
      </x:c>
      <x:c r="G4528" s="6" t="str"/>
      <x:c r="H4528" s="6" t="str">
        <x:f>IF(B4528="平","平",IF(B4528="","","仄"))</x:f>
        <x:v>仄</x:v>
      </x:c>
      <x:c r="I4528" s="6" t="str">
        <x:f>IF(D4511="","",IF(AND(ISNUMBER(SEARCH("平",D4511)),OR(ISNUMBER(SEARCH("上",D4511)),ISNUMBER(SEARCH("去",D4511)),ISNUMBER(SEARCH("入",D4511)))),"Ambiguous",IF(ISNUMBER(SEARCH("平",D4511)),"平","仄")))</x:f>
        <x:v>仄</x:v>
      </x:c>
      <x:c r="J4528" s="7" t="str"/>
    </x:row>
    <x:row r="4529">
      <x:c r="A4529" s="5" t="str">
        <x:v>顰</x:v>
      </x:c>
      <x:c r="B4529" s="6" t="str">
        <x:v>平</x:v>
      </x:c>
      <x:c r="C4529" s="6" t="str">
        <x:f>IF(B4529="","Needs decision","Ready")</x:f>
        <x:v>Ready</x:v>
      </x:c>
      <x:c r="D4529" s="6" t="str">
        <x:v>平</x:v>
      </x:c>
      <x:c r="E4529" s="6" t="str">
        <x:v>bjin [bjin] (平)</x:v>
      </x:c>
      <x:c r="F4529" s="6" t="str">
        <x:v>1</x:v>
      </x:c>
      <x:c r="G4529" s="6" t="str">
        <x:v>Tang 300 gap; frequency 2; provisional from Xun Gong</x:v>
      </x:c>
      <x:c r="H4529" s="6" t="str">
        <x:f>IF(B4529="平","平",IF(B4529="","","仄"))</x:f>
        <x:v>平</x:v>
      </x:c>
      <x:c r="I4529" s="6" t="str">
        <x:f>IF(D4512="","",IF(AND(ISNUMBER(SEARCH("平",D4512)),OR(ISNUMBER(SEARCH("上",D4512)),ISNUMBER(SEARCH("去",D4512)),ISNUMBER(SEARCH("入",D4512)))),"Ambiguous",IF(ISNUMBER(SEARCH("平",D4512)),"平","仄")))</x:f>
        <x:v>平</x:v>
      </x:c>
      <x:c r="J4529" s="7" t="str">
        <x:v>Xun Gong, Tang 300 gap fill</x:v>
      </x:c>
    </x:row>
    <x:row r="4530">
      <x:c r="A4530" s="5" t="str">
        <x:v>風</x:v>
      </x:c>
      <x:c r="B4530" s="6" t="str">
        <x:v>平</x:v>
      </x:c>
      <x:c r="C4530" s="6" t="str">
        <x:f>IF(B4530="","Needs decision","Ready")</x:f>
        <x:v>Ready</x:v>
      </x:c>
      <x:c r="D4530" s="6" t="str">
        <x:v>平/去</x:v>
      </x:c>
      <x:c r="E4530" s="6" t="str">
        <x:v>pjuwng (A); pjuwngH (C)</x:v>
      </x:c>
      <x:c r="F4530" s="6" t="str">
        <x:v>2</x:v>
      </x:c>
      <x:c r="G4530" s="6" t="str">
        <x:v>User workbook edit 2026-09-03</x:v>
      </x:c>
      <x:c r="H4530" s="6" t="str">
        <x:f>IF(B4530="平","平",IF(B4530="","","仄"))</x:f>
        <x:v>平</x:v>
      </x:c>
      <x:c r="I4530" s="6" t="str">
        <x:f>IF(D4513="","",IF(AND(ISNUMBER(SEARCH("平",D4513)),OR(ISNUMBER(SEARCH("上",D4513)),ISNUMBER(SEARCH("去",D4513)),ISNUMBER(SEARCH("入",D4513)))),"Ambiguous",IF(ISNUMBER(SEARCH("平",D4513)),"平","仄")))</x:f>
        <x:v>平</x:v>
      </x:c>
      <x:c r="J4530" s="7" t="str">
        <x:v>manual user correction</x:v>
      </x:c>
    </x:row>
    <x:row r="4531">
      <x:c r="A4531" s="5" t="str">
        <x:v>颭</x:v>
      </x:c>
      <x:c r="B4531" s="6" t="str">
        <x:v>上</x:v>
      </x:c>
      <x:c r="C4531" s="6" t="str">
        <x:f>IF(B4531="","Needs decision","Ready")</x:f>
        <x:v>Ready</x:v>
      </x:c>
      <x:c r="D4531" s="6" t="str">
        <x:v>上</x:v>
      </x:c>
      <x:c r="E4531" s="6" t="str">
        <x:v>tsyemX [tɕemʔ] (上)</x:v>
      </x:c>
      <x:c r="F4531" s="6" t="str">
        <x:v>1</x:v>
      </x:c>
      <x:c r="G4531" s="6" t="str">
        <x:v>Tang 300 gap; frequency 1; provisional from Xun Gong</x:v>
      </x:c>
      <x:c r="H4531" s="6" t="str">
        <x:f>IF(B4531="平","平",IF(B4531="","","仄"))</x:f>
        <x:v>仄</x:v>
      </x:c>
      <x:c r="I4531" s="6" t="str">
        <x:f>IF(D4514="","",IF(AND(ISNUMBER(SEARCH("平",D4514)),OR(ISNUMBER(SEARCH("上",D4514)),ISNUMBER(SEARCH("去",D4514)),ISNUMBER(SEARCH("入",D4514)))),"Ambiguous",IF(ISNUMBER(SEARCH("平",D4514)),"平","仄")))</x:f>
        <x:v>平</x:v>
      </x:c>
      <x:c r="J4531" s="7" t="str">
        <x:v>Xun Gong, Tang 300 gap fill</x:v>
      </x:c>
    </x:row>
    <x:row r="4532">
      <x:c r="A4532" s="5" t="str">
        <x:v>颯</x:v>
      </x:c>
      <x:c r="B4532" s="6" t="str">
        <x:v>入</x:v>
      </x:c>
      <x:c r="C4532" s="6" t="str">
        <x:f>IF(B4532="","Needs decision","Ready")</x:f>
        <x:v>Ready</x:v>
      </x:c>
      <x:c r="D4532" s="6" t="str">
        <x:v>入</x:v>
      </x:c>
      <x:c r="E4532" s="6" t="str"/>
      <x:c r="F4532" s="6" t="str"/>
      <x:c r="G4532" s="6" t="str">
        <x:v>Manual user correction/addition</x:v>
      </x:c>
      <x:c r="H4532" s="6" t="str">
        <x:f>IF(B4532="平","平",IF(B4532="","","仄"))</x:f>
        <x:v>仄</x:v>
      </x:c>
      <x:c r="I4532" s="6" t="str">
        <x:f>IF(D4515="","",IF(AND(ISNUMBER(SEARCH("平",D4515)),OR(ISNUMBER(SEARCH("上",D4515)),ISNUMBER(SEARCH("去",D4515)),ISNUMBER(SEARCH("入",D4515)))),"Ambiguous",IF(ISNUMBER(SEARCH("平",D4515)),"平","仄")))</x:f>
        <x:v>仄</x:v>
      </x:c>
      <x:c r="J4532" s="7" t="str">
        <x:v>manual user correction</x:v>
      </x:c>
    </x:row>
    <x:row r="4533">
      <x:c r="A4533" s="5" t="str">
        <x:v>颺</x:v>
      </x:c>
      <x:c r="B4533" s="6" t="str">
        <x:v>平</x:v>
      </x:c>
      <x:c r="C4533" s="6" t="str">
        <x:f>IF(B4533="","Needs decision","Ready")</x:f>
        <x:v>Ready</x:v>
      </x:c>
      <x:c r="D4533" s="6" t="str">
        <x:v>平</x:v>
      </x:c>
      <x:c r="E4533" s="6" t="str">
        <x:v>yang (A)</x:v>
      </x:c>
      <x:c r="F4533" s="6" t="str">
        <x:v>1</x:v>
      </x:c>
      <x:c r="G4533" s="6" t="str"/>
      <x:c r="H4533" s="6" t="str">
        <x:f>IF(B4533="平","平",IF(B4533="","","仄"))</x:f>
        <x:v>平</x:v>
      </x:c>
      <x:c r="I4533" s="6" t="str">
        <x:f>IF(D4516="","",IF(AND(ISNUMBER(SEARCH("平",D4516)),OR(ISNUMBER(SEARCH("上",D4516)),ISNUMBER(SEARCH("去",D4516)),ISNUMBER(SEARCH("入",D4516)))),"Ambiguous",IF(ISNUMBER(SEARCH("平",D4516)),"平","仄")))</x:f>
        <x:v>Ambiguous</x:v>
      </x:c>
      <x:c r="J4533" s="7" t="str"/>
    </x:row>
    <x:row r="4534">
      <x:c r="A4534" s="5" t="str">
        <x:v>颻</x:v>
      </x:c>
      <x:c r="B4534" s="6" t="str">
        <x:v>平</x:v>
      </x:c>
      <x:c r="C4534" s="6" t="str">
        <x:f>IF(B4534="","Needs decision","Ready")</x:f>
        <x:v>Ready</x:v>
      </x:c>
      <x:c r="D4534" s="6" t="str">
        <x:v>平</x:v>
      </x:c>
      <x:c r="E4534" s="6" t="str">
        <x:v>yew [jew] (平)</x:v>
      </x:c>
      <x:c r="F4534" s="6" t="str">
        <x:v>1</x:v>
      </x:c>
      <x:c r="G4534" s="6" t="str">
        <x:v>Tang 300 gap; frequency 1; provisional from Xun Gong</x:v>
      </x:c>
      <x:c r="H4534" s="6" t="str">
        <x:f>IF(B4534="平","平",IF(B4534="","","仄"))</x:f>
        <x:v>平</x:v>
      </x:c>
      <x:c r="I4534" s="6" t="str">
        <x:f>IF(D4517="","",IF(AND(ISNUMBER(SEARCH("平",D4517)),OR(ISNUMBER(SEARCH("上",D4517)),ISNUMBER(SEARCH("去",D4517)),ISNUMBER(SEARCH("入",D4517)))),"Ambiguous",IF(ISNUMBER(SEARCH("平",D4517)),"平","仄")))</x:f>
        <x:v>平</x:v>
      </x:c>
      <x:c r="J4534" s="7" t="str">
        <x:v>Xun Gong, Tang 300 gap fill</x:v>
      </x:c>
    </x:row>
    <x:row r="4535">
      <x:c r="A4535" s="5" t="str">
        <x:v>颼</x:v>
      </x:c>
      <x:c r="B4535" s="6" t="str">
        <x:v>平</x:v>
      </x:c>
      <x:c r="C4535" s="6" t="str">
        <x:f>IF(B4535="","Needs decision","Ready")</x:f>
        <x:v>Ready</x:v>
      </x:c>
      <x:c r="D4535" s="6" t="str">
        <x:v>平</x:v>
      </x:c>
      <x:c r="E4535" s="6" t="str">
        <x:v>srjuw [ʂɨ̯u] (平)</x:v>
      </x:c>
      <x:c r="F4535" s="6" t="str">
        <x:v>1</x:v>
      </x:c>
      <x:c r="G4535" s="6" t="str">
        <x:v>Tang 300 gap; frequency 1; provisional from Xun Gong</x:v>
      </x:c>
      <x:c r="H4535" s="6" t="str">
        <x:f>IF(B4535="平","平",IF(B4535="","","仄"))</x:f>
        <x:v>平</x:v>
      </x:c>
      <x:c r="I4535" s="6" t="str">
        <x:f>IF(D4518="","",IF(AND(ISNUMBER(SEARCH("平",D4518)),OR(ISNUMBER(SEARCH("上",D4518)),ISNUMBER(SEARCH("去",D4518)),ISNUMBER(SEARCH("入",D4518)))),"Ambiguous",IF(ISNUMBER(SEARCH("平",D4518)),"平","仄")))</x:f>
        <x:v>平</x:v>
      </x:c>
      <x:c r="J4535" s="7" t="str">
        <x:v>Xun Gong, Tang 300 gap fill</x:v>
      </x:c>
    </x:row>
    <x:row r="4536">
      <x:c r="A4536" s="5" t="str">
        <x:v>飀</x:v>
      </x:c>
      <x:c r="B4536" s="6" t="str">
        <x:v>平</x:v>
      </x:c>
      <x:c r="C4536" s="6" t="str">
        <x:f>IF(B4536="","Needs decision","Ready")</x:f>
        <x:v>Ready</x:v>
      </x:c>
      <x:c r="D4536" s="6" t="str">
        <x:v>平</x:v>
      </x:c>
      <x:c r="E4536" s="6" t="str">
        <x:v>ljuw [lju] (平)</x:v>
      </x:c>
      <x:c r="F4536" s="6" t="str">
        <x:v>1</x:v>
      </x:c>
      <x:c r="G4536" s="6" t="str">
        <x:v>Tang 300 gap; frequency 1; provisional from Xun Gong</x:v>
      </x:c>
      <x:c r="H4536" s="6" t="str">
        <x:f>IF(B4536="平","平",IF(B4536="","","仄"))</x:f>
        <x:v>平</x:v>
      </x:c>
      <x:c r="I4536" s="6" t="str">
        <x:f>IF(D4519="","",IF(AND(ISNUMBER(SEARCH("平",D4519)),OR(ISNUMBER(SEARCH("上",D4519)),ISNUMBER(SEARCH("去",D4519)),ISNUMBER(SEARCH("入",D4519)))),"Ambiguous",IF(ISNUMBER(SEARCH("平",D4519)),"平","仄")))</x:f>
        <x:v>平</x:v>
      </x:c>
      <x:c r="J4536" s="7" t="str">
        <x:v>Xun Gong, Tang 300 gap fill</x:v>
      </x:c>
    </x:row>
    <x:row r="4537">
      <x:c r="A4537" s="5" t="str">
        <x:v>飄</x:v>
      </x:c>
      <x:c r="B4537" s="6" t="str">
        <x:v>平</x:v>
      </x:c>
      <x:c r="C4537" s="6" t="str">
        <x:f>IF(B4537="","Needs decision","Ready")</x:f>
        <x:v>Ready</x:v>
      </x:c>
      <x:c r="D4537" s="6" t="str">
        <x:v>平</x:v>
      </x:c>
      <x:c r="E4537" s="6" t="str"/>
      <x:c r="F4537" s="6" t="str"/>
      <x:c r="G4537" s="6" t="str">
        <x:v>Manual user correction/addition</x:v>
      </x:c>
      <x:c r="H4537" s="6" t="str">
        <x:f>IF(B4537="平","平",IF(B4537="","","仄"))</x:f>
        <x:v>平</x:v>
      </x:c>
      <x:c r="I4537" s="6" t="str">
        <x:f>IF(D4520="","",IF(AND(ISNUMBER(SEARCH("平",D4520)),OR(ISNUMBER(SEARCH("上",D4520)),ISNUMBER(SEARCH("去",D4520)),ISNUMBER(SEARCH("入",D4520)))),"Ambiguous",IF(ISNUMBER(SEARCH("平",D4520)),"平","仄")))</x:f>
        <x:v>仄</x:v>
      </x:c>
      <x:c r="J4537" s="7" t="str">
        <x:v>manual user correction</x:v>
      </x:c>
    </x:row>
    <x:row r="4538">
      <x:c r="A4538" s="5" t="str">
        <x:v>飆</x:v>
      </x:c>
      <x:c r="B4538" s="6" t="str">
        <x:v>平</x:v>
      </x:c>
      <x:c r="C4538" s="6" t="str">
        <x:f>IF(B4538="","Needs decision","Ready")</x:f>
        <x:v>Ready</x:v>
      </x:c>
      <x:c r="D4538" s="6" t="str">
        <x:v>平</x:v>
      </x:c>
      <x:c r="E4538" s="6" t="str">
        <x:v>pjiew [pjew] (平)</x:v>
      </x:c>
      <x:c r="F4538" s="6" t="str">
        <x:v>1</x:v>
      </x:c>
      <x:c r="G4538" s="6" t="str">
        <x:v>Tang 300 gap; frequency 1; provisional from Xun Gong</x:v>
      </x:c>
      <x:c r="H4538" s="6" t="str">
        <x:f>IF(B4538="平","平",IF(B4538="","","仄"))</x:f>
        <x:v>平</x:v>
      </x:c>
      <x:c r="I4538" s="6" t="str">
        <x:f>IF(D4521="","",IF(AND(ISNUMBER(SEARCH("平",D4521)),OR(ISNUMBER(SEARCH("上",D4521)),ISNUMBER(SEARCH("去",D4521)),ISNUMBER(SEARCH("入",D4521)))),"Ambiguous",IF(ISNUMBER(SEARCH("平",D4521)),"平","仄")))</x:f>
        <x:v>平</x:v>
      </x:c>
      <x:c r="J4538" s="7" t="str">
        <x:v>Xun Gong, Tang 300 gap fill</x:v>
      </x:c>
    </x:row>
    <x:row r="4539">
      <x:c r="A4539" s="5" t="str">
        <x:v>飈</x:v>
      </x:c>
      <x:c r="B4539" s="6" t="str"/>
      <x:c r="C4539" s="6" t="str">
        <x:f>IF(B4539="","Needs decision","Ready")</x:f>
        <x:v>Needs decision</x:v>
      </x:c>
      <x:c r="D4539" s="6" t="str"/>
      <x:c r="E4539" s="6" t="str"/>
      <x:c r="F4539" s="6" t="str"/>
      <x:c r="G4539" s="6" t="str">
        <x:v>Not found in Xun Gong source; needs manual lookup</x:v>
      </x:c>
      <x:c r="H4539" s="6" t="str">
        <x:f>IF(B4539="平","平",IF(B4539="","","仄"))</x:f>
      </x:c>
      <x:c r="I4539" s="6" t="str">
        <x:f>IF(D4522="","",IF(AND(ISNUMBER(SEARCH("平",D4522)),OR(ISNUMBER(SEARCH("上",D4522)),ISNUMBER(SEARCH("去",D4522)),ISNUMBER(SEARCH("入",D4522)))),"Ambiguous",IF(ISNUMBER(SEARCH("平",D4522)),"平","仄")))</x:f>
        <x:v>仄</x:v>
      </x:c>
      <x:c r="J4539" s="7" t="str"/>
    </x:row>
    <x:row r="4540">
      <x:c r="A4540" s="5" t="str">
        <x:v>飛</x:v>
      </x:c>
      <x:c r="B4540" s="6" t="str">
        <x:v>平</x:v>
      </x:c>
      <x:c r="C4540" s="6" t="str">
        <x:f>IF(B4540="","Needs decision","Ready")</x:f>
        <x:v>Ready</x:v>
      </x:c>
      <x:c r="D4540" s="6" t="str">
        <x:v>平</x:v>
      </x:c>
      <x:c r="E4540" s="6" t="str">
        <x:v>pj+j (A)</x:v>
      </x:c>
      <x:c r="F4540" s="6" t="str">
        <x:v>1</x:v>
      </x:c>
      <x:c r="G4540" s="6" t="str"/>
      <x:c r="H4540" s="6" t="str">
        <x:f>IF(B4540="平","平",IF(B4540="","","仄"))</x:f>
        <x:v>平</x:v>
      </x:c>
      <x:c r="I4540" s="6" t="str">
        <x:f>IF(D4523="","",IF(AND(ISNUMBER(SEARCH("平",D4523)),OR(ISNUMBER(SEARCH("上",D4523)),ISNUMBER(SEARCH("去",D4523)),ISNUMBER(SEARCH("入",D4523)))),"Ambiguous",IF(ISNUMBER(SEARCH("平",D4523)),"平","仄")))</x:f>
        <x:v>仄</x:v>
      </x:c>
      <x:c r="J4540" s="7" t="str"/>
    </x:row>
    <x:row r="4541">
      <x:c r="A4541" s="5" t="str">
        <x:v>食</x:v>
      </x:c>
      <x:c r="B4541" s="6" t="str">
        <x:v>入</x:v>
      </x:c>
      <x:c r="C4541" s="6" t="str">
        <x:f>IF(B4541="","Needs decision","Ready")</x:f>
        <x:v>Ready</x:v>
      </x:c>
      <x:c r="D4541" s="6" t="str">
        <x:v>入/去</x:v>
      </x:c>
      <x:c r="E4541" s="6" t="str">
        <x:v>zyik (D); ziH (C)</x:v>
      </x:c>
      <x:c r="F4541" s="6" t="str">
        <x:v>2</x:v>
      </x:c>
      <x:c r="G4541" s="6" t="str">
        <x:v>User workbook edit 2026-09-03</x:v>
      </x:c>
      <x:c r="H4541" s="6" t="str">
        <x:f>IF(B4541="平","平",IF(B4541="","","仄"))</x:f>
        <x:v>仄</x:v>
      </x:c>
      <x:c r="I4541" s="6" t="str">
        <x:f>IF(D4524="","",IF(AND(ISNUMBER(SEARCH("平",D4524)),OR(ISNUMBER(SEARCH("上",D4524)),ISNUMBER(SEARCH("去",D4524)),ISNUMBER(SEARCH("入",D4524)))),"Ambiguous",IF(ISNUMBER(SEARCH("平",D4524)),"平","仄")))</x:f>
        <x:v>平</x:v>
      </x:c>
      <x:c r="J4541" s="7" t="str">
        <x:v>manual user correction</x:v>
      </x:c>
    </x:row>
    <x:row r="4542">
      <x:c r="A4542" s="5" t="str">
        <x:v>飢</x:v>
      </x:c>
      <x:c r="B4542" s="6" t="str">
        <x:v>平</x:v>
      </x:c>
      <x:c r="C4542" s="6" t="str">
        <x:f>IF(B4542="","Needs decision","Ready")</x:f>
        <x:v>Ready</x:v>
      </x:c>
      <x:c r="D4542" s="6" t="str">
        <x:v>平</x:v>
      </x:c>
      <x:c r="E4542" s="6" t="str">
        <x:v>kij (A)</x:v>
      </x:c>
      <x:c r="F4542" s="6" t="str">
        <x:v>1</x:v>
      </x:c>
      <x:c r="G4542" s="6" t="str"/>
      <x:c r="H4542" s="6" t="str">
        <x:f>IF(B4542="平","平",IF(B4542="","","仄"))</x:f>
        <x:v>平</x:v>
      </x:c>
      <x:c r="I4542" s="6" t="str">
        <x:f>IF(D4525="","",IF(AND(ISNUMBER(SEARCH("平",D4525)),OR(ISNUMBER(SEARCH("上",D4525)),ISNUMBER(SEARCH("去",D4525)),ISNUMBER(SEARCH("入",D4525)))),"Ambiguous",IF(ISNUMBER(SEARCH("平",D4525)),"平","仄")))</x:f>
        <x:v>仄</x:v>
      </x:c>
      <x:c r="J4542" s="7" t="str"/>
    </x:row>
    <x:row r="4543">
      <x:c r="A4543" s="5" t="str">
        <x:v>飤</x:v>
      </x:c>
      <x:c r="B4543" s="6" t="str">
        <x:v>去</x:v>
      </x:c>
      <x:c r="C4543" s="6" t="str">
        <x:f>IF(B4543="","Needs decision","Ready")</x:f>
        <x:v>Ready</x:v>
      </x:c>
      <x:c r="D4543" s="6" t="str">
        <x:v>去</x:v>
      </x:c>
      <x:c r="E4543" s="6" t="str">
        <x:v>ziH (C)</x:v>
      </x:c>
      <x:c r="F4543" s="6" t="str">
        <x:v>1</x:v>
      </x:c>
      <x:c r="G4543" s="6" t="str"/>
      <x:c r="H4543" s="6" t="str">
        <x:f>IF(B4543="平","平",IF(B4543="","","仄"))</x:f>
        <x:v>仄</x:v>
      </x:c>
      <x:c r="I4543" s="6" t="str">
        <x:f>IF(D4526="","",IF(AND(ISNUMBER(SEARCH("平",D4526)),OR(ISNUMBER(SEARCH("上",D4526)),ISNUMBER(SEARCH("去",D4526)),ISNUMBER(SEARCH("入",D4526)))),"Ambiguous",IF(ISNUMBER(SEARCH("平",D4526)),"平","仄")))</x:f>
        <x:v>仄</x:v>
      </x:c>
      <x:c r="J4543" s="7" t="str"/>
    </x:row>
    <x:row r="4544">
      <x:c r="A4544" s="5" t="str">
        <x:v>飦</x:v>
      </x:c>
      <x:c r="B4544" s="6" t="str">
        <x:v>平</x:v>
      </x:c>
      <x:c r="C4544" s="6" t="str">
        <x:f>IF(B4544="","Needs decision","Ready")</x:f>
        <x:v>Ready</x:v>
      </x:c>
      <x:c r="D4544" s="6" t="str">
        <x:v>平</x:v>
      </x:c>
      <x:c r="E4544" s="6" t="str">
        <x:v>kan (A)</x:v>
      </x:c>
      <x:c r="F4544" s="6" t="str">
        <x:v>1</x:v>
      </x:c>
      <x:c r="G4544" s="6" t="str"/>
      <x:c r="H4544" s="6" t="str">
        <x:f>IF(B4544="平","平",IF(B4544="","","仄"))</x:f>
        <x:v>平</x:v>
      </x:c>
      <x:c r="I4544" s="6" t="str">
        <x:f>IF(D4527="","",IF(AND(ISNUMBER(SEARCH("平",D4527)),OR(ISNUMBER(SEARCH("上",D4527)),ISNUMBER(SEARCH("去",D4527)),ISNUMBER(SEARCH("入",D4527)))),"Ambiguous",IF(ISNUMBER(SEARCH("平",D4527)),"平","仄")))</x:f>
        <x:v>仄</x:v>
      </x:c>
      <x:c r="J4544" s="7" t="str"/>
    </x:row>
    <x:row r="4545">
      <x:c r="A4545" s="5" t="str">
        <x:v>飧</x:v>
      </x:c>
      <x:c r="B4545" s="6" t="str">
        <x:v>平</x:v>
      </x:c>
      <x:c r="C4545" s="6" t="str">
        <x:f>IF(B4545="","Needs decision","Ready")</x:f>
        <x:v>Ready</x:v>
      </x:c>
      <x:c r="D4545" s="6" t="str">
        <x:v>平</x:v>
      </x:c>
      <x:c r="E4545" s="6" t="str">
        <x:v>swon (A)</x:v>
      </x:c>
      <x:c r="F4545" s="6" t="str">
        <x:v>1</x:v>
      </x:c>
      <x:c r="G4545" s="6" t="str"/>
      <x:c r="H4545" s="6" t="str">
        <x:f>IF(B4545="平","平",IF(B4545="","","仄"))</x:f>
        <x:v>平</x:v>
      </x:c>
      <x:c r="I4545" s="6" t="str">
        <x:f>IF(D4528="","",IF(AND(ISNUMBER(SEARCH("平",D4528)),OR(ISNUMBER(SEARCH("上",D4528)),ISNUMBER(SEARCH("去",D4528)),ISNUMBER(SEARCH("入",D4528)))),"Ambiguous",IF(ISNUMBER(SEARCH("平",D4528)),"平","仄")))</x:f>
        <x:v>仄</x:v>
      </x:c>
      <x:c r="J4545" s="7" t="str"/>
    </x:row>
    <x:row r="4546">
      <x:c r="A4546" s="5" t="str">
        <x:v>飪</x:v>
      </x:c>
      <x:c r="B4546" s="6" t="str">
        <x:v>上</x:v>
      </x:c>
      <x:c r="C4546" s="6" t="str">
        <x:f>IF(B4546="","Needs decision","Ready")</x:f>
        <x:v>Ready</x:v>
      </x:c>
      <x:c r="D4546" s="6" t="str">
        <x:v>上</x:v>
      </x:c>
      <x:c r="E4546" s="6" t="str">
        <x:v>nyimX (B)</x:v>
      </x:c>
      <x:c r="F4546" s="6" t="str">
        <x:v>1</x:v>
      </x:c>
      <x:c r="G4546" s="6" t="str"/>
      <x:c r="H4546" s="6" t="str">
        <x:f>IF(B4546="平","平",IF(B4546="","","仄"))</x:f>
        <x:v>仄</x:v>
      </x:c>
      <x:c r="I4546" s="6" t="str">
        <x:f>IF(D4529="","",IF(AND(ISNUMBER(SEARCH("平",D4529)),OR(ISNUMBER(SEARCH("上",D4529)),ISNUMBER(SEARCH("去",D4529)),ISNUMBER(SEARCH("入",D4529)))),"Ambiguous",IF(ISNUMBER(SEARCH("平",D4529)),"平","仄")))</x:f>
        <x:v>平</x:v>
      </x:c>
      <x:c r="J4546" s="7" t="str"/>
    </x:row>
    <x:row r="4547">
      <x:c r="A4547" s="5" t="str">
        <x:v>飫</x:v>
      </x:c>
      <x:c r="B4547" s="6" t="str">
        <x:v>去</x:v>
      </x:c>
      <x:c r="C4547" s="6" t="str">
        <x:f>IF(B4547="","Needs decision","Ready")</x:f>
        <x:v>Ready</x:v>
      </x:c>
      <x:c r="D4547" s="6" t="str">
        <x:v>去</x:v>
      </x:c>
      <x:c r="E4547" s="6" t="str">
        <x:v>'joH [ʔɨ̯əh] (去)</x:v>
      </x:c>
      <x:c r="F4547" s="6" t="str">
        <x:v>1</x:v>
      </x:c>
      <x:c r="G4547" s="6" t="str">
        <x:v>Tang 300 gap; frequency 1; provisional from Xun Gong</x:v>
      </x:c>
      <x:c r="H4547" s="6" t="str">
        <x:f>IF(B4547="平","平",IF(B4547="","","仄"))</x:f>
        <x:v>仄</x:v>
      </x:c>
      <x:c r="I4547" s="6" t="str">
        <x:f>IF(D4530="","",IF(AND(ISNUMBER(SEARCH("平",D4530)),OR(ISNUMBER(SEARCH("上",D4530)),ISNUMBER(SEARCH("去",D4530)),ISNUMBER(SEARCH("入",D4530)))),"Ambiguous",IF(ISNUMBER(SEARCH("平",D4530)),"平","仄")))</x:f>
        <x:v>Ambiguous</x:v>
      </x:c>
      <x:c r="J4547" s="7" t="str">
        <x:v>Xun Gong, Tang 300 gap fill</x:v>
      </x:c>
    </x:row>
    <x:row r="4548">
      <x:c r="A4548" s="5" t="str">
        <x:v>飯</x:v>
      </x:c>
      <x:c r="B4548" s="6" t="str"/>
      <x:c r="C4548" s="6" t="str">
        <x:f>IF(B4548="","Needs decision","Ready")</x:f>
        <x:v>Needs decision</x:v>
      </x:c>
      <x:c r="D4548" s="6" t="str">
        <x:v>上/去</x:v>
      </x:c>
      <x:c r="E4548" s="6" t="str">
        <x:v>bjonX (B); bjonH (C)</x:v>
      </x:c>
      <x:c r="F4548" s="6" t="str">
        <x:v>2</x:v>
      </x:c>
      <x:c r="G4548" s="6" t="str"/>
      <x:c r="H4548" s="6" t="str">
        <x:f>IF(B4548="平","平",IF(B4548="","","仄"))</x:f>
      </x:c>
      <x:c r="I4548" s="6" t="str">
        <x:f>IF(D4531="","",IF(AND(ISNUMBER(SEARCH("平",D4531)),OR(ISNUMBER(SEARCH("上",D4531)),ISNUMBER(SEARCH("去",D4531)),ISNUMBER(SEARCH("入",D4531)))),"Ambiguous",IF(ISNUMBER(SEARCH("平",D4531)),"平","仄")))</x:f>
        <x:v>仄</x:v>
      </x:c>
      <x:c r="J4548" s="7" t="str"/>
    </x:row>
    <x:row r="4549">
      <x:c r="A4549" s="5" t="str">
        <x:v>飲</x:v>
      </x:c>
      <x:c r="B4549" s="6" t="str">
        <x:v>上</x:v>
      </x:c>
      <x:c r="C4549" s="6" t="str">
        <x:f>IF(B4549="","Needs decision","Ready")</x:f>
        <x:v>Ready</x:v>
      </x:c>
      <x:c r="D4549" s="6" t="str">
        <x:v>上/去</x:v>
      </x:c>
      <x:c r="E4549" s="6" t="str">
        <x:v>'imX (B); 'imH (C)</x:v>
      </x:c>
      <x:c r="F4549" s="6" t="str">
        <x:v>2</x:v>
      </x:c>
      <x:c r="G4549" s="6" t="str">
        <x:v>User workbook edit 2026-09-03</x:v>
      </x:c>
      <x:c r="H4549" s="6" t="str">
        <x:f>IF(B4549="平","平",IF(B4549="","","仄"))</x:f>
        <x:v>仄</x:v>
      </x:c>
      <x:c r="I4549" s="6" t="str">
        <x:f>IF(D4532="","",IF(AND(ISNUMBER(SEARCH("平",D4532)),OR(ISNUMBER(SEARCH("上",D4532)),ISNUMBER(SEARCH("去",D4532)),ISNUMBER(SEARCH("入",D4532)))),"Ambiguous",IF(ISNUMBER(SEARCH("平",D4532)),"平","仄")))</x:f>
        <x:v>仄</x:v>
      </x:c>
      <x:c r="J4549" s="7" t="str">
        <x:v>manual user correction</x:v>
      </x:c>
    </x:row>
    <x:row r="4550">
      <x:c r="A4550" s="5" t="str">
        <x:v>飼</x:v>
      </x:c>
      <x:c r="B4550" s="6" t="str">
        <x:v>去</x:v>
      </x:c>
      <x:c r="C4550" s="6" t="str">
        <x:f>IF(B4550="","Needs decision","Ready")</x:f>
        <x:v>Ready</x:v>
      </x:c>
      <x:c r="D4550" s="6" t="str">
        <x:v>去</x:v>
      </x:c>
      <x:c r="E4550" s="6" t="str">
        <x:v>ziH (C)</x:v>
      </x:c>
      <x:c r="F4550" s="6" t="str">
        <x:v>1</x:v>
      </x:c>
      <x:c r="G4550" s="6" t="str"/>
      <x:c r="H4550" s="6" t="str">
        <x:f>IF(B4550="平","平",IF(B4550="","","仄"))</x:f>
        <x:v>仄</x:v>
      </x:c>
      <x:c r="I4550" s="6" t="str">
        <x:f>IF(D4533="","",IF(AND(ISNUMBER(SEARCH("平",D4533)),OR(ISNUMBER(SEARCH("上",D4533)),ISNUMBER(SEARCH("去",D4533)),ISNUMBER(SEARCH("入",D4533)))),"Ambiguous",IF(ISNUMBER(SEARCH("平",D4533)),"平","仄")))</x:f>
        <x:v>平</x:v>
      </x:c>
      <x:c r="J4550" s="7" t="str"/>
    </x:row>
    <x:row r="4551">
      <x:c r="A4551" s="5" t="str">
        <x:v>飽</x:v>
      </x:c>
      <x:c r="B4551" s="6" t="str">
        <x:v>上</x:v>
      </x:c>
      <x:c r="C4551" s="6" t="str">
        <x:f>IF(B4551="","Needs decision","Ready")</x:f>
        <x:v>Ready</x:v>
      </x:c>
      <x:c r="D4551" s="6" t="str">
        <x:v>上</x:v>
      </x:c>
      <x:c r="E4551" s="6" t="str">
        <x:v>paewX (B)</x:v>
      </x:c>
      <x:c r="F4551" s="6" t="str">
        <x:v>1</x:v>
      </x:c>
      <x:c r="G4551" s="6" t="str"/>
      <x:c r="H4551" s="6" t="str">
        <x:f>IF(B4551="平","平",IF(B4551="","","仄"))</x:f>
        <x:v>仄</x:v>
      </x:c>
      <x:c r="I4551" s="6" t="str">
        <x:f>IF(D4534="","",IF(AND(ISNUMBER(SEARCH("平",D4534)),OR(ISNUMBER(SEARCH("上",D4534)),ISNUMBER(SEARCH("去",D4534)),ISNUMBER(SEARCH("入",D4534)))),"Ambiguous",IF(ISNUMBER(SEARCH("平",D4534)),"平","仄")))</x:f>
        <x:v>平</x:v>
      </x:c>
      <x:c r="J4551" s="7" t="str"/>
    </x:row>
    <x:row r="4552">
      <x:c r="A4552" s="5" t="str">
        <x:v>飾</x:v>
      </x:c>
      <x:c r="B4552" s="6" t="str">
        <x:v>入</x:v>
      </x:c>
      <x:c r="C4552" s="6" t="str">
        <x:f>IF(B4552="","Needs decision","Ready")</x:f>
        <x:v>Ready</x:v>
      </x:c>
      <x:c r="D4552" s="6" t="str">
        <x:v>入</x:v>
      </x:c>
      <x:c r="E4552" s="6" t="str">
        <x:v>syik (D)</x:v>
      </x:c>
      <x:c r="F4552" s="6" t="str">
        <x:v>1</x:v>
      </x:c>
      <x:c r="G4552" s="6" t="str"/>
      <x:c r="H4552" s="6" t="str">
        <x:f>IF(B4552="平","平",IF(B4552="","","仄"))</x:f>
        <x:v>仄</x:v>
      </x:c>
      <x:c r="I4552" s="6" t="str">
        <x:f>IF(D4535="","",IF(AND(ISNUMBER(SEARCH("平",D4535)),OR(ISNUMBER(SEARCH("上",D4535)),ISNUMBER(SEARCH("去",D4535)),ISNUMBER(SEARCH("入",D4535)))),"Ambiguous",IF(ISNUMBER(SEARCH("平",D4535)),"平","仄")))</x:f>
        <x:v>平</x:v>
      </x:c>
      <x:c r="J4552" s="7" t="str"/>
    </x:row>
    <x:row r="4553">
      <x:c r="A4553" s="5" t="str">
        <x:v>餅</x:v>
      </x:c>
      <x:c r="B4553" s="6" t="str">
        <x:v>上</x:v>
      </x:c>
      <x:c r="C4553" s="6" t="str">
        <x:f>IF(B4553="","Needs decision","Ready")</x:f>
        <x:v>Ready</x:v>
      </x:c>
      <x:c r="D4553" s="6" t="str">
        <x:v>上</x:v>
      </x:c>
      <x:c r="E4553" s="6" t="str">
        <x:v>pjiengX (B)</x:v>
      </x:c>
      <x:c r="F4553" s="6" t="str">
        <x:v>1</x:v>
      </x:c>
      <x:c r="G4553" s="6" t="str"/>
      <x:c r="H4553" s="6" t="str">
        <x:f>IF(B4553="平","平",IF(B4553="","","仄"))</x:f>
        <x:v>仄</x:v>
      </x:c>
      <x:c r="I4553" s="6" t="str">
        <x:f>IF(D4536="","",IF(AND(ISNUMBER(SEARCH("平",D4536)),OR(ISNUMBER(SEARCH("上",D4536)),ISNUMBER(SEARCH("去",D4536)),ISNUMBER(SEARCH("入",D4536)))),"Ambiguous",IF(ISNUMBER(SEARCH("平",D4536)),"平","仄")))</x:f>
        <x:v>平</x:v>
      </x:c>
      <x:c r="J4553" s="7" t="str"/>
    </x:row>
    <x:row r="4554">
      <x:c r="A4554" s="5" t="str">
        <x:v>餈</x:v>
      </x:c>
      <x:c r="B4554" s="6" t="str">
        <x:v>平</x:v>
      </x:c>
      <x:c r="C4554" s="6" t="str">
        <x:f>IF(B4554="","Needs decision","Ready")</x:f>
        <x:v>Ready</x:v>
      </x:c>
      <x:c r="D4554" s="6" t="str">
        <x:v>平</x:v>
      </x:c>
      <x:c r="E4554" s="6" t="str">
        <x:v>dzij (A)</x:v>
      </x:c>
      <x:c r="F4554" s="6" t="str">
        <x:v>1</x:v>
      </x:c>
      <x:c r="G4554" s="6" t="str"/>
      <x:c r="H4554" s="6" t="str">
        <x:f>IF(B4554="平","平",IF(B4554="","","仄"))</x:f>
        <x:v>平</x:v>
      </x:c>
      <x:c r="I4554" s="6" t="str">
        <x:f>IF(D4537="","",IF(AND(ISNUMBER(SEARCH("平",D4537)),OR(ISNUMBER(SEARCH("上",D4537)),ISNUMBER(SEARCH("去",D4537)),ISNUMBER(SEARCH("入",D4537)))),"Ambiguous",IF(ISNUMBER(SEARCH("平",D4537)),"平","仄")))</x:f>
        <x:v>平</x:v>
      </x:c>
      <x:c r="J4554" s="7" t="str"/>
    </x:row>
    <x:row r="4555">
      <x:c r="A4555" s="5" t="str">
        <x:v>餉</x:v>
      </x:c>
      <x:c r="B4555" s="6" t="str">
        <x:v>去</x:v>
      </x:c>
      <x:c r="C4555" s="6" t="str">
        <x:f>IF(B4555="","Needs decision","Ready")</x:f>
        <x:v>Ready</x:v>
      </x:c>
      <x:c r="D4555" s="6" t="str">
        <x:v>去</x:v>
      </x:c>
      <x:c r="E4555" s="6" t="str">
        <x:v>syangH (C)</x:v>
      </x:c>
      <x:c r="F4555" s="6" t="str">
        <x:v>1</x:v>
      </x:c>
      <x:c r="G4555" s="6" t="str"/>
      <x:c r="H4555" s="6" t="str">
        <x:f>IF(B4555="平","平",IF(B4555="","","仄"))</x:f>
        <x:v>仄</x:v>
      </x:c>
      <x:c r="I4555" s="6" t="str">
        <x:f>IF(D4538="","",IF(AND(ISNUMBER(SEARCH("平",D4538)),OR(ISNUMBER(SEARCH("上",D4538)),ISNUMBER(SEARCH("去",D4538)),ISNUMBER(SEARCH("入",D4538)))),"Ambiguous",IF(ISNUMBER(SEARCH("平",D4538)),"平","仄")))</x:f>
        <x:v>平</x:v>
      </x:c>
      <x:c r="J4555" s="7" t="str"/>
    </x:row>
    <x:row r="4556">
      <x:c r="A4556" s="5" t="str">
        <x:v>養</x:v>
      </x:c>
      <x:c r="B4556" s="6" t="str">
        <x:v>上</x:v>
      </x:c>
      <x:c r="C4556" s="6" t="str">
        <x:f>IF(B4556="","Needs decision","Ready")</x:f>
        <x:v>Ready</x:v>
      </x:c>
      <x:c r="D4556" s="6" t="str">
        <x:v>上</x:v>
      </x:c>
      <x:c r="E4556" s="6" t="str">
        <x:v>yangX (B)</x:v>
      </x:c>
      <x:c r="F4556" s="6" t="str">
        <x:v>1</x:v>
      </x:c>
      <x:c r="G4556" s="6" t="str"/>
      <x:c r="H4556" s="6" t="str">
        <x:f>IF(B4556="平","平",IF(B4556="","","仄"))</x:f>
        <x:v>仄</x:v>
      </x:c>
      <x:c r="I4556" s="6" t="str">
        <x:f>IF(D4539="","",IF(AND(ISNUMBER(SEARCH("平",D4539)),OR(ISNUMBER(SEARCH("上",D4539)),ISNUMBER(SEARCH("去",D4539)),ISNUMBER(SEARCH("入",D4539)))),"Ambiguous",IF(ISNUMBER(SEARCH("平",D4539)),"平","仄")))</x:f>
      </x:c>
      <x:c r="J4556" s="7" t="str"/>
    </x:row>
    <x:row r="4557">
      <x:c r="A4557" s="5" t="str">
        <x:v>餌</x:v>
      </x:c>
      <x:c r="B4557" s="6" t="str">
        <x:v>去</x:v>
      </x:c>
      <x:c r="C4557" s="6" t="str">
        <x:f>IF(B4557="","Needs decision","Ready")</x:f>
        <x:v>Ready</x:v>
      </x:c>
      <x:c r="D4557" s="6" t="str">
        <x:v>去</x:v>
      </x:c>
      <x:c r="E4557" s="6" t="str">
        <x:v>nyiH (C)</x:v>
      </x:c>
      <x:c r="F4557" s="6" t="str">
        <x:v>1</x:v>
      </x:c>
      <x:c r="G4557" s="6" t="str"/>
      <x:c r="H4557" s="6" t="str">
        <x:f>IF(B4557="平","平",IF(B4557="","","仄"))</x:f>
        <x:v>仄</x:v>
      </x:c>
      <x:c r="I4557" s="6" t="str">
        <x:f>IF(D4540="","",IF(AND(ISNUMBER(SEARCH("平",D4540)),OR(ISNUMBER(SEARCH("上",D4540)),ISNUMBER(SEARCH("去",D4540)),ISNUMBER(SEARCH("入",D4540)))),"Ambiguous",IF(ISNUMBER(SEARCH("平",D4540)),"平","仄")))</x:f>
        <x:v>平</x:v>
      </x:c>
      <x:c r="J4557" s="7" t="str"/>
    </x:row>
    <x:row r="4558">
      <x:c r="A4558" s="5" t="str">
        <x:v>餐</x:v>
      </x:c>
      <x:c r="B4558" s="6" t="str">
        <x:v>平</x:v>
      </x:c>
      <x:c r="C4558" s="6" t="str">
        <x:f>IF(B4558="","Needs decision","Ready")</x:f>
        <x:v>Ready</x:v>
      </x:c>
      <x:c r="D4558" s="6" t="str">
        <x:v>平</x:v>
      </x:c>
      <x:c r="E4558" s="6" t="str">
        <x:v>tshan [t̙s̙ʰɑn] (平)</x:v>
      </x:c>
      <x:c r="F4558" s="6" t="str">
        <x:v>1</x:v>
      </x:c>
      <x:c r="G4558" s="6" t="str">
        <x:v>Tang 300 gap; frequency 1; provisional from Xun Gong</x:v>
      </x:c>
      <x:c r="H4558" s="6" t="str">
        <x:f>IF(B4558="平","平",IF(B4558="","","仄"))</x:f>
        <x:v>平</x:v>
      </x:c>
      <x:c r="I4558" s="6" t="str">
        <x:f>IF(D4541="","",IF(AND(ISNUMBER(SEARCH("平",D4541)),OR(ISNUMBER(SEARCH("上",D4541)),ISNUMBER(SEARCH("去",D4541)),ISNUMBER(SEARCH("入",D4541)))),"Ambiguous",IF(ISNUMBER(SEARCH("平",D4541)),"平","仄")))</x:f>
        <x:v>仄</x:v>
      </x:c>
      <x:c r="J4558" s="7" t="str">
        <x:v>Xun Gong, Tang 300 gap fill</x:v>
      </x:c>
    </x:row>
    <x:row r="4559">
      <x:c r="A4559" s="5" t="str">
        <x:v>餒</x:v>
      </x:c>
      <x:c r="B4559" s="6" t="str">
        <x:v>上</x:v>
      </x:c>
      <x:c r="C4559" s="6" t="str">
        <x:f>IF(B4559="","Needs decision","Ready")</x:f>
        <x:v>Ready</x:v>
      </x:c>
      <x:c r="D4559" s="6" t="str">
        <x:v>上</x:v>
      </x:c>
      <x:c r="E4559" s="6" t="str">
        <x:v>nwojX (B)</x:v>
      </x:c>
      <x:c r="F4559" s="6" t="str">
        <x:v>1</x:v>
      </x:c>
      <x:c r="G4559" s="6" t="str"/>
      <x:c r="H4559" s="6" t="str">
        <x:f>IF(B4559="平","平",IF(B4559="","","仄"))</x:f>
        <x:v>仄</x:v>
      </x:c>
      <x:c r="I4559" s="6" t="str">
        <x:f>IF(D4542="","",IF(AND(ISNUMBER(SEARCH("平",D4542)),OR(ISNUMBER(SEARCH("上",D4542)),ISNUMBER(SEARCH("去",D4542)),ISNUMBER(SEARCH("入",D4542)))),"Ambiguous",IF(ISNUMBER(SEARCH("平",D4542)),"平","仄")))</x:f>
        <x:v>平</x:v>
      </x:c>
      <x:c r="J4559" s="7" t="str"/>
    </x:row>
    <x:row r="4560">
      <x:c r="A4560" s="5" t="str">
        <x:v>餓</x:v>
      </x:c>
      <x:c r="B4560" s="6" t="str">
        <x:v>去</x:v>
      </x:c>
      <x:c r="C4560" s="6" t="str">
        <x:f>IF(B4560="","Needs decision","Ready")</x:f>
        <x:v>Ready</x:v>
      </x:c>
      <x:c r="D4560" s="6" t="str">
        <x:v>去</x:v>
      </x:c>
      <x:c r="E4560" s="6" t="str">
        <x:v>ngaH (C)</x:v>
      </x:c>
      <x:c r="F4560" s="6" t="str">
        <x:v>1</x:v>
      </x:c>
      <x:c r="G4560" s="6" t="str"/>
      <x:c r="H4560" s="6" t="str">
        <x:f>IF(B4560="平","平",IF(B4560="","","仄"))</x:f>
        <x:v>仄</x:v>
      </x:c>
      <x:c r="I4560" s="6" t="str">
        <x:f>IF(D4543="","",IF(AND(ISNUMBER(SEARCH("平",D4543)),OR(ISNUMBER(SEARCH("上",D4543)),ISNUMBER(SEARCH("去",D4543)),ISNUMBER(SEARCH("入",D4543)))),"Ambiguous",IF(ISNUMBER(SEARCH("平",D4543)),"平","仄")))</x:f>
        <x:v>仄</x:v>
      </x:c>
      <x:c r="J4560" s="7" t="str"/>
    </x:row>
    <x:row r="4561">
      <x:c r="A4561" s="5" t="str">
        <x:v>餘</x:v>
      </x:c>
      <x:c r="B4561" s="6" t="str">
        <x:v>平</x:v>
      </x:c>
      <x:c r="C4561" s="6" t="str">
        <x:f>IF(B4561="","Needs decision","Ready")</x:f>
        <x:v>Ready</x:v>
      </x:c>
      <x:c r="D4561" s="6" t="str">
        <x:v>平</x:v>
      </x:c>
      <x:c r="E4561" s="6" t="str">
        <x:v>yo (A)</x:v>
      </x:c>
      <x:c r="F4561" s="6" t="str">
        <x:v>1</x:v>
      </x:c>
      <x:c r="G4561" s="6" t="str"/>
      <x:c r="H4561" s="6" t="str">
        <x:f>IF(B4561="平","平",IF(B4561="","","仄"))</x:f>
        <x:v>平</x:v>
      </x:c>
      <x:c r="I4561" s="6" t="str">
        <x:f>IF(D4544="","",IF(AND(ISNUMBER(SEARCH("平",D4544)),OR(ISNUMBER(SEARCH("上",D4544)),ISNUMBER(SEARCH("去",D4544)),ISNUMBER(SEARCH("入",D4544)))),"Ambiguous",IF(ISNUMBER(SEARCH("平",D4544)),"平","仄")))</x:f>
        <x:v>平</x:v>
      </x:c>
      <x:c r="J4561" s="7" t="str"/>
    </x:row>
    <x:row r="4562">
      <x:c r="A4562" s="5" t="str">
        <x:v>館</x:v>
      </x:c>
      <x:c r="B4562" s="6" t="str">
        <x:v>去</x:v>
      </x:c>
      <x:c r="C4562" s="6" t="str">
        <x:f>IF(B4562="","Needs decision","Ready")</x:f>
        <x:v>Ready</x:v>
      </x:c>
      <x:c r="D4562" s="6" t="str">
        <x:v>去</x:v>
      </x:c>
      <x:c r="E4562" s="6" t="str">
        <x:v>kwanH (C)</x:v>
      </x:c>
      <x:c r="F4562" s="6" t="str">
        <x:v>1</x:v>
      </x:c>
      <x:c r="G4562" s="6" t="str"/>
      <x:c r="H4562" s="6" t="str">
        <x:f>IF(B4562="平","平",IF(B4562="","","仄"))</x:f>
        <x:v>仄</x:v>
      </x:c>
      <x:c r="I4562" s="6" t="str">
        <x:f>IF(D4545="","",IF(AND(ISNUMBER(SEARCH("平",D4545)),OR(ISNUMBER(SEARCH("上",D4545)),ISNUMBER(SEARCH("去",D4545)),ISNUMBER(SEARCH("入",D4545)))),"Ambiguous",IF(ISNUMBER(SEARCH("平",D4545)),"平","仄")))</x:f>
        <x:v>平</x:v>
      </x:c>
      <x:c r="J4562" s="7" t="str"/>
    </x:row>
    <x:row r="4563">
      <x:c r="A4563" s="5" t="str">
        <x:v>餮</x:v>
      </x:c>
      <x:c r="B4563" s="6" t="str">
        <x:v>入</x:v>
      </x:c>
      <x:c r="C4563" s="6" t="str">
        <x:f>IF(B4563="","Needs decision","Ready")</x:f>
        <x:v>Ready</x:v>
      </x:c>
      <x:c r="D4563" s="6" t="str">
        <x:v>入</x:v>
      </x:c>
      <x:c r="E4563" s="6" t="str">
        <x:v>thet (D)</x:v>
      </x:c>
      <x:c r="F4563" s="6" t="str">
        <x:v>1</x:v>
      </x:c>
      <x:c r="G4563" s="6" t="str"/>
      <x:c r="H4563" s="6" t="str">
        <x:f>IF(B4563="平","平",IF(B4563="","","仄"))</x:f>
        <x:v>仄</x:v>
      </x:c>
      <x:c r="I4563" s="6" t="str">
        <x:f>IF(D4546="","",IF(AND(ISNUMBER(SEARCH("平",D4546)),OR(ISNUMBER(SEARCH("上",D4546)),ISNUMBER(SEARCH("去",D4546)),ISNUMBER(SEARCH("入",D4546)))),"Ambiguous",IF(ISNUMBER(SEARCH("平",D4546)),"平","仄")))</x:f>
        <x:v>仄</x:v>
      </x:c>
      <x:c r="J4563" s="7" t="str"/>
    </x:row>
    <x:row r="4564">
      <x:c r="A4564" s="5" t="str">
        <x:v>餰</x:v>
      </x:c>
      <x:c r="B4564" s="6" t="str">
        <x:v>平</x:v>
      </x:c>
      <x:c r="C4564" s="6" t="str">
        <x:f>IF(B4564="","Needs decision","Ready")</x:f>
        <x:v>Ready</x:v>
      </x:c>
      <x:c r="D4564" s="6" t="str">
        <x:v>平</x:v>
      </x:c>
      <x:c r="E4564" s="6" t="str">
        <x:v>tsyen (A)</x:v>
      </x:c>
      <x:c r="F4564" s="6" t="str">
        <x:v>1</x:v>
      </x:c>
      <x:c r="G4564" s="6" t="str"/>
      <x:c r="H4564" s="6" t="str">
        <x:f>IF(B4564="平","平",IF(B4564="","","仄"))</x:f>
        <x:v>平</x:v>
      </x:c>
      <x:c r="I4564" s="6" t="str">
        <x:f>IF(D4547="","",IF(AND(ISNUMBER(SEARCH("平",D4547)),OR(ISNUMBER(SEARCH("上",D4547)),ISNUMBER(SEARCH("去",D4547)),ISNUMBER(SEARCH("入",D4547)))),"Ambiguous",IF(ISNUMBER(SEARCH("平",D4547)),"平","仄")))</x:f>
        <x:v>仄</x:v>
      </x:c>
      <x:c r="J4564" s="7" t="str"/>
    </x:row>
    <x:row r="4565">
      <x:c r="A4565" s="5" t="str">
        <x:v>餳</x:v>
      </x:c>
      <x:c r="B4565" s="6" t="str">
        <x:v>平</x:v>
      </x:c>
      <x:c r="C4565" s="6" t="str">
        <x:f>IF(B4565="","Needs decision","Ready")</x:f>
        <x:v>Ready</x:v>
      </x:c>
      <x:c r="D4565" s="6" t="str">
        <x:v>平</x:v>
      </x:c>
      <x:c r="E4565" s="6" t="str">
        <x:v>dang (A)</x:v>
      </x:c>
      <x:c r="F4565" s="6" t="str">
        <x:v>1</x:v>
      </x:c>
      <x:c r="G4565" s="6" t="str"/>
      <x:c r="H4565" s="6" t="str">
        <x:f>IF(B4565="平","平",IF(B4565="","","仄"))</x:f>
        <x:v>平</x:v>
      </x:c>
      <x:c r="I4565" s="6" t="str">
        <x:f>IF(D4548="","",IF(AND(ISNUMBER(SEARCH("平",D4548)),OR(ISNUMBER(SEARCH("上",D4548)),ISNUMBER(SEARCH("去",D4548)),ISNUMBER(SEARCH("入",D4548)))),"Ambiguous",IF(ISNUMBER(SEARCH("平",D4548)),"平","仄")))</x:f>
        <x:v>仄</x:v>
      </x:c>
      <x:c r="J4565" s="7" t="str"/>
    </x:row>
    <x:row r="4566">
      <x:c r="A4566" s="5" t="str">
        <x:v>餼</x:v>
      </x:c>
      <x:c r="B4566" s="6" t="str">
        <x:v>去</x:v>
      </x:c>
      <x:c r="C4566" s="6" t="str">
        <x:f>IF(B4566="","Needs decision","Ready")</x:f>
        <x:v>Ready</x:v>
      </x:c>
      <x:c r="D4566" s="6" t="str">
        <x:v>去</x:v>
      </x:c>
      <x:c r="E4566" s="6" t="str">
        <x:v>xj+jH (C)</x:v>
      </x:c>
      <x:c r="F4566" s="6" t="str">
        <x:v>1</x:v>
      </x:c>
      <x:c r="G4566" s="6" t="str"/>
      <x:c r="H4566" s="6" t="str">
        <x:f>IF(B4566="平","平",IF(B4566="","","仄"))</x:f>
        <x:v>仄</x:v>
      </x:c>
      <x:c r="I4566" s="6" t="str">
        <x:f>IF(D4549="","",IF(AND(ISNUMBER(SEARCH("平",D4549)),OR(ISNUMBER(SEARCH("上",D4549)),ISNUMBER(SEARCH("去",D4549)),ISNUMBER(SEARCH("入",D4549)))),"Ambiguous",IF(ISNUMBER(SEARCH("平",D4549)),"平","仄")))</x:f>
        <x:v>仄</x:v>
      </x:c>
      <x:c r="J4566" s="7" t="str"/>
    </x:row>
    <x:row r="4567">
      <x:c r="A4567" s="5" t="str">
        <x:v>餽</x:v>
      </x:c>
      <x:c r="B4567" s="6" t="str">
        <x:v>去</x:v>
      </x:c>
      <x:c r="C4567" s="6" t="str">
        <x:f>IF(B4567="","Needs decision","Ready")</x:f>
        <x:v>Ready</x:v>
      </x:c>
      <x:c r="D4567" s="6" t="str">
        <x:v>去</x:v>
      </x:c>
      <x:c r="E4567" s="6" t="str">
        <x:v>gwijH (C)</x:v>
      </x:c>
      <x:c r="F4567" s="6" t="str">
        <x:v>1</x:v>
      </x:c>
      <x:c r="G4567" s="6" t="str"/>
      <x:c r="H4567" s="6" t="str">
        <x:f>IF(B4567="平","平",IF(B4567="","","仄"))</x:f>
        <x:v>仄</x:v>
      </x:c>
      <x:c r="I4567" s="6" t="str">
        <x:f>IF(D4550="","",IF(AND(ISNUMBER(SEARCH("平",D4550)),OR(ISNUMBER(SEARCH("上",D4550)),ISNUMBER(SEARCH("去",D4550)),ISNUMBER(SEARCH("入",D4550)))),"Ambiguous",IF(ISNUMBER(SEARCH("平",D4550)),"平","仄")))</x:f>
        <x:v>仄</x:v>
      </x:c>
      <x:c r="J4567" s="7" t="str"/>
    </x:row>
    <x:row r="4568">
      <x:c r="A4568" s="5" t="str">
        <x:v>饉</x:v>
      </x:c>
      <x:c r="B4568" s="6" t="str">
        <x:v>去</x:v>
      </x:c>
      <x:c r="C4568" s="6" t="str">
        <x:f>IF(B4568="","Needs decision","Ready")</x:f>
        <x:v>Ready</x:v>
      </x:c>
      <x:c r="D4568" s="6" t="str">
        <x:v>去</x:v>
      </x:c>
      <x:c r="E4568" s="6" t="str">
        <x:v>ginH (C)</x:v>
      </x:c>
      <x:c r="F4568" s="6" t="str">
        <x:v>1</x:v>
      </x:c>
      <x:c r="G4568" s="6" t="str"/>
      <x:c r="H4568" s="6" t="str">
        <x:f>IF(B4568="平","平",IF(B4568="","","仄"))</x:f>
        <x:v>仄</x:v>
      </x:c>
      <x:c r="I4568" s="6" t="str">
        <x:f>IF(D4551="","",IF(AND(ISNUMBER(SEARCH("平",D4551)),OR(ISNUMBER(SEARCH("上",D4551)),ISNUMBER(SEARCH("去",D4551)),ISNUMBER(SEARCH("入",D4551)))),"Ambiguous",IF(ISNUMBER(SEARCH("平",D4551)),"平","仄")))</x:f>
        <x:v>仄</x:v>
      </x:c>
      <x:c r="J4568" s="7" t="str"/>
    </x:row>
    <x:row r="4569">
      <x:c r="A4569" s="5" t="str">
        <x:v>饋</x:v>
      </x:c>
      <x:c r="B4569" s="6" t="str">
        <x:v>去</x:v>
      </x:c>
      <x:c r="C4569" s="6" t="str">
        <x:f>IF(B4569="","Needs decision","Ready")</x:f>
        <x:v>Ready</x:v>
      </x:c>
      <x:c r="D4569" s="6" t="str">
        <x:v>去</x:v>
      </x:c>
      <x:c r="E4569" s="6" t="str">
        <x:v>gwijH (C)</x:v>
      </x:c>
      <x:c r="F4569" s="6" t="str">
        <x:v>1</x:v>
      </x:c>
      <x:c r="G4569" s="6" t="str"/>
      <x:c r="H4569" s="6" t="str">
        <x:f>IF(B4569="平","平",IF(B4569="","","仄"))</x:f>
        <x:v>仄</x:v>
      </x:c>
      <x:c r="I4569" s="6" t="str">
        <x:f>IF(D4552="","",IF(AND(ISNUMBER(SEARCH("平",D4552)),OR(ISNUMBER(SEARCH("上",D4552)),ISNUMBER(SEARCH("去",D4552)),ISNUMBER(SEARCH("入",D4552)))),"Ambiguous",IF(ISNUMBER(SEARCH("平",D4552)),"平","仄")))</x:f>
        <x:v>仄</x:v>
      </x:c>
      <x:c r="J4569" s="7" t="str"/>
    </x:row>
    <x:row r="4570">
      <x:c r="A4570" s="5" t="str">
        <x:v>饌</x:v>
      </x:c>
      <x:c r="B4570" s="6" t="str"/>
      <x:c r="C4570" s="6" t="str">
        <x:f>IF(B4570="","Needs decision","Ready")</x:f>
        <x:v>Needs decision</x:v>
      </x:c>
      <x:c r="D4570" s="6" t="str">
        <x:v>上/去</x:v>
      </x:c>
      <x:c r="E4570" s="6" t="str">
        <x:v>dzrjwenH [dʐwɨ̯enh] (去); dzrwaenX [dʐwaˤnʔ] (上)</x:v>
      </x:c>
      <x:c r="F4570" s="6" t="str">
        <x:v>2</x:v>
      </x:c>
      <x:c r="G4570" s="6" t="str">
        <x:v>Tang 300 gap; frequency 1; ambiguous in Xun Gong</x:v>
      </x:c>
      <x:c r="H4570" s="6" t="str">
        <x:f>IF(B4570="平","平",IF(B4570="","","仄"))</x:f>
      </x:c>
      <x:c r="I4570" s="6" t="str">
        <x:f>IF(D4553="","",IF(AND(ISNUMBER(SEARCH("平",D4553)),OR(ISNUMBER(SEARCH("上",D4553)),ISNUMBER(SEARCH("去",D4553)),ISNUMBER(SEARCH("入",D4553)))),"Ambiguous",IF(ISNUMBER(SEARCH("平",D4553)),"平","仄")))</x:f>
        <x:v>仄</x:v>
      </x:c>
      <x:c r="J4570" s="7" t="str">
        <x:v>Xun Gong, Tang 300 gap fill</x:v>
      </x:c>
    </x:row>
    <x:row r="4571">
      <x:c r="A4571" s="5" t="str">
        <x:v>饐</x:v>
      </x:c>
      <x:c r="B4571" s="6" t="str">
        <x:v>去</x:v>
      </x:c>
      <x:c r="C4571" s="6" t="str">
        <x:f>IF(B4571="","Needs decision","Ready")</x:f>
        <x:v>Ready</x:v>
      </x:c>
      <x:c r="D4571" s="6" t="str">
        <x:v>去</x:v>
      </x:c>
      <x:c r="E4571" s="6" t="str">
        <x:v>'ijH (C)</x:v>
      </x:c>
      <x:c r="F4571" s="6" t="str">
        <x:v>1</x:v>
      </x:c>
      <x:c r="G4571" s="6" t="str"/>
      <x:c r="H4571" s="6" t="str">
        <x:f>IF(B4571="平","平",IF(B4571="","","仄"))</x:f>
        <x:v>仄</x:v>
      </x:c>
      <x:c r="I4571" s="6" t="str">
        <x:f>IF(D4554="","",IF(AND(ISNUMBER(SEARCH("平",D4554)),OR(ISNUMBER(SEARCH("上",D4554)),ISNUMBER(SEARCH("去",D4554)),ISNUMBER(SEARCH("入",D4554)))),"Ambiguous",IF(ISNUMBER(SEARCH("平",D4554)),"平","仄")))</x:f>
        <x:v>平</x:v>
      </x:c>
      <x:c r="J4571" s="7" t="str"/>
    </x:row>
    <x:row r="4572">
      <x:c r="A4572" s="5" t="str">
        <x:v>饑</x:v>
      </x:c>
      <x:c r="B4572" s="6" t="str">
        <x:v>平</x:v>
      </x:c>
      <x:c r="C4572" s="6" t="str">
        <x:f>IF(B4572="","Needs decision","Ready")</x:f>
        <x:v>Ready</x:v>
      </x:c>
      <x:c r="D4572" s="6" t="str">
        <x:v>平</x:v>
      </x:c>
      <x:c r="E4572" s="6" t="str">
        <x:v>kj+j (A)</x:v>
      </x:c>
      <x:c r="F4572" s="6" t="str">
        <x:v>1</x:v>
      </x:c>
      <x:c r="G4572" s="6" t="str"/>
      <x:c r="H4572" s="6" t="str">
        <x:f>IF(B4572="平","平",IF(B4572="","","仄"))</x:f>
        <x:v>平</x:v>
      </x:c>
      <x:c r="I4572" s="6" t="str">
        <x:f>IF(D4555="","",IF(AND(ISNUMBER(SEARCH("平",D4555)),OR(ISNUMBER(SEARCH("上",D4555)),ISNUMBER(SEARCH("去",D4555)),ISNUMBER(SEARCH("入",D4555)))),"Ambiguous",IF(ISNUMBER(SEARCH("平",D4555)),"平","仄")))</x:f>
        <x:v>仄</x:v>
      </x:c>
      <x:c r="J4572" s="7" t="str"/>
    </x:row>
    <x:row r="4573">
      <x:c r="A4573" s="5" t="str">
        <x:v>饒</x:v>
      </x:c>
      <x:c r="B4573" s="6" t="str">
        <x:v>平</x:v>
      </x:c>
      <x:c r="C4573" s="6" t="str">
        <x:f>IF(B4573="","Needs decision","Ready")</x:f>
        <x:v>Ready</x:v>
      </x:c>
      <x:c r="D4573" s="6" t="str">
        <x:v>平</x:v>
      </x:c>
      <x:c r="E4573" s="6" t="str">
        <x:v>nyew (A)</x:v>
      </x:c>
      <x:c r="F4573" s="6" t="str">
        <x:v>1</x:v>
      </x:c>
      <x:c r="G4573" s="6" t="str"/>
      <x:c r="H4573" s="6" t="str">
        <x:f>IF(B4573="平","平",IF(B4573="","","仄"))</x:f>
        <x:v>平</x:v>
      </x:c>
      <x:c r="I4573" s="6" t="str">
        <x:f>IF(D4556="","",IF(AND(ISNUMBER(SEARCH("平",D4556)),OR(ISNUMBER(SEARCH("上",D4556)),ISNUMBER(SEARCH("去",D4556)),ISNUMBER(SEARCH("入",D4556)))),"Ambiguous",IF(ISNUMBER(SEARCH("平",D4556)),"平","仄")))</x:f>
        <x:v>仄</x:v>
      </x:c>
      <x:c r="J4573" s="7" t="str"/>
    </x:row>
    <x:row r="4574">
      <x:c r="A4574" s="5" t="str">
        <x:v>饕</x:v>
      </x:c>
      <x:c r="B4574" s="6" t="str">
        <x:v>平</x:v>
      </x:c>
      <x:c r="C4574" s="6" t="str">
        <x:f>IF(B4574="","Needs decision","Ready")</x:f>
        <x:v>Ready</x:v>
      </x:c>
      <x:c r="D4574" s="6" t="str">
        <x:v>平</x:v>
      </x:c>
      <x:c r="E4574" s="6" t="str">
        <x:v>thaw (A)</x:v>
      </x:c>
      <x:c r="F4574" s="6" t="str">
        <x:v>1</x:v>
      </x:c>
      <x:c r="G4574" s="6" t="str"/>
      <x:c r="H4574" s="6" t="str">
        <x:f>IF(B4574="平","平",IF(B4574="","","仄"))</x:f>
        <x:v>平</x:v>
      </x:c>
      <x:c r="I4574" s="6" t="str">
        <x:f>IF(D4557="","",IF(AND(ISNUMBER(SEARCH("平",D4557)),OR(ISNUMBER(SEARCH("上",D4557)),ISNUMBER(SEARCH("去",D4557)),ISNUMBER(SEARCH("入",D4557)))),"Ambiguous",IF(ISNUMBER(SEARCH("平",D4557)),"平","仄")))</x:f>
        <x:v>仄</x:v>
      </x:c>
      <x:c r="J4574" s="7" t="str"/>
    </x:row>
    <x:row r="4575">
      <x:c r="A4575" s="5" t="str">
        <x:v>饗</x:v>
      </x:c>
      <x:c r="B4575" s="6" t="str">
        <x:v>上</x:v>
      </x:c>
      <x:c r="C4575" s="6" t="str">
        <x:f>IF(B4575="","Needs decision","Ready")</x:f>
        <x:v>Ready</x:v>
      </x:c>
      <x:c r="D4575" s="6" t="str">
        <x:v>上</x:v>
      </x:c>
      <x:c r="E4575" s="6" t="str">
        <x:v>xjangX (B)</x:v>
      </x:c>
      <x:c r="F4575" s="6" t="str">
        <x:v>1</x:v>
      </x:c>
      <x:c r="G4575" s="6" t="str"/>
      <x:c r="H4575" s="6" t="str">
        <x:f>IF(B4575="平","平",IF(B4575="","","仄"))</x:f>
        <x:v>仄</x:v>
      </x:c>
      <x:c r="I4575" s="6" t="str">
        <x:f>IF(D4558="","",IF(AND(ISNUMBER(SEARCH("平",D4558)),OR(ISNUMBER(SEARCH("上",D4558)),ISNUMBER(SEARCH("去",D4558)),ISNUMBER(SEARCH("入",D4558)))),"Ambiguous",IF(ISNUMBER(SEARCH("平",D4558)),"平","仄")))</x:f>
        <x:v>平</x:v>
      </x:c>
      <x:c r="J4575" s="7" t="str"/>
    </x:row>
    <x:row r="4576">
      <x:c r="A4576" s="5" t="str">
        <x:v>饘</x:v>
      </x:c>
      <x:c r="B4576" s="6" t="str"/>
      <x:c r="C4576" s="6" t="str">
        <x:f>IF(B4576="","Needs decision","Ready")</x:f>
        <x:v>Needs decision</x:v>
      </x:c>
      <x:c r="D4576" s="6" t="str">
        <x:v>平/上</x:v>
      </x:c>
      <x:c r="E4576" s="6" t="str">
        <x:v>tsyen (A); tsyenX (B)</x:v>
      </x:c>
      <x:c r="F4576" s="6" t="str">
        <x:v>2</x:v>
      </x:c>
      <x:c r="G4576" s="6" t="str"/>
      <x:c r="H4576" s="6" t="str">
        <x:f>IF(B4576="平","平",IF(B4576="","","仄"))</x:f>
      </x:c>
      <x:c r="I4576" s="6" t="str">
        <x:f>IF(D4559="","",IF(AND(ISNUMBER(SEARCH("平",D4559)),OR(ISNUMBER(SEARCH("上",D4559)),ISNUMBER(SEARCH("去",D4559)),ISNUMBER(SEARCH("入",D4559)))),"Ambiguous",IF(ISNUMBER(SEARCH("平",D4559)),"平","仄")))</x:f>
        <x:v>仄</x:v>
      </x:c>
      <x:c r="J4576" s="7" t="str"/>
    </x:row>
    <x:row r="4577">
      <x:c r="A4577" s="5" t="str">
        <x:v>饙</x:v>
      </x:c>
      <x:c r="B4577" s="6" t="str">
        <x:v>平</x:v>
      </x:c>
      <x:c r="C4577" s="6" t="str">
        <x:f>IF(B4577="","Needs decision","Ready")</x:f>
        <x:v>Ready</x:v>
      </x:c>
      <x:c r="D4577" s="6" t="str">
        <x:v>平</x:v>
      </x:c>
      <x:c r="E4577" s="6" t="str">
        <x:v>pjun (A)</x:v>
      </x:c>
      <x:c r="F4577" s="6" t="str">
        <x:v>1</x:v>
      </x:c>
      <x:c r="G4577" s="6" t="str"/>
      <x:c r="H4577" s="6" t="str">
        <x:f>IF(B4577="平","平",IF(B4577="","","仄"))</x:f>
        <x:v>平</x:v>
      </x:c>
      <x:c r="I4577" s="6" t="str">
        <x:f>IF(D4560="","",IF(AND(ISNUMBER(SEARCH("平",D4560)),OR(ISNUMBER(SEARCH("上",D4560)),ISNUMBER(SEARCH("去",D4560)),ISNUMBER(SEARCH("入",D4560)))),"Ambiguous",IF(ISNUMBER(SEARCH("平",D4560)),"平","仄")))</x:f>
        <x:v>仄</x:v>
      </x:c>
      <x:c r="J4577" s="7" t="str"/>
    </x:row>
    <x:row r="4578">
      <x:c r="A4578" s="5" t="str">
        <x:v>饜</x:v>
      </x:c>
      <x:c r="B4578" s="6" t="str">
        <x:v>去</x:v>
      </x:c>
      <x:c r="C4578" s="6" t="str">
        <x:f>IF(B4578="","Needs decision","Ready")</x:f>
        <x:v>Ready</x:v>
      </x:c>
      <x:c r="D4578" s="6" t="str">
        <x:v>去</x:v>
      </x:c>
      <x:c r="E4578" s="6" t="str">
        <x:v>'jemH (C)</x:v>
      </x:c>
      <x:c r="F4578" s="6" t="str">
        <x:v>1</x:v>
      </x:c>
      <x:c r="G4578" s="6" t="str"/>
      <x:c r="H4578" s="6" t="str">
        <x:f>IF(B4578="平","平",IF(B4578="","","仄"))</x:f>
        <x:v>仄</x:v>
      </x:c>
      <x:c r="I4578" s="6" t="str">
        <x:f>IF(D4561="","",IF(AND(ISNUMBER(SEARCH("平",D4561)),OR(ISNUMBER(SEARCH("上",D4561)),ISNUMBER(SEARCH("去",D4561)),ISNUMBER(SEARCH("入",D4561)))),"Ambiguous",IF(ISNUMBER(SEARCH("平",D4561)),"平","仄")))</x:f>
        <x:v>平</x:v>
      </x:c>
      <x:c r="J4578" s="7" t="str"/>
    </x:row>
    <x:row r="4579">
      <x:c r="A4579" s="5" t="str">
        <x:v>饟</x:v>
      </x:c>
      <x:c r="B4579" s="6" t="str"/>
      <x:c r="C4579" s="6" t="str">
        <x:f>IF(B4579="","Needs decision","Ready")</x:f>
        <x:v>Needs decision</x:v>
      </x:c>
      <x:c r="D4579" s="6" t="str">
        <x:v>平/上/去</x:v>
      </x:c>
      <x:c r="E4579" s="6" t="str">
        <x:v>syang (A); syangX (B); syangH (C)</x:v>
      </x:c>
      <x:c r="F4579" s="6" t="str">
        <x:v>3</x:v>
      </x:c>
      <x:c r="G4579" s="6" t="str"/>
      <x:c r="H4579" s="6" t="str">
        <x:f>IF(B4579="平","平",IF(B4579="","","仄"))</x:f>
      </x:c>
      <x:c r="I4579" s="6" t="str">
        <x:f>IF(D4562="","",IF(AND(ISNUMBER(SEARCH("平",D4562)),OR(ISNUMBER(SEARCH("上",D4562)),ISNUMBER(SEARCH("去",D4562)),ISNUMBER(SEARCH("入",D4562)))),"Ambiguous",IF(ISNUMBER(SEARCH("平",D4562)),"平","仄")))</x:f>
        <x:v>仄</x:v>
      </x:c>
      <x:c r="J4579" s="7" t="str"/>
    </x:row>
    <x:row r="4580">
      <x:c r="A4580" s="5" t="str">
        <x:v>首</x:v>
      </x:c>
      <x:c r="B4580" s="6" t="str">
        <x:v>上</x:v>
      </x:c>
      <x:c r="C4580" s="6" t="str">
        <x:f>IF(B4580="","Needs decision","Ready")</x:f>
        <x:v>Ready</x:v>
      </x:c>
      <x:c r="D4580" s="6" t="str">
        <x:v>上/去</x:v>
      </x:c>
      <x:c r="E4580" s="6" t="str">
        <x:v>syuwX (B); syuwH (C)</x:v>
      </x:c>
      <x:c r="F4580" s="6" t="str">
        <x:v>2</x:v>
      </x:c>
      <x:c r="G4580" s="6" t="str">
        <x:v>User workbook edit 2026-09-03</x:v>
      </x:c>
      <x:c r="H4580" s="6" t="str">
        <x:f>IF(B4580="平","平",IF(B4580="","","仄"))</x:f>
        <x:v>仄</x:v>
      </x:c>
      <x:c r="I4580" s="6" t="str">
        <x:f>IF(D4563="","",IF(AND(ISNUMBER(SEARCH("平",D4563)),OR(ISNUMBER(SEARCH("上",D4563)),ISNUMBER(SEARCH("去",D4563)),ISNUMBER(SEARCH("入",D4563)))),"Ambiguous",IF(ISNUMBER(SEARCH("平",D4563)),"平","仄")))</x:f>
        <x:v>仄</x:v>
      </x:c>
      <x:c r="J4580" s="7" t="str">
        <x:v>manual user correction</x:v>
      </x:c>
    </x:row>
    <x:row r="4581">
      <x:c r="A4581" s="5" t="str">
        <x:v>馗</x:v>
      </x:c>
      <x:c r="B4581" s="6" t="str">
        <x:v>平</x:v>
      </x:c>
      <x:c r="C4581" s="6" t="str">
        <x:f>IF(B4581="","Needs decision","Ready")</x:f>
        <x:v>Ready</x:v>
      </x:c>
      <x:c r="D4581" s="6" t="str">
        <x:v>平</x:v>
      </x:c>
      <x:c r="E4581" s="6" t="str">
        <x:v>gwij (A)</x:v>
      </x:c>
      <x:c r="F4581" s="6" t="str">
        <x:v>1</x:v>
      </x:c>
      <x:c r="G4581" s="6" t="str"/>
      <x:c r="H4581" s="6" t="str">
        <x:f>IF(B4581="平","平",IF(B4581="","","仄"))</x:f>
        <x:v>平</x:v>
      </x:c>
      <x:c r="I4581" s="6" t="str">
        <x:f>IF(D4564="","",IF(AND(ISNUMBER(SEARCH("平",D4564)),OR(ISNUMBER(SEARCH("上",D4564)),ISNUMBER(SEARCH("去",D4564)),ISNUMBER(SEARCH("入",D4564)))),"Ambiguous",IF(ISNUMBER(SEARCH("平",D4564)),"平","仄")))</x:f>
        <x:v>平</x:v>
      </x:c>
      <x:c r="J4581" s="7" t="str"/>
    </x:row>
    <x:row r="4582">
      <x:c r="A4582" s="5" t="str">
        <x:v>馘</x:v>
      </x:c>
      <x:c r="B4582" s="6" t="str">
        <x:v>入</x:v>
      </x:c>
      <x:c r="C4582" s="6" t="str">
        <x:f>IF(B4582="","Needs decision","Ready")</x:f>
        <x:v>Ready</x:v>
      </x:c>
      <x:c r="D4582" s="6" t="str">
        <x:v>入</x:v>
      </x:c>
      <x:c r="E4582" s="6" t="str">
        <x:v>kweak (D)</x:v>
      </x:c>
      <x:c r="F4582" s="6" t="str">
        <x:v>1</x:v>
      </x:c>
      <x:c r="G4582" s="6" t="str"/>
      <x:c r="H4582" s="6" t="str">
        <x:f>IF(B4582="平","平",IF(B4582="","","仄"))</x:f>
        <x:v>仄</x:v>
      </x:c>
      <x:c r="I4582" s="6" t="str">
        <x:f>IF(D4565="","",IF(AND(ISNUMBER(SEARCH("平",D4565)),OR(ISNUMBER(SEARCH("上",D4565)),ISNUMBER(SEARCH("去",D4565)),ISNUMBER(SEARCH("入",D4565)))),"Ambiguous",IF(ISNUMBER(SEARCH("平",D4565)),"平","仄")))</x:f>
        <x:v>平</x:v>
      </x:c>
      <x:c r="J4582" s="7" t="str"/>
    </x:row>
    <x:row r="4583">
      <x:c r="A4583" s="5" t="str">
        <x:v>香</x:v>
      </x:c>
      <x:c r="B4583" s="6" t="str">
        <x:v>平</x:v>
      </x:c>
      <x:c r="C4583" s="6" t="str">
        <x:f>IF(B4583="","Needs decision","Ready")</x:f>
        <x:v>Ready</x:v>
      </x:c>
      <x:c r="D4583" s="6" t="str">
        <x:v>平</x:v>
      </x:c>
      <x:c r="E4583" s="6" t="str">
        <x:v>xjang (A)</x:v>
      </x:c>
      <x:c r="F4583" s="6" t="str">
        <x:v>1</x:v>
      </x:c>
      <x:c r="G4583" s="6" t="str"/>
      <x:c r="H4583" s="6" t="str">
        <x:f>IF(B4583="平","平",IF(B4583="","","仄"))</x:f>
        <x:v>平</x:v>
      </x:c>
      <x:c r="I4583" s="6" t="str">
        <x:f>IF(D4566="","",IF(AND(ISNUMBER(SEARCH("平",D4566)),OR(ISNUMBER(SEARCH("上",D4566)),ISNUMBER(SEARCH("去",D4566)),ISNUMBER(SEARCH("入",D4566)))),"Ambiguous",IF(ISNUMBER(SEARCH("平",D4566)),"平","仄")))</x:f>
        <x:v>仄</x:v>
      </x:c>
      <x:c r="J4583" s="7" t="str"/>
    </x:row>
    <x:row r="4584">
      <x:c r="A4584" s="5" t="str">
        <x:v>馨</x:v>
      </x:c>
      <x:c r="B4584" s="6" t="str">
        <x:v>平</x:v>
      </x:c>
      <x:c r="C4584" s="6" t="str">
        <x:f>IF(B4584="","Needs decision","Ready")</x:f>
        <x:v>Ready</x:v>
      </x:c>
      <x:c r="D4584" s="6" t="str">
        <x:v>平</x:v>
      </x:c>
      <x:c r="E4584" s="6" t="str">
        <x:v>xeng (A)</x:v>
      </x:c>
      <x:c r="F4584" s="6" t="str">
        <x:v>1</x:v>
      </x:c>
      <x:c r="G4584" s="6" t="str"/>
      <x:c r="H4584" s="6" t="str">
        <x:f>IF(B4584="平","平",IF(B4584="","","仄"))</x:f>
        <x:v>平</x:v>
      </x:c>
      <x:c r="I4584" s="6" t="str">
        <x:f>IF(D4567="","",IF(AND(ISNUMBER(SEARCH("平",D4567)),OR(ISNUMBER(SEARCH("上",D4567)),ISNUMBER(SEARCH("去",D4567)),ISNUMBER(SEARCH("入",D4567)))),"Ambiguous",IF(ISNUMBER(SEARCH("平",D4567)),"平","仄")))</x:f>
        <x:v>仄</x:v>
      </x:c>
      <x:c r="J4584" s="7" t="str"/>
    </x:row>
    <x:row r="4585">
      <x:c r="A4585" s="5" t="str">
        <x:v>馬</x:v>
      </x:c>
      <x:c r="B4585" s="6" t="str">
        <x:v>上</x:v>
      </x:c>
      <x:c r="C4585" s="6" t="str">
        <x:f>IF(B4585="","Needs decision","Ready")</x:f>
        <x:v>Ready</x:v>
      </x:c>
      <x:c r="D4585" s="6" t="str">
        <x:v>上</x:v>
      </x:c>
      <x:c r="E4585" s="6" t="str">
        <x:v>maeX (B)</x:v>
      </x:c>
      <x:c r="F4585" s="6" t="str">
        <x:v>1</x:v>
      </x:c>
      <x:c r="G4585" s="6" t="str"/>
      <x:c r="H4585" s="6" t="str">
        <x:f>IF(B4585="平","平",IF(B4585="","","仄"))</x:f>
        <x:v>仄</x:v>
      </x:c>
      <x:c r="I4585" s="6" t="str">
        <x:f>IF(D4568="","",IF(AND(ISNUMBER(SEARCH("平",D4568)),OR(ISNUMBER(SEARCH("上",D4568)),ISNUMBER(SEARCH("去",D4568)),ISNUMBER(SEARCH("入",D4568)))),"Ambiguous",IF(ISNUMBER(SEARCH("平",D4568)),"平","仄")))</x:f>
        <x:v>仄</x:v>
      </x:c>
      <x:c r="J4585" s="7" t="str"/>
    </x:row>
    <x:row r="4586">
      <x:c r="A4586" s="5" t="str">
        <x:v>馭</x:v>
      </x:c>
      <x:c r="B4586" s="6" t="str">
        <x:v>去</x:v>
      </x:c>
      <x:c r="C4586" s="6" t="str">
        <x:f>IF(B4586="","Needs decision","Ready")</x:f>
        <x:v>Ready</x:v>
      </x:c>
      <x:c r="D4586" s="6" t="str">
        <x:v>去</x:v>
      </x:c>
      <x:c r="E4586" s="6" t="str">
        <x:v>ngjoH (C)</x:v>
      </x:c>
      <x:c r="F4586" s="6" t="str">
        <x:v>1</x:v>
      </x:c>
      <x:c r="G4586" s="6" t="str"/>
      <x:c r="H4586" s="6" t="str">
        <x:f>IF(B4586="平","平",IF(B4586="","","仄"))</x:f>
        <x:v>仄</x:v>
      </x:c>
      <x:c r="I4586" s="6" t="str">
        <x:f>IF(D4569="","",IF(AND(ISNUMBER(SEARCH("平",D4569)),OR(ISNUMBER(SEARCH("上",D4569)),ISNUMBER(SEARCH("去",D4569)),ISNUMBER(SEARCH("入",D4569)))),"Ambiguous",IF(ISNUMBER(SEARCH("平",D4569)),"平","仄")))</x:f>
        <x:v>仄</x:v>
      </x:c>
      <x:c r="J4586" s="7" t="str"/>
    </x:row>
    <x:row r="4587">
      <x:c r="A4587" s="5" t="str">
        <x:v>馮</x:v>
      </x:c>
      <x:c r="B4587" s="6" t="str">
        <x:v>平</x:v>
      </x:c>
      <x:c r="C4587" s="6" t="str">
        <x:f>IF(B4587="","Needs decision","Ready")</x:f>
        <x:v>Ready</x:v>
      </x:c>
      <x:c r="D4587" s="6" t="str">
        <x:v>平</x:v>
      </x:c>
      <x:c r="E4587" s="6" t="str">
        <x:v>bing (A); bjuwng (A)</x:v>
      </x:c>
      <x:c r="F4587" s="6" t="str">
        <x:v>2</x:v>
      </x:c>
      <x:c r="G4587" s="6" t="str"/>
      <x:c r="H4587" s="6" t="str">
        <x:f>IF(B4587="平","平",IF(B4587="","","仄"))</x:f>
        <x:v>平</x:v>
      </x:c>
      <x:c r="I4587" s="6" t="str">
        <x:f>IF(D4570="","",IF(AND(ISNUMBER(SEARCH("平",D4570)),OR(ISNUMBER(SEARCH("上",D4570)),ISNUMBER(SEARCH("去",D4570)),ISNUMBER(SEARCH("入",D4570)))),"Ambiguous",IF(ISNUMBER(SEARCH("平",D4570)),"平","仄")))</x:f>
        <x:v>仄</x:v>
      </x:c>
      <x:c r="J4587" s="7" t="str"/>
    </x:row>
    <x:row r="4588">
      <x:c r="A4588" s="5" t="str">
        <x:v>馳</x:v>
      </x:c>
      <x:c r="B4588" s="6" t="str">
        <x:v>平</x:v>
      </x:c>
      <x:c r="C4588" s="6" t="str">
        <x:f>IF(B4588="","Needs decision","Ready")</x:f>
        <x:v>Ready</x:v>
      </x:c>
      <x:c r="D4588" s="6" t="str">
        <x:v>平</x:v>
      </x:c>
      <x:c r="E4588" s="6" t="str">
        <x:v>drje (A)</x:v>
      </x:c>
      <x:c r="F4588" s="6" t="str">
        <x:v>1</x:v>
      </x:c>
      <x:c r="G4588" s="6" t="str"/>
      <x:c r="H4588" s="6" t="str">
        <x:f>IF(B4588="平","平",IF(B4588="","","仄"))</x:f>
        <x:v>平</x:v>
      </x:c>
      <x:c r="I4588" s="6" t="str">
        <x:f>IF(D4571="","",IF(AND(ISNUMBER(SEARCH("平",D4571)),OR(ISNUMBER(SEARCH("上",D4571)),ISNUMBER(SEARCH("去",D4571)),ISNUMBER(SEARCH("入",D4571)))),"Ambiguous",IF(ISNUMBER(SEARCH("平",D4571)),"平","仄")))</x:f>
        <x:v>仄</x:v>
      </x:c>
      <x:c r="J4588" s="7" t="str"/>
    </x:row>
    <x:row r="4589">
      <x:c r="A4589" s="5" t="str">
        <x:v>馴</x:v>
      </x:c>
      <x:c r="B4589" s="6" t="str">
        <x:v>平</x:v>
      </x:c>
      <x:c r="C4589" s="6" t="str">
        <x:f>IF(B4589="","Needs decision","Ready")</x:f>
        <x:v>Ready</x:v>
      </x:c>
      <x:c r="D4589" s="6" t="str">
        <x:v>平</x:v>
      </x:c>
      <x:c r="E4589" s="6" t="str">
        <x:v>zwin (A)</x:v>
      </x:c>
      <x:c r="F4589" s="6" t="str">
        <x:v>1</x:v>
      </x:c>
      <x:c r="G4589" s="6" t="str"/>
      <x:c r="H4589" s="6" t="str">
        <x:f>IF(B4589="平","平",IF(B4589="","","仄"))</x:f>
        <x:v>平</x:v>
      </x:c>
      <x:c r="I4589" s="6" t="str">
        <x:f>IF(D4572="","",IF(AND(ISNUMBER(SEARCH("平",D4572)),OR(ISNUMBER(SEARCH("上",D4572)),ISNUMBER(SEARCH("去",D4572)),ISNUMBER(SEARCH("入",D4572)))),"Ambiguous",IF(ISNUMBER(SEARCH("平",D4572)),"平","仄")))</x:f>
        <x:v>平</x:v>
      </x:c>
      <x:c r="J4589" s="7" t="str"/>
    </x:row>
    <x:row r="4590">
      <x:c r="A4590" s="5" t="str">
        <x:v>馵</x:v>
      </x:c>
      <x:c r="B4590" s="6" t="str">
        <x:v>去</x:v>
      </x:c>
      <x:c r="C4590" s="6" t="str">
        <x:f>IF(B4590="","Needs decision","Ready")</x:f>
        <x:v>Ready</x:v>
      </x:c>
      <x:c r="D4590" s="6" t="str">
        <x:v>去</x:v>
      </x:c>
      <x:c r="E4590" s="6" t="str">
        <x:v>tsyuH (C)</x:v>
      </x:c>
      <x:c r="F4590" s="6" t="str">
        <x:v>1</x:v>
      </x:c>
      <x:c r="G4590" s="6" t="str"/>
      <x:c r="H4590" s="6" t="str">
        <x:f>IF(B4590="平","平",IF(B4590="","","仄"))</x:f>
        <x:v>仄</x:v>
      </x:c>
      <x:c r="I4590" s="6" t="str">
        <x:f>IF(D4573="","",IF(AND(ISNUMBER(SEARCH("平",D4573)),OR(ISNUMBER(SEARCH("上",D4573)),ISNUMBER(SEARCH("去",D4573)),ISNUMBER(SEARCH("入",D4573)))),"Ambiguous",IF(ISNUMBER(SEARCH("平",D4573)),"平","仄")))</x:f>
        <x:v>平</x:v>
      </x:c>
      <x:c r="J4590" s="7" t="str"/>
    </x:row>
    <x:row r="4591">
      <x:c r="A4591" s="5" t="str">
        <x:v>駁</x:v>
      </x:c>
      <x:c r="B4591" s="6" t="str">
        <x:v>入</x:v>
      </x:c>
      <x:c r="C4591" s="6" t="str">
        <x:f>IF(B4591="","Needs decision","Ready")</x:f>
        <x:v>Ready</x:v>
      </x:c>
      <x:c r="D4591" s="6" t="str">
        <x:v>入</x:v>
      </x:c>
      <x:c r="E4591" s="6" t="str">
        <x:v>paewk (D)</x:v>
      </x:c>
      <x:c r="F4591" s="6" t="str">
        <x:v>1</x:v>
      </x:c>
      <x:c r="G4591" s="6" t="str"/>
      <x:c r="H4591" s="6" t="str">
        <x:f>IF(B4591="平","平",IF(B4591="","","仄"))</x:f>
        <x:v>仄</x:v>
      </x:c>
      <x:c r="I4591" s="6" t="str">
        <x:f>IF(D4574="","",IF(AND(ISNUMBER(SEARCH("平",D4574)),OR(ISNUMBER(SEARCH("上",D4574)),ISNUMBER(SEARCH("去",D4574)),ISNUMBER(SEARCH("入",D4574)))),"Ambiguous",IF(ISNUMBER(SEARCH("平",D4574)),"平","仄")))</x:f>
        <x:v>平</x:v>
      </x:c>
      <x:c r="J4591" s="7" t="str"/>
    </x:row>
    <x:row r="4592">
      <x:c r="A4592" s="5" t="str">
        <x:v>駐</x:v>
      </x:c>
      <x:c r="B4592" s="6" t="str">
        <x:v>去</x:v>
      </x:c>
      <x:c r="C4592" s="6" t="str">
        <x:f>IF(B4592="","Needs decision","Ready")</x:f>
        <x:v>Ready</x:v>
      </x:c>
      <x:c r="D4592" s="6" t="str">
        <x:v>去</x:v>
      </x:c>
      <x:c r="E4592" s="6" t="str">
        <x:v>trjuH [ʈjoh] (去)</x:v>
      </x:c>
      <x:c r="F4592" s="6" t="str">
        <x:v>1</x:v>
      </x:c>
      <x:c r="G4592" s="6" t="str">
        <x:v>Tang 300 gap; frequency 4; provisional from Xun Gong</x:v>
      </x:c>
      <x:c r="H4592" s="6" t="str">
        <x:f>IF(B4592="平","平",IF(B4592="","","仄"))</x:f>
        <x:v>仄</x:v>
      </x:c>
      <x:c r="I4592" s="6" t="str">
        <x:f>IF(D4575="","",IF(AND(ISNUMBER(SEARCH("平",D4575)),OR(ISNUMBER(SEARCH("上",D4575)),ISNUMBER(SEARCH("去",D4575)),ISNUMBER(SEARCH("入",D4575)))),"Ambiguous",IF(ISNUMBER(SEARCH("平",D4575)),"平","仄")))</x:f>
        <x:v>仄</x:v>
      </x:c>
      <x:c r="J4592" s="7" t="str">
        <x:v>Xun Gong, Tang 300 gap fill</x:v>
      </x:c>
    </x:row>
    <x:row r="4593">
      <x:c r="A4593" s="5" t="str">
        <x:v>駑</x:v>
      </x:c>
      <x:c r="B4593" s="6" t="str">
        <x:v>平</x:v>
      </x:c>
      <x:c r="C4593" s="6" t="str">
        <x:f>IF(B4593="","Needs decision","Ready")</x:f>
        <x:v>Ready</x:v>
      </x:c>
      <x:c r="D4593" s="6" t="str">
        <x:v>平</x:v>
      </x:c>
      <x:c r="E4593" s="6" t="str"/>
      <x:c r="F4593" s="6" t="str"/>
      <x:c r="G4593" s="6" t="str">
        <x:v>Manual user correction/addition</x:v>
      </x:c>
      <x:c r="H4593" s="6" t="str">
        <x:f>IF(B4593="平","平",IF(B4593="","","仄"))</x:f>
        <x:v>平</x:v>
      </x:c>
      <x:c r="I4593" s="6" t="str">
        <x:f>IF(D4576="","",IF(AND(ISNUMBER(SEARCH("平",D4576)),OR(ISNUMBER(SEARCH("上",D4576)),ISNUMBER(SEARCH("去",D4576)),ISNUMBER(SEARCH("入",D4576)))),"Ambiguous",IF(ISNUMBER(SEARCH("平",D4576)),"平","仄")))</x:f>
        <x:v>Ambiguous</x:v>
      </x:c>
      <x:c r="J4593" s="7" t="str">
        <x:v>manual user correction</x:v>
      </x:c>
    </x:row>
    <x:row r="4594">
      <x:c r="A4594" s="5" t="str">
        <x:v>駕</x:v>
      </x:c>
      <x:c r="B4594" s="6" t="str">
        <x:v>去</x:v>
      </x:c>
      <x:c r="C4594" s="6" t="str">
        <x:f>IF(B4594="","Needs decision","Ready")</x:f>
        <x:v>Ready</x:v>
      </x:c>
      <x:c r="D4594" s="6" t="str">
        <x:v>去</x:v>
      </x:c>
      <x:c r="E4594" s="6" t="str">
        <x:v>kaeH (C)</x:v>
      </x:c>
      <x:c r="F4594" s="6" t="str">
        <x:v>1</x:v>
      </x:c>
      <x:c r="G4594" s="6" t="str"/>
      <x:c r="H4594" s="6" t="str">
        <x:f>IF(B4594="平","平",IF(B4594="","","仄"))</x:f>
        <x:v>仄</x:v>
      </x:c>
      <x:c r="I4594" s="6" t="str">
        <x:f>IF(D4577="","",IF(AND(ISNUMBER(SEARCH("平",D4577)),OR(ISNUMBER(SEARCH("上",D4577)),ISNUMBER(SEARCH("去",D4577)),ISNUMBER(SEARCH("入",D4577)))),"Ambiguous",IF(ISNUMBER(SEARCH("平",D4577)),"平","仄")))</x:f>
        <x:v>平</x:v>
      </x:c>
      <x:c r="J4594" s="7" t="str"/>
    </x:row>
    <x:row r="4595">
      <x:c r="A4595" s="5" t="str">
        <x:v>駝</x:v>
      </x:c>
      <x:c r="B4595" s="6" t="str">
        <x:v>平</x:v>
      </x:c>
      <x:c r="C4595" s="6" t="str">
        <x:f>IF(B4595="","Needs decision","Ready")</x:f>
        <x:v>Ready</x:v>
      </x:c>
      <x:c r="D4595" s="6" t="str">
        <x:v>平</x:v>
      </x:c>
      <x:c r="E4595" s="6" t="str">
        <x:v>da [d̙ɑ] (平)</x:v>
      </x:c>
      <x:c r="F4595" s="6" t="str">
        <x:v>1</x:v>
      </x:c>
      <x:c r="G4595" s="6" t="str">
        <x:v>Tang 300 gap; frequency 2; provisional from Xun Gong</x:v>
      </x:c>
      <x:c r="H4595" s="6" t="str">
        <x:f>IF(B4595="平","平",IF(B4595="","","仄"))</x:f>
        <x:v>平</x:v>
      </x:c>
      <x:c r="I4595" s="6" t="str">
        <x:f>IF(D4578="","",IF(AND(ISNUMBER(SEARCH("平",D4578)),OR(ISNUMBER(SEARCH("上",D4578)),ISNUMBER(SEARCH("去",D4578)),ISNUMBER(SEARCH("入",D4578)))),"Ambiguous",IF(ISNUMBER(SEARCH("平",D4578)),"平","仄")))</x:f>
        <x:v>仄</x:v>
      </x:c>
      <x:c r="J4595" s="7" t="str">
        <x:v>Xun Gong, Tang 300 gap fill</x:v>
      </x:c>
    </x:row>
    <x:row r="4596">
      <x:c r="A4596" s="5" t="str">
        <x:v>駞</x:v>
      </x:c>
      <x:c r="B4596" s="6" t="str">
        <x:v>平</x:v>
      </x:c>
      <x:c r="C4596" s="6" t="str">
        <x:f>IF(B4596="","Needs decision","Ready")</x:f>
        <x:v>Ready</x:v>
      </x:c>
      <x:c r="D4596" s="6" t="str">
        <x:v>平</x:v>
      </x:c>
      <x:c r="E4596" s="6" t="str">
        <x:v>da [d̙ɑ] (平)</x:v>
      </x:c>
      <x:c r="F4596" s="6" t="str">
        <x:v>1</x:v>
      </x:c>
      <x:c r="G4596" s="6" t="str">
        <x:v>Tang 300 gap; frequency 1; provisional from Xun Gong</x:v>
      </x:c>
      <x:c r="H4596" s="6" t="str">
        <x:f>IF(B4596="平","平",IF(B4596="","","仄"))</x:f>
        <x:v>平</x:v>
      </x:c>
      <x:c r="I4596" s="6" t="str">
        <x:f>IF(D4579="","",IF(AND(ISNUMBER(SEARCH("平",D4579)),OR(ISNUMBER(SEARCH("上",D4579)),ISNUMBER(SEARCH("去",D4579)),ISNUMBER(SEARCH("入",D4579)))),"Ambiguous",IF(ISNUMBER(SEARCH("平",D4579)),"平","仄")))</x:f>
        <x:v>Ambiguous</x:v>
      </x:c>
      <x:c r="J4596" s="7" t="str">
        <x:v>Xun Gong, Tang 300 gap fill</x:v>
      </x:c>
    </x:row>
    <x:row r="4597">
      <x:c r="A4597" s="5" t="str">
        <x:v>駟</x:v>
      </x:c>
      <x:c r="B4597" s="6" t="str">
        <x:v>去</x:v>
      </x:c>
      <x:c r="C4597" s="6" t="str">
        <x:f>IF(B4597="","Needs decision","Ready")</x:f>
        <x:v>Ready</x:v>
      </x:c>
      <x:c r="D4597" s="6" t="str">
        <x:v>去</x:v>
      </x:c>
      <x:c r="E4597" s="6" t="str">
        <x:v>sijH (C)</x:v>
      </x:c>
      <x:c r="F4597" s="6" t="str">
        <x:v>1</x:v>
      </x:c>
      <x:c r="G4597" s="6" t="str"/>
      <x:c r="H4597" s="6" t="str">
        <x:f>IF(B4597="平","平",IF(B4597="","","仄"))</x:f>
        <x:v>仄</x:v>
      </x:c>
      <x:c r="I4597" s="6" t="str">
        <x:f>IF(D4580="","",IF(AND(ISNUMBER(SEARCH("平",D4580)),OR(ISNUMBER(SEARCH("上",D4580)),ISNUMBER(SEARCH("去",D4580)),ISNUMBER(SEARCH("入",D4580)))),"Ambiguous",IF(ISNUMBER(SEARCH("平",D4580)),"平","仄")))</x:f>
        <x:v>仄</x:v>
      </x:c>
      <x:c r="J4597" s="7" t="str"/>
    </x:row>
    <x:row r="4598">
      <x:c r="A4598" s="5" t="str">
        <x:v>駭</x:v>
      </x:c>
      <x:c r="B4598" s="6" t="str">
        <x:v>上</x:v>
      </x:c>
      <x:c r="C4598" s="6" t="str">
        <x:f>IF(B4598="","Needs decision","Ready")</x:f>
        <x:v>Ready</x:v>
      </x:c>
      <x:c r="D4598" s="6" t="str">
        <x:v>上</x:v>
      </x:c>
      <x:c r="E4598" s="6" t="str">
        <x:v>heajX (B)</x:v>
      </x:c>
      <x:c r="F4598" s="6" t="str">
        <x:v>1</x:v>
      </x:c>
      <x:c r="G4598" s="6" t="str"/>
      <x:c r="H4598" s="6" t="str">
        <x:f>IF(B4598="平","平",IF(B4598="","","仄"))</x:f>
        <x:v>仄</x:v>
      </x:c>
      <x:c r="I4598" s="6" t="str">
        <x:f>IF(D4581="","",IF(AND(ISNUMBER(SEARCH("平",D4581)),OR(ISNUMBER(SEARCH("上",D4581)),ISNUMBER(SEARCH("去",D4581)),ISNUMBER(SEARCH("入",D4581)))),"Ambiguous",IF(ISNUMBER(SEARCH("平",D4581)),"平","仄")))</x:f>
        <x:v>平</x:v>
      </x:c>
      <x:c r="J4598" s="7" t="str"/>
    </x:row>
    <x:row r="4599">
      <x:c r="A4599" s="5" t="str">
        <x:v>駰</x:v>
      </x:c>
      <x:c r="B4599" s="6" t="str">
        <x:v>平</x:v>
      </x:c>
      <x:c r="C4599" s="6" t="str">
        <x:f>IF(B4599="","Needs decision","Ready")</x:f>
        <x:v>Ready</x:v>
      </x:c>
      <x:c r="D4599" s="6" t="str">
        <x:v>平</x:v>
      </x:c>
      <x:c r="E4599" s="6" t="str">
        <x:v>'in (A)</x:v>
      </x:c>
      <x:c r="F4599" s="6" t="str">
        <x:v>1</x:v>
      </x:c>
      <x:c r="G4599" s="6" t="str"/>
      <x:c r="H4599" s="6" t="str">
        <x:f>IF(B4599="平","平",IF(B4599="","","仄"))</x:f>
        <x:v>平</x:v>
      </x:c>
      <x:c r="I4599" s="6" t="str">
        <x:f>IF(D4582="","",IF(AND(ISNUMBER(SEARCH("平",D4582)),OR(ISNUMBER(SEARCH("上",D4582)),ISNUMBER(SEARCH("去",D4582)),ISNUMBER(SEARCH("入",D4582)))),"Ambiguous",IF(ISNUMBER(SEARCH("平",D4582)),"平","仄")))</x:f>
        <x:v>仄</x:v>
      </x:c>
      <x:c r="J4599" s="7" t="str"/>
    </x:row>
    <x:row r="4600">
      <x:c r="A4600" s="5" t="str">
        <x:v>駱</x:v>
      </x:c>
      <x:c r="B4600" s="6" t="str">
        <x:v>入</x:v>
      </x:c>
      <x:c r="C4600" s="6" t="str">
        <x:f>IF(B4600="","Needs decision","Ready")</x:f>
        <x:v>Ready</x:v>
      </x:c>
      <x:c r="D4600" s="6" t="str">
        <x:v>入</x:v>
      </x:c>
      <x:c r="E4600" s="6" t="str">
        <x:v>lak (D)</x:v>
      </x:c>
      <x:c r="F4600" s="6" t="str">
        <x:v>1</x:v>
      </x:c>
      <x:c r="G4600" s="6" t="str"/>
      <x:c r="H4600" s="6" t="str">
        <x:f>IF(B4600="平","平",IF(B4600="","","仄"))</x:f>
        <x:v>仄</x:v>
      </x:c>
      <x:c r="I4600" s="6" t="str">
        <x:f>IF(D4583="","",IF(AND(ISNUMBER(SEARCH("平",D4583)),OR(ISNUMBER(SEARCH("上",D4583)),ISNUMBER(SEARCH("去",D4583)),ISNUMBER(SEARCH("入",D4583)))),"Ambiguous",IF(ISNUMBER(SEARCH("平",D4583)),"平","仄")))</x:f>
        <x:v>平</x:v>
      </x:c>
      <x:c r="J4600" s="7" t="str"/>
    </x:row>
    <x:row r="4601">
      <x:c r="A4601" s="5" t="str">
        <x:v>駸</x:v>
      </x:c>
      <x:c r="B4601" s="6" t="str">
        <x:v>平</x:v>
      </x:c>
      <x:c r="C4601" s="6" t="str">
        <x:f>IF(B4601="","Needs decision","Ready")</x:f>
        <x:v>Ready</x:v>
      </x:c>
      <x:c r="D4601" s="6" t="str">
        <x:v>平</x:v>
      </x:c>
      <x:c r="E4601" s="6" t="str">
        <x:v>tshim (A); tsrhim (A)</x:v>
      </x:c>
      <x:c r="F4601" s="6" t="str">
        <x:v>2</x:v>
      </x:c>
      <x:c r="G4601" s="6" t="str"/>
      <x:c r="H4601" s="6" t="str">
        <x:f>IF(B4601="平","平",IF(B4601="","","仄"))</x:f>
        <x:v>平</x:v>
      </x:c>
      <x:c r="I4601" s="6" t="str">
        <x:f>IF(D4584="","",IF(AND(ISNUMBER(SEARCH("平",D4584)),OR(ISNUMBER(SEARCH("上",D4584)),ISNUMBER(SEARCH("去",D4584)),ISNUMBER(SEARCH("入",D4584)))),"Ambiguous",IF(ISNUMBER(SEARCH("平",D4584)),"平","仄")))</x:f>
        <x:v>平</x:v>
      </x:c>
      <x:c r="J4601" s="7" t="str"/>
    </x:row>
    <x:row r="4602">
      <x:c r="A4602" s="5" t="str">
        <x:v>駹</x:v>
      </x:c>
      <x:c r="B4602" s="6" t="str">
        <x:v>平</x:v>
      </x:c>
      <x:c r="C4602" s="6" t="str">
        <x:f>IF(B4602="","Needs decision","Ready")</x:f>
        <x:v>Ready</x:v>
      </x:c>
      <x:c r="D4602" s="6" t="str">
        <x:v>平</x:v>
      </x:c>
      <x:c r="E4602" s="6" t="str">
        <x:v>maewng (A)</x:v>
      </x:c>
      <x:c r="F4602" s="6" t="str">
        <x:v>1</x:v>
      </x:c>
      <x:c r="G4602" s="6" t="str"/>
      <x:c r="H4602" s="6" t="str">
        <x:f>IF(B4602="平","平",IF(B4602="","","仄"))</x:f>
        <x:v>平</x:v>
      </x:c>
      <x:c r="I4602" s="6" t="str">
        <x:f>IF(D4585="","",IF(AND(ISNUMBER(SEARCH("平",D4585)),OR(ISNUMBER(SEARCH("上",D4585)),ISNUMBER(SEARCH("去",D4585)),ISNUMBER(SEARCH("入",D4585)))),"Ambiguous",IF(ISNUMBER(SEARCH("平",D4585)),"平","仄")))</x:f>
        <x:v>仄</x:v>
      </x:c>
      <x:c r="J4602" s="7" t="str"/>
    </x:row>
    <x:row r="4603">
      <x:c r="A4603" s="5" t="str">
        <x:v>駽</x:v>
      </x:c>
      <x:c r="B4603" s="6" t="str"/>
      <x:c r="C4603" s="6" t="str">
        <x:f>IF(B4603="","Needs decision","Ready")</x:f>
        <x:v>Needs decision</x:v>
      </x:c>
      <x:c r="D4603" s="6" t="str">
        <x:v>平/去</x:v>
      </x:c>
      <x:c r="E4603" s="6" t="str">
        <x:v>xwen (A); xwenH (C)</x:v>
      </x:c>
      <x:c r="F4603" s="6" t="str">
        <x:v>2</x:v>
      </x:c>
      <x:c r="G4603" s="6" t="str"/>
      <x:c r="H4603" s="6" t="str">
        <x:f>IF(B4603="平","平",IF(B4603="","","仄"))</x:f>
      </x:c>
      <x:c r="I4603" s="6" t="str">
        <x:f>IF(D4586="","",IF(AND(ISNUMBER(SEARCH("平",D4586)),OR(ISNUMBER(SEARCH("上",D4586)),ISNUMBER(SEARCH("去",D4586)),ISNUMBER(SEARCH("入",D4586)))),"Ambiguous",IF(ISNUMBER(SEARCH("平",D4586)),"平","仄")))</x:f>
        <x:v>仄</x:v>
      </x:c>
      <x:c r="J4603" s="7" t="str"/>
    </x:row>
    <x:row r="4604">
      <x:c r="A4604" s="5" t="str">
        <x:v>駿</x:v>
      </x:c>
      <x:c r="B4604" s="6" t="str">
        <x:v>去</x:v>
      </x:c>
      <x:c r="C4604" s="6" t="str">
        <x:f>IF(B4604="","Needs decision","Ready")</x:f>
        <x:v>Ready</x:v>
      </x:c>
      <x:c r="D4604" s="6" t="str">
        <x:v>去</x:v>
      </x:c>
      <x:c r="E4604" s="6" t="str">
        <x:v>tswinH (C)</x:v>
      </x:c>
      <x:c r="F4604" s="6" t="str">
        <x:v>1</x:v>
      </x:c>
      <x:c r="G4604" s="6" t="str"/>
      <x:c r="H4604" s="6" t="str">
        <x:f>IF(B4604="平","平",IF(B4604="","","仄"))</x:f>
        <x:v>仄</x:v>
      </x:c>
      <x:c r="I4604" s="6" t="str">
        <x:f>IF(D4587="","",IF(AND(ISNUMBER(SEARCH("平",D4587)),OR(ISNUMBER(SEARCH("上",D4587)),ISNUMBER(SEARCH("去",D4587)),ISNUMBER(SEARCH("入",D4587)))),"Ambiguous",IF(ISNUMBER(SEARCH("平",D4587)),"平","仄")))</x:f>
        <x:v>平</x:v>
      </x:c>
      <x:c r="J4604" s="7" t="str"/>
    </x:row>
    <x:row r="4605">
      <x:c r="A4605" s="5" t="str">
        <x:v>騁</x:v>
      </x:c>
      <x:c r="B4605" s="6" t="str">
        <x:v>上</x:v>
      </x:c>
      <x:c r="C4605" s="6" t="str">
        <x:f>IF(B4605="","Needs decision","Ready")</x:f>
        <x:v>Ready</x:v>
      </x:c>
      <x:c r="D4605" s="6" t="str">
        <x:v>上</x:v>
      </x:c>
      <x:c r="E4605" s="6" t="str">
        <x:v>trhjengX (B)</x:v>
      </x:c>
      <x:c r="F4605" s="6" t="str">
        <x:v>1</x:v>
      </x:c>
      <x:c r="G4605" s="6" t="str"/>
      <x:c r="H4605" s="6" t="str">
        <x:f>IF(B4605="平","平",IF(B4605="","","仄"))</x:f>
        <x:v>仄</x:v>
      </x:c>
      <x:c r="I4605" s="6" t="str">
        <x:f>IF(D4588="","",IF(AND(ISNUMBER(SEARCH("平",D4588)),OR(ISNUMBER(SEARCH("上",D4588)),ISNUMBER(SEARCH("去",D4588)),ISNUMBER(SEARCH("入",D4588)))),"Ambiguous",IF(ISNUMBER(SEARCH("平",D4588)),"平","仄")))</x:f>
        <x:v>平</x:v>
      </x:c>
      <x:c r="J4605" s="7" t="str"/>
    </x:row>
    <x:row r="4606">
      <x:c r="A4606" s="5" t="str">
        <x:v>騅</x:v>
      </x:c>
      <x:c r="B4606" s="6" t="str">
        <x:v>平</x:v>
      </x:c>
      <x:c r="C4606" s="6" t="str">
        <x:f>IF(B4606="","Needs decision","Ready")</x:f>
        <x:v>Ready</x:v>
      </x:c>
      <x:c r="D4606" s="6" t="str">
        <x:v>平</x:v>
      </x:c>
      <x:c r="E4606" s="6" t="str">
        <x:v>tsywij [tɕwi] (平)</x:v>
      </x:c>
      <x:c r="F4606" s="6" t="str">
        <x:v>1</x:v>
      </x:c>
      <x:c r="G4606" s="6" t="str">
        <x:v>Tang 300 gap; frequency 1; provisional from Xun Gong</x:v>
      </x:c>
      <x:c r="H4606" s="6" t="str">
        <x:f>IF(B4606="平","平",IF(B4606="","","仄"))</x:f>
        <x:v>平</x:v>
      </x:c>
      <x:c r="I4606" s="6" t="str">
        <x:f>IF(D4589="","",IF(AND(ISNUMBER(SEARCH("平",D4589)),OR(ISNUMBER(SEARCH("上",D4589)),ISNUMBER(SEARCH("去",D4589)),ISNUMBER(SEARCH("入",D4589)))),"Ambiguous",IF(ISNUMBER(SEARCH("平",D4589)),"平","仄")))</x:f>
        <x:v>平</x:v>
      </x:c>
      <x:c r="J4606" s="7" t="str">
        <x:v>Xun Gong, Tang 300 gap fill</x:v>
      </x:c>
    </x:row>
    <x:row r="4607">
      <x:c r="A4607" s="5" t="str">
        <x:v>騎</x:v>
      </x:c>
      <x:c r="B4607" s="6" t="str"/>
      <x:c r="C4607" s="6" t="str">
        <x:f>IF(B4607="","Needs decision","Ready")</x:f>
        <x:v>Needs decision</x:v>
      </x:c>
      <x:c r="D4607" s="6" t="str">
        <x:v>平/去</x:v>
      </x:c>
      <x:c r="E4607" s="6" t="str">
        <x:v>gje (A); gjeH (C)</x:v>
      </x:c>
      <x:c r="F4607" s="6" t="str">
        <x:v>2</x:v>
      </x:c>
      <x:c r="G4607" s="6" t="str"/>
      <x:c r="H4607" s="6" t="str">
        <x:f>IF(B4607="平","平",IF(B4607="","","仄"))</x:f>
      </x:c>
      <x:c r="I4607" s="6" t="str">
        <x:f>IF(D4590="","",IF(AND(ISNUMBER(SEARCH("平",D4590)),OR(ISNUMBER(SEARCH("上",D4590)),ISNUMBER(SEARCH("去",D4590)),ISNUMBER(SEARCH("入",D4590)))),"Ambiguous",IF(ISNUMBER(SEARCH("平",D4590)),"平","仄")))</x:f>
        <x:v>仄</x:v>
      </x:c>
      <x:c r="J4607" s="7" t="str"/>
    </x:row>
    <x:row r="4608">
      <x:c r="A4608" s="5" t="str">
        <x:v>騏</x:v>
      </x:c>
      <x:c r="B4608" s="6" t="str">
        <x:v>平</x:v>
      </x:c>
      <x:c r="C4608" s="6" t="str">
        <x:f>IF(B4608="","Needs decision","Ready")</x:f>
        <x:v>Ready</x:v>
      </x:c>
      <x:c r="D4608" s="6" t="str">
        <x:v>平</x:v>
      </x:c>
      <x:c r="E4608" s="6" t="str">
        <x:v>gi (A)</x:v>
      </x:c>
      <x:c r="F4608" s="6" t="str">
        <x:v>1</x:v>
      </x:c>
      <x:c r="G4608" s="6" t="str"/>
      <x:c r="H4608" s="6" t="str">
        <x:f>IF(B4608="平","平",IF(B4608="","","仄"))</x:f>
        <x:v>平</x:v>
      </x:c>
      <x:c r="I4608" s="6" t="str">
        <x:f>IF(D4591="","",IF(AND(ISNUMBER(SEARCH("平",D4591)),OR(ISNUMBER(SEARCH("上",D4591)),ISNUMBER(SEARCH("去",D4591)),ISNUMBER(SEARCH("入",D4591)))),"Ambiguous",IF(ISNUMBER(SEARCH("平",D4591)),"平","仄")))</x:f>
        <x:v>仄</x:v>
      </x:c>
      <x:c r="J4608" s="7" t="str"/>
    </x:row>
    <x:row r="4609">
      <x:c r="A4609" s="5" t="str">
        <x:v>騖</x:v>
      </x:c>
      <x:c r="B4609" s="6" t="str">
        <x:v>去</x:v>
      </x:c>
      <x:c r="C4609" s="6" t="str">
        <x:f>IF(B4609="","Needs decision","Ready")</x:f>
        <x:v>Ready</x:v>
      </x:c>
      <x:c r="D4609" s="6" t="str">
        <x:v>去</x:v>
      </x:c>
      <x:c r="E4609" s="6" t="str">
        <x:v>mjuH [明三C虞去] mɨ̯oh</x:v>
      </x:c>
      <x:c r="F4609" s="6" t="str">
        <x:v>1</x:v>
      </x:c>
      <x:c r="G4609" s="6" t="str">
        <x:v>Targeted preliminary fill from Xun Gong; review if uncertain</x:v>
      </x:c>
      <x:c r="H4609" s="6" t="str">
        <x:f>IF(B4609="平","平",IF(B4609="","","仄"))</x:f>
        <x:v>仄</x:v>
      </x:c>
      <x:c r="I4609" s="6" t="str">
        <x:f>IF(D4592="","",IF(AND(ISNUMBER(SEARCH("平",D4592)),OR(ISNUMBER(SEARCH("上",D4592)),ISNUMBER(SEARCH("去",D4592)),ISNUMBER(SEARCH("入",D4592)))),"Ambiguous",IF(ISNUMBER(SEARCH("平",D4592)),"平","仄")))</x:f>
        <x:v>仄</x:v>
      </x:c>
      <x:c r="J4609" s="7" t="str">
        <x:v>Xun Gong character-readings.csv</x:v>
      </x:c>
    </x:row>
    <x:row r="4610">
      <x:c r="A4610" s="5" t="str">
        <x:v>騙</x:v>
      </x:c>
      <x:c r="B4610" s="6" t="str">
        <x:v>去</x:v>
      </x:c>
      <x:c r="C4610" s="6" t="str">
        <x:f>IF(B4610="","Needs decision","Ready")</x:f>
        <x:v>Ready</x:v>
      </x:c>
      <x:c r="D4610" s="6" t="str">
        <x:v>去</x:v>
      </x:c>
      <x:c r="E4610" s="6" t="str">
        <x:v>phjienH (C)</x:v>
      </x:c>
      <x:c r="F4610" s="6" t="str">
        <x:v>1</x:v>
      </x:c>
      <x:c r="G4610" s="6" t="str"/>
      <x:c r="H4610" s="6" t="str">
        <x:f>IF(B4610="平","平",IF(B4610="","","仄"))</x:f>
        <x:v>仄</x:v>
      </x:c>
      <x:c r="I4610" s="6" t="str">
        <x:f>IF(D4593="","",IF(AND(ISNUMBER(SEARCH("平",D4593)),OR(ISNUMBER(SEARCH("上",D4593)),ISNUMBER(SEARCH("去",D4593)),ISNUMBER(SEARCH("入",D4593)))),"Ambiguous",IF(ISNUMBER(SEARCH("平",D4593)),"平","仄")))</x:f>
        <x:v>平</x:v>
      </x:c>
      <x:c r="J4610" s="7" t="str"/>
    </x:row>
    <x:row r="4611">
      <x:c r="A4611" s="5" t="str">
        <x:v>騢</x:v>
      </x:c>
      <x:c r="B4611" s="6" t="str">
        <x:v>平</x:v>
      </x:c>
      <x:c r="C4611" s="6" t="str">
        <x:f>IF(B4611="","Needs decision","Ready")</x:f>
        <x:v>Ready</x:v>
      </x:c>
      <x:c r="D4611" s="6" t="str">
        <x:v>平</x:v>
      </x:c>
      <x:c r="E4611" s="6" t="str">
        <x:v>hae (A)</x:v>
      </x:c>
      <x:c r="F4611" s="6" t="str">
        <x:v>1</x:v>
      </x:c>
      <x:c r="G4611" s="6" t="str"/>
      <x:c r="H4611" s="6" t="str">
        <x:f>IF(B4611="平","平",IF(B4611="","","仄"))</x:f>
        <x:v>平</x:v>
      </x:c>
      <x:c r="I4611" s="6" t="str">
        <x:f>IF(D4594="","",IF(AND(ISNUMBER(SEARCH("平",D4594)),OR(ISNUMBER(SEARCH("上",D4594)),ISNUMBER(SEARCH("去",D4594)),ISNUMBER(SEARCH("入",D4594)))),"Ambiguous",IF(ISNUMBER(SEARCH("平",D4594)),"平","仄")))</x:f>
        <x:v>仄</x:v>
      </x:c>
      <x:c r="J4611" s="7" t="str"/>
    </x:row>
    <x:row r="4612">
      <x:c r="A4612" s="5" t="str">
        <x:v>騧</x:v>
      </x:c>
      <x:c r="B4612" s="6" t="str">
        <x:v>平</x:v>
      </x:c>
      <x:c r="C4612" s="6" t="str">
        <x:f>IF(B4612="","Needs decision","Ready")</x:f>
        <x:v>Ready</x:v>
      </x:c>
      <x:c r="D4612" s="6" t="str">
        <x:v>平</x:v>
      </x:c>
      <x:c r="E4612" s="6" t="str">
        <x:v>kwae (A)</x:v>
      </x:c>
      <x:c r="F4612" s="6" t="str">
        <x:v>1</x:v>
      </x:c>
      <x:c r="G4612" s="6" t="str"/>
      <x:c r="H4612" s="6" t="str">
        <x:f>IF(B4612="平","平",IF(B4612="","","仄"))</x:f>
        <x:v>平</x:v>
      </x:c>
      <x:c r="I4612" s="6" t="str">
        <x:f>IF(D4595="","",IF(AND(ISNUMBER(SEARCH("平",D4595)),OR(ISNUMBER(SEARCH("上",D4595)),ISNUMBER(SEARCH("去",D4595)),ISNUMBER(SEARCH("入",D4595)))),"Ambiguous",IF(ISNUMBER(SEARCH("平",D4595)),"平","仄")))</x:f>
        <x:v>平</x:v>
      </x:c>
      <x:c r="J4612" s="7" t="str"/>
    </x:row>
    <x:row r="4613">
      <x:c r="A4613" s="5" t="str">
        <x:v>騮</x:v>
      </x:c>
      <x:c r="B4613" s="6" t="str">
        <x:v>平</x:v>
      </x:c>
      <x:c r="C4613" s="6" t="str">
        <x:f>IF(B4613="","Needs decision","Ready")</x:f>
        <x:v>Ready</x:v>
      </x:c>
      <x:c r="D4613" s="6" t="str">
        <x:v>平</x:v>
      </x:c>
      <x:c r="E4613" s="6" t="str">
        <x:v>ljuw [lju] (平)</x:v>
      </x:c>
      <x:c r="F4613" s="6" t="str">
        <x:v>1</x:v>
      </x:c>
      <x:c r="G4613" s="6" t="str">
        <x:v>Tang 300 gap; frequency 2; provisional from Xun Gong</x:v>
      </x:c>
      <x:c r="H4613" s="6" t="str">
        <x:f>IF(B4613="平","平",IF(B4613="","","仄"))</x:f>
        <x:v>平</x:v>
      </x:c>
      <x:c r="I4613" s="6" t="str">
        <x:f>IF(D4596="","",IF(AND(ISNUMBER(SEARCH("平",D4596)),OR(ISNUMBER(SEARCH("上",D4596)),ISNUMBER(SEARCH("去",D4596)),ISNUMBER(SEARCH("入",D4596)))),"Ambiguous",IF(ISNUMBER(SEARCH("平",D4596)),"平","仄")))</x:f>
        <x:v>平</x:v>
      </x:c>
      <x:c r="J4613" s="7" t="str">
        <x:v>Xun Gong, Tang 300 gap fill</x:v>
      </x:c>
    </x:row>
    <x:row r="4614">
      <x:c r="A4614" s="5" t="str">
        <x:v>騰</x:v>
      </x:c>
      <x:c r="B4614" s="6" t="str">
        <x:v>平</x:v>
      </x:c>
      <x:c r="C4614" s="6" t="str">
        <x:f>IF(B4614="","Needs decision","Ready")</x:f>
        <x:v>Ready</x:v>
      </x:c>
      <x:c r="D4614" s="6" t="str">
        <x:v>平</x:v>
      </x:c>
      <x:c r="E4614" s="6" t="str">
        <x:v>dong (A)</x:v>
      </x:c>
      <x:c r="F4614" s="6" t="str">
        <x:v>1</x:v>
      </x:c>
      <x:c r="G4614" s="6" t="str"/>
      <x:c r="H4614" s="6" t="str">
        <x:f>IF(B4614="平","平",IF(B4614="","","仄"))</x:f>
        <x:v>平</x:v>
      </x:c>
      <x:c r="I4614" s="6" t="str">
        <x:f>IF(D4597="","",IF(AND(ISNUMBER(SEARCH("平",D4597)),OR(ISNUMBER(SEARCH("上",D4597)),ISNUMBER(SEARCH("去",D4597)),ISNUMBER(SEARCH("入",D4597)))),"Ambiguous",IF(ISNUMBER(SEARCH("平",D4597)),"平","仄")))</x:f>
        <x:v>仄</x:v>
      </x:c>
      <x:c r="J4614" s="7" t="str"/>
    </x:row>
    <x:row r="4615">
      <x:c r="A4615" s="5" t="str">
        <x:v>騱</x:v>
      </x:c>
      <x:c r="B4615" s="6" t="str">
        <x:v>平</x:v>
      </x:c>
      <x:c r="C4615" s="6" t="str">
        <x:f>IF(B4615="","Needs decision","Ready")</x:f>
        <x:v>Ready</x:v>
      </x:c>
      <x:c r="D4615" s="6" t="str">
        <x:v>平</x:v>
      </x:c>
      <x:c r="E4615" s="6" t="str">
        <x:v>hej (A)</x:v>
      </x:c>
      <x:c r="F4615" s="6" t="str">
        <x:v>1</x:v>
      </x:c>
      <x:c r="G4615" s="6" t="str"/>
      <x:c r="H4615" s="6" t="str">
        <x:f>IF(B4615="平","平",IF(B4615="","","仄"))</x:f>
        <x:v>平</x:v>
      </x:c>
      <x:c r="I4615" s="6" t="str">
        <x:f>IF(D4598="","",IF(AND(ISNUMBER(SEARCH("平",D4598)),OR(ISNUMBER(SEARCH("上",D4598)),ISNUMBER(SEARCH("去",D4598)),ISNUMBER(SEARCH("入",D4598)))),"Ambiguous",IF(ISNUMBER(SEARCH("平",D4598)),"平","仄")))</x:f>
        <x:v>仄</x:v>
      </x:c>
      <x:c r="J4615" s="7" t="str"/>
    </x:row>
    <x:row r="4616">
      <x:c r="A4616" s="5" t="str">
        <x:v>騶</x:v>
      </x:c>
      <x:c r="B4616" s="6" t="str"/>
      <x:c r="C4616" s="6" t="str">
        <x:f>IF(B4616="","Needs decision","Ready")</x:f>
        <x:v>Needs decision</x:v>
      </x:c>
      <x:c r="D4616" s="6" t="str">
        <x:v>去/平</x:v>
      </x:c>
      <x:c r="E4616" s="6" t="str">
        <x:v>dzrjuwH (C); tsrjuw (A)</x:v>
      </x:c>
      <x:c r="F4616" s="6" t="str">
        <x:v>2</x:v>
      </x:c>
      <x:c r="G4616" s="6" t="str"/>
      <x:c r="H4616" s="6" t="str">
        <x:f>IF(B4616="平","平",IF(B4616="","","仄"))</x:f>
      </x:c>
      <x:c r="I4616" s="6" t="str">
        <x:f>IF(D4599="","",IF(AND(ISNUMBER(SEARCH("平",D4599)),OR(ISNUMBER(SEARCH("上",D4599)),ISNUMBER(SEARCH("去",D4599)),ISNUMBER(SEARCH("入",D4599)))),"Ambiguous",IF(ISNUMBER(SEARCH("平",D4599)),"平","仄")))</x:f>
        <x:v>平</x:v>
      </x:c>
      <x:c r="J4616" s="7" t="str"/>
    </x:row>
    <x:row r="4617">
      <x:c r="A4617" s="5" t="str">
        <x:v>騷</x:v>
      </x:c>
      <x:c r="B4617" s="6" t="str">
        <x:v>平</x:v>
      </x:c>
      <x:c r="C4617" s="6" t="str">
        <x:f>IF(B4617="","Needs decision","Ready")</x:f>
        <x:v>Ready</x:v>
      </x:c>
      <x:c r="D4617" s="6" t="str">
        <x:v>平</x:v>
      </x:c>
      <x:c r="E4617" s="6" t="str">
        <x:v>saw (A)</x:v>
      </x:c>
      <x:c r="F4617" s="6" t="str">
        <x:v>1</x:v>
      </x:c>
      <x:c r="G4617" s="6" t="str"/>
      <x:c r="H4617" s="6" t="str">
        <x:f>IF(B4617="平","平",IF(B4617="","","仄"))</x:f>
        <x:v>平</x:v>
      </x:c>
      <x:c r="I4617" s="6" t="str">
        <x:f>IF(D4600="","",IF(AND(ISNUMBER(SEARCH("平",D4600)),OR(ISNUMBER(SEARCH("上",D4600)),ISNUMBER(SEARCH("去",D4600)),ISNUMBER(SEARCH("入",D4600)))),"Ambiguous",IF(ISNUMBER(SEARCH("平",D4600)),"平","仄")))</x:f>
        <x:v>仄</x:v>
      </x:c>
      <x:c r="J4617" s="7" t="str"/>
    </x:row>
    <x:row r="4618">
      <x:c r="A4618" s="5" t="str">
        <x:v>驂</x:v>
      </x:c>
      <x:c r="B4618" s="6" t="str">
        <x:v>平</x:v>
      </x:c>
      <x:c r="C4618" s="6" t="str">
        <x:f>IF(B4618="","Needs decision","Ready")</x:f>
        <x:v>Ready</x:v>
      </x:c>
      <x:c r="D4618" s="6" t="str">
        <x:v>平</x:v>
      </x:c>
      <x:c r="E4618" s="6" t="str">
        <x:v>tshom (A)</x:v>
      </x:c>
      <x:c r="F4618" s="6" t="str">
        <x:v>1</x:v>
      </x:c>
      <x:c r="G4618" s="6" t="str"/>
      <x:c r="H4618" s="6" t="str">
        <x:f>IF(B4618="平","平",IF(B4618="","","仄"))</x:f>
        <x:v>平</x:v>
      </x:c>
      <x:c r="I4618" s="6" t="str">
        <x:f>IF(D4601="","",IF(AND(ISNUMBER(SEARCH("平",D4601)),OR(ISNUMBER(SEARCH("上",D4601)),ISNUMBER(SEARCH("去",D4601)),ISNUMBER(SEARCH("入",D4601)))),"Ambiguous",IF(ISNUMBER(SEARCH("平",D4601)),"平","仄")))</x:f>
        <x:v>平</x:v>
      </x:c>
      <x:c r="J4618" s="7" t="str"/>
    </x:row>
    <x:row r="4619">
      <x:c r="A4619" s="5" t="str">
        <x:v>驄</x:v>
      </x:c>
      <x:c r="B4619" s="6" t="str">
        <x:v>平</x:v>
      </x:c>
      <x:c r="C4619" s="6" t="str">
        <x:f>IF(B4619="","Needs decision","Ready")</x:f>
        <x:v>Ready</x:v>
      </x:c>
      <x:c r="D4619" s="6" t="str">
        <x:v>平</x:v>
      </x:c>
      <x:c r="E4619" s="6" t="str">
        <x:v>tshuwng [t̙s̙ʰuŋ] (平)</x:v>
      </x:c>
      <x:c r="F4619" s="6" t="str">
        <x:v>1</x:v>
      </x:c>
      <x:c r="G4619" s="6" t="str">
        <x:v>Tang 300 gap; frequency 3; provisional from Xun Gong</x:v>
      </x:c>
      <x:c r="H4619" s="6" t="str">
        <x:f>IF(B4619="平","平",IF(B4619="","","仄"))</x:f>
        <x:v>平</x:v>
      </x:c>
      <x:c r="I4619" s="6" t="str">
        <x:f>IF(D4602="","",IF(AND(ISNUMBER(SEARCH("平",D4602)),OR(ISNUMBER(SEARCH("上",D4602)),ISNUMBER(SEARCH("去",D4602)),ISNUMBER(SEARCH("入",D4602)))),"Ambiguous",IF(ISNUMBER(SEARCH("平",D4602)),"平","仄")))</x:f>
        <x:v>平</x:v>
      </x:c>
      <x:c r="J4619" s="7" t="str">
        <x:v>Xun Gong, Tang 300 gap fill</x:v>
      </x:c>
    </x:row>
    <x:row r="4620">
      <x:c r="A4620" s="5" t="str">
        <x:v>驅</x:v>
      </x:c>
      <x:c r="B4620" s="6" t="str">
        <x:v>平</x:v>
      </x:c>
      <x:c r="C4620" s="6" t="str">
        <x:f>IF(B4620="","Needs decision","Ready")</x:f>
        <x:v>Ready</x:v>
      </x:c>
      <x:c r="D4620" s="6" t="str">
        <x:v>平</x:v>
      </x:c>
      <x:c r="E4620" s="6" t="str">
        <x:v>khju (A)</x:v>
      </x:c>
      <x:c r="F4620" s="6" t="str">
        <x:v>1</x:v>
      </x:c>
      <x:c r="G4620" s="6" t="str"/>
      <x:c r="H4620" s="6" t="str">
        <x:f>IF(B4620="平","平",IF(B4620="","","仄"))</x:f>
        <x:v>平</x:v>
      </x:c>
      <x:c r="I4620" s="6" t="str">
        <x:f>IF(D4603="","",IF(AND(ISNUMBER(SEARCH("平",D4603)),OR(ISNUMBER(SEARCH("上",D4603)),ISNUMBER(SEARCH("去",D4603)),ISNUMBER(SEARCH("入",D4603)))),"Ambiguous",IF(ISNUMBER(SEARCH("平",D4603)),"平","仄")))</x:f>
        <x:v>Ambiguous</x:v>
      </x:c>
      <x:c r="J4620" s="7" t="str"/>
    </x:row>
    <x:row r="4621">
      <x:c r="A4621" s="5" t="str">
        <x:v>驊</x:v>
      </x:c>
      <x:c r="B4621" s="6" t="str">
        <x:v>平</x:v>
      </x:c>
      <x:c r="C4621" s="6" t="str">
        <x:f>IF(B4621="","Needs decision","Ready")</x:f>
        <x:v>Ready</x:v>
      </x:c>
      <x:c r="D4621" s="6" t="str">
        <x:v>平</x:v>
      </x:c>
      <x:c r="E4621" s="6" t="str">
        <x:v>hwae [ʁwaˤ] (平)</x:v>
      </x:c>
      <x:c r="F4621" s="6" t="str">
        <x:v>1</x:v>
      </x:c>
      <x:c r="G4621" s="6" t="str">
        <x:v>Tang 300 gap; frequency 1; provisional from Xun Gong</x:v>
      </x:c>
      <x:c r="H4621" s="6" t="str">
        <x:f>IF(B4621="平","平",IF(B4621="","","仄"))</x:f>
        <x:v>平</x:v>
      </x:c>
      <x:c r="I4621" s="6" t="str">
        <x:f>IF(D4604="","",IF(AND(ISNUMBER(SEARCH("平",D4604)),OR(ISNUMBER(SEARCH("上",D4604)),ISNUMBER(SEARCH("去",D4604)),ISNUMBER(SEARCH("入",D4604)))),"Ambiguous",IF(ISNUMBER(SEARCH("平",D4604)),"平","仄")))</x:f>
        <x:v>仄</x:v>
      </x:c>
      <x:c r="J4621" s="7" t="str">
        <x:v>Xun Gong, Tang 300 gap fill</x:v>
      </x:c>
    </x:row>
    <x:row r="4622">
      <x:c r="A4622" s="5" t="str">
        <x:v>驒</x:v>
      </x:c>
      <x:c r="B4622" s="6" t="str">
        <x:v>平</x:v>
      </x:c>
      <x:c r="C4622" s="6" t="str">
        <x:f>IF(B4622="","Needs decision","Ready")</x:f>
        <x:v>Ready</x:v>
      </x:c>
      <x:c r="D4622" s="6" t="str">
        <x:v>平</x:v>
      </x:c>
      <x:c r="E4622" s="6" t="str">
        <x:v>da (A); ten (A)</x:v>
      </x:c>
      <x:c r="F4622" s="6" t="str">
        <x:v>2</x:v>
      </x:c>
      <x:c r="G4622" s="6" t="str"/>
      <x:c r="H4622" s="6" t="str">
        <x:f>IF(B4622="平","平",IF(B4622="","","仄"))</x:f>
        <x:v>平</x:v>
      </x:c>
      <x:c r="I4622" s="6" t="str">
        <x:f>IF(D4605="","",IF(AND(ISNUMBER(SEARCH("平",D4605)),OR(ISNUMBER(SEARCH("上",D4605)),ISNUMBER(SEARCH("去",D4605)),ISNUMBER(SEARCH("入",D4605)))),"Ambiguous",IF(ISNUMBER(SEARCH("平",D4605)),"平","仄")))</x:f>
        <x:v>仄</x:v>
      </x:c>
      <x:c r="J4622" s="7" t="str"/>
    </x:row>
    <x:row r="4623">
      <x:c r="A4623" s="5" t="str">
        <x:v>驔</x:v>
      </x:c>
      <x:c r="B4623" s="6" t="str">
        <x:v>上</x:v>
      </x:c>
      <x:c r="C4623" s="6" t="str">
        <x:f>IF(B4623="","Needs decision","Ready")</x:f>
        <x:v>Ready</x:v>
      </x:c>
      <x:c r="D4623" s="6" t="str">
        <x:v>上</x:v>
      </x:c>
      <x:c r="E4623" s="6" t="str">
        <x:v>demX (B)</x:v>
      </x:c>
      <x:c r="F4623" s="6" t="str">
        <x:v>1</x:v>
      </x:c>
      <x:c r="G4623" s="6" t="str"/>
      <x:c r="H4623" s="6" t="str">
        <x:f>IF(B4623="平","平",IF(B4623="","","仄"))</x:f>
        <x:v>仄</x:v>
      </x:c>
      <x:c r="I4623" s="6" t="str">
        <x:f>IF(D4606="","",IF(AND(ISNUMBER(SEARCH("平",D4606)),OR(ISNUMBER(SEARCH("上",D4606)),ISNUMBER(SEARCH("去",D4606)),ISNUMBER(SEARCH("入",D4606)))),"Ambiguous",IF(ISNUMBER(SEARCH("平",D4606)),"平","仄")))</x:f>
        <x:v>平</x:v>
      </x:c>
      <x:c r="J4623" s="7" t="str"/>
    </x:row>
    <x:row r="4624">
      <x:c r="A4624" s="5" t="str">
        <x:v>驕</x:v>
      </x:c>
      <x:c r="B4624" s="6" t="str">
        <x:v>平</x:v>
      </x:c>
      <x:c r="C4624" s="6" t="str">
        <x:f>IF(B4624="","Needs decision","Ready")</x:f>
        <x:v>Ready</x:v>
      </x:c>
      <x:c r="D4624" s="6" t="str">
        <x:v>平</x:v>
      </x:c>
      <x:c r="E4624" s="6" t="str">
        <x:v>kjew [kɨ̯ew] (平)</x:v>
      </x:c>
      <x:c r="F4624" s="6" t="str">
        <x:v>1</x:v>
      </x:c>
      <x:c r="G4624" s="6" t="str">
        <x:v>Tang 300 gap; frequency 2; provisional from Xun Gong</x:v>
      </x:c>
      <x:c r="H4624" s="6" t="str">
        <x:f>IF(B4624="平","平",IF(B4624="","","仄"))</x:f>
        <x:v>平</x:v>
      </x:c>
      <x:c r="I4624" s="6" t="str">
        <x:f>IF(D4607="","",IF(AND(ISNUMBER(SEARCH("平",D4607)),OR(ISNUMBER(SEARCH("上",D4607)),ISNUMBER(SEARCH("去",D4607)),ISNUMBER(SEARCH("入",D4607)))),"Ambiguous",IF(ISNUMBER(SEARCH("平",D4607)),"平","仄")))</x:f>
        <x:v>Ambiguous</x:v>
      </x:c>
      <x:c r="J4624" s="7" t="str">
        <x:v>Xun Gong, Tang 300 gap fill</x:v>
      </x:c>
    </x:row>
    <x:row r="4625">
      <x:c r="A4625" s="5" t="str">
        <x:v>驗</x:v>
      </x:c>
      <x:c r="B4625" s="6" t="str">
        <x:v>去</x:v>
      </x:c>
      <x:c r="C4625" s="6" t="str">
        <x:f>IF(B4625="","Needs decision","Ready")</x:f>
        <x:v>Ready</x:v>
      </x:c>
      <x:c r="D4625" s="6" t="str">
        <x:v>去</x:v>
      </x:c>
      <x:c r="E4625" s="6" t="str">
        <x:v>ngjemH (C)</x:v>
      </x:c>
      <x:c r="F4625" s="6" t="str">
        <x:v>1</x:v>
      </x:c>
      <x:c r="G4625" s="6" t="str"/>
      <x:c r="H4625" s="6" t="str">
        <x:f>IF(B4625="平","平",IF(B4625="","","仄"))</x:f>
        <x:v>仄</x:v>
      </x:c>
      <x:c r="I4625" s="6" t="str">
        <x:f>IF(D4608="","",IF(AND(ISNUMBER(SEARCH("平",D4608)),OR(ISNUMBER(SEARCH("上",D4608)),ISNUMBER(SEARCH("去",D4608)),ISNUMBER(SEARCH("入",D4608)))),"Ambiguous",IF(ISNUMBER(SEARCH("平",D4608)),"平","仄")))</x:f>
        <x:v>平</x:v>
      </x:c>
      <x:c r="J4625" s="7" t="str"/>
    </x:row>
    <x:row r="4626">
      <x:c r="A4626" s="5" t="str">
        <x:v>驚</x:v>
      </x:c>
      <x:c r="B4626" s="6" t="str">
        <x:v>平</x:v>
      </x:c>
      <x:c r="C4626" s="6" t="str">
        <x:f>IF(B4626="","Needs decision","Ready")</x:f>
        <x:v>Ready</x:v>
      </x:c>
      <x:c r="D4626" s="6" t="str">
        <x:v>平</x:v>
      </x:c>
      <x:c r="E4626" s="6" t="str">
        <x:v>kjaeng (A)</x:v>
      </x:c>
      <x:c r="F4626" s="6" t="str">
        <x:v>1</x:v>
      </x:c>
      <x:c r="G4626" s="6" t="str"/>
      <x:c r="H4626" s="6" t="str">
        <x:f>IF(B4626="平","平",IF(B4626="","","仄"))</x:f>
        <x:v>平</x:v>
      </x:c>
      <x:c r="I4626" s="6" t="str">
        <x:f>IF(D4609="","",IF(AND(ISNUMBER(SEARCH("平",D4609)),OR(ISNUMBER(SEARCH("上",D4609)),ISNUMBER(SEARCH("去",D4609)),ISNUMBER(SEARCH("入",D4609)))),"Ambiguous",IF(ISNUMBER(SEARCH("平",D4609)),"平","仄")))</x:f>
        <x:v>仄</x:v>
      </x:c>
      <x:c r="J4626" s="7" t="str"/>
    </x:row>
    <x:row r="4627">
      <x:c r="A4627" s="5" t="str">
        <x:v>驛</x:v>
      </x:c>
      <x:c r="B4627" s="6" t="str">
        <x:v>入</x:v>
      </x:c>
      <x:c r="C4627" s="6" t="str">
        <x:f>IF(B4627="","Needs decision","Ready")</x:f>
        <x:v>Ready</x:v>
      </x:c>
      <x:c r="D4627" s="6" t="str">
        <x:v>入</x:v>
      </x:c>
      <x:c r="E4627" s="6" t="str">
        <x:v>yek (D)</x:v>
      </x:c>
      <x:c r="F4627" s="6" t="str">
        <x:v>1</x:v>
      </x:c>
      <x:c r="G4627" s="6" t="str"/>
      <x:c r="H4627" s="6" t="str">
        <x:f>IF(B4627="平","平",IF(B4627="","","仄"))</x:f>
        <x:v>仄</x:v>
      </x:c>
      <x:c r="I4627" s="6" t="str">
        <x:f>IF(D4610="","",IF(AND(ISNUMBER(SEARCH("平",D4610)),OR(ISNUMBER(SEARCH("上",D4610)),ISNUMBER(SEARCH("去",D4610)),ISNUMBER(SEARCH("入",D4610)))),"Ambiguous",IF(ISNUMBER(SEARCH("平",D4610)),"平","仄")))</x:f>
        <x:v>仄</x:v>
      </x:c>
      <x:c r="J4627" s="7" t="str"/>
    </x:row>
    <x:row r="4628">
      <x:c r="A4628" s="5" t="str">
        <x:v>驟</x:v>
      </x:c>
      <x:c r="B4628" s="6" t="str">
        <x:v>去</x:v>
      </x:c>
      <x:c r="C4628" s="6" t="str">
        <x:f>IF(B4628="","Needs decision","Ready")</x:f>
        <x:v>Ready</x:v>
      </x:c>
      <x:c r="D4628" s="6" t="str">
        <x:v>去</x:v>
      </x:c>
      <x:c r="E4628" s="6" t="str">
        <x:v>dzrjuwH (C)</x:v>
      </x:c>
      <x:c r="F4628" s="6" t="str">
        <x:v>1</x:v>
      </x:c>
      <x:c r="G4628" s="6" t="str"/>
      <x:c r="H4628" s="6" t="str">
        <x:f>IF(B4628="平","平",IF(B4628="","","仄"))</x:f>
        <x:v>仄</x:v>
      </x:c>
      <x:c r="I4628" s="6" t="str">
        <x:f>IF(D4611="","",IF(AND(ISNUMBER(SEARCH("平",D4611)),OR(ISNUMBER(SEARCH("上",D4611)),ISNUMBER(SEARCH("去",D4611)),ISNUMBER(SEARCH("入",D4611)))),"Ambiguous",IF(ISNUMBER(SEARCH("平",D4611)),"平","仄")))</x:f>
        <x:v>平</x:v>
      </x:c>
      <x:c r="J4628" s="7" t="str"/>
    </x:row>
    <x:row r="4629">
      <x:c r="A4629" s="5" t="str">
        <x:v>驤</x:v>
      </x:c>
      <x:c r="B4629" s="6" t="str">
        <x:v>平</x:v>
      </x:c>
      <x:c r="C4629" s="6" t="str">
        <x:f>IF(B4629="","Needs decision","Ready")</x:f>
        <x:v>Ready</x:v>
      </x:c>
      <x:c r="D4629" s="6" t="str">
        <x:v>平</x:v>
      </x:c>
      <x:c r="E4629" s="6" t="str">
        <x:v>sjang [sjɑŋ] (平)</x:v>
      </x:c>
      <x:c r="F4629" s="6" t="str">
        <x:v>1</x:v>
      </x:c>
      <x:c r="G4629" s="6" t="str">
        <x:v>Tang 300 gap; frequency 1; provisional from Xun Gong</x:v>
      </x:c>
      <x:c r="H4629" s="6" t="str">
        <x:f>IF(B4629="平","平",IF(B4629="","","仄"))</x:f>
        <x:v>平</x:v>
      </x:c>
      <x:c r="I4629" s="6" t="str">
        <x:f>IF(D4612="","",IF(AND(ISNUMBER(SEARCH("平",D4612)),OR(ISNUMBER(SEARCH("上",D4612)),ISNUMBER(SEARCH("去",D4612)),ISNUMBER(SEARCH("入",D4612)))),"Ambiguous",IF(ISNUMBER(SEARCH("平",D4612)),"平","仄")))</x:f>
        <x:v>平</x:v>
      </x:c>
      <x:c r="J4629" s="7" t="str">
        <x:v>Xun Gong, Tang 300 gap fill</x:v>
      </x:c>
    </x:row>
    <x:row r="4630">
      <x:c r="A4630" s="5" t="str">
        <x:v>驥</x:v>
      </x:c>
      <x:c r="B4630" s="6" t="str">
        <x:v>去</x:v>
      </x:c>
      <x:c r="C4630" s="6" t="str">
        <x:f>IF(B4630="","Needs decision","Ready")</x:f>
        <x:v>Ready</x:v>
      </x:c>
      <x:c r="D4630" s="6" t="str">
        <x:v>去</x:v>
      </x:c>
      <x:c r="E4630" s="6" t="str"/>
      <x:c r="F4630" s="6" t="str"/>
      <x:c r="G4630" s="6" t="str">
        <x:v>Manual user correction/addition</x:v>
      </x:c>
      <x:c r="H4630" s="6" t="str">
        <x:f>IF(B4630="平","平",IF(B4630="","","仄"))</x:f>
        <x:v>仄</x:v>
      </x:c>
      <x:c r="I4630" s="6" t="str">
        <x:f>IF(D4613="","",IF(AND(ISNUMBER(SEARCH("平",D4613)),OR(ISNUMBER(SEARCH("上",D4613)),ISNUMBER(SEARCH("去",D4613)),ISNUMBER(SEARCH("入",D4613)))),"Ambiguous",IF(ISNUMBER(SEARCH("平",D4613)),"平","仄")))</x:f>
        <x:v>平</x:v>
      </x:c>
      <x:c r="J4630" s="7" t="str">
        <x:v>manual user correction</x:v>
      </x:c>
    </x:row>
    <x:row r="4631">
      <x:c r="A4631" s="5" t="str">
        <x:v>驩</x:v>
      </x:c>
      <x:c r="B4631" s="6" t="str">
        <x:v>平</x:v>
      </x:c>
      <x:c r="C4631" s="6" t="str">
        <x:f>IF(B4631="","Needs decision","Ready")</x:f>
        <x:v>Ready</x:v>
      </x:c>
      <x:c r="D4631" s="6" t="str">
        <x:v>平</x:v>
      </x:c>
      <x:c r="E4631" s="6" t="str">
        <x:v>xwan (A)</x:v>
      </x:c>
      <x:c r="F4631" s="6" t="str">
        <x:v>1</x:v>
      </x:c>
      <x:c r="G4631" s="6" t="str"/>
      <x:c r="H4631" s="6" t="str">
        <x:f>IF(B4631="平","平",IF(B4631="","","仄"))</x:f>
        <x:v>平</x:v>
      </x:c>
      <x:c r="I4631" s="6" t="str">
        <x:f>IF(D4614="","",IF(AND(ISNUMBER(SEARCH("平",D4614)),OR(ISNUMBER(SEARCH("上",D4614)),ISNUMBER(SEARCH("去",D4614)),ISNUMBER(SEARCH("入",D4614)))),"Ambiguous",IF(ISNUMBER(SEARCH("平",D4614)),"平","仄")))</x:f>
        <x:v>平</x:v>
      </x:c>
      <x:c r="J4631" s="7" t="str"/>
    </x:row>
    <x:row r="4632">
      <x:c r="A4632" s="5" t="str">
        <x:v>驪</x:v>
      </x:c>
      <x:c r="B4632" s="6" t="str">
        <x:v>平</x:v>
      </x:c>
      <x:c r="C4632" s="6" t="str">
        <x:f>IF(B4632="","Needs decision","Ready")</x:f>
        <x:v>Ready</x:v>
      </x:c>
      <x:c r="D4632" s="6" t="str">
        <x:v>平</x:v>
      </x:c>
      <x:c r="E4632" s="6" t="str">
        <x:v>lej [l̙ej] (平); lje [lie] (平)</x:v>
      </x:c>
      <x:c r="F4632" s="6" t="str">
        <x:v>2</x:v>
      </x:c>
      <x:c r="G4632" s="6" t="str">
        <x:v>Tang 300 gap; frequency 1; provisional from Xun Gong</x:v>
      </x:c>
      <x:c r="H4632" s="6" t="str">
        <x:f>IF(B4632="平","平",IF(B4632="","","仄"))</x:f>
        <x:v>平</x:v>
      </x:c>
      <x:c r="I4632" s="6" t="str">
        <x:f>IF(D4615="","",IF(AND(ISNUMBER(SEARCH("平",D4615)),OR(ISNUMBER(SEARCH("上",D4615)),ISNUMBER(SEARCH("去",D4615)),ISNUMBER(SEARCH("入",D4615)))),"Ambiguous",IF(ISNUMBER(SEARCH("平",D4615)),"平","仄")))</x:f>
        <x:v>平</x:v>
      </x:c>
      <x:c r="J4632" s="7" t="str">
        <x:v>Xun Gong, Tang 300 gap fill</x:v>
      </x:c>
    </x:row>
    <x:row r="4633">
      <x:c r="A4633" s="5" t="str">
        <x:v>骨</x:v>
      </x:c>
      <x:c r="B4633" s="6" t="str">
        <x:v>入</x:v>
      </x:c>
      <x:c r="C4633" s="6" t="str">
        <x:f>IF(B4633="","Needs decision","Ready")</x:f>
        <x:v>Ready</x:v>
      </x:c>
      <x:c r="D4633" s="6" t="str">
        <x:v>入</x:v>
      </x:c>
      <x:c r="E4633" s="6" t="str">
        <x:v>kwot (D)</x:v>
      </x:c>
      <x:c r="F4633" s="6" t="str">
        <x:v>1</x:v>
      </x:c>
      <x:c r="G4633" s="6" t="str"/>
      <x:c r="H4633" s="6" t="str">
        <x:f>IF(B4633="平","平",IF(B4633="","","仄"))</x:f>
        <x:v>仄</x:v>
      </x:c>
      <x:c r="I4633" s="6" t="str">
        <x:f>IF(D4616="","",IF(AND(ISNUMBER(SEARCH("平",D4616)),OR(ISNUMBER(SEARCH("上",D4616)),ISNUMBER(SEARCH("去",D4616)),ISNUMBER(SEARCH("入",D4616)))),"Ambiguous",IF(ISNUMBER(SEARCH("平",D4616)),"平","仄")))</x:f>
        <x:v>Ambiguous</x:v>
      </x:c>
      <x:c r="J4633" s="7" t="str"/>
    </x:row>
    <x:row r="4634">
      <x:c r="A4634" s="5" t="str">
        <x:v>骫</x:v>
      </x:c>
      <x:c r="B4634" s="6" t="str">
        <x:v>上</x:v>
      </x:c>
      <x:c r="C4634" s="6" t="str">
        <x:f>IF(B4634="","Needs decision","Ready")</x:f>
        <x:v>Ready</x:v>
      </x:c>
      <x:c r="D4634" s="6" t="str">
        <x:v>上</x:v>
      </x:c>
      <x:c r="E4634" s="6" t="str">
        <x:v>'jweX (B)</x:v>
      </x:c>
      <x:c r="F4634" s="6" t="str">
        <x:v>1</x:v>
      </x:c>
      <x:c r="G4634" s="6" t="str"/>
      <x:c r="H4634" s="6" t="str">
        <x:f>IF(B4634="平","平",IF(B4634="","","仄"))</x:f>
        <x:v>仄</x:v>
      </x:c>
      <x:c r="I4634" s="6" t="str">
        <x:f>IF(D4617="","",IF(AND(ISNUMBER(SEARCH("平",D4617)),OR(ISNUMBER(SEARCH("上",D4617)),ISNUMBER(SEARCH("去",D4617)),ISNUMBER(SEARCH("入",D4617)))),"Ambiguous",IF(ISNUMBER(SEARCH("平",D4617)),"平","仄")))</x:f>
        <x:v>平</x:v>
      </x:c>
      <x:c r="J4634" s="7" t="str"/>
    </x:row>
    <x:row r="4635">
      <x:c r="A4635" s="5" t="str">
        <x:v>骸</x:v>
      </x:c>
      <x:c r="B4635" s="6" t="str">
        <x:v>平</x:v>
      </x:c>
      <x:c r="C4635" s="6" t="str">
        <x:f>IF(B4635="","Needs decision","Ready")</x:f>
        <x:v>Ready</x:v>
      </x:c>
      <x:c r="D4635" s="6" t="str">
        <x:v>平</x:v>
      </x:c>
      <x:c r="E4635" s="6" t="str">
        <x:v>heaj (A)</x:v>
      </x:c>
      <x:c r="F4635" s="6" t="str">
        <x:v>1</x:v>
      </x:c>
      <x:c r="G4635" s="6" t="str"/>
      <x:c r="H4635" s="6" t="str">
        <x:f>IF(B4635="平","平",IF(B4635="","","仄"))</x:f>
        <x:v>平</x:v>
      </x:c>
      <x:c r="I4635" s="6" t="str">
        <x:f>IF(D4618="","",IF(AND(ISNUMBER(SEARCH("平",D4618)),OR(ISNUMBER(SEARCH("上",D4618)),ISNUMBER(SEARCH("去",D4618)),ISNUMBER(SEARCH("入",D4618)))),"Ambiguous",IF(ISNUMBER(SEARCH("平",D4618)),"平","仄")))</x:f>
        <x:v>平</x:v>
      </x:c>
      <x:c r="J4635" s="7" t="str"/>
    </x:row>
    <x:row r="4636">
      <x:c r="A4636" s="5" t="str">
        <x:v>骹</x:v>
      </x:c>
      <x:c r="B4636" s="6" t="str">
        <x:v>平</x:v>
      </x:c>
      <x:c r="C4636" s="6" t="str">
        <x:f>IF(B4636="","Needs decision","Ready")</x:f>
        <x:v>Ready</x:v>
      </x:c>
      <x:c r="D4636" s="6" t="str">
        <x:v>平</x:v>
      </x:c>
      <x:c r="E4636" s="6" t="str">
        <x:v>khaew (A)</x:v>
      </x:c>
      <x:c r="F4636" s="6" t="str">
        <x:v>1</x:v>
      </x:c>
      <x:c r="G4636" s="6" t="str"/>
      <x:c r="H4636" s="6" t="str">
        <x:f>IF(B4636="平","平",IF(B4636="","","仄"))</x:f>
        <x:v>平</x:v>
      </x:c>
      <x:c r="I4636" s="6" t="str">
        <x:f>IF(D4619="","",IF(AND(ISNUMBER(SEARCH("平",D4619)),OR(ISNUMBER(SEARCH("上",D4619)),ISNUMBER(SEARCH("去",D4619)),ISNUMBER(SEARCH("入",D4619)))),"Ambiguous",IF(ISNUMBER(SEARCH("平",D4619)),"平","仄")))</x:f>
        <x:v>平</x:v>
      </x:c>
      <x:c r="J4636" s="7" t="str"/>
    </x:row>
    <x:row r="4637">
      <x:c r="A4637" s="5" t="str">
        <x:v>髀</x:v>
      </x:c>
      <x:c r="B4637" s="6" t="str">
        <x:v>上</x:v>
      </x:c>
      <x:c r="C4637" s="6" t="str">
        <x:f>IF(B4637="","Needs decision","Ready")</x:f>
        <x:v>Ready</x:v>
      </x:c>
      <x:c r="D4637" s="6" t="str">
        <x:v>上</x:v>
      </x:c>
      <x:c r="E4637" s="6" t="str">
        <x:v>bejX (B); pjieX (B)</x:v>
      </x:c>
      <x:c r="F4637" s="6" t="str">
        <x:v>2</x:v>
      </x:c>
      <x:c r="G4637" s="6" t="str"/>
      <x:c r="H4637" s="6" t="str">
        <x:f>IF(B4637="平","平",IF(B4637="","","仄"))</x:f>
        <x:v>仄</x:v>
      </x:c>
      <x:c r="I4637" s="6" t="str">
        <x:f>IF(D4620="","",IF(AND(ISNUMBER(SEARCH("平",D4620)),OR(ISNUMBER(SEARCH("上",D4620)),ISNUMBER(SEARCH("去",D4620)),ISNUMBER(SEARCH("入",D4620)))),"Ambiguous",IF(ISNUMBER(SEARCH("平",D4620)),"平","仄")))</x:f>
        <x:v>平</x:v>
      </x:c>
      <x:c r="J4637" s="7" t="str"/>
    </x:row>
    <x:row r="4638">
      <x:c r="A4638" s="5" t="str">
        <x:v>髓</x:v>
      </x:c>
      <x:c r="B4638" s="6" t="str">
        <x:v>上</x:v>
      </x:c>
      <x:c r="C4638" s="6" t="str">
        <x:f>IF(B4638="","Needs decision","Ready")</x:f>
        <x:v>Ready</x:v>
      </x:c>
      <x:c r="D4638" s="6" t="str">
        <x:v>上</x:v>
      </x:c>
      <x:c r="E4638" s="6" t="str">
        <x:v>sjweX (B)</x:v>
      </x:c>
      <x:c r="F4638" s="6" t="str">
        <x:v>1</x:v>
      </x:c>
      <x:c r="G4638" s="6" t="str"/>
      <x:c r="H4638" s="6" t="str">
        <x:f>IF(B4638="平","平",IF(B4638="","","仄"))</x:f>
        <x:v>仄</x:v>
      </x:c>
      <x:c r="I4638" s="6" t="str">
        <x:f>IF(D4621="","",IF(AND(ISNUMBER(SEARCH("平",D4621)),OR(ISNUMBER(SEARCH("上",D4621)),ISNUMBER(SEARCH("去",D4621)),ISNUMBER(SEARCH("入",D4621)))),"Ambiguous",IF(ISNUMBER(SEARCH("平",D4621)),"平","仄")))</x:f>
        <x:v>平</x:v>
      </x:c>
      <x:c r="J4638" s="7" t="str"/>
    </x:row>
    <x:row r="4639">
      <x:c r="A4639" s="5" t="str">
        <x:v>體</x:v>
      </x:c>
      <x:c r="B4639" s="6" t="str">
        <x:v>上</x:v>
      </x:c>
      <x:c r="C4639" s="6" t="str">
        <x:f>IF(B4639="","Needs decision","Ready")</x:f>
        <x:v>Ready</x:v>
      </x:c>
      <x:c r="D4639" s="6" t="str">
        <x:v>上</x:v>
      </x:c>
      <x:c r="E4639" s="6" t="str">
        <x:v>thejX (B)</x:v>
      </x:c>
      <x:c r="F4639" s="6" t="str">
        <x:v>1</x:v>
      </x:c>
      <x:c r="G4639" s="6" t="str"/>
      <x:c r="H4639" s="6" t="str">
        <x:f>IF(B4639="平","平",IF(B4639="","","仄"))</x:f>
        <x:v>仄</x:v>
      </x:c>
      <x:c r="I4639" s="6" t="str">
        <x:f>IF(D4622="","",IF(AND(ISNUMBER(SEARCH("平",D4622)),OR(ISNUMBER(SEARCH("上",D4622)),ISNUMBER(SEARCH("去",D4622)),ISNUMBER(SEARCH("入",D4622)))),"Ambiguous",IF(ISNUMBER(SEARCH("平",D4622)),"平","仄")))</x:f>
        <x:v>平</x:v>
      </x:c>
      <x:c r="J4639" s="7" t="str"/>
    </x:row>
    <x:row r="4640">
      <x:c r="A4640" s="5" t="str">
        <x:v>高</x:v>
      </x:c>
      <x:c r="B4640" s="6" t="str">
        <x:v>平</x:v>
      </x:c>
      <x:c r="C4640" s="6" t="str">
        <x:f>IF(B4640="","Needs decision","Ready")</x:f>
        <x:v>Ready</x:v>
      </x:c>
      <x:c r="D4640" s="6" t="str">
        <x:v>平</x:v>
      </x:c>
      <x:c r="E4640" s="6" t="str">
        <x:v>kaw (A)</x:v>
      </x:c>
      <x:c r="F4640" s="6" t="str">
        <x:v>1</x:v>
      </x:c>
      <x:c r="G4640" s="6" t="str"/>
      <x:c r="H4640" s="6" t="str">
        <x:f>IF(B4640="平","平",IF(B4640="","","仄"))</x:f>
        <x:v>平</x:v>
      </x:c>
      <x:c r="I4640" s="6" t="str">
        <x:f>IF(D4623="","",IF(AND(ISNUMBER(SEARCH("平",D4623)),OR(ISNUMBER(SEARCH("上",D4623)),ISNUMBER(SEARCH("去",D4623)),ISNUMBER(SEARCH("入",D4623)))),"Ambiguous",IF(ISNUMBER(SEARCH("平",D4623)),"平","仄")))</x:f>
        <x:v>仄</x:v>
      </x:c>
      <x:c r="J4640" s="7" t="str"/>
    </x:row>
    <x:row r="4641">
      <x:c r="A4641" s="5" t="str">
        <x:v>髟</x:v>
      </x:c>
      <x:c r="B4641" s="6" t="str">
        <x:v>平</x:v>
      </x:c>
      <x:c r="C4641" s="6" t="str">
        <x:f>IF(B4641="","Needs decision","Ready")</x:f>
        <x:v>Ready</x:v>
      </x:c>
      <x:c r="D4641" s="6" t="str">
        <x:v>平</x:v>
      </x:c>
      <x:c r="E4641" s="6" t="str">
        <x:v>pjiw (A); sraem (A)</x:v>
      </x:c>
      <x:c r="F4641" s="6" t="str">
        <x:v>2</x:v>
      </x:c>
      <x:c r="G4641" s="6" t="str"/>
      <x:c r="H4641" s="6" t="str">
        <x:f>IF(B4641="平","平",IF(B4641="","","仄"))</x:f>
        <x:v>平</x:v>
      </x:c>
      <x:c r="I4641" s="6" t="str">
        <x:f>IF(D4624="","",IF(AND(ISNUMBER(SEARCH("平",D4624)),OR(ISNUMBER(SEARCH("上",D4624)),ISNUMBER(SEARCH("去",D4624)),ISNUMBER(SEARCH("入",D4624)))),"Ambiguous",IF(ISNUMBER(SEARCH("平",D4624)),"平","仄")))</x:f>
        <x:v>平</x:v>
      </x:c>
      <x:c r="J4641" s="7" t="str"/>
    </x:row>
    <x:row r="4642">
      <x:c r="A4642" s="5" t="str">
        <x:v>髣</x:v>
      </x:c>
      <x:c r="B4642" s="6" t="str">
        <x:v>上</x:v>
      </x:c>
      <x:c r="C4642" s="6" t="str">
        <x:f>IF(B4642="","Needs decision","Ready")</x:f>
        <x:v>Ready</x:v>
      </x:c>
      <x:c r="D4642" s="6" t="str">
        <x:v>上</x:v>
      </x:c>
      <x:c r="E4642" s="6" t="str">
        <x:v>phjangX (B)</x:v>
      </x:c>
      <x:c r="F4642" s="6" t="str">
        <x:v>1</x:v>
      </x:c>
      <x:c r="G4642" s="6" t="str"/>
      <x:c r="H4642" s="6" t="str">
        <x:f>IF(B4642="平","平",IF(B4642="","","仄"))</x:f>
        <x:v>仄</x:v>
      </x:c>
      <x:c r="I4642" s="6" t="str">
        <x:f>IF(D4625="","",IF(AND(ISNUMBER(SEARCH("平",D4625)),OR(ISNUMBER(SEARCH("上",D4625)),ISNUMBER(SEARCH("去",D4625)),ISNUMBER(SEARCH("入",D4625)))),"Ambiguous",IF(ISNUMBER(SEARCH("平",D4625)),"平","仄")))</x:f>
        <x:v>仄</x:v>
      </x:c>
      <x:c r="J4642" s="7" t="str"/>
    </x:row>
    <x:row r="4643">
      <x:c r="A4643" s="5" t="str">
        <x:v>髮</x:v>
      </x:c>
      <x:c r="B4643" s="6" t="str">
        <x:v>入</x:v>
      </x:c>
      <x:c r="C4643" s="6" t="str">
        <x:f>IF(B4643="","Needs decision","Ready")</x:f>
        <x:v>Ready</x:v>
      </x:c>
      <x:c r="D4643" s="6" t="str">
        <x:v>入</x:v>
      </x:c>
      <x:c r="E4643" s="6" t="str">
        <x:v>pjot (D)</x:v>
      </x:c>
      <x:c r="F4643" s="6" t="str">
        <x:v>1</x:v>
      </x:c>
      <x:c r="G4643" s="6" t="str"/>
      <x:c r="H4643" s="6" t="str">
        <x:f>IF(B4643="平","平",IF(B4643="","","仄"))</x:f>
        <x:v>仄</x:v>
      </x:c>
      <x:c r="I4643" s="6" t="str">
        <x:f>IF(D4626="","",IF(AND(ISNUMBER(SEARCH("平",D4626)),OR(ISNUMBER(SEARCH("上",D4626)),ISNUMBER(SEARCH("去",D4626)),ISNUMBER(SEARCH("入",D4626)))),"Ambiguous",IF(ISNUMBER(SEARCH("平",D4626)),"平","仄")))</x:f>
        <x:v>平</x:v>
      </x:c>
      <x:c r="J4643" s="7" t="str"/>
    </x:row>
    <x:row r="4644">
      <x:c r="A4644" s="5" t="str">
        <x:v>髯</x:v>
      </x:c>
      <x:c r="B4644" s="6" t="str">
        <x:v>平</x:v>
      </x:c>
      <x:c r="C4644" s="6" t="str">
        <x:f>IF(B4644="","Needs decision","Ready")</x:f>
        <x:v>Ready</x:v>
      </x:c>
      <x:c r="D4644" s="6" t="str">
        <x:v>平</x:v>
      </x:c>
      <x:c r="E4644" s="6" t="str">
        <x:v>nyem (A)</x:v>
      </x:c>
      <x:c r="F4644" s="6" t="str">
        <x:v>1</x:v>
      </x:c>
      <x:c r="G4644" s="6" t="str"/>
      <x:c r="H4644" s="6" t="str">
        <x:f>IF(B4644="平","平",IF(B4644="","","仄"))</x:f>
        <x:v>平</x:v>
      </x:c>
      <x:c r="I4644" s="6" t="str">
        <x:f>IF(D4627="","",IF(AND(ISNUMBER(SEARCH("平",D4627)),OR(ISNUMBER(SEARCH("上",D4627)),ISNUMBER(SEARCH("去",D4627)),ISNUMBER(SEARCH("入",D4627)))),"Ambiguous",IF(ISNUMBER(SEARCH("平",D4627)),"平","仄")))</x:f>
        <x:v>仄</x:v>
      </x:c>
      <x:c r="J4644" s="7" t="str"/>
    </x:row>
    <x:row r="4645">
      <x:c r="A4645" s="5" t="str">
        <x:v>髻</x:v>
      </x:c>
      <x:c r="B4645" s="6" t="str">
        <x:v>去</x:v>
      </x:c>
      <x:c r="C4645" s="6" t="str">
        <x:f>IF(B4645="","Needs decision","Ready")</x:f>
        <x:v>Ready</x:v>
      </x:c>
      <x:c r="D4645" s="6" t="str">
        <x:v>去</x:v>
      </x:c>
      <x:c r="E4645" s="6" t="str">
        <x:v>kejH (C)</x:v>
      </x:c>
      <x:c r="F4645" s="6" t="str">
        <x:v>1</x:v>
      </x:c>
      <x:c r="G4645" s="6" t="str"/>
      <x:c r="H4645" s="6" t="str">
        <x:f>IF(B4645="平","平",IF(B4645="","","仄"))</x:f>
        <x:v>仄</x:v>
      </x:c>
      <x:c r="I4645" s="6" t="str">
        <x:f>IF(D4628="","",IF(AND(ISNUMBER(SEARCH("平",D4628)),OR(ISNUMBER(SEARCH("上",D4628)),ISNUMBER(SEARCH("去",D4628)),ISNUMBER(SEARCH("入",D4628)))),"Ambiguous",IF(ISNUMBER(SEARCH("平",D4628)),"平","仄")))</x:f>
        <x:v>仄</x:v>
      </x:c>
      <x:c r="J4645" s="7" t="str"/>
    </x:row>
    <x:row r="4646">
      <x:c r="A4646" s="5" t="str">
        <x:v>髽</x:v>
      </x:c>
      <x:c r="B4646" s="6" t="str">
        <x:v>平</x:v>
      </x:c>
      <x:c r="C4646" s="6" t="str">
        <x:f>IF(B4646="","Needs decision","Ready")</x:f>
        <x:v>Ready</x:v>
      </x:c>
      <x:c r="D4646" s="6" t="str">
        <x:v>平</x:v>
      </x:c>
      <x:c r="E4646" s="6" t="str">
        <x:v>tsrwae (A)</x:v>
      </x:c>
      <x:c r="F4646" s="6" t="str">
        <x:v>1</x:v>
      </x:c>
      <x:c r="G4646" s="6" t="str"/>
      <x:c r="H4646" s="6" t="str">
        <x:f>IF(B4646="平","平",IF(B4646="","","仄"))</x:f>
        <x:v>平</x:v>
      </x:c>
      <x:c r="I4646" s="6" t="str">
        <x:f>IF(D4629="","",IF(AND(ISNUMBER(SEARCH("平",D4629)),OR(ISNUMBER(SEARCH("上",D4629)),ISNUMBER(SEARCH("去",D4629)),ISNUMBER(SEARCH("入",D4629)))),"Ambiguous",IF(ISNUMBER(SEARCH("平",D4629)),"平","仄")))</x:f>
        <x:v>平</x:v>
      </x:c>
      <x:c r="J4646" s="7" t="str"/>
    </x:row>
    <x:row r="4647">
      <x:c r="A4647" s="5" t="str">
        <x:v>鬈</x:v>
      </x:c>
      <x:c r="B4647" s="6" t="str">
        <x:v>平</x:v>
      </x:c>
      <x:c r="C4647" s="6" t="str">
        <x:f>IF(B4647="","Needs decision","Ready")</x:f>
        <x:v>Ready</x:v>
      </x:c>
      <x:c r="D4647" s="6" t="str">
        <x:v>平</x:v>
      </x:c>
      <x:c r="E4647" s="6" t="str">
        <x:v>gjwen (A)</x:v>
      </x:c>
      <x:c r="F4647" s="6" t="str">
        <x:v>1</x:v>
      </x:c>
      <x:c r="G4647" s="6" t="str"/>
      <x:c r="H4647" s="6" t="str">
        <x:f>IF(B4647="平","平",IF(B4647="","","仄"))</x:f>
        <x:v>平</x:v>
      </x:c>
      <x:c r="I4647" s="6" t="str">
        <x:f>IF(D4630="","",IF(AND(ISNUMBER(SEARCH("平",D4630)),OR(ISNUMBER(SEARCH("上",D4630)),ISNUMBER(SEARCH("去",D4630)),ISNUMBER(SEARCH("入",D4630)))),"Ambiguous",IF(ISNUMBER(SEARCH("平",D4630)),"平","仄")))</x:f>
        <x:v>仄</x:v>
      </x:c>
      <x:c r="J4647" s="7" t="str"/>
    </x:row>
    <x:row r="4648">
      <x:c r="A4648" s="5" t="str">
        <x:v>鬒</x:v>
      </x:c>
      <x:c r="B4648" s="6" t="str">
        <x:v>上</x:v>
      </x:c>
      <x:c r="C4648" s="6" t="str">
        <x:f>IF(B4648="","Needs decision","Ready")</x:f>
        <x:v>Ready</x:v>
      </x:c>
      <x:c r="D4648" s="6" t="str">
        <x:v>上</x:v>
      </x:c>
      <x:c r="E4648" s="6" t="str">
        <x:v>tsyinX (B)</x:v>
      </x:c>
      <x:c r="F4648" s="6" t="str">
        <x:v>1</x:v>
      </x:c>
      <x:c r="G4648" s="6" t="str"/>
      <x:c r="H4648" s="6" t="str">
        <x:f>IF(B4648="平","平",IF(B4648="","","仄"))</x:f>
        <x:v>仄</x:v>
      </x:c>
      <x:c r="I4648" s="6" t="str">
        <x:f>IF(D4631="","",IF(AND(ISNUMBER(SEARCH("平",D4631)),OR(ISNUMBER(SEARCH("上",D4631)),ISNUMBER(SEARCH("去",D4631)),ISNUMBER(SEARCH("入",D4631)))),"Ambiguous",IF(ISNUMBER(SEARCH("平",D4631)),"平","仄")))</x:f>
        <x:v>平</x:v>
      </x:c>
      <x:c r="J4648" s="7" t="str"/>
    </x:row>
    <x:row r="4649">
      <x:c r="A4649" s="5" t="str">
        <x:v>鬚</x:v>
      </x:c>
      <x:c r="B4649" s="6" t="str">
        <x:v>平</x:v>
      </x:c>
      <x:c r="C4649" s="6" t="str">
        <x:f>IF(B4649="","Needs decision","Ready")</x:f>
        <x:v>Ready</x:v>
      </x:c>
      <x:c r="D4649" s="6" t="str">
        <x:v>平</x:v>
      </x:c>
      <x:c r="E4649" s="6" t="str">
        <x:v>sju (A)</x:v>
      </x:c>
      <x:c r="F4649" s="6" t="str">
        <x:v>1</x:v>
      </x:c>
      <x:c r="G4649" s="6" t="str"/>
      <x:c r="H4649" s="6" t="str">
        <x:f>IF(B4649="平","平",IF(B4649="","","仄"))</x:f>
        <x:v>平</x:v>
      </x:c>
      <x:c r="I4649" s="6" t="str">
        <x:f>IF(D4632="","",IF(AND(ISNUMBER(SEARCH("平",D4632)),OR(ISNUMBER(SEARCH("上",D4632)),ISNUMBER(SEARCH("去",D4632)),ISNUMBER(SEARCH("入",D4632)))),"Ambiguous",IF(ISNUMBER(SEARCH("平",D4632)),"平","仄")))</x:f>
        <x:v>平</x:v>
      </x:c>
      <x:c r="J4649" s="7" t="str"/>
    </x:row>
    <x:row r="4650">
      <x:c r="A4650" s="5" t="str">
        <x:v>鬟</x:v>
      </x:c>
      <x:c r="B4650" s="6" t="str">
        <x:v>平</x:v>
      </x:c>
      <x:c r="C4650" s="6" t="str">
        <x:f>IF(B4650="","Needs decision","Ready")</x:f>
        <x:v>Ready</x:v>
      </x:c>
      <x:c r="D4650" s="6" t="str">
        <x:v>平</x:v>
      </x:c>
      <x:c r="E4650" s="6" t="str">
        <x:v>hwaen [ʁwaˤn] (平)</x:v>
      </x:c>
      <x:c r="F4650" s="6" t="str">
        <x:v>1</x:v>
      </x:c>
      <x:c r="G4650" s="6" t="str">
        <x:v>Tang 300 gap; frequency 1; provisional from Xun Gong</x:v>
      </x:c>
      <x:c r="H4650" s="6" t="str">
        <x:f>IF(B4650="平","平",IF(B4650="","","仄"))</x:f>
        <x:v>平</x:v>
      </x:c>
      <x:c r="I4650" s="6" t="str">
        <x:f>IF(D4633="","",IF(AND(ISNUMBER(SEARCH("平",D4633)),OR(ISNUMBER(SEARCH("上",D4633)),ISNUMBER(SEARCH("去",D4633)),ISNUMBER(SEARCH("入",D4633)))),"Ambiguous",IF(ISNUMBER(SEARCH("平",D4633)),"平","仄")))</x:f>
        <x:v>仄</x:v>
      </x:c>
      <x:c r="J4650" s="7" t="str">
        <x:v>Xun Gong, Tang 300 gap fill</x:v>
      </x:c>
    </x:row>
    <x:row r="4651">
      <x:c r="A4651" s="5" t="str">
        <x:v>鬠</x:v>
      </x:c>
      <x:c r="B4651" s="6" t="str">
        <x:v>去</x:v>
      </x:c>
      <x:c r="C4651" s="6" t="str">
        <x:f>IF(B4651="","Needs decision","Ready")</x:f>
        <x:v>Ready</x:v>
      </x:c>
      <x:c r="D4651" s="6" t="str">
        <x:v>去</x:v>
      </x:c>
      <x:c r="E4651" s="6" t="str">
        <x:v>kwajH (C)</x:v>
      </x:c>
      <x:c r="F4651" s="6" t="str">
        <x:v>1</x:v>
      </x:c>
      <x:c r="G4651" s="6" t="str"/>
      <x:c r="H4651" s="6" t="str">
        <x:f>IF(B4651="平","平",IF(B4651="","","仄"))</x:f>
        <x:v>仄</x:v>
      </x:c>
      <x:c r="I4651" s="6" t="str">
        <x:f>IF(D4634="","",IF(AND(ISNUMBER(SEARCH("平",D4634)),OR(ISNUMBER(SEARCH("上",D4634)),ISNUMBER(SEARCH("去",D4634)),ISNUMBER(SEARCH("入",D4634)))),"Ambiguous",IF(ISNUMBER(SEARCH("平",D4634)),"平","仄")))</x:f>
        <x:v>仄</x:v>
      </x:c>
      <x:c r="J4651" s="7" t="str"/>
    </x:row>
    <x:row r="4652">
      <x:c r="A4652" s="5" t="str">
        <x:v>鬢</x:v>
      </x:c>
      <x:c r="B4652" s="6" t="str">
        <x:v>去</x:v>
      </x:c>
      <x:c r="C4652" s="6" t="str">
        <x:f>IF(B4652="","Needs decision","Ready")</x:f>
        <x:v>Ready</x:v>
      </x:c>
      <x:c r="D4652" s="6" t="str">
        <x:v>去</x:v>
      </x:c>
      <x:c r="E4652" s="6" t="str">
        <x:v>pjinH [pjinh] (去)</x:v>
      </x:c>
      <x:c r="F4652" s="6" t="str">
        <x:v>1</x:v>
      </x:c>
      <x:c r="G4652" s="6" t="str">
        <x:v>Tang 300 gap; frequency 10; provisional from Xun Gong</x:v>
      </x:c>
      <x:c r="H4652" s="6" t="str">
        <x:f>IF(B4652="平","平",IF(B4652="","","仄"))</x:f>
        <x:v>仄</x:v>
      </x:c>
      <x:c r="I4652" s="6" t="str">
        <x:f>IF(D4635="","",IF(AND(ISNUMBER(SEARCH("平",D4635)),OR(ISNUMBER(SEARCH("上",D4635)),ISNUMBER(SEARCH("去",D4635)),ISNUMBER(SEARCH("入",D4635)))),"Ambiguous",IF(ISNUMBER(SEARCH("平",D4635)),"平","仄")))</x:f>
        <x:v>平</x:v>
      </x:c>
      <x:c r="J4652" s="7" t="str">
        <x:v>Xun Gong, Tang 300 gap fill</x:v>
      </x:c>
    </x:row>
    <x:row r="4653">
      <x:c r="A4653" s="5" t="str">
        <x:v>鬥</x:v>
      </x:c>
      <x:c r="B4653" s="6" t="str">
        <x:v>去</x:v>
      </x:c>
      <x:c r="C4653" s="6" t="str">
        <x:f>IF(B4653="","Needs decision","Ready")</x:f>
        <x:v>Ready</x:v>
      </x:c>
      <x:c r="D4653" s="6" t="str">
        <x:v>去</x:v>
      </x:c>
      <x:c r="E4653" s="6" t="str">
        <x:v>tuwH (C)</x:v>
      </x:c>
      <x:c r="F4653" s="6" t="str">
        <x:v>1</x:v>
      </x:c>
      <x:c r="G4653" s="6" t="str"/>
      <x:c r="H4653" s="6" t="str">
        <x:f>IF(B4653="平","平",IF(B4653="","","仄"))</x:f>
        <x:v>仄</x:v>
      </x:c>
      <x:c r="I4653" s="6" t="str">
        <x:f>IF(D4636="","",IF(AND(ISNUMBER(SEARCH("平",D4636)),OR(ISNUMBER(SEARCH("上",D4636)),ISNUMBER(SEARCH("去",D4636)),ISNUMBER(SEARCH("入",D4636)))),"Ambiguous",IF(ISNUMBER(SEARCH("平",D4636)),"平","仄")))</x:f>
        <x:v>平</x:v>
      </x:c>
      <x:c r="J4653" s="7" t="str"/>
    </x:row>
    <x:row r="4654">
      <x:c r="A4654" s="5" t="str">
        <x:v>鬨</x:v>
      </x:c>
      <x:c r="B4654" s="6" t="str">
        <x:v>去</x:v>
      </x:c>
      <x:c r="C4654" s="6" t="str">
        <x:f>IF(B4654="","Needs decision","Ready")</x:f>
        <x:v>Ready</x:v>
      </x:c>
      <x:c r="D4654" s="6" t="str">
        <x:v>去</x:v>
      </x:c>
      <x:c r="E4654" s="6" t="str">
        <x:v>huwngH (C)</x:v>
      </x:c>
      <x:c r="F4654" s="6" t="str">
        <x:v>1</x:v>
      </x:c>
      <x:c r="G4654" s="6" t="str"/>
      <x:c r="H4654" s="6" t="str">
        <x:f>IF(B4654="平","平",IF(B4654="","","仄"))</x:f>
        <x:v>仄</x:v>
      </x:c>
      <x:c r="I4654" s="6" t="str">
        <x:f>IF(D4637="","",IF(AND(ISNUMBER(SEARCH("平",D4637)),OR(ISNUMBER(SEARCH("上",D4637)),ISNUMBER(SEARCH("去",D4637)),ISNUMBER(SEARCH("入",D4637)))),"Ambiguous",IF(ISNUMBER(SEARCH("平",D4637)),"平","仄")))</x:f>
        <x:v>仄</x:v>
      </x:c>
      <x:c r="J4654" s="7" t="str"/>
    </x:row>
    <x:row r="4655">
      <x:c r="A4655" s="5" t="str">
        <x:v>鬩</x:v>
      </x:c>
      <x:c r="B4655" s="6" t="str">
        <x:v>入</x:v>
      </x:c>
      <x:c r="C4655" s="6" t="str">
        <x:f>IF(B4655="","Needs decision","Ready")</x:f>
        <x:v>Ready</x:v>
      </x:c>
      <x:c r="D4655" s="6" t="str">
        <x:v>入</x:v>
      </x:c>
      <x:c r="E4655" s="6" t="str">
        <x:v>xek (D)</x:v>
      </x:c>
      <x:c r="F4655" s="6" t="str">
        <x:v>1</x:v>
      </x:c>
      <x:c r="G4655" s="6" t="str"/>
      <x:c r="H4655" s="6" t="str">
        <x:f>IF(B4655="平","平",IF(B4655="","","仄"))</x:f>
        <x:v>仄</x:v>
      </x:c>
      <x:c r="I4655" s="6" t="str">
        <x:f>IF(D4638="","",IF(AND(ISNUMBER(SEARCH("平",D4638)),OR(ISNUMBER(SEARCH("上",D4638)),ISNUMBER(SEARCH("去",D4638)),ISNUMBER(SEARCH("入",D4638)))),"Ambiguous",IF(ISNUMBER(SEARCH("平",D4638)),"平","仄")))</x:f>
        <x:v>仄</x:v>
      </x:c>
      <x:c r="J4655" s="7" t="str"/>
    </x:row>
    <x:row r="4656">
      <x:c r="A4656" s="5" t="str">
        <x:v>鬭</x:v>
      </x:c>
      <x:c r="B4656" s="6" t="str">
        <x:v>去</x:v>
      </x:c>
      <x:c r="C4656" s="6" t="str">
        <x:f>IF(B4656="","Needs decision","Ready")</x:f>
        <x:v>Ready</x:v>
      </x:c>
      <x:c r="D4656" s="6" t="str">
        <x:v>去</x:v>
      </x:c>
      <x:c r="E4656" s="6" t="str">
        <x:v>tuwH (C)</x:v>
      </x:c>
      <x:c r="F4656" s="6" t="str">
        <x:v>1</x:v>
      </x:c>
      <x:c r="G4656" s="6" t="str"/>
      <x:c r="H4656" s="6" t="str">
        <x:f>IF(B4656="平","平",IF(B4656="","","仄"))</x:f>
        <x:v>仄</x:v>
      </x:c>
      <x:c r="I4656" s="6" t="str">
        <x:f>IF(D4639="","",IF(AND(ISNUMBER(SEARCH("平",D4639)),OR(ISNUMBER(SEARCH("上",D4639)),ISNUMBER(SEARCH("去",D4639)),ISNUMBER(SEARCH("入",D4639)))),"Ambiguous",IF(ISNUMBER(SEARCH("平",D4639)),"平","仄")))</x:f>
        <x:v>仄</x:v>
      </x:c>
      <x:c r="J4656" s="7" t="str"/>
    </x:row>
    <x:row r="4657">
      <x:c r="A4657" s="5" t="str">
        <x:v>鬯</x:v>
      </x:c>
      <x:c r="B4657" s="6" t="str">
        <x:v>去</x:v>
      </x:c>
      <x:c r="C4657" s="6" t="str">
        <x:f>IF(B4657="","Needs decision","Ready")</x:f>
        <x:v>Ready</x:v>
      </x:c>
      <x:c r="D4657" s="6" t="str">
        <x:v>去</x:v>
      </x:c>
      <x:c r="E4657" s="6" t="str">
        <x:v>trhjangH (C)</x:v>
      </x:c>
      <x:c r="F4657" s="6" t="str">
        <x:v>1</x:v>
      </x:c>
      <x:c r="G4657" s="6" t="str"/>
      <x:c r="H4657" s="6" t="str">
        <x:f>IF(B4657="平","平",IF(B4657="","","仄"))</x:f>
        <x:v>仄</x:v>
      </x:c>
      <x:c r="I4657" s="6" t="str">
        <x:f>IF(D4640="","",IF(AND(ISNUMBER(SEARCH("平",D4640)),OR(ISNUMBER(SEARCH("上",D4640)),ISNUMBER(SEARCH("去",D4640)),ISNUMBER(SEARCH("入",D4640)))),"Ambiguous",IF(ISNUMBER(SEARCH("平",D4640)),"平","仄")))</x:f>
        <x:v>平</x:v>
      </x:c>
      <x:c r="J4657" s="7" t="str"/>
    </x:row>
    <x:row r="4658">
      <x:c r="A4658" s="5" t="str">
        <x:v>鬱</x:v>
      </x:c>
      <x:c r="B4658" s="6" t="str">
        <x:v>入</x:v>
      </x:c>
      <x:c r="C4658" s="6" t="str">
        <x:f>IF(B4658="","Needs decision","Ready")</x:f>
        <x:v>Ready</x:v>
      </x:c>
      <x:c r="D4658" s="6" t="str">
        <x:v>入</x:v>
      </x:c>
      <x:c r="E4658" s="6" t="str">
        <x:v>'jut (D)</x:v>
      </x:c>
      <x:c r="F4658" s="6" t="str">
        <x:v>1</x:v>
      </x:c>
      <x:c r="G4658" s="6" t="str"/>
      <x:c r="H4658" s="6" t="str">
        <x:f>IF(B4658="平","平",IF(B4658="","","仄"))</x:f>
        <x:v>仄</x:v>
      </x:c>
      <x:c r="I4658" s="6" t="str">
        <x:f>IF(D4641="","",IF(AND(ISNUMBER(SEARCH("平",D4641)),OR(ISNUMBER(SEARCH("上",D4641)),ISNUMBER(SEARCH("去",D4641)),ISNUMBER(SEARCH("入",D4641)))),"Ambiguous",IF(ISNUMBER(SEARCH("平",D4641)),"平","仄")))</x:f>
        <x:v>平</x:v>
      </x:c>
      <x:c r="J4658" s="7" t="str"/>
    </x:row>
    <x:row r="4659">
      <x:c r="A4659" s="5" t="str">
        <x:v>鬲</x:v>
      </x:c>
      <x:c r="B4659" s="6" t="str">
        <x:v>入</x:v>
      </x:c>
      <x:c r="C4659" s="6" t="str">
        <x:f>IF(B4659="","Needs decision","Ready")</x:f>
        <x:v>Ready</x:v>
      </x:c>
      <x:c r="D4659" s="6" t="str">
        <x:v>入</x:v>
      </x:c>
      <x:c r="E4659" s="6" t="str">
        <x:v>keak (D); lek (D)</x:v>
      </x:c>
      <x:c r="F4659" s="6" t="str">
        <x:v>2</x:v>
      </x:c>
      <x:c r="G4659" s="6" t="str"/>
      <x:c r="H4659" s="6" t="str">
        <x:f>IF(B4659="平","平",IF(B4659="","","仄"))</x:f>
        <x:v>仄</x:v>
      </x:c>
      <x:c r="I4659" s="6" t="str">
        <x:f>IF(D4642="","",IF(AND(ISNUMBER(SEARCH("平",D4642)),OR(ISNUMBER(SEARCH("上",D4642)),ISNUMBER(SEARCH("去",D4642)),ISNUMBER(SEARCH("入",D4642)))),"Ambiguous",IF(ISNUMBER(SEARCH("平",D4642)),"平","仄")))</x:f>
        <x:v>仄</x:v>
      </x:c>
      <x:c r="J4659" s="7" t="str"/>
    </x:row>
    <x:row r="4660">
      <x:c r="A4660" s="5" t="str">
        <x:v>鬳</x:v>
      </x:c>
      <x:c r="B4660" s="6" t="str">
        <x:v>去</x:v>
      </x:c>
      <x:c r="C4660" s="6" t="str">
        <x:f>IF(B4660="","Needs decision","Ready")</x:f>
        <x:v>Ready</x:v>
      </x:c>
      <x:c r="D4660" s="6" t="str">
        <x:v>去</x:v>
      </x:c>
      <x:c r="E4660" s="6" t="str">
        <x:v>ngjonH (C)</x:v>
      </x:c>
      <x:c r="F4660" s="6" t="str">
        <x:v>1</x:v>
      </x:c>
      <x:c r="G4660" s="6" t="str"/>
      <x:c r="H4660" s="6" t="str">
        <x:f>IF(B4660="平","平",IF(B4660="","","仄"))</x:f>
        <x:v>仄</x:v>
      </x:c>
      <x:c r="I4660" s="6" t="str">
        <x:f>IF(D4643="","",IF(AND(ISNUMBER(SEARCH("平",D4643)),OR(ISNUMBER(SEARCH("上",D4643)),ISNUMBER(SEARCH("去",D4643)),ISNUMBER(SEARCH("入",D4643)))),"Ambiguous",IF(ISNUMBER(SEARCH("平",D4643)),"平","仄")))</x:f>
        <x:v>仄</x:v>
      </x:c>
      <x:c r="J4660" s="7" t="str"/>
    </x:row>
    <x:row r="4661">
      <x:c r="A4661" s="5" t="str">
        <x:v>鬵</x:v>
      </x:c>
      <x:c r="B4661" s="6" t="str">
        <x:v>平</x:v>
      </x:c>
      <x:c r="C4661" s="6" t="str">
        <x:f>IF(B4661="","Needs decision","Ready")</x:f>
        <x:v>Ready</x:v>
      </x:c>
      <x:c r="D4661" s="6" t="str">
        <x:v>平</x:v>
      </x:c>
      <x:c r="E4661" s="6" t="str">
        <x:v>dzim (A); zim (A)</x:v>
      </x:c>
      <x:c r="F4661" s="6" t="str">
        <x:v>2</x:v>
      </x:c>
      <x:c r="G4661" s="6" t="str"/>
      <x:c r="H4661" s="6" t="str">
        <x:f>IF(B4661="平","平",IF(B4661="","","仄"))</x:f>
        <x:v>平</x:v>
      </x:c>
      <x:c r="I4661" s="6" t="str">
        <x:f>IF(D4644="","",IF(AND(ISNUMBER(SEARCH("平",D4644)),OR(ISNUMBER(SEARCH("上",D4644)),ISNUMBER(SEARCH("去",D4644)),ISNUMBER(SEARCH("入",D4644)))),"Ambiguous",IF(ISNUMBER(SEARCH("平",D4644)),"平","仄")))</x:f>
        <x:v>平</x:v>
      </x:c>
      <x:c r="J4661" s="7" t="str"/>
    </x:row>
    <x:row r="4662">
      <x:c r="A4662" s="5" t="str">
        <x:v>鬻</x:v>
      </x:c>
      <x:c r="B4662" s="6" t="str">
        <x:v>入</x:v>
      </x:c>
      <x:c r="C4662" s="6" t="str">
        <x:f>IF(B4662="","Needs decision","Ready")</x:f>
        <x:v>Ready</x:v>
      </x:c>
      <x:c r="D4662" s="6" t="str">
        <x:v>入</x:v>
      </x:c>
      <x:c r="E4662" s="6" t="str">
        <x:v>yuwk (D); tsyuwk (D)</x:v>
      </x:c>
      <x:c r="F4662" s="6" t="str">
        <x:v>2</x:v>
      </x:c>
      <x:c r="G4662" s="6" t="str"/>
      <x:c r="H4662" s="6" t="str">
        <x:f>IF(B4662="平","平",IF(B4662="","","仄"))</x:f>
        <x:v>仄</x:v>
      </x:c>
      <x:c r="I4662" s="6" t="str">
        <x:f>IF(D4645="","",IF(AND(ISNUMBER(SEARCH("平",D4645)),OR(ISNUMBER(SEARCH("上",D4645)),ISNUMBER(SEARCH("去",D4645)),ISNUMBER(SEARCH("入",D4645)))),"Ambiguous",IF(ISNUMBER(SEARCH("平",D4645)),"平","仄")))</x:f>
        <x:v>仄</x:v>
      </x:c>
      <x:c r="J4662" s="7" t="str"/>
    </x:row>
    <x:row r="4663">
      <x:c r="A4663" s="5" t="str">
        <x:v>鬼</x:v>
      </x:c>
      <x:c r="B4663" s="6" t="str">
        <x:v>上</x:v>
      </x:c>
      <x:c r="C4663" s="6" t="str">
        <x:f>IF(B4663="","Needs decision","Ready")</x:f>
        <x:v>Ready</x:v>
      </x:c>
      <x:c r="D4663" s="6" t="str">
        <x:v>上</x:v>
      </x:c>
      <x:c r="E4663" s="6" t="str">
        <x:v>kjw+jX (B)</x:v>
      </x:c>
      <x:c r="F4663" s="6" t="str">
        <x:v>1</x:v>
      </x:c>
      <x:c r="G4663" s="6" t="str"/>
      <x:c r="H4663" s="6" t="str">
        <x:f>IF(B4663="平","平",IF(B4663="","","仄"))</x:f>
        <x:v>仄</x:v>
      </x:c>
      <x:c r="I4663" s="6" t="str">
        <x:f>IF(D4646="","",IF(AND(ISNUMBER(SEARCH("平",D4646)),OR(ISNUMBER(SEARCH("上",D4646)),ISNUMBER(SEARCH("去",D4646)),ISNUMBER(SEARCH("入",D4646)))),"Ambiguous",IF(ISNUMBER(SEARCH("平",D4646)),"平","仄")))</x:f>
        <x:v>平</x:v>
      </x:c>
      <x:c r="J4663" s="7" t="str"/>
    </x:row>
    <x:row r="4664">
      <x:c r="A4664" s="5" t="str">
        <x:v>魁</x:v>
      </x:c>
      <x:c r="B4664" s="6" t="str">
        <x:v>平</x:v>
      </x:c>
      <x:c r="C4664" s="6" t="str">
        <x:f>IF(B4664="","Needs decision","Ready")</x:f>
        <x:v>Ready</x:v>
      </x:c>
      <x:c r="D4664" s="6" t="str">
        <x:v>平</x:v>
      </x:c>
      <x:c r="E4664" s="6" t="str">
        <x:v>khwoj (A)</x:v>
      </x:c>
      <x:c r="F4664" s="6" t="str">
        <x:v>1</x:v>
      </x:c>
      <x:c r="G4664" s="6" t="str"/>
      <x:c r="H4664" s="6" t="str">
        <x:f>IF(B4664="平","平",IF(B4664="","","仄"))</x:f>
        <x:v>平</x:v>
      </x:c>
      <x:c r="I4664" s="6" t="str">
        <x:f>IF(D4647="","",IF(AND(ISNUMBER(SEARCH("平",D4647)),OR(ISNUMBER(SEARCH("上",D4647)),ISNUMBER(SEARCH("去",D4647)),ISNUMBER(SEARCH("入",D4647)))),"Ambiguous",IF(ISNUMBER(SEARCH("平",D4647)),"平","仄")))</x:f>
        <x:v>平</x:v>
      </x:c>
      <x:c r="J4664" s="7" t="str"/>
    </x:row>
    <x:row r="4665">
      <x:c r="A4665" s="5" t="str">
        <x:v>魂</x:v>
      </x:c>
      <x:c r="B4665" s="6" t="str">
        <x:v>平</x:v>
      </x:c>
      <x:c r="C4665" s="6" t="str">
        <x:f>IF(B4665="","Needs decision","Ready")</x:f>
        <x:v>Ready</x:v>
      </x:c>
      <x:c r="D4665" s="6" t="str">
        <x:v>平</x:v>
      </x:c>
      <x:c r="E4665" s="6" t="str">
        <x:v>hwon (A)</x:v>
      </x:c>
      <x:c r="F4665" s="6" t="str">
        <x:v>1</x:v>
      </x:c>
      <x:c r="G4665" s="6" t="str"/>
      <x:c r="H4665" s="6" t="str">
        <x:f>IF(B4665="平","平",IF(B4665="","","仄"))</x:f>
        <x:v>平</x:v>
      </x:c>
      <x:c r="I4665" s="6" t="str">
        <x:f>IF(D4648="","",IF(AND(ISNUMBER(SEARCH("平",D4648)),OR(ISNUMBER(SEARCH("上",D4648)),ISNUMBER(SEARCH("去",D4648)),ISNUMBER(SEARCH("入",D4648)))),"Ambiguous",IF(ISNUMBER(SEARCH("平",D4648)),"平","仄")))</x:f>
        <x:v>仄</x:v>
      </x:c>
      <x:c r="J4665" s="7" t="str"/>
    </x:row>
    <x:row r="4666">
      <x:c r="A4666" s="5" t="str">
        <x:v>魄</x:v>
      </x:c>
      <x:c r="B4666" s="6" t="str">
        <x:v>入</x:v>
      </x:c>
      <x:c r="C4666" s="6" t="str">
        <x:f>IF(B4666="","Needs decision","Ready")</x:f>
        <x:v>Ready</x:v>
      </x:c>
      <x:c r="D4666" s="6" t="str">
        <x:v>入</x:v>
      </x:c>
      <x:c r="E4666" s="6" t="str">
        <x:v>phaek (D)</x:v>
      </x:c>
      <x:c r="F4666" s="6" t="str">
        <x:v>1</x:v>
      </x:c>
      <x:c r="G4666" s="6" t="str"/>
      <x:c r="H4666" s="6" t="str">
        <x:f>IF(B4666="平","平",IF(B4666="","","仄"))</x:f>
        <x:v>仄</x:v>
      </x:c>
      <x:c r="I4666" s="6" t="str">
        <x:f>IF(D4649="","",IF(AND(ISNUMBER(SEARCH("平",D4649)),OR(ISNUMBER(SEARCH("上",D4649)),ISNUMBER(SEARCH("去",D4649)),ISNUMBER(SEARCH("入",D4649)))),"Ambiguous",IF(ISNUMBER(SEARCH("平",D4649)),"平","仄")))</x:f>
        <x:v>平</x:v>
      </x:c>
      <x:c r="J4666" s="7" t="str"/>
    </x:row>
    <x:row r="4667">
      <x:c r="A4667" s="5" t="str">
        <x:v>魅</x:v>
      </x:c>
      <x:c r="B4667" s="6" t="str">
        <x:v>去</x:v>
      </x:c>
      <x:c r="C4667" s="6" t="str">
        <x:f>IF(B4667="","Needs decision","Ready")</x:f>
        <x:v>Ready</x:v>
      </x:c>
      <x:c r="D4667" s="6" t="str">
        <x:v>去</x:v>
      </x:c>
      <x:c r="E4667" s="6" t="str">
        <x:v>mijH (C)</x:v>
      </x:c>
      <x:c r="F4667" s="6" t="str">
        <x:v>1</x:v>
      </x:c>
      <x:c r="G4667" s="6" t="str"/>
      <x:c r="H4667" s="6" t="str">
        <x:f>IF(B4667="平","平",IF(B4667="","","仄"))</x:f>
        <x:v>仄</x:v>
      </x:c>
      <x:c r="I4667" s="6" t="str">
        <x:f>IF(D4650="","",IF(AND(ISNUMBER(SEARCH("平",D4650)),OR(ISNUMBER(SEARCH("上",D4650)),ISNUMBER(SEARCH("去",D4650)),ISNUMBER(SEARCH("入",D4650)))),"Ambiguous",IF(ISNUMBER(SEARCH("平",D4650)),"平","仄")))</x:f>
        <x:v>平</x:v>
      </x:c>
      <x:c r="J4667" s="7" t="str"/>
    </x:row>
    <x:row r="4668">
      <x:c r="A4668" s="5" t="str">
        <x:v>魏</x:v>
      </x:c>
      <x:c r="B4668" s="6" t="str"/>
      <x:c r="C4668" s="6" t="str">
        <x:f>IF(B4668="","Needs decision","Ready")</x:f>
        <x:v>Needs decision</x:v>
      </x:c>
      <x:c r="D4668" s="6" t="str">
        <x:v>平/去</x:v>
      </x:c>
      <x:c r="E4668" s="6" t="str">
        <x:v>ngjw+j (A); ngjw+jH (C)</x:v>
      </x:c>
      <x:c r="F4668" s="6" t="str">
        <x:v>2</x:v>
      </x:c>
      <x:c r="G4668" s="6" t="str"/>
      <x:c r="H4668" s="6" t="str">
        <x:f>IF(B4668="平","平",IF(B4668="","","仄"))</x:f>
      </x:c>
      <x:c r="I4668" s="6" t="str">
        <x:f>IF(D4651="","",IF(AND(ISNUMBER(SEARCH("平",D4651)),OR(ISNUMBER(SEARCH("上",D4651)),ISNUMBER(SEARCH("去",D4651)),ISNUMBER(SEARCH("入",D4651)))),"Ambiguous",IF(ISNUMBER(SEARCH("平",D4651)),"平","仄")))</x:f>
        <x:v>仄</x:v>
      </x:c>
      <x:c r="J4668" s="7" t="str"/>
    </x:row>
    <x:row r="4669">
      <x:c r="A4669" s="5" t="str">
        <x:v>魑</x:v>
      </x:c>
      <x:c r="B4669" s="6" t="str">
        <x:v>平</x:v>
      </x:c>
      <x:c r="C4669" s="6" t="str">
        <x:f>IF(B4669="","Needs decision","Ready")</x:f>
        <x:v>Ready</x:v>
      </x:c>
      <x:c r="D4669" s="6" t="str">
        <x:v>平</x:v>
      </x:c>
      <x:c r="E4669" s="6" t="str">
        <x:v>trhje (A)</x:v>
      </x:c>
      <x:c r="F4669" s="6" t="str">
        <x:v>1</x:v>
      </x:c>
      <x:c r="G4669" s="6" t="str"/>
      <x:c r="H4669" s="6" t="str">
        <x:f>IF(B4669="平","平",IF(B4669="","","仄"))</x:f>
        <x:v>平</x:v>
      </x:c>
      <x:c r="I4669" s="6" t="str">
        <x:f>IF(D4652="","",IF(AND(ISNUMBER(SEARCH("平",D4652)),OR(ISNUMBER(SEARCH("上",D4652)),ISNUMBER(SEARCH("去",D4652)),ISNUMBER(SEARCH("入",D4652)))),"Ambiguous",IF(ISNUMBER(SEARCH("平",D4652)),"平","仄")))</x:f>
        <x:v>仄</x:v>
      </x:c>
      <x:c r="J4669" s="7" t="str"/>
    </x:row>
    <x:row r="4670">
      <x:c r="A4670" s="5" t="str">
        <x:v>魔</x:v>
      </x:c>
      <x:c r="B4670" s="6" t="str">
        <x:v>平</x:v>
      </x:c>
      <x:c r="C4670" s="6" t="str">
        <x:f>IF(B4670="","Needs decision","Ready")</x:f>
        <x:v>Ready</x:v>
      </x:c>
      <x:c r="D4670" s="6" t="str">
        <x:v>平</x:v>
      </x:c>
      <x:c r="E4670" s="6" t="str">
        <x:v>ma [明一歌平] m̙ɑ</x:v>
      </x:c>
      <x:c r="F4670" s="6" t="str">
        <x:v>1</x:v>
      </x:c>
      <x:c r="G4670" s="6" t="str">
        <x:v>Targeted preliminary fill from Xun Gong; review if uncertain</x:v>
      </x:c>
      <x:c r="H4670" s="6" t="str">
        <x:f>IF(B4670="平","平",IF(B4670="","","仄"))</x:f>
        <x:v>平</x:v>
      </x:c>
      <x:c r="I4670" s="6" t="str">
        <x:f>IF(D4653="","",IF(AND(ISNUMBER(SEARCH("平",D4653)),OR(ISNUMBER(SEARCH("上",D4653)),ISNUMBER(SEARCH("去",D4653)),ISNUMBER(SEARCH("入",D4653)))),"Ambiguous",IF(ISNUMBER(SEARCH("平",D4653)),"平","仄")))</x:f>
        <x:v>仄</x:v>
      </x:c>
      <x:c r="J4670" s="7" t="str">
        <x:v>Xun Gong character-readings.csv</x:v>
      </x:c>
    </x:row>
    <x:row r="4671">
      <x:c r="A4671" s="5" t="str">
        <x:v>魚</x:v>
      </x:c>
      <x:c r="B4671" s="6" t="str">
        <x:v>平</x:v>
      </x:c>
      <x:c r="C4671" s="6" t="str">
        <x:f>IF(B4671="","Needs decision","Ready")</x:f>
        <x:v>Ready</x:v>
      </x:c>
      <x:c r="D4671" s="6" t="str">
        <x:v>平</x:v>
      </x:c>
      <x:c r="E4671" s="6" t="str">
        <x:v>ngjo (A)</x:v>
      </x:c>
      <x:c r="F4671" s="6" t="str">
        <x:v>1</x:v>
      </x:c>
      <x:c r="G4671" s="6" t="str"/>
      <x:c r="H4671" s="6" t="str">
        <x:f>IF(B4671="平","平",IF(B4671="","","仄"))</x:f>
        <x:v>平</x:v>
      </x:c>
      <x:c r="I4671" s="6" t="str">
        <x:f>IF(D4654="","",IF(AND(ISNUMBER(SEARCH("平",D4654)),OR(ISNUMBER(SEARCH("上",D4654)),ISNUMBER(SEARCH("去",D4654)),ISNUMBER(SEARCH("入",D4654)))),"Ambiguous",IF(ISNUMBER(SEARCH("平",D4654)),"平","仄")))</x:f>
        <x:v>仄</x:v>
      </x:c>
      <x:c r="J4671" s="7" t="str"/>
    </x:row>
    <x:row r="4672">
      <x:c r="A4672" s="5" t="str">
        <x:v>魯</x:v>
      </x:c>
      <x:c r="B4672" s="6" t="str">
        <x:v>上</x:v>
      </x:c>
      <x:c r="C4672" s="6" t="str">
        <x:f>IF(B4672="","Needs decision","Ready")</x:f>
        <x:v>Ready</x:v>
      </x:c>
      <x:c r="D4672" s="6" t="str">
        <x:v>上</x:v>
      </x:c>
      <x:c r="E4672" s="6" t="str">
        <x:v>luX (B)</x:v>
      </x:c>
      <x:c r="F4672" s="6" t="str">
        <x:v>1</x:v>
      </x:c>
      <x:c r="G4672" s="6" t="str"/>
      <x:c r="H4672" s="6" t="str">
        <x:f>IF(B4672="平","平",IF(B4672="","","仄"))</x:f>
        <x:v>仄</x:v>
      </x:c>
      <x:c r="I4672" s="6" t="str">
        <x:f>IF(D4655="","",IF(AND(ISNUMBER(SEARCH("平",D4655)),OR(ISNUMBER(SEARCH("上",D4655)),ISNUMBER(SEARCH("去",D4655)),ISNUMBER(SEARCH("入",D4655)))),"Ambiguous",IF(ISNUMBER(SEARCH("平",D4655)),"平","仄")))</x:f>
        <x:v>仄</x:v>
      </x:c>
      <x:c r="J4672" s="7" t="str"/>
    </x:row>
    <x:row r="4673">
      <x:c r="A4673" s="5" t="str">
        <x:v>魴</x:v>
      </x:c>
      <x:c r="B4673" s="6" t="str">
        <x:v>平</x:v>
      </x:c>
      <x:c r="C4673" s="6" t="str">
        <x:f>IF(B4673="","Needs decision","Ready")</x:f>
        <x:v>Ready</x:v>
      </x:c>
      <x:c r="D4673" s="6" t="str">
        <x:v>平</x:v>
      </x:c>
      <x:c r="E4673" s="6" t="str">
        <x:v>bjang (A)</x:v>
      </x:c>
      <x:c r="F4673" s="6" t="str">
        <x:v>1</x:v>
      </x:c>
      <x:c r="G4673" s="6" t="str"/>
      <x:c r="H4673" s="6" t="str">
        <x:f>IF(B4673="平","平",IF(B4673="","","仄"))</x:f>
        <x:v>平</x:v>
      </x:c>
      <x:c r="I4673" s="6" t="str">
        <x:f>IF(D4656="","",IF(AND(ISNUMBER(SEARCH("平",D4656)),OR(ISNUMBER(SEARCH("上",D4656)),ISNUMBER(SEARCH("去",D4656)),ISNUMBER(SEARCH("入",D4656)))),"Ambiguous",IF(ISNUMBER(SEARCH("平",D4656)),"平","仄")))</x:f>
        <x:v>仄</x:v>
      </x:c>
      <x:c r="J4673" s="7" t="str"/>
    </x:row>
    <x:row r="4674">
      <x:c r="A4674" s="5" t="str">
        <x:v>鮪</x:v>
      </x:c>
      <x:c r="B4674" s="6" t="str">
        <x:v>上</x:v>
      </x:c>
      <x:c r="C4674" s="6" t="str">
        <x:f>IF(B4674="","Needs decision","Ready")</x:f>
        <x:v>Ready</x:v>
      </x:c>
      <x:c r="D4674" s="6" t="str">
        <x:v>上</x:v>
      </x:c>
      <x:c r="E4674" s="6" t="str">
        <x:v>hwijX (B)</x:v>
      </x:c>
      <x:c r="F4674" s="6" t="str">
        <x:v>1</x:v>
      </x:c>
      <x:c r="G4674" s="6" t="str"/>
      <x:c r="H4674" s="6" t="str">
        <x:f>IF(B4674="平","平",IF(B4674="","","仄"))</x:f>
        <x:v>仄</x:v>
      </x:c>
      <x:c r="I4674" s="6" t="str">
        <x:f>IF(D4657="","",IF(AND(ISNUMBER(SEARCH("平",D4657)),OR(ISNUMBER(SEARCH("上",D4657)),ISNUMBER(SEARCH("去",D4657)),ISNUMBER(SEARCH("入",D4657)))),"Ambiguous",IF(ISNUMBER(SEARCH("平",D4657)),"平","仄")))</x:f>
        <x:v>仄</x:v>
      </x:c>
      <x:c r="J4674" s="7" t="str"/>
    </x:row>
    <x:row r="4675">
      <x:c r="A4675" s="5" t="str">
        <x:v>鮮</x:v>
      </x:c>
      <x:c r="B4675" s="6" t="str"/>
      <x:c r="C4675" s="6" t="str">
        <x:f>IF(B4675="","Needs decision","Ready")</x:f>
        <x:v>Needs decision</x:v>
      </x:c>
      <x:c r="D4675" s="6" t="str">
        <x:v>平/上</x:v>
      </x:c>
      <x:c r="E4675" s="6" t="str">
        <x:v>sjen (A); sjenX (B)</x:v>
      </x:c>
      <x:c r="F4675" s="6" t="str">
        <x:v>2</x:v>
      </x:c>
      <x:c r="G4675" s="6" t="str"/>
      <x:c r="H4675" s="6" t="str">
        <x:f>IF(B4675="平","平",IF(B4675="","","仄"))</x:f>
      </x:c>
      <x:c r="I4675" s="6" t="str">
        <x:f>IF(D4658="","",IF(AND(ISNUMBER(SEARCH("平",D4658)),OR(ISNUMBER(SEARCH("上",D4658)),ISNUMBER(SEARCH("去",D4658)),ISNUMBER(SEARCH("入",D4658)))),"Ambiguous",IF(ISNUMBER(SEARCH("平",D4658)),"平","仄")))</x:f>
        <x:v>仄</x:v>
      </x:c>
      <x:c r="J4675" s="7" t="str"/>
    </x:row>
    <x:row r="4676">
      <x:c r="A4676" s="5" t="str">
        <x:v>鯉</x:v>
      </x:c>
      <x:c r="B4676" s="6" t="str">
        <x:v>上</x:v>
      </x:c>
      <x:c r="C4676" s="6" t="str">
        <x:f>IF(B4676="","Needs decision","Ready")</x:f>
        <x:v>Ready</x:v>
      </x:c>
      <x:c r="D4676" s="6" t="str">
        <x:v>上</x:v>
      </x:c>
      <x:c r="E4676" s="6" t="str">
        <x:v>liX (B)</x:v>
      </x:c>
      <x:c r="F4676" s="6" t="str">
        <x:v>1</x:v>
      </x:c>
      <x:c r="G4676" s="6" t="str"/>
      <x:c r="H4676" s="6" t="str">
        <x:f>IF(B4676="平","平",IF(B4676="","","仄"))</x:f>
        <x:v>仄</x:v>
      </x:c>
      <x:c r="I4676" s="6" t="str">
        <x:f>IF(D4659="","",IF(AND(ISNUMBER(SEARCH("平",D4659)),OR(ISNUMBER(SEARCH("上",D4659)),ISNUMBER(SEARCH("去",D4659)),ISNUMBER(SEARCH("入",D4659)))),"Ambiguous",IF(ISNUMBER(SEARCH("平",D4659)),"平","仄")))</x:f>
        <x:v>仄</x:v>
      </x:c>
      <x:c r="J4676" s="7" t="str"/>
    </x:row>
    <x:row r="4677">
      <x:c r="A4677" s="5" t="str">
        <x:v>鯨</x:v>
      </x:c>
      <x:c r="B4677" s="6" t="str">
        <x:v>平</x:v>
      </x:c>
      <x:c r="C4677" s="6" t="str">
        <x:f>IF(B4677="","Needs decision","Ready")</x:f>
        <x:v>Ready</x:v>
      </x:c>
      <x:c r="D4677" s="6" t="str">
        <x:v>平</x:v>
      </x:c>
      <x:c r="E4677" s="6" t="str">
        <x:v>gjaeng (A)</x:v>
      </x:c>
      <x:c r="F4677" s="6" t="str">
        <x:v>1</x:v>
      </x:c>
      <x:c r="G4677" s="6" t="str"/>
      <x:c r="H4677" s="6" t="str">
        <x:f>IF(B4677="平","平",IF(B4677="","","仄"))</x:f>
        <x:v>平</x:v>
      </x:c>
      <x:c r="I4677" s="6" t="str">
        <x:f>IF(D4660="","",IF(AND(ISNUMBER(SEARCH("平",D4660)),OR(ISNUMBER(SEARCH("上",D4660)),ISNUMBER(SEARCH("去",D4660)),ISNUMBER(SEARCH("入",D4660)))),"Ambiguous",IF(ISNUMBER(SEARCH("平",D4660)),"平","仄")))</x:f>
        <x:v>仄</x:v>
      </x:c>
      <x:c r="J4677" s="7" t="str"/>
    </x:row>
    <x:row r="4678">
      <x:c r="A4678" s="5" t="str">
        <x:v>鰥</x:v>
      </x:c>
      <x:c r="B4678" s="6" t="str">
        <x:v>平</x:v>
      </x:c>
      <x:c r="C4678" s="6" t="str">
        <x:f>IF(B4678="","Needs decision","Ready")</x:f>
        <x:v>Ready</x:v>
      </x:c>
      <x:c r="D4678" s="6" t="str">
        <x:v>平</x:v>
      </x:c>
      <x:c r="E4678" s="6" t="str">
        <x:v>kwean (A)</x:v>
      </x:c>
      <x:c r="F4678" s="6" t="str">
        <x:v>1</x:v>
      </x:c>
      <x:c r="G4678" s="6" t="str"/>
      <x:c r="H4678" s="6" t="str">
        <x:f>IF(B4678="平","平",IF(B4678="","","仄"))</x:f>
        <x:v>平</x:v>
      </x:c>
      <x:c r="I4678" s="6" t="str">
        <x:f>IF(D4661="","",IF(AND(ISNUMBER(SEARCH("平",D4661)),OR(ISNUMBER(SEARCH("上",D4661)),ISNUMBER(SEARCH("去",D4661)),ISNUMBER(SEARCH("入",D4661)))),"Ambiguous",IF(ISNUMBER(SEARCH("平",D4661)),"平","仄")))</x:f>
        <x:v>平</x:v>
      </x:c>
      <x:c r="J4678" s="7" t="str"/>
    </x:row>
    <x:row r="4679">
      <x:c r="A4679" s="5" t="str">
        <x:v>鰭</x:v>
      </x:c>
      <x:c r="B4679" s="6" t="str">
        <x:v>平</x:v>
      </x:c>
      <x:c r="C4679" s="6" t="str">
        <x:f>IF(B4679="","Needs decision","Ready")</x:f>
        <x:v>Ready</x:v>
      </x:c>
      <x:c r="D4679" s="6" t="str">
        <x:v>平</x:v>
      </x:c>
      <x:c r="E4679" s="6" t="str">
        <x:v>gij (A)</x:v>
      </x:c>
      <x:c r="F4679" s="6" t="str">
        <x:v>1</x:v>
      </x:c>
      <x:c r="G4679" s="6" t="str"/>
      <x:c r="H4679" s="6" t="str">
        <x:f>IF(B4679="平","平",IF(B4679="","","仄"))</x:f>
        <x:v>平</x:v>
      </x:c>
      <x:c r="I4679" s="6" t="str">
        <x:f>IF(D4662="","",IF(AND(ISNUMBER(SEARCH("平",D4662)),OR(ISNUMBER(SEARCH("上",D4662)),ISNUMBER(SEARCH("去",D4662)),ISNUMBER(SEARCH("入",D4662)))),"Ambiguous",IF(ISNUMBER(SEARCH("平",D4662)),"平","仄")))</x:f>
        <x:v>仄</x:v>
      </x:c>
      <x:c r="J4679" s="7" t="str"/>
    </x:row>
    <x:row r="4680">
      <x:c r="A4680" s="5" t="str">
        <x:v>鱉</x:v>
      </x:c>
      <x:c r="B4680" s="6" t="str">
        <x:v>入</x:v>
      </x:c>
      <x:c r="C4680" s="6" t="str">
        <x:f>IF(B4680="","Needs decision","Ready")</x:f>
        <x:v>Ready</x:v>
      </x:c>
      <x:c r="D4680" s="6" t="str">
        <x:v>入</x:v>
      </x:c>
      <x:c r="E4680" s="6" t="str">
        <x:v>pjiet (D)</x:v>
      </x:c>
      <x:c r="F4680" s="6" t="str">
        <x:v>1</x:v>
      </x:c>
      <x:c r="G4680" s="6" t="str"/>
      <x:c r="H4680" s="6" t="str">
        <x:f>IF(B4680="平","平",IF(B4680="","","仄"))</x:f>
        <x:v>仄</x:v>
      </x:c>
      <x:c r="I4680" s="6" t="str">
        <x:f>IF(D4663="","",IF(AND(ISNUMBER(SEARCH("平",D4663)),OR(ISNUMBER(SEARCH("上",D4663)),ISNUMBER(SEARCH("去",D4663)),ISNUMBER(SEARCH("入",D4663)))),"Ambiguous",IF(ISNUMBER(SEARCH("平",D4663)),"平","仄")))</x:f>
        <x:v>仄</x:v>
      </x:c>
      <x:c r="J4680" s="7" t="str"/>
    </x:row>
    <x:row r="4681">
      <x:c r="A4681" s="5" t="str">
        <x:v>鱗</x:v>
      </x:c>
      <x:c r="B4681" s="6" t="str">
        <x:v>平</x:v>
      </x:c>
      <x:c r="C4681" s="6" t="str">
        <x:f>IF(B4681="","Needs decision","Ready")</x:f>
        <x:v>Ready</x:v>
      </x:c>
      <x:c r="D4681" s="6" t="str">
        <x:v>平</x:v>
      </x:c>
      <x:c r="E4681" s="6" t="str">
        <x:v>lin (A)</x:v>
      </x:c>
      <x:c r="F4681" s="6" t="str">
        <x:v>1</x:v>
      </x:c>
      <x:c r="G4681" s="6" t="str"/>
      <x:c r="H4681" s="6" t="str">
        <x:f>IF(B4681="平","平",IF(B4681="","","仄"))</x:f>
        <x:v>平</x:v>
      </x:c>
      <x:c r="I4681" s="6" t="str">
        <x:f>IF(D4664="","",IF(AND(ISNUMBER(SEARCH("平",D4664)),OR(ISNUMBER(SEARCH("上",D4664)),ISNUMBER(SEARCH("去",D4664)),ISNUMBER(SEARCH("入",D4664)))),"Ambiguous",IF(ISNUMBER(SEARCH("平",D4664)),"平","仄")))</x:f>
        <x:v>平</x:v>
      </x:c>
      <x:c r="J4681" s="7" t="str"/>
    </x:row>
    <x:row r="4682">
      <x:c r="A4682" s="5" t="str">
        <x:v>鱢</x:v>
      </x:c>
      <x:c r="B4682" s="6" t="str">
        <x:v>平</x:v>
      </x:c>
      <x:c r="C4682" s="6" t="str">
        <x:f>IF(B4682="","Needs decision","Ready")</x:f>
        <x:v>Ready</x:v>
      </x:c>
      <x:c r="D4682" s="6" t="str">
        <x:v>平</x:v>
      </x:c>
      <x:c r="E4682" s="6" t="str">
        <x:v>saw (A)</x:v>
      </x:c>
      <x:c r="F4682" s="6" t="str">
        <x:v>1</x:v>
      </x:c>
      <x:c r="G4682" s="6" t="str"/>
      <x:c r="H4682" s="6" t="str">
        <x:f>IF(B4682="平","平",IF(B4682="","","仄"))</x:f>
        <x:v>平</x:v>
      </x:c>
      <x:c r="I4682" s="6" t="str">
        <x:f>IF(D4665="","",IF(AND(ISNUMBER(SEARCH("平",D4665)),OR(ISNUMBER(SEARCH("上",D4665)),ISNUMBER(SEARCH("去",D4665)),ISNUMBER(SEARCH("入",D4665)))),"Ambiguous",IF(ISNUMBER(SEARCH("平",D4665)),"平","仄")))</x:f>
        <x:v>平</x:v>
      </x:c>
      <x:c r="J4682" s="7" t="str"/>
    </x:row>
    <x:row r="4683">
      <x:c r="A4683" s="5" t="str">
        <x:v>鱣</x:v>
      </x:c>
      <x:c r="B4683" s="6" t="str">
        <x:v>平</x:v>
      </x:c>
      <x:c r="C4683" s="6" t="str">
        <x:f>IF(B4683="","Needs decision","Ready")</x:f>
        <x:v>Ready</x:v>
      </x:c>
      <x:c r="D4683" s="6" t="str">
        <x:v>平</x:v>
      </x:c>
      <x:c r="E4683" s="6" t="str">
        <x:v>trjen (A)</x:v>
      </x:c>
      <x:c r="F4683" s="6" t="str">
        <x:v>1</x:v>
      </x:c>
      <x:c r="G4683" s="6" t="str"/>
      <x:c r="H4683" s="6" t="str">
        <x:f>IF(B4683="平","平",IF(B4683="","","仄"))</x:f>
        <x:v>平</x:v>
      </x:c>
      <x:c r="I4683" s="6" t="str">
        <x:f>IF(D4666="","",IF(AND(ISNUMBER(SEARCH("平",D4666)),OR(ISNUMBER(SEARCH("上",D4666)),ISNUMBER(SEARCH("去",D4666)),ISNUMBER(SEARCH("入",D4666)))),"Ambiguous",IF(ISNUMBER(SEARCH("平",D4666)),"平","仄")))</x:f>
        <x:v>仄</x:v>
      </x:c>
      <x:c r="J4683" s="7" t="str"/>
    </x:row>
    <x:row r="4684">
      <x:c r="A4684" s="5" t="str">
        <x:v>鳥</x:v>
      </x:c>
      <x:c r="B4684" s="6" t="str">
        <x:v>上</x:v>
      </x:c>
      <x:c r="C4684" s="6" t="str">
        <x:f>IF(B4684="","Needs decision","Ready")</x:f>
        <x:v>Ready</x:v>
      </x:c>
      <x:c r="D4684" s="6" t="str">
        <x:v>上</x:v>
      </x:c>
      <x:c r="E4684" s="6" t="str">
        <x:v>tewX (B)</x:v>
      </x:c>
      <x:c r="F4684" s="6" t="str">
        <x:v>1</x:v>
      </x:c>
      <x:c r="G4684" s="6" t="str"/>
      <x:c r="H4684" s="6" t="str">
        <x:f>IF(B4684="平","平",IF(B4684="","","仄"))</x:f>
        <x:v>仄</x:v>
      </x:c>
      <x:c r="I4684" s="6" t="str">
        <x:f>IF(D4667="","",IF(AND(ISNUMBER(SEARCH("平",D4667)),OR(ISNUMBER(SEARCH("上",D4667)),ISNUMBER(SEARCH("去",D4667)),ISNUMBER(SEARCH("入",D4667)))),"Ambiguous",IF(ISNUMBER(SEARCH("平",D4667)),"平","仄")))</x:f>
        <x:v>仄</x:v>
      </x:c>
      <x:c r="J4684" s="7" t="str"/>
    </x:row>
    <x:row r="4685">
      <x:c r="A4685" s="5" t="str">
        <x:v>鳧</x:v>
      </x:c>
      <x:c r="B4685" s="6" t="str">
        <x:v>平</x:v>
      </x:c>
      <x:c r="C4685" s="6" t="str">
        <x:f>IF(B4685="","Needs decision","Ready")</x:f>
        <x:v>Ready</x:v>
      </x:c>
      <x:c r="D4685" s="6" t="str">
        <x:v>平</x:v>
      </x:c>
      <x:c r="E4685" s="6" t="str">
        <x:v>bju [bɨ̯o] (平)</x:v>
      </x:c>
      <x:c r="F4685" s="6" t="str">
        <x:v>1</x:v>
      </x:c>
      <x:c r="G4685" s="6" t="str">
        <x:v>Tang 300 gap; frequency 1; provisional from Xun Gong</x:v>
      </x:c>
      <x:c r="H4685" s="6" t="str">
        <x:f>IF(B4685="平","平",IF(B4685="","","仄"))</x:f>
        <x:v>平</x:v>
      </x:c>
      <x:c r="I4685" s="6" t="str">
        <x:f>IF(D4668="","",IF(AND(ISNUMBER(SEARCH("平",D4668)),OR(ISNUMBER(SEARCH("上",D4668)),ISNUMBER(SEARCH("去",D4668)),ISNUMBER(SEARCH("入",D4668)))),"Ambiguous",IF(ISNUMBER(SEARCH("平",D4668)),"平","仄")))</x:f>
        <x:v>Ambiguous</x:v>
      </x:c>
      <x:c r="J4685" s="7" t="str">
        <x:v>Xun Gong, Tang 300 gap fill</x:v>
      </x:c>
    </x:row>
    <x:row r="4686">
      <x:c r="A4686" s="5" t="str">
        <x:v>鳩</x:v>
      </x:c>
      <x:c r="B4686" s="6" t="str">
        <x:v>平</x:v>
      </x:c>
      <x:c r="C4686" s="6" t="str">
        <x:f>IF(B4686="","Needs decision","Ready")</x:f>
        <x:v>Ready</x:v>
      </x:c>
      <x:c r="D4686" s="6" t="str">
        <x:v>平</x:v>
      </x:c>
      <x:c r="E4686" s="6" t="str">
        <x:v>kjuw (A)</x:v>
      </x:c>
      <x:c r="F4686" s="6" t="str">
        <x:v>1</x:v>
      </x:c>
      <x:c r="G4686" s="6" t="str"/>
      <x:c r="H4686" s="6" t="str">
        <x:f>IF(B4686="平","平",IF(B4686="","","仄"))</x:f>
        <x:v>平</x:v>
      </x:c>
      <x:c r="I4686" s="6" t="str">
        <x:f>IF(D4669="","",IF(AND(ISNUMBER(SEARCH("平",D4669)),OR(ISNUMBER(SEARCH("上",D4669)),ISNUMBER(SEARCH("去",D4669)),ISNUMBER(SEARCH("入",D4669)))),"Ambiguous",IF(ISNUMBER(SEARCH("平",D4669)),"平","仄")))</x:f>
        <x:v>平</x:v>
      </x:c>
      <x:c r="J4686" s="7" t="str"/>
    </x:row>
    <x:row r="4687">
      <x:c r="A4687" s="5" t="str">
        <x:v>鳳</x:v>
      </x:c>
      <x:c r="B4687" s="6" t="str">
        <x:v>去</x:v>
      </x:c>
      <x:c r="C4687" s="6" t="str">
        <x:f>IF(B4687="","Needs decision","Ready")</x:f>
        <x:v>Ready</x:v>
      </x:c>
      <x:c r="D4687" s="6" t="str">
        <x:v>去</x:v>
      </x:c>
      <x:c r="E4687" s="6" t="str">
        <x:v>bjuwngH [並三C東去] bɨ̯uŋh</x:v>
      </x:c>
      <x:c r="F4687" s="6" t="str">
        <x:v>1</x:v>
      </x:c>
      <x:c r="G4687" s="6" t="str">
        <x:v>Targeted preliminary fill from Xun Gong; review if uncertain</x:v>
      </x:c>
      <x:c r="H4687" s="6" t="str">
        <x:f>IF(B4687="平","平",IF(B4687="","","仄"))</x:f>
        <x:v>仄</x:v>
      </x:c>
      <x:c r="I4687" s="6" t="str">
        <x:f>IF(D4670="","",IF(AND(ISNUMBER(SEARCH("平",D4670)),OR(ISNUMBER(SEARCH("上",D4670)),ISNUMBER(SEARCH("去",D4670)),ISNUMBER(SEARCH("入",D4670)))),"Ambiguous",IF(ISNUMBER(SEARCH("平",D4670)),"平","仄")))</x:f>
        <x:v>平</x:v>
      </x:c>
      <x:c r="J4687" s="7" t="str">
        <x:v>Xun Gong character-readings.csv</x:v>
      </x:c>
    </x:row>
    <x:row r="4688">
      <x:c r="A4688" s="5" t="str">
        <x:v>鳴</x:v>
      </x:c>
      <x:c r="B4688" s="6" t="str">
        <x:v>平</x:v>
      </x:c>
      <x:c r="C4688" s="6" t="str">
        <x:f>IF(B4688="","Needs decision","Ready")</x:f>
        <x:v>Ready</x:v>
      </x:c>
      <x:c r="D4688" s="6" t="str">
        <x:v>平</x:v>
      </x:c>
      <x:c r="E4688" s="6" t="str">
        <x:v>mjaeng (A)</x:v>
      </x:c>
      <x:c r="F4688" s="6" t="str">
        <x:v>1</x:v>
      </x:c>
      <x:c r="G4688" s="6" t="str"/>
      <x:c r="H4688" s="6" t="str">
        <x:f>IF(B4688="平","平",IF(B4688="","","仄"))</x:f>
        <x:v>平</x:v>
      </x:c>
      <x:c r="I4688" s="6" t="str">
        <x:f>IF(D4671="","",IF(AND(ISNUMBER(SEARCH("平",D4671)),OR(ISNUMBER(SEARCH("上",D4671)),ISNUMBER(SEARCH("去",D4671)),ISNUMBER(SEARCH("入",D4671)))),"Ambiguous",IF(ISNUMBER(SEARCH("平",D4671)),"平","仄")))</x:f>
        <x:v>平</x:v>
      </x:c>
      <x:c r="J4688" s="7" t="str"/>
    </x:row>
    <x:row r="4689">
      <x:c r="A4689" s="5" t="str">
        <x:v>鳸</x:v>
      </x:c>
      <x:c r="B4689" s="6" t="str">
        <x:v>上</x:v>
      </x:c>
      <x:c r="C4689" s="6" t="str">
        <x:f>IF(B4689="","Needs decision","Ready")</x:f>
        <x:v>Ready</x:v>
      </x:c>
      <x:c r="D4689" s="6" t="str">
        <x:v>上</x:v>
      </x:c>
      <x:c r="E4689" s="6" t="str">
        <x:v>huX (B)</x:v>
      </x:c>
      <x:c r="F4689" s="6" t="str">
        <x:v>1</x:v>
      </x:c>
      <x:c r="G4689" s="6" t="str"/>
      <x:c r="H4689" s="6" t="str">
        <x:f>IF(B4689="平","平",IF(B4689="","","仄"))</x:f>
        <x:v>仄</x:v>
      </x:c>
      <x:c r="I4689" s="6" t="str">
        <x:f>IF(D4672="","",IF(AND(ISNUMBER(SEARCH("平",D4672)),OR(ISNUMBER(SEARCH("上",D4672)),ISNUMBER(SEARCH("去",D4672)),ISNUMBER(SEARCH("入",D4672)))),"Ambiguous",IF(ISNUMBER(SEARCH("平",D4672)),"平","仄")))</x:f>
        <x:v>仄</x:v>
      </x:c>
      <x:c r="J4689" s="7" t="str"/>
    </x:row>
    <x:row r="4690">
      <x:c r="A4690" s="5" t="str">
        <x:v>鴆</x:v>
      </x:c>
      <x:c r="B4690" s="6" t="str">
        <x:v>去</x:v>
      </x:c>
      <x:c r="C4690" s="6" t="str">
        <x:f>IF(B4690="","Needs decision","Ready")</x:f>
        <x:v>Ready</x:v>
      </x:c>
      <x:c r="D4690" s="6" t="str">
        <x:v>去</x:v>
      </x:c>
      <x:c r="E4690" s="6" t="str">
        <x:v>drimH (C)</x:v>
      </x:c>
      <x:c r="F4690" s="6" t="str">
        <x:v>1</x:v>
      </x:c>
      <x:c r="G4690" s="6" t="str"/>
      <x:c r="H4690" s="6" t="str">
        <x:f>IF(B4690="平","平",IF(B4690="","","仄"))</x:f>
        <x:v>仄</x:v>
      </x:c>
      <x:c r="I4690" s="6" t="str">
        <x:f>IF(D4673="","",IF(AND(ISNUMBER(SEARCH("平",D4673)),OR(ISNUMBER(SEARCH("上",D4673)),ISNUMBER(SEARCH("去",D4673)),ISNUMBER(SEARCH("入",D4673)))),"Ambiguous",IF(ISNUMBER(SEARCH("平",D4673)),"平","仄")))</x:f>
        <x:v>平</x:v>
      </x:c>
      <x:c r="J4690" s="7" t="str"/>
    </x:row>
    <x:row r="4691">
      <x:c r="A4691" s="5" t="str">
        <x:v>鴈</x:v>
      </x:c>
      <x:c r="B4691" s="6" t="str">
        <x:v>去</x:v>
      </x:c>
      <x:c r="C4691" s="6" t="str">
        <x:f>IF(B4691="","Needs decision","Ready")</x:f>
        <x:v>Ready</x:v>
      </x:c>
      <x:c r="D4691" s="6" t="str">
        <x:v>去</x:v>
      </x:c>
      <x:c r="E4691" s="6" t="str">
        <x:v>ngaenH (C)</x:v>
      </x:c>
      <x:c r="F4691" s="6" t="str">
        <x:v>1</x:v>
      </x:c>
      <x:c r="G4691" s="6" t="str"/>
      <x:c r="H4691" s="6" t="str">
        <x:f>IF(B4691="平","平",IF(B4691="","","仄"))</x:f>
        <x:v>仄</x:v>
      </x:c>
      <x:c r="I4691" s="6" t="str">
        <x:f>IF(D4674="","",IF(AND(ISNUMBER(SEARCH("平",D4674)),OR(ISNUMBER(SEARCH("上",D4674)),ISNUMBER(SEARCH("去",D4674)),ISNUMBER(SEARCH("入",D4674)))),"Ambiguous",IF(ISNUMBER(SEARCH("平",D4674)),"平","仄")))</x:f>
        <x:v>仄</x:v>
      </x:c>
      <x:c r="J4691" s="7" t="str"/>
    </x:row>
    <x:row r="4692">
      <x:c r="A4692" s="5" t="str">
        <x:v>鴉</x:v>
      </x:c>
      <x:c r="B4692" s="6" t="str">
        <x:v>平</x:v>
      </x:c>
      <x:c r="C4692" s="6" t="str">
        <x:f>IF(B4692="","Needs decision","Ready")</x:f>
        <x:v>Ready</x:v>
      </x:c>
      <x:c r="D4692" s="6" t="str">
        <x:v>平</x:v>
      </x:c>
      <x:c r="E4692" s="6" t="str">
        <x:v>'ae (A)</x:v>
      </x:c>
      <x:c r="F4692" s="6" t="str">
        <x:v>1</x:v>
      </x:c>
      <x:c r="G4692" s="6" t="str"/>
      <x:c r="H4692" s="6" t="str">
        <x:f>IF(B4692="平","平",IF(B4692="","","仄"))</x:f>
        <x:v>平</x:v>
      </x:c>
      <x:c r="I4692" s="6" t="str">
        <x:f>IF(D4675="","",IF(AND(ISNUMBER(SEARCH("平",D4675)),OR(ISNUMBER(SEARCH("上",D4675)),ISNUMBER(SEARCH("去",D4675)),ISNUMBER(SEARCH("入",D4675)))),"Ambiguous",IF(ISNUMBER(SEARCH("平",D4675)),"平","仄")))</x:f>
        <x:v>Ambiguous</x:v>
      </x:c>
      <x:c r="J4692" s="7" t="str"/>
    </x:row>
    <x:row r="4693">
      <x:c r="A4693" s="5" t="str">
        <x:v>鴛</x:v>
      </x:c>
      <x:c r="B4693" s="6" t="str">
        <x:v>平</x:v>
      </x:c>
      <x:c r="C4693" s="6" t="str">
        <x:f>IF(B4693="","Needs decision","Ready")</x:f>
        <x:v>Ready</x:v>
      </x:c>
      <x:c r="D4693" s="6" t="str">
        <x:v>平</x:v>
      </x:c>
      <x:c r="E4693" s="6" t="str">
        <x:v>'jwon [ʔwɨ̯ən] (平); 'won [ʔ̙wən] (平)</x:v>
      </x:c>
      <x:c r="F4693" s="6" t="str">
        <x:v>2</x:v>
      </x:c>
      <x:c r="G4693" s="6" t="str">
        <x:v>Tang 300 gap; frequency 5; provisional from Xun Gong</x:v>
      </x:c>
      <x:c r="H4693" s="6" t="str">
        <x:f>IF(B4693="平","平",IF(B4693="","","仄"))</x:f>
        <x:v>平</x:v>
      </x:c>
      <x:c r="I4693" s="6" t="str">
        <x:f>IF(D4676="","",IF(AND(ISNUMBER(SEARCH("平",D4676)),OR(ISNUMBER(SEARCH("上",D4676)),ISNUMBER(SEARCH("去",D4676)),ISNUMBER(SEARCH("入",D4676)))),"Ambiguous",IF(ISNUMBER(SEARCH("平",D4676)),"平","仄")))</x:f>
        <x:v>仄</x:v>
      </x:c>
      <x:c r="J4693" s="7" t="str">
        <x:v>Xun Gong, Tang 300 gap fill</x:v>
      </x:c>
    </x:row>
    <x:row r="4694">
      <x:c r="A4694" s="5" t="str">
        <x:v>鴞</x:v>
      </x:c>
      <x:c r="B4694" s="6" t="str">
        <x:v>平</x:v>
      </x:c>
      <x:c r="C4694" s="6" t="str">
        <x:f>IF(B4694="","Needs decision","Ready")</x:f>
        <x:v>Ready</x:v>
      </x:c>
      <x:c r="D4694" s="6" t="str">
        <x:v>平</x:v>
      </x:c>
      <x:c r="E4694" s="6" t="str">
        <x:v>hjew (A)</x:v>
      </x:c>
      <x:c r="F4694" s="6" t="str">
        <x:v>1</x:v>
      </x:c>
      <x:c r="G4694" s="6" t="str"/>
      <x:c r="H4694" s="6" t="str">
        <x:f>IF(B4694="平","平",IF(B4694="","","仄"))</x:f>
        <x:v>平</x:v>
      </x:c>
      <x:c r="I4694" s="6" t="str">
        <x:f>IF(D4677="","",IF(AND(ISNUMBER(SEARCH("平",D4677)),OR(ISNUMBER(SEARCH("上",D4677)),ISNUMBER(SEARCH("去",D4677)),ISNUMBER(SEARCH("入",D4677)))),"Ambiguous",IF(ISNUMBER(SEARCH("平",D4677)),"平","仄")))</x:f>
        <x:v>平</x:v>
      </x:c>
      <x:c r="J4694" s="7" t="str"/>
    </x:row>
    <x:row r="4695">
      <x:c r="A4695" s="5" t="str">
        <x:v>鴟</x:v>
      </x:c>
      <x:c r="B4695" s="6" t="str">
        <x:v>平</x:v>
      </x:c>
      <x:c r="C4695" s="6" t="str">
        <x:f>IF(B4695="","Needs decision","Ready")</x:f>
        <x:v>Ready</x:v>
      </x:c>
      <x:c r="D4695" s="6" t="str">
        <x:v>平</x:v>
      </x:c>
      <x:c r="E4695" s="6" t="str">
        <x:v>tsyhij (A)</x:v>
      </x:c>
      <x:c r="F4695" s="6" t="str">
        <x:v>1</x:v>
      </x:c>
      <x:c r="G4695" s="6" t="str"/>
      <x:c r="H4695" s="6" t="str">
        <x:f>IF(B4695="平","平",IF(B4695="","","仄"))</x:f>
        <x:v>平</x:v>
      </x:c>
      <x:c r="I4695" s="6" t="str">
        <x:f>IF(D4678="","",IF(AND(ISNUMBER(SEARCH("平",D4678)),OR(ISNUMBER(SEARCH("上",D4678)),ISNUMBER(SEARCH("去",D4678)),ISNUMBER(SEARCH("入",D4678)))),"Ambiguous",IF(ISNUMBER(SEARCH("平",D4678)),"平","仄")))</x:f>
        <x:v>平</x:v>
      </x:c>
      <x:c r="J4695" s="7" t="str"/>
    </x:row>
    <x:row r="4696">
      <x:c r="A4696" s="5" t="str">
        <x:v>鴡</x:v>
      </x:c>
      <x:c r="B4696" s="6" t="str">
        <x:v>平</x:v>
      </x:c>
      <x:c r="C4696" s="6" t="str">
        <x:f>IF(B4696="","Needs decision","Ready")</x:f>
        <x:v>Ready</x:v>
      </x:c>
      <x:c r="D4696" s="6" t="str">
        <x:v>平</x:v>
      </x:c>
      <x:c r="E4696" s="6" t="str">
        <x:v>tshjo (A)</x:v>
      </x:c>
      <x:c r="F4696" s="6" t="str">
        <x:v>1</x:v>
      </x:c>
      <x:c r="G4696" s="6" t="str"/>
      <x:c r="H4696" s="6" t="str">
        <x:f>IF(B4696="平","平",IF(B4696="","","仄"))</x:f>
        <x:v>平</x:v>
      </x:c>
      <x:c r="I4696" s="6" t="str">
        <x:f>IF(D4679="","",IF(AND(ISNUMBER(SEARCH("平",D4679)),OR(ISNUMBER(SEARCH("上",D4679)),ISNUMBER(SEARCH("去",D4679)),ISNUMBER(SEARCH("入",D4679)))),"Ambiguous",IF(ISNUMBER(SEARCH("平",D4679)),"平","仄")))</x:f>
        <x:v>平</x:v>
      </x:c>
      <x:c r="J4696" s="7" t="str"/>
    </x:row>
    <x:row r="4697">
      <x:c r="A4697" s="5" t="str">
        <x:v>鴦</x:v>
      </x:c>
      <x:c r="B4697" s="6" t="str">
        <x:v>平</x:v>
      </x:c>
      <x:c r="C4697" s="6" t="str">
        <x:f>IF(B4697="","Needs decision","Ready")</x:f>
        <x:v>Ready</x:v>
      </x:c>
      <x:c r="D4697" s="6" t="str">
        <x:v>平</x:v>
      </x:c>
      <x:c r="E4697" s="6" t="str">
        <x:v>'jang (A)</x:v>
      </x:c>
      <x:c r="F4697" s="6" t="str">
        <x:v>1</x:v>
      </x:c>
      <x:c r="G4697" s="6" t="str"/>
      <x:c r="H4697" s="6" t="str">
        <x:f>IF(B4697="平","平",IF(B4697="","","仄"))</x:f>
        <x:v>平</x:v>
      </x:c>
      <x:c r="I4697" s="6" t="str">
        <x:f>IF(D4680="","",IF(AND(ISNUMBER(SEARCH("平",D4680)),OR(ISNUMBER(SEARCH("上",D4680)),ISNUMBER(SEARCH("去",D4680)),ISNUMBER(SEARCH("入",D4680)))),"Ambiguous",IF(ISNUMBER(SEARCH("平",D4680)),"平","仄")))</x:f>
        <x:v>仄</x:v>
      </x:c>
      <x:c r="J4697" s="7" t="str"/>
    </x:row>
    <x:row r="4698">
      <x:c r="A4698" s="5" t="str">
        <x:v>鴨</x:v>
      </x:c>
      <x:c r="B4698" s="6" t="str">
        <x:v>入</x:v>
      </x:c>
      <x:c r="C4698" s="6" t="str">
        <x:f>IF(B4698="","Needs decision","Ready")</x:f>
        <x:v>Ready</x:v>
      </x:c>
      <x:c r="D4698" s="6" t="str">
        <x:v>入</x:v>
      </x:c>
      <x:c r="E4698" s="6" t="str"/>
      <x:c r="F4698" s="6" t="str"/>
      <x:c r="G4698" s="6" t="str">
        <x:v>Manual user correction/addition</x:v>
      </x:c>
      <x:c r="H4698" s="6" t="str">
        <x:f>IF(B4698="平","平",IF(B4698="","","仄"))</x:f>
        <x:v>仄</x:v>
      </x:c>
      <x:c r="I4698" s="6" t="str">
        <x:f>IF(D4681="","",IF(AND(ISNUMBER(SEARCH("平",D4681)),OR(ISNUMBER(SEARCH("上",D4681)),ISNUMBER(SEARCH("去",D4681)),ISNUMBER(SEARCH("入",D4681)))),"Ambiguous",IF(ISNUMBER(SEARCH("平",D4681)),"平","仄")))</x:f>
        <x:v>平</x:v>
      </x:c>
      <x:c r="J4698" s="7" t="str">
        <x:v>manual user correction</x:v>
      </x:c>
    </x:row>
    <x:row r="4699">
      <x:c r="A4699" s="5" t="str">
        <x:v>鴳</x:v>
      </x:c>
      <x:c r="B4699" s="6" t="str">
        <x:v>去</x:v>
      </x:c>
      <x:c r="C4699" s="6" t="str">
        <x:f>IF(B4699="","Needs decision","Ready")</x:f>
        <x:v>Ready</x:v>
      </x:c>
      <x:c r="D4699" s="6" t="str">
        <x:v>去</x:v>
      </x:c>
      <x:c r="E4699" s="6" t="str">
        <x:v>'aenH (C)</x:v>
      </x:c>
      <x:c r="F4699" s="6" t="str">
        <x:v>1</x:v>
      </x:c>
      <x:c r="G4699" s="6" t="str"/>
      <x:c r="H4699" s="6" t="str">
        <x:f>IF(B4699="平","平",IF(B4699="","","仄"))</x:f>
        <x:v>仄</x:v>
      </x:c>
      <x:c r="I4699" s="6" t="str">
        <x:f>IF(D4682="","",IF(AND(ISNUMBER(SEARCH("平",D4682)),OR(ISNUMBER(SEARCH("上",D4682)),ISNUMBER(SEARCH("去",D4682)),ISNUMBER(SEARCH("入",D4682)))),"Ambiguous",IF(ISNUMBER(SEARCH("平",D4682)),"平","仄")))</x:f>
        <x:v>平</x:v>
      </x:c>
      <x:c r="J4699" s="7" t="str"/>
    </x:row>
    <x:row r="4700">
      <x:c r="A4700" s="5" t="str">
        <x:v>鴻</x:v>
      </x:c>
      <x:c r="B4700" s="6" t="str">
        <x:v>平</x:v>
      </x:c>
      <x:c r="C4700" s="6" t="str">
        <x:f>IF(B4700="","Needs decision","Ready")</x:f>
        <x:v>Ready</x:v>
      </x:c>
      <x:c r="D4700" s="6" t="str">
        <x:v>平</x:v>
      </x:c>
      <x:c r="E4700" s="6" t="str">
        <x:v>huwng (A)</x:v>
      </x:c>
      <x:c r="F4700" s="6" t="str">
        <x:v>1</x:v>
      </x:c>
      <x:c r="G4700" s="6" t="str"/>
      <x:c r="H4700" s="6" t="str">
        <x:f>IF(B4700="平","平",IF(B4700="","","仄"))</x:f>
        <x:v>平</x:v>
      </x:c>
      <x:c r="I4700" s="6" t="str">
        <x:f>IF(D4683="","",IF(AND(ISNUMBER(SEARCH("平",D4683)),OR(ISNUMBER(SEARCH("上",D4683)),ISNUMBER(SEARCH("去",D4683)),ISNUMBER(SEARCH("入",D4683)))),"Ambiguous",IF(ISNUMBER(SEARCH("平",D4683)),"平","仄")))</x:f>
        <x:v>平</x:v>
      </x:c>
      <x:c r="J4700" s="7" t="str"/>
    </x:row>
    <x:row r="4701">
      <x:c r="A4701" s="5" t="str">
        <x:v>鴿</x:v>
      </x:c>
      <x:c r="B4701" s="6" t="str">
        <x:v>入</x:v>
      </x:c>
      <x:c r="C4701" s="6" t="str">
        <x:f>IF(B4701="","Needs decision","Ready")</x:f>
        <x:v>Ready</x:v>
      </x:c>
      <x:c r="D4701" s="6" t="str">
        <x:v>入</x:v>
      </x:c>
      <x:c r="E4701" s="6" t="str">
        <x:v>kop (D)</x:v>
      </x:c>
      <x:c r="F4701" s="6" t="str">
        <x:v>1</x:v>
      </x:c>
      <x:c r="G4701" s="6" t="str"/>
      <x:c r="H4701" s="6" t="str">
        <x:f>IF(B4701="平","平",IF(B4701="","","仄"))</x:f>
        <x:v>仄</x:v>
      </x:c>
      <x:c r="I4701" s="6" t="str">
        <x:f>IF(D4684="","",IF(AND(ISNUMBER(SEARCH("平",D4684)),OR(ISNUMBER(SEARCH("上",D4684)),ISNUMBER(SEARCH("去",D4684)),ISNUMBER(SEARCH("入",D4684)))),"Ambiguous",IF(ISNUMBER(SEARCH("平",D4684)),"平","仄")))</x:f>
        <x:v>仄</x:v>
      </x:c>
      <x:c r="J4701" s="7" t="str"/>
    </x:row>
    <x:row r="4702">
      <x:c r="A4702" s="5" t="str">
        <x:v>鵂</x:v>
      </x:c>
      <x:c r="B4702" s="6" t="str">
        <x:v>平</x:v>
      </x:c>
      <x:c r="C4702" s="6" t="str">
        <x:f>IF(B4702="","Needs decision","Ready")</x:f>
        <x:v>Ready</x:v>
      </x:c>
      <x:c r="D4702" s="6" t="str">
        <x:v>平</x:v>
      </x:c>
      <x:c r="E4702" s="6" t="str">
        <x:v>xjuw (A)</x:v>
      </x:c>
      <x:c r="F4702" s="6" t="str">
        <x:v>1</x:v>
      </x:c>
      <x:c r="G4702" s="6" t="str"/>
      <x:c r="H4702" s="6" t="str">
        <x:f>IF(B4702="平","平",IF(B4702="","","仄"))</x:f>
        <x:v>平</x:v>
      </x:c>
      <x:c r="I4702" s="6" t="str">
        <x:f>IF(D4685="","",IF(AND(ISNUMBER(SEARCH("平",D4685)),OR(ISNUMBER(SEARCH("上",D4685)),ISNUMBER(SEARCH("去",D4685)),ISNUMBER(SEARCH("入",D4685)))),"Ambiguous",IF(ISNUMBER(SEARCH("平",D4685)),"平","仄")))</x:f>
        <x:v>平</x:v>
      </x:c>
      <x:c r="J4702" s="7" t="str"/>
    </x:row>
    <x:row r="4703">
      <x:c r="A4703" s="5" t="str">
        <x:v>鵑</x:v>
      </x:c>
      <x:c r="B4703" s="6" t="str">
        <x:v>平</x:v>
      </x:c>
      <x:c r="C4703" s="6" t="str">
        <x:f>IF(B4703="","Needs decision","Ready")</x:f>
        <x:v>Ready</x:v>
      </x:c>
      <x:c r="D4703" s="6" t="str">
        <x:v>平</x:v>
      </x:c>
      <x:c r="E4703" s="6" t="str">
        <x:v>kwen [qwen] (平)</x:v>
      </x:c>
      <x:c r="F4703" s="6" t="str">
        <x:v>1</x:v>
      </x:c>
      <x:c r="G4703" s="6" t="str">
        <x:v>Tang 300 gap; frequency 4; provisional from Xun Gong</x:v>
      </x:c>
      <x:c r="H4703" s="6" t="str">
        <x:f>IF(B4703="平","平",IF(B4703="","","仄"))</x:f>
        <x:v>平</x:v>
      </x:c>
      <x:c r="I4703" s="6" t="str">
        <x:f>IF(D4686="","",IF(AND(ISNUMBER(SEARCH("平",D4686)),OR(ISNUMBER(SEARCH("上",D4686)),ISNUMBER(SEARCH("去",D4686)),ISNUMBER(SEARCH("入",D4686)))),"Ambiguous",IF(ISNUMBER(SEARCH("平",D4686)),"平","仄")))</x:f>
        <x:v>平</x:v>
      </x:c>
      <x:c r="J4703" s="7" t="str">
        <x:v>Xun Gong, Tang 300 gap fill</x:v>
      </x:c>
    </x:row>
    <x:row r="4704">
      <x:c r="A4704" s="5" t="str">
        <x:v>鵙</x:v>
      </x:c>
      <x:c r="B4704" s="6" t="str">
        <x:v>入</x:v>
      </x:c>
      <x:c r="C4704" s="6" t="str">
        <x:f>IF(B4704="","Needs decision","Ready")</x:f>
        <x:v>Ready</x:v>
      </x:c>
      <x:c r="D4704" s="6" t="str">
        <x:v>入</x:v>
      </x:c>
      <x:c r="E4704" s="6" t="str">
        <x:v>kwek (D)</x:v>
      </x:c>
      <x:c r="F4704" s="6" t="str">
        <x:v>1</x:v>
      </x:c>
      <x:c r="G4704" s="6" t="str"/>
      <x:c r="H4704" s="6" t="str">
        <x:f>IF(B4704="平","平",IF(B4704="","","仄"))</x:f>
        <x:v>仄</x:v>
      </x:c>
      <x:c r="I4704" s="6" t="str">
        <x:f>IF(D4687="","",IF(AND(ISNUMBER(SEARCH("平",D4687)),OR(ISNUMBER(SEARCH("上",D4687)),ISNUMBER(SEARCH("去",D4687)),ISNUMBER(SEARCH("入",D4687)))),"Ambiguous",IF(ISNUMBER(SEARCH("平",D4687)),"平","仄")))</x:f>
        <x:v>仄</x:v>
      </x:c>
      <x:c r="J4704" s="7" t="str"/>
    </x:row>
    <x:row r="4705">
      <x:c r="A4705" s="5" t="str">
        <x:v>鵝</x:v>
      </x:c>
      <x:c r="B4705" s="6" t="str">
        <x:v>平</x:v>
      </x:c>
      <x:c r="C4705" s="6" t="str">
        <x:f>IF(B4705="","Needs decision","Ready")</x:f>
        <x:v>Ready</x:v>
      </x:c>
      <x:c r="D4705" s="6" t="str">
        <x:v>平</x:v>
      </x:c>
      <x:c r="E4705" s="6" t="str">
        <x:v>nga (A)</x:v>
      </x:c>
      <x:c r="F4705" s="6" t="str">
        <x:v>1</x:v>
      </x:c>
      <x:c r="G4705" s="6" t="str"/>
      <x:c r="H4705" s="6" t="str">
        <x:f>IF(B4705="平","平",IF(B4705="","","仄"))</x:f>
        <x:v>平</x:v>
      </x:c>
      <x:c r="I4705" s="6" t="str">
        <x:f>IF(D4688="","",IF(AND(ISNUMBER(SEARCH("平",D4688)),OR(ISNUMBER(SEARCH("上",D4688)),ISNUMBER(SEARCH("去",D4688)),ISNUMBER(SEARCH("入",D4688)))),"Ambiguous",IF(ISNUMBER(SEARCH("平",D4688)),"平","仄")))</x:f>
        <x:v>平</x:v>
      </x:c>
      <x:c r="J4705" s="7" t="str"/>
    </x:row>
    <x:row r="4706">
      <x:c r="A4706" s="5" t="str">
        <x:v>鵡</x:v>
      </x:c>
      <x:c r="B4706" s="6" t="str">
        <x:v>上</x:v>
      </x:c>
      <x:c r="C4706" s="6" t="str">
        <x:f>IF(B4706="","Needs decision","Ready")</x:f>
        <x:v>Ready</x:v>
      </x:c>
      <x:c r="D4706" s="6" t="str">
        <x:v>上</x:v>
      </x:c>
      <x:c r="E4706" s="6" t="str">
        <x:v>mjuX [mɨ̯oʔ] (上)</x:v>
      </x:c>
      <x:c r="F4706" s="6" t="str">
        <x:v>1</x:v>
      </x:c>
      <x:c r="G4706" s="6" t="str">
        <x:v>Tang 300 gap; frequency 2; provisional from Xun Gong</x:v>
      </x:c>
      <x:c r="H4706" s="6" t="str">
        <x:f>IF(B4706="平","平",IF(B4706="","","仄"))</x:f>
        <x:v>仄</x:v>
      </x:c>
      <x:c r="I4706" s="6" t="str">
        <x:f>IF(D4689="","",IF(AND(ISNUMBER(SEARCH("平",D4689)),OR(ISNUMBER(SEARCH("上",D4689)),ISNUMBER(SEARCH("去",D4689)),ISNUMBER(SEARCH("入",D4689)))),"Ambiguous",IF(ISNUMBER(SEARCH("平",D4689)),"平","仄")))</x:f>
        <x:v>仄</x:v>
      </x:c>
      <x:c r="J4706" s="7" t="str">
        <x:v>Xun Gong, Tang 300 gap fill</x:v>
      </x:c>
    </x:row>
    <x:row r="4707">
      <x:c r="A4707" s="5" t="str">
        <x:v>鵲</x:v>
      </x:c>
      <x:c r="B4707" s="6" t="str">
        <x:v>入</x:v>
      </x:c>
      <x:c r="C4707" s="6" t="str">
        <x:f>IF(B4707="","Needs decision","Ready")</x:f>
        <x:v>Ready</x:v>
      </x:c>
      <x:c r="D4707" s="6" t="str">
        <x:v>入</x:v>
      </x:c>
      <x:c r="E4707" s="6" t="str">
        <x:v>tshjak (D)</x:v>
      </x:c>
      <x:c r="F4707" s="6" t="str">
        <x:v>1</x:v>
      </x:c>
      <x:c r="G4707" s="6" t="str"/>
      <x:c r="H4707" s="6" t="str">
        <x:f>IF(B4707="平","平",IF(B4707="","","仄"))</x:f>
        <x:v>仄</x:v>
      </x:c>
      <x:c r="I4707" s="6" t="str">
        <x:f>IF(D4690="","",IF(AND(ISNUMBER(SEARCH("平",D4690)),OR(ISNUMBER(SEARCH("上",D4690)),ISNUMBER(SEARCH("去",D4690)),ISNUMBER(SEARCH("入",D4690)))),"Ambiguous",IF(ISNUMBER(SEARCH("平",D4690)),"平","仄")))</x:f>
        <x:v>仄</x:v>
      </x:c>
      <x:c r="J4707" s="7" t="str"/>
    </x:row>
    <x:row r="4708">
      <x:c r="A4708" s="5" t="str">
        <x:v>鶉</x:v>
      </x:c>
      <x:c r="B4708" s="6" t="str">
        <x:v>平</x:v>
      </x:c>
      <x:c r="C4708" s="6" t="str">
        <x:f>IF(B4708="","Needs decision","Ready")</x:f>
        <x:v>Ready</x:v>
      </x:c>
      <x:c r="D4708" s="6" t="str">
        <x:v>平</x:v>
      </x:c>
      <x:c r="E4708" s="6" t="str">
        <x:v>dzywin (A)</x:v>
      </x:c>
      <x:c r="F4708" s="6" t="str">
        <x:v>1</x:v>
      </x:c>
      <x:c r="G4708" s="6" t="str"/>
      <x:c r="H4708" s="6" t="str">
        <x:f>IF(B4708="平","平",IF(B4708="","","仄"))</x:f>
        <x:v>平</x:v>
      </x:c>
      <x:c r="I4708" s="6" t="str">
        <x:f>IF(D4691="","",IF(AND(ISNUMBER(SEARCH("平",D4691)),OR(ISNUMBER(SEARCH("上",D4691)),ISNUMBER(SEARCH("去",D4691)),ISNUMBER(SEARCH("入",D4691)))),"Ambiguous",IF(ISNUMBER(SEARCH("平",D4691)),"平","仄")))</x:f>
        <x:v>仄</x:v>
      </x:c>
      <x:c r="J4708" s="7" t="str"/>
    </x:row>
    <x:row r="4709">
      <x:c r="A4709" s="5" t="str">
        <x:v>鶪</x:v>
      </x:c>
      <x:c r="B4709" s="6" t="str">
        <x:v>入</x:v>
      </x:c>
      <x:c r="C4709" s="6" t="str">
        <x:f>IF(B4709="","Needs decision","Ready")</x:f>
        <x:v>Ready</x:v>
      </x:c>
      <x:c r="D4709" s="6" t="str">
        <x:v>入</x:v>
      </x:c>
      <x:c r="E4709" s="6" t="str">
        <x:v>kwek (D)</x:v>
      </x:c>
      <x:c r="F4709" s="6" t="str">
        <x:v>1</x:v>
      </x:c>
      <x:c r="G4709" s="6" t="str"/>
      <x:c r="H4709" s="6" t="str">
        <x:f>IF(B4709="平","平",IF(B4709="","","仄"))</x:f>
        <x:v>仄</x:v>
      </x:c>
      <x:c r="I4709" s="6" t="str">
        <x:f>IF(D4692="","",IF(AND(ISNUMBER(SEARCH("平",D4692)),OR(ISNUMBER(SEARCH("上",D4692)),ISNUMBER(SEARCH("去",D4692)),ISNUMBER(SEARCH("入",D4692)))),"Ambiguous",IF(ISNUMBER(SEARCH("平",D4692)),"平","仄")))</x:f>
        <x:v>平</x:v>
      </x:c>
      <x:c r="J4709" s="7" t="str"/>
    </x:row>
    <x:row r="4710">
      <x:c r="A4710" s="5" t="str">
        <x:v>鶯</x:v>
      </x:c>
      <x:c r="B4710" s="6" t="str">
        <x:v>平</x:v>
      </x:c>
      <x:c r="C4710" s="6" t="str">
        <x:f>IF(B4710="","Needs decision","Ready")</x:f>
        <x:v>Ready</x:v>
      </x:c>
      <x:c r="D4710" s="6" t="str">
        <x:v>平</x:v>
      </x:c>
      <x:c r="E4710" s="6" t="str">
        <x:v>'eang [ʔ̙eˤŋ] (平)</x:v>
      </x:c>
      <x:c r="F4710" s="6" t="str">
        <x:v>1</x:v>
      </x:c>
      <x:c r="G4710" s="6" t="str">
        <x:v>Tang 300 gap; frequency 5; provisional from Xun Gong</x:v>
      </x:c>
      <x:c r="H4710" s="6" t="str">
        <x:f>IF(B4710="平","平",IF(B4710="","","仄"))</x:f>
        <x:v>平</x:v>
      </x:c>
      <x:c r="I4710" s="6" t="str">
        <x:f>IF(D4693="","",IF(AND(ISNUMBER(SEARCH("平",D4693)),OR(ISNUMBER(SEARCH("上",D4693)),ISNUMBER(SEARCH("去",D4693)),ISNUMBER(SEARCH("入",D4693)))),"Ambiguous",IF(ISNUMBER(SEARCH("平",D4693)),"平","仄")))</x:f>
        <x:v>平</x:v>
      </x:c>
      <x:c r="J4710" s="7" t="str">
        <x:v>Xun Gong, Tang 300 gap fill</x:v>
      </x:c>
    </x:row>
    <x:row r="4711">
      <x:c r="A4711" s="5" t="str">
        <x:v>鶴</x:v>
      </x:c>
      <x:c r="B4711" s="6" t="str">
        <x:v>入</x:v>
      </x:c>
      <x:c r="C4711" s="6" t="str">
        <x:f>IF(B4711="","Needs decision","Ready")</x:f>
        <x:v>Ready</x:v>
      </x:c>
      <x:c r="D4711" s="6" t="str">
        <x:v>入</x:v>
      </x:c>
      <x:c r="E4711" s="6" t="str">
        <x:v>haewk (D); hak (D)</x:v>
      </x:c>
      <x:c r="F4711" s="6" t="str">
        <x:v>2</x:v>
      </x:c>
      <x:c r="G4711" s="6" t="str"/>
      <x:c r="H4711" s="6" t="str">
        <x:f>IF(B4711="平","平",IF(B4711="","","仄"))</x:f>
        <x:v>仄</x:v>
      </x:c>
      <x:c r="I4711" s="6" t="str">
        <x:f>IF(D4694="","",IF(AND(ISNUMBER(SEARCH("平",D4694)),OR(ISNUMBER(SEARCH("上",D4694)),ISNUMBER(SEARCH("去",D4694)),ISNUMBER(SEARCH("入",D4694)))),"Ambiguous",IF(ISNUMBER(SEARCH("平",D4694)),"平","仄")))</x:f>
        <x:v>平</x:v>
      </x:c>
      <x:c r="J4711" s="7" t="str"/>
    </x:row>
    <x:row r="4712">
      <x:c r="A4712" s="5" t="str">
        <x:v>鷁</x:v>
      </x:c>
      <x:c r="B4712" s="6" t="str">
        <x:v>入</x:v>
      </x:c>
      <x:c r="C4712" s="6" t="str">
        <x:f>IF(B4712="","Needs decision","Ready")</x:f>
        <x:v>Ready</x:v>
      </x:c>
      <x:c r="D4712" s="6" t="str">
        <x:v>入</x:v>
      </x:c>
      <x:c r="E4712" s="6" t="str">
        <x:v>ngek (D)</x:v>
      </x:c>
      <x:c r="F4712" s="6" t="str">
        <x:v>1</x:v>
      </x:c>
      <x:c r="G4712" s="6" t="str"/>
      <x:c r="H4712" s="6" t="str">
        <x:f>IF(B4712="平","平",IF(B4712="","","仄"))</x:f>
        <x:v>仄</x:v>
      </x:c>
      <x:c r="I4712" s="6" t="str">
        <x:f>IF(D4695="","",IF(AND(ISNUMBER(SEARCH("平",D4695)),OR(ISNUMBER(SEARCH("上",D4695)),ISNUMBER(SEARCH("去",D4695)),ISNUMBER(SEARCH("入",D4695)))),"Ambiguous",IF(ISNUMBER(SEARCH("平",D4695)),"平","仄")))</x:f>
        <x:v>平</x:v>
      </x:c>
      <x:c r="J4712" s="7" t="str"/>
    </x:row>
    <x:row r="4713">
      <x:c r="A4713" s="5" t="str">
        <x:v>鷄</x:v>
      </x:c>
      <x:c r="B4713" s="6" t="str">
        <x:v>平</x:v>
      </x:c>
      <x:c r="C4713" s="6" t="str">
        <x:f>IF(B4713="","Needs decision","Ready")</x:f>
        <x:v>Ready</x:v>
      </x:c>
      <x:c r="D4713" s="6" t="str">
        <x:v>平</x:v>
      </x:c>
      <x:c r="E4713" s="6" t="str">
        <x:v>kej (A)</x:v>
      </x:c>
      <x:c r="F4713" s="6" t="str">
        <x:v>1</x:v>
      </x:c>
      <x:c r="G4713" s="6" t="str"/>
      <x:c r="H4713" s="6" t="str">
        <x:f>IF(B4713="平","平",IF(B4713="","","仄"))</x:f>
        <x:v>平</x:v>
      </x:c>
      <x:c r="I4713" s="6" t="str">
        <x:f>IF(D4696="","",IF(AND(ISNUMBER(SEARCH("平",D4696)),OR(ISNUMBER(SEARCH("上",D4696)),ISNUMBER(SEARCH("去",D4696)),ISNUMBER(SEARCH("入",D4696)))),"Ambiguous",IF(ISNUMBER(SEARCH("平",D4696)),"平","仄")))</x:f>
        <x:v>平</x:v>
      </x:c>
      <x:c r="J4713" s="7" t="str"/>
    </x:row>
    <x:row r="4714">
      <x:c r="A4714" s="5" t="str">
        <x:v>鷖</x:v>
      </x:c>
      <x:c r="B4714" s="6" t="str">
        <x:v>平</x:v>
      </x:c>
      <x:c r="C4714" s="6" t="str">
        <x:f>IF(B4714="","Needs decision","Ready")</x:f>
        <x:v>Ready</x:v>
      </x:c>
      <x:c r="D4714" s="6" t="str">
        <x:v>平</x:v>
      </x:c>
      <x:c r="E4714" s="6" t="str">
        <x:v>'ej (A)</x:v>
      </x:c>
      <x:c r="F4714" s="6" t="str">
        <x:v>1</x:v>
      </x:c>
      <x:c r="G4714" s="6" t="str"/>
      <x:c r="H4714" s="6" t="str">
        <x:f>IF(B4714="平","平",IF(B4714="","","仄"))</x:f>
        <x:v>平</x:v>
      </x:c>
      <x:c r="I4714" s="6" t="str">
        <x:f>IF(D4697="","",IF(AND(ISNUMBER(SEARCH("平",D4697)),OR(ISNUMBER(SEARCH("上",D4697)),ISNUMBER(SEARCH("去",D4697)),ISNUMBER(SEARCH("入",D4697)))),"Ambiguous",IF(ISNUMBER(SEARCH("平",D4697)),"平","仄")))</x:f>
        <x:v>平</x:v>
      </x:c>
      <x:c r="J4714" s="7" t="str"/>
    </x:row>
    <x:row r="4715">
      <x:c r="A4715" s="5" t="str">
        <x:v>鷗</x:v>
      </x:c>
      <x:c r="B4715" s="6" t="str">
        <x:v>平</x:v>
      </x:c>
      <x:c r="C4715" s="6" t="str">
        <x:f>IF(B4715="","Needs decision","Ready")</x:f>
        <x:v>Ready</x:v>
      </x:c>
      <x:c r="D4715" s="6" t="str">
        <x:v>平</x:v>
      </x:c>
      <x:c r="E4715" s="6" t="str">
        <x:v>'uw [ʔ̙u] (平)</x:v>
      </x:c>
      <x:c r="F4715" s="6" t="str">
        <x:v>1</x:v>
      </x:c>
      <x:c r="G4715" s="6" t="str">
        <x:v>Tang 300 gap; frequency 4; provisional from Xun Gong</x:v>
      </x:c>
      <x:c r="H4715" s="6" t="str">
        <x:f>IF(B4715="平","平",IF(B4715="","","仄"))</x:f>
        <x:v>平</x:v>
      </x:c>
      <x:c r="I4715" s="6" t="str">
        <x:f>IF(D4698="","",IF(AND(ISNUMBER(SEARCH("平",D4698)),OR(ISNUMBER(SEARCH("上",D4698)),ISNUMBER(SEARCH("去",D4698)),ISNUMBER(SEARCH("入",D4698)))),"Ambiguous",IF(ISNUMBER(SEARCH("平",D4698)),"平","仄")))</x:f>
        <x:v>仄</x:v>
      </x:c>
      <x:c r="J4715" s="7" t="str">
        <x:v>Xun Gong, Tang 300 gap fill</x:v>
      </x:c>
    </x:row>
    <x:row r="4716">
      <x:c r="A4716" s="5" t="str">
        <x:v>鷙</x:v>
      </x:c>
      <x:c r="B4716" s="6" t="str">
        <x:v>去</x:v>
      </x:c>
      <x:c r="C4716" s="6" t="str">
        <x:f>IF(B4716="","Needs decision","Ready")</x:f>
        <x:v>Ready</x:v>
      </x:c>
      <x:c r="D4716" s="6" t="str">
        <x:v>去</x:v>
      </x:c>
      <x:c r="E4716" s="6" t="str">
        <x:v>tsyijH (C)</x:v>
      </x:c>
      <x:c r="F4716" s="6" t="str">
        <x:v>1</x:v>
      </x:c>
      <x:c r="G4716" s="6" t="str"/>
      <x:c r="H4716" s="6" t="str">
        <x:f>IF(B4716="平","平",IF(B4716="","","仄"))</x:f>
        <x:v>仄</x:v>
      </x:c>
      <x:c r="I4716" s="6" t="str">
        <x:f>IF(D4699="","",IF(AND(ISNUMBER(SEARCH("平",D4699)),OR(ISNUMBER(SEARCH("上",D4699)),ISNUMBER(SEARCH("去",D4699)),ISNUMBER(SEARCH("入",D4699)))),"Ambiguous",IF(ISNUMBER(SEARCH("平",D4699)),"平","仄")))</x:f>
        <x:v>仄</x:v>
      </x:c>
      <x:c r="J4716" s="7" t="str"/>
    </x:row>
    <x:row r="4717">
      <x:c r="A4717" s="5" t="str">
        <x:v>鷲</x:v>
      </x:c>
      <x:c r="B4717" s="6" t="str">
        <x:v>去</x:v>
      </x:c>
      <x:c r="C4717" s="6" t="str">
        <x:f>IF(B4717="","Needs decision","Ready")</x:f>
        <x:v>Ready</x:v>
      </x:c>
      <x:c r="D4717" s="6" t="str">
        <x:v>去</x:v>
      </x:c>
      <x:c r="E4717" s="6" t="str">
        <x:v>dzjuwH [dzjuh] (去)</x:v>
      </x:c>
      <x:c r="F4717" s="6" t="str">
        <x:v>1</x:v>
      </x:c>
      <x:c r="G4717" s="6" t="str">
        <x:v>Tang 300 gap; frequency 1; provisional from Xun Gong</x:v>
      </x:c>
      <x:c r="H4717" s="6" t="str">
        <x:f>IF(B4717="平","平",IF(B4717="","","仄"))</x:f>
        <x:v>仄</x:v>
      </x:c>
      <x:c r="I4717" s="6" t="str">
        <x:f>IF(D4700="","",IF(AND(ISNUMBER(SEARCH("平",D4700)),OR(ISNUMBER(SEARCH("上",D4700)),ISNUMBER(SEARCH("去",D4700)),ISNUMBER(SEARCH("入",D4700)))),"Ambiguous",IF(ISNUMBER(SEARCH("平",D4700)),"平","仄")))</x:f>
        <x:v>平</x:v>
      </x:c>
      <x:c r="J4717" s="7" t="str">
        <x:v>Xun Gong, Tang 300 gap fill</x:v>
      </x:c>
    </x:row>
    <x:row r="4718">
      <x:c r="A4718" s="5" t="str">
        <x:v>鷹</x:v>
      </x:c>
      <x:c r="B4718" s="6" t="str">
        <x:v>平</x:v>
      </x:c>
      <x:c r="C4718" s="6" t="str">
        <x:f>IF(B4718="","Needs decision","Ready")</x:f>
        <x:v>Ready</x:v>
      </x:c>
      <x:c r="D4718" s="6" t="str">
        <x:v>平</x:v>
      </x:c>
      <x:c r="E4718" s="6" t="str">
        <x:v>'ing (A)</x:v>
      </x:c>
      <x:c r="F4718" s="6" t="str">
        <x:v>1</x:v>
      </x:c>
      <x:c r="G4718" s="6" t="str"/>
      <x:c r="H4718" s="6" t="str">
        <x:f>IF(B4718="平","平",IF(B4718="","","仄"))</x:f>
        <x:v>平</x:v>
      </x:c>
      <x:c r="I4718" s="6" t="str">
        <x:f>IF(D4701="","",IF(AND(ISNUMBER(SEARCH("平",D4701)),OR(ISNUMBER(SEARCH("上",D4701)),ISNUMBER(SEARCH("去",D4701)),ISNUMBER(SEARCH("入",D4701)))),"Ambiguous",IF(ISNUMBER(SEARCH("平",D4701)),"平","仄")))</x:f>
        <x:v>仄</x:v>
      </x:c>
      <x:c r="J4718" s="7" t="str"/>
    </x:row>
    <x:row r="4719">
      <x:c r="A4719" s="5" t="str">
        <x:v>鷺</x:v>
      </x:c>
      <x:c r="B4719" s="6" t="str">
        <x:v>去</x:v>
      </x:c>
      <x:c r="C4719" s="6" t="str">
        <x:f>IF(B4719="","Needs decision","Ready")</x:f>
        <x:v>Ready</x:v>
      </x:c>
      <x:c r="D4719" s="6" t="str">
        <x:v>去</x:v>
      </x:c>
      <x:c r="E4719" s="6" t="str">
        <x:v>luH [l̙oh] (去)</x:v>
      </x:c>
      <x:c r="F4719" s="6" t="str">
        <x:v>1</x:v>
      </x:c>
      <x:c r="G4719" s="6" t="str">
        <x:v>Tang 300 gap; frequency 5; provisional from Xun Gong</x:v>
      </x:c>
      <x:c r="H4719" s="6" t="str">
        <x:f>IF(B4719="平","平",IF(B4719="","","仄"))</x:f>
        <x:v>仄</x:v>
      </x:c>
      <x:c r="I4719" s="6" t="str">
        <x:f>IF(D4702="","",IF(AND(ISNUMBER(SEARCH("平",D4702)),OR(ISNUMBER(SEARCH("上",D4702)),ISNUMBER(SEARCH("去",D4702)),ISNUMBER(SEARCH("入",D4702)))),"Ambiguous",IF(ISNUMBER(SEARCH("平",D4702)),"平","仄")))</x:f>
        <x:v>平</x:v>
      </x:c>
      <x:c r="J4719" s="7" t="str">
        <x:v>Xun Gong, Tang 300 gap fill</x:v>
      </x:c>
    </x:row>
    <x:row r="4720">
      <x:c r="A4720" s="5" t="str">
        <x:v>鷽</x:v>
      </x:c>
      <x:c r="B4720" s="6" t="str">
        <x:v>入</x:v>
      </x:c>
      <x:c r="C4720" s="6" t="str">
        <x:f>IF(B4720="","Needs decision","Ready")</x:f>
        <x:v>Ready</x:v>
      </x:c>
      <x:c r="D4720" s="6" t="str">
        <x:v>入</x:v>
      </x:c>
      <x:c r="E4720" s="6" t="str">
        <x:v>'aewk (D); haewk (D)</x:v>
      </x:c>
      <x:c r="F4720" s="6" t="str">
        <x:v>2</x:v>
      </x:c>
      <x:c r="G4720" s="6" t="str"/>
      <x:c r="H4720" s="6" t="str">
        <x:f>IF(B4720="平","平",IF(B4720="","","仄"))</x:f>
        <x:v>仄</x:v>
      </x:c>
      <x:c r="I4720" s="6" t="str">
        <x:f>IF(D4703="","",IF(AND(ISNUMBER(SEARCH("平",D4703)),OR(ISNUMBER(SEARCH("上",D4703)),ISNUMBER(SEARCH("去",D4703)),ISNUMBER(SEARCH("入",D4703)))),"Ambiguous",IF(ISNUMBER(SEARCH("平",D4703)),"平","仄")))</x:f>
        <x:v>平</x:v>
      </x:c>
      <x:c r="J4720" s="7" t="str"/>
    </x:row>
    <x:row r="4721">
      <x:c r="A4721" s="5" t="str">
        <x:v>鸇</x:v>
      </x:c>
      <x:c r="B4721" s="6" t="str">
        <x:v>平</x:v>
      </x:c>
      <x:c r="C4721" s="6" t="str">
        <x:f>IF(B4721="","Needs decision","Ready")</x:f>
        <x:v>Ready</x:v>
      </x:c>
      <x:c r="D4721" s="6" t="str">
        <x:v>平</x:v>
      </x:c>
      <x:c r="E4721" s="6" t="str">
        <x:v>tsyen (A)</x:v>
      </x:c>
      <x:c r="F4721" s="6" t="str">
        <x:v>1</x:v>
      </x:c>
      <x:c r="G4721" s="6" t="str"/>
      <x:c r="H4721" s="6" t="str">
        <x:f>IF(B4721="平","平",IF(B4721="","","仄"))</x:f>
        <x:v>平</x:v>
      </x:c>
      <x:c r="I4721" s="6" t="str">
        <x:f>IF(D4704="","",IF(AND(ISNUMBER(SEARCH("平",D4704)),OR(ISNUMBER(SEARCH("上",D4704)),ISNUMBER(SEARCH("去",D4704)),ISNUMBER(SEARCH("入",D4704)))),"Ambiguous",IF(ISNUMBER(SEARCH("平",D4704)),"平","仄")))</x:f>
        <x:v>仄</x:v>
      </x:c>
      <x:c r="J4721" s="7" t="str"/>
    </x:row>
    <x:row r="4722">
      <x:c r="A4722" s="5" t="str">
        <x:v>鸒</x:v>
      </x:c>
      <x:c r="B4722" s="6" t="str">
        <x:v>去</x:v>
      </x:c>
      <x:c r="C4722" s="6" t="str">
        <x:f>IF(B4722="","Needs decision","Ready")</x:f>
        <x:v>Ready</x:v>
      </x:c>
      <x:c r="D4722" s="6" t="str">
        <x:v>去</x:v>
      </x:c>
      <x:c r="E4722" s="6" t="str">
        <x:v>yoH (C)</x:v>
      </x:c>
      <x:c r="F4722" s="6" t="str">
        <x:v>1</x:v>
      </x:c>
      <x:c r="G4722" s="6" t="str"/>
      <x:c r="H4722" s="6" t="str">
        <x:f>IF(B4722="平","平",IF(B4722="","","仄"))</x:f>
        <x:v>仄</x:v>
      </x:c>
      <x:c r="I4722" s="6" t="str">
        <x:f>IF(D4705="","",IF(AND(ISNUMBER(SEARCH("平",D4705)),OR(ISNUMBER(SEARCH("上",D4705)),ISNUMBER(SEARCH("去",D4705)),ISNUMBER(SEARCH("入",D4705)))),"Ambiguous",IF(ISNUMBER(SEARCH("平",D4705)),"平","仄")))</x:f>
        <x:v>平</x:v>
      </x:c>
      <x:c r="J4722" s="7" t="str"/>
    </x:row>
    <x:row r="4723">
      <x:c r="A4723" s="5" t="str">
        <x:v>鸚</x:v>
      </x:c>
      <x:c r="B4723" s="6" t="str">
        <x:v>平</x:v>
      </x:c>
      <x:c r="C4723" s="6" t="str">
        <x:f>IF(B4723="","Needs decision","Ready")</x:f>
        <x:v>Ready</x:v>
      </x:c>
      <x:c r="D4723" s="6" t="str">
        <x:v>平</x:v>
      </x:c>
      <x:c r="E4723" s="6" t="str">
        <x:v>'eang [ʔ̙eˤŋ] (平)</x:v>
      </x:c>
      <x:c r="F4723" s="6" t="str">
        <x:v>1</x:v>
      </x:c>
      <x:c r="G4723" s="6" t="str">
        <x:v>Tang 300 gap; frequency 2; provisional from Xun Gong</x:v>
      </x:c>
      <x:c r="H4723" s="6" t="str">
        <x:f>IF(B4723="平","平",IF(B4723="","","仄"))</x:f>
        <x:v>平</x:v>
      </x:c>
      <x:c r="I4723" s="6" t="str">
        <x:f>IF(D4706="","",IF(AND(ISNUMBER(SEARCH("平",D4706)),OR(ISNUMBER(SEARCH("上",D4706)),ISNUMBER(SEARCH("去",D4706)),ISNUMBER(SEARCH("入",D4706)))),"Ambiguous",IF(ISNUMBER(SEARCH("平",D4706)),"平","仄")))</x:f>
        <x:v>仄</x:v>
      </x:c>
      <x:c r="J4723" s="7" t="str">
        <x:v>Xun Gong, Tang 300 gap fill</x:v>
      </x:c>
    </x:row>
    <x:row r="4724">
      <x:c r="A4724" s="5" t="str">
        <x:v>鸛</x:v>
      </x:c>
      <x:c r="B4724" s="6" t="str">
        <x:v>去</x:v>
      </x:c>
      <x:c r="C4724" s="6" t="str">
        <x:f>IF(B4724="","Needs decision","Ready")</x:f>
        <x:v>Ready</x:v>
      </x:c>
      <x:c r="D4724" s="6" t="str">
        <x:v>去</x:v>
      </x:c>
      <x:c r="E4724" s="6" t="str">
        <x:v>kwanH (C)</x:v>
      </x:c>
      <x:c r="F4724" s="6" t="str">
        <x:v>1</x:v>
      </x:c>
      <x:c r="G4724" s="6" t="str"/>
      <x:c r="H4724" s="6" t="str">
        <x:f>IF(B4724="平","平",IF(B4724="","","仄"))</x:f>
        <x:v>仄</x:v>
      </x:c>
      <x:c r="I4724" s="6" t="str">
        <x:f>IF(D4707="","",IF(AND(ISNUMBER(SEARCH("平",D4707)),OR(ISNUMBER(SEARCH("上",D4707)),ISNUMBER(SEARCH("去",D4707)),ISNUMBER(SEARCH("入",D4707)))),"Ambiguous",IF(ISNUMBER(SEARCH("平",D4707)),"平","仄")))</x:f>
        <x:v>仄</x:v>
      </x:c>
      <x:c r="J4724" s="7" t="str"/>
    </x:row>
    <x:row r="4725">
      <x:c r="A4725" s="5" t="str">
        <x:v>鸝</x:v>
      </x:c>
      <x:c r="B4725" s="6" t="str">
        <x:v>平</x:v>
      </x:c>
      <x:c r="C4725" s="6" t="str">
        <x:f>IF(B4725="","Needs decision","Ready")</x:f>
        <x:v>Ready</x:v>
      </x:c>
      <x:c r="D4725" s="6" t="str">
        <x:v>平</x:v>
      </x:c>
      <x:c r="E4725" s="6" t="str">
        <x:v>lje [lie] (平)</x:v>
      </x:c>
      <x:c r="F4725" s="6" t="str">
        <x:v>1</x:v>
      </x:c>
      <x:c r="G4725" s="6" t="str">
        <x:v>Tang 300 gap; frequency 4; provisional from Xun Gong</x:v>
      </x:c>
      <x:c r="H4725" s="6" t="str">
        <x:f>IF(B4725="平","平",IF(B4725="","","仄"))</x:f>
        <x:v>平</x:v>
      </x:c>
      <x:c r="I4725" s="6" t="str">
        <x:f>IF(D4708="","",IF(AND(ISNUMBER(SEARCH("平",D4708)),OR(ISNUMBER(SEARCH("上",D4708)),ISNUMBER(SEARCH("去",D4708)),ISNUMBER(SEARCH("入",D4708)))),"Ambiguous",IF(ISNUMBER(SEARCH("平",D4708)),"平","仄")))</x:f>
        <x:v>平</x:v>
      </x:c>
      <x:c r="J4725" s="7" t="str">
        <x:v>Xun Gong, Tang 300 gap fill</x:v>
      </x:c>
    </x:row>
    <x:row r="4726">
      <x:c r="A4726" s="5" t="str">
        <x:v>鸞</x:v>
      </x:c>
      <x:c r="B4726" s="6" t="str">
        <x:v>平</x:v>
      </x:c>
      <x:c r="C4726" s="6" t="str">
        <x:f>IF(B4726="","Needs decision","Ready")</x:f>
        <x:v>Ready</x:v>
      </x:c>
      <x:c r="D4726" s="6" t="str">
        <x:v>平</x:v>
      </x:c>
      <x:c r="E4726" s="6" t="str">
        <x:v>lwan (A)</x:v>
      </x:c>
      <x:c r="F4726" s="6" t="str">
        <x:v>1</x:v>
      </x:c>
      <x:c r="G4726" s="6" t="str"/>
      <x:c r="H4726" s="6" t="str">
        <x:f>IF(B4726="平","平",IF(B4726="","","仄"))</x:f>
        <x:v>平</x:v>
      </x:c>
      <x:c r="I4726" s="6" t="str">
        <x:f>IF(D4709="","",IF(AND(ISNUMBER(SEARCH("平",D4709)),OR(ISNUMBER(SEARCH("上",D4709)),ISNUMBER(SEARCH("去",D4709)),ISNUMBER(SEARCH("入",D4709)))),"Ambiguous",IF(ISNUMBER(SEARCH("平",D4709)),"平","仄")))</x:f>
        <x:v>仄</x:v>
      </x:c>
      <x:c r="J4726" s="7" t="str"/>
    </x:row>
    <x:row r="4727">
      <x:c r="A4727" s="5" t="str">
        <x:v>鹵</x:v>
      </x:c>
      <x:c r="B4727" s="6" t="str">
        <x:v>上</x:v>
      </x:c>
      <x:c r="C4727" s="6" t="str">
        <x:f>IF(B4727="","Needs decision","Ready")</x:f>
        <x:v>Ready</x:v>
      </x:c>
      <x:c r="D4727" s="6" t="str">
        <x:v>上</x:v>
      </x:c>
      <x:c r="E4727" s="6" t="str">
        <x:v>luX (B)</x:v>
      </x:c>
      <x:c r="F4727" s="6" t="str">
        <x:v>1</x:v>
      </x:c>
      <x:c r="G4727" s="6" t="str"/>
      <x:c r="H4727" s="6" t="str">
        <x:f>IF(B4727="平","平",IF(B4727="","","仄"))</x:f>
        <x:v>仄</x:v>
      </x:c>
      <x:c r="I4727" s="6" t="str">
        <x:f>IF(D4710="","",IF(AND(ISNUMBER(SEARCH("平",D4710)),OR(ISNUMBER(SEARCH("上",D4710)),ISNUMBER(SEARCH("去",D4710)),ISNUMBER(SEARCH("入",D4710)))),"Ambiguous",IF(ISNUMBER(SEARCH("平",D4710)),"平","仄")))</x:f>
        <x:v>平</x:v>
      </x:c>
      <x:c r="J4727" s="7" t="str"/>
    </x:row>
    <x:row r="4728">
      <x:c r="A4728" s="5" t="str">
        <x:v>鹹</x:v>
      </x:c>
      <x:c r="B4728" s="6" t="str">
        <x:v>平</x:v>
      </x:c>
      <x:c r="C4728" s="6" t="str">
        <x:f>IF(B4728="","Needs decision","Ready")</x:f>
        <x:v>Ready</x:v>
      </x:c>
      <x:c r="D4728" s="6" t="str">
        <x:v>平</x:v>
      </x:c>
      <x:c r="E4728" s="6" t="str">
        <x:v>heam (A)</x:v>
      </x:c>
      <x:c r="F4728" s="6" t="str">
        <x:v>1</x:v>
      </x:c>
      <x:c r="G4728" s="6" t="str"/>
      <x:c r="H4728" s="6" t="str">
        <x:f>IF(B4728="平","平",IF(B4728="","","仄"))</x:f>
        <x:v>平</x:v>
      </x:c>
      <x:c r="I4728" s="6" t="str">
        <x:f>IF(D4711="","",IF(AND(ISNUMBER(SEARCH("平",D4711)),OR(ISNUMBER(SEARCH("上",D4711)),ISNUMBER(SEARCH("去",D4711)),ISNUMBER(SEARCH("入",D4711)))),"Ambiguous",IF(ISNUMBER(SEARCH("平",D4711)),"平","仄")))</x:f>
        <x:v>仄</x:v>
      </x:c>
      <x:c r="J4728" s="7" t="str"/>
    </x:row>
    <x:row r="4729">
      <x:c r="A4729" s="5" t="str">
        <x:v>鹺</x:v>
      </x:c>
      <x:c r="B4729" s="6" t="str">
        <x:v>平</x:v>
      </x:c>
      <x:c r="C4729" s="6" t="str">
        <x:f>IF(B4729="","Needs decision","Ready")</x:f>
        <x:v>Ready</x:v>
      </x:c>
      <x:c r="D4729" s="6" t="str">
        <x:v>平</x:v>
      </x:c>
      <x:c r="E4729" s="6" t="str">
        <x:v>dza (A)</x:v>
      </x:c>
      <x:c r="F4729" s="6" t="str">
        <x:v>1</x:v>
      </x:c>
      <x:c r="G4729" s="6" t="str"/>
      <x:c r="H4729" s="6" t="str">
        <x:f>IF(B4729="平","平",IF(B4729="","","仄"))</x:f>
        <x:v>平</x:v>
      </x:c>
      <x:c r="I4729" s="6" t="str">
        <x:f>IF(D4712="","",IF(AND(ISNUMBER(SEARCH("平",D4712)),OR(ISNUMBER(SEARCH("上",D4712)),ISNUMBER(SEARCH("去",D4712)),ISNUMBER(SEARCH("入",D4712)))),"Ambiguous",IF(ISNUMBER(SEARCH("平",D4712)),"平","仄")))</x:f>
        <x:v>仄</x:v>
      </x:c>
      <x:c r="J4729" s="7" t="str"/>
    </x:row>
    <x:row r="4730">
      <x:c r="A4730" s="5" t="str">
        <x:v>鹽</x:v>
      </x:c>
      <x:c r="B4730" s="6" t="str"/>
      <x:c r="C4730" s="6" t="str">
        <x:f>IF(B4730="","Needs decision","Ready")</x:f>
        <x:v>Needs decision</x:v>
      </x:c>
      <x:c r="D4730" s="6" t="str">
        <x:v>平/去</x:v>
      </x:c>
      <x:c r="E4730" s="6" t="str">
        <x:v>yem (A); yemH (C)</x:v>
      </x:c>
      <x:c r="F4730" s="6" t="str">
        <x:v>2</x:v>
      </x:c>
      <x:c r="G4730" s="6" t="str"/>
      <x:c r="H4730" s="6" t="str">
        <x:f>IF(B4730="平","平",IF(B4730="","","仄"))</x:f>
      </x:c>
      <x:c r="I4730" s="6" t="str">
        <x:f>IF(D4713="","",IF(AND(ISNUMBER(SEARCH("平",D4713)),OR(ISNUMBER(SEARCH("上",D4713)),ISNUMBER(SEARCH("去",D4713)),ISNUMBER(SEARCH("入",D4713)))),"Ambiguous",IF(ISNUMBER(SEARCH("平",D4713)),"平","仄")))</x:f>
        <x:v>平</x:v>
      </x:c>
      <x:c r="J4730" s="7" t="str"/>
    </x:row>
    <x:row r="4731">
      <x:c r="A4731" s="5" t="str">
        <x:v>鹿</x:v>
      </x:c>
      <x:c r="B4731" s="6" t="str">
        <x:v>入</x:v>
      </x:c>
      <x:c r="C4731" s="6" t="str">
        <x:f>IF(B4731="","Needs decision","Ready")</x:f>
        <x:v>Ready</x:v>
      </x:c>
      <x:c r="D4731" s="6" t="str">
        <x:v>入</x:v>
      </x:c>
      <x:c r="E4731" s="6" t="str">
        <x:v>luwk (D)</x:v>
      </x:c>
      <x:c r="F4731" s="6" t="str">
        <x:v>1</x:v>
      </x:c>
      <x:c r="G4731" s="6" t="str"/>
      <x:c r="H4731" s="6" t="str">
        <x:f>IF(B4731="平","平",IF(B4731="","","仄"))</x:f>
        <x:v>仄</x:v>
      </x:c>
      <x:c r="I4731" s="6" t="str">
        <x:f>IF(D4714="","",IF(AND(ISNUMBER(SEARCH("平",D4714)),OR(ISNUMBER(SEARCH("上",D4714)),ISNUMBER(SEARCH("去",D4714)),ISNUMBER(SEARCH("入",D4714)))),"Ambiguous",IF(ISNUMBER(SEARCH("平",D4714)),"平","仄")))</x:f>
        <x:v>平</x:v>
      </x:c>
      <x:c r="J4731" s="7" t="str"/>
    </x:row>
    <x:row r="4732">
      <x:c r="A4732" s="5" t="str">
        <x:v>麇</x:v>
      </x:c>
      <x:c r="B4732" s="6" t="str">
        <x:v>平</x:v>
      </x:c>
      <x:c r="C4732" s="6" t="str">
        <x:f>IF(B4732="","Needs decision","Ready")</x:f>
        <x:v>Ready</x:v>
      </x:c>
      <x:c r="D4732" s="6" t="str">
        <x:v>平</x:v>
      </x:c>
      <x:c r="E4732" s="6" t="str">
        <x:v>kwin (A)</x:v>
      </x:c>
      <x:c r="F4732" s="6" t="str">
        <x:v>1</x:v>
      </x:c>
      <x:c r="G4732" s="6" t="str"/>
      <x:c r="H4732" s="6" t="str">
        <x:f>IF(B4732="平","平",IF(B4732="","","仄"))</x:f>
        <x:v>平</x:v>
      </x:c>
      <x:c r="I4732" s="6" t="str">
        <x:f>IF(D4715="","",IF(AND(ISNUMBER(SEARCH("平",D4715)),OR(ISNUMBER(SEARCH("上",D4715)),ISNUMBER(SEARCH("去",D4715)),ISNUMBER(SEARCH("入",D4715)))),"Ambiguous",IF(ISNUMBER(SEARCH("平",D4715)),"平","仄")))</x:f>
        <x:v>平</x:v>
      </x:c>
      <x:c r="J4732" s="7" t="str"/>
    </x:row>
    <x:row r="4733">
      <x:c r="A4733" s="5" t="str">
        <x:v>麋</x:v>
      </x:c>
      <x:c r="B4733" s="6" t="str">
        <x:v>平</x:v>
      </x:c>
      <x:c r="C4733" s="6" t="str">
        <x:f>IF(B4733="","Needs decision","Ready")</x:f>
        <x:v>Ready</x:v>
      </x:c>
      <x:c r="D4733" s="6" t="str">
        <x:v>平</x:v>
      </x:c>
      <x:c r="E4733" s="6" t="str">
        <x:v>mij (A)</x:v>
      </x:c>
      <x:c r="F4733" s="6" t="str">
        <x:v>1</x:v>
      </x:c>
      <x:c r="G4733" s="6" t="str"/>
      <x:c r="H4733" s="6" t="str">
        <x:f>IF(B4733="平","平",IF(B4733="","","仄"))</x:f>
        <x:v>平</x:v>
      </x:c>
      <x:c r="I4733" s="6" t="str">
        <x:f>IF(D4716="","",IF(AND(ISNUMBER(SEARCH("平",D4716)),OR(ISNUMBER(SEARCH("上",D4716)),ISNUMBER(SEARCH("去",D4716)),ISNUMBER(SEARCH("入",D4716)))),"Ambiguous",IF(ISNUMBER(SEARCH("平",D4716)),"平","仄")))</x:f>
        <x:v>仄</x:v>
      </x:c>
      <x:c r="J4733" s="7" t="str"/>
    </x:row>
    <x:row r="4734">
      <x:c r="A4734" s="5" t="str">
        <x:v>麏</x:v>
      </x:c>
      <x:c r="B4734" s="6" t="str">
        <x:v>平</x:v>
      </x:c>
      <x:c r="C4734" s="6" t="str">
        <x:f>IF(B4734="","Needs decision","Ready")</x:f>
        <x:v>Ready</x:v>
      </x:c>
      <x:c r="D4734" s="6" t="str">
        <x:v>平</x:v>
      </x:c>
      <x:c r="E4734" s="6" t="str">
        <x:v>kwin (A)</x:v>
      </x:c>
      <x:c r="F4734" s="6" t="str">
        <x:v>1</x:v>
      </x:c>
      <x:c r="G4734" s="6" t="str"/>
      <x:c r="H4734" s="6" t="str">
        <x:f>IF(B4734="平","平",IF(B4734="","","仄"))</x:f>
        <x:v>平</x:v>
      </x:c>
      <x:c r="I4734" s="6" t="str">
        <x:f>IF(D4717="","",IF(AND(ISNUMBER(SEARCH("平",D4717)),OR(ISNUMBER(SEARCH("上",D4717)),ISNUMBER(SEARCH("去",D4717)),ISNUMBER(SEARCH("入",D4717)))),"Ambiguous",IF(ISNUMBER(SEARCH("平",D4717)),"平","仄")))</x:f>
        <x:v>仄</x:v>
      </x:c>
      <x:c r="J4734" s="7" t="str"/>
    </x:row>
    <x:row r="4735">
      <x:c r="A4735" s="5" t="str">
        <x:v>麑</x:v>
      </x:c>
      <x:c r="B4735" s="6" t="str">
        <x:v>平</x:v>
      </x:c>
      <x:c r="C4735" s="6" t="str">
        <x:f>IF(B4735="","Needs decision","Ready")</x:f>
        <x:v>Ready</x:v>
      </x:c>
      <x:c r="D4735" s="6" t="str">
        <x:v>平</x:v>
      </x:c>
      <x:c r="E4735" s="6" t="str">
        <x:v>mej (A)</x:v>
      </x:c>
      <x:c r="F4735" s="6" t="str">
        <x:v>1</x:v>
      </x:c>
      <x:c r="G4735" s="6" t="str"/>
      <x:c r="H4735" s="6" t="str">
        <x:f>IF(B4735="平","平",IF(B4735="","","仄"))</x:f>
        <x:v>平</x:v>
      </x:c>
      <x:c r="I4735" s="6" t="str">
        <x:f>IF(D4718="","",IF(AND(ISNUMBER(SEARCH("平",D4718)),OR(ISNUMBER(SEARCH("上",D4718)),ISNUMBER(SEARCH("去",D4718)),ISNUMBER(SEARCH("入",D4718)))),"Ambiguous",IF(ISNUMBER(SEARCH("平",D4718)),"平","仄")))</x:f>
        <x:v>平</x:v>
      </x:c>
      <x:c r="J4735" s="7" t="str"/>
    </x:row>
    <x:row r="4736">
      <x:c r="A4736" s="5" t="str">
        <x:v>麒</x:v>
      </x:c>
      <x:c r="B4736" s="6" t="str">
        <x:v>平</x:v>
      </x:c>
      <x:c r="C4736" s="6" t="str">
        <x:f>IF(B4736="","Needs decision","Ready")</x:f>
        <x:v>Ready</x:v>
      </x:c>
      <x:c r="D4736" s="6" t="str">
        <x:v>平</x:v>
      </x:c>
      <x:c r="E4736" s="6" t="str">
        <x:v>gi [ɡɨ] (平)</x:v>
      </x:c>
      <x:c r="F4736" s="6" t="str">
        <x:v>1</x:v>
      </x:c>
      <x:c r="G4736" s="6" t="str">
        <x:v>Tang 300 gap; frequency 2; provisional from Xun Gong</x:v>
      </x:c>
      <x:c r="H4736" s="6" t="str">
        <x:f>IF(B4736="平","平",IF(B4736="","","仄"))</x:f>
        <x:v>平</x:v>
      </x:c>
      <x:c r="I4736" s="6" t="str">
        <x:f>IF(D4719="","",IF(AND(ISNUMBER(SEARCH("平",D4719)),OR(ISNUMBER(SEARCH("上",D4719)),ISNUMBER(SEARCH("去",D4719)),ISNUMBER(SEARCH("入",D4719)))),"Ambiguous",IF(ISNUMBER(SEARCH("平",D4719)),"平","仄")))</x:f>
        <x:v>仄</x:v>
      </x:c>
      <x:c r="J4736" s="7" t="str">
        <x:v>Xun Gong, Tang 300 gap fill</x:v>
      </x:c>
    </x:row>
    <x:row r="4737">
      <x:c r="A4737" s="5" t="str">
        <x:v>麕</x:v>
      </x:c>
      <x:c r="B4737" s="6" t="str">
        <x:v>平</x:v>
      </x:c>
      <x:c r="C4737" s="6" t="str">
        <x:f>IF(B4737="","Needs decision","Ready")</x:f>
        <x:v>Ready</x:v>
      </x:c>
      <x:c r="D4737" s="6" t="str">
        <x:v>平</x:v>
      </x:c>
      <x:c r="E4737" s="6" t="str">
        <x:v>kwin (A)</x:v>
      </x:c>
      <x:c r="F4737" s="6" t="str">
        <x:v>1</x:v>
      </x:c>
      <x:c r="G4737" s="6" t="str"/>
      <x:c r="H4737" s="6" t="str">
        <x:f>IF(B4737="平","平",IF(B4737="","","仄"))</x:f>
        <x:v>平</x:v>
      </x:c>
      <x:c r="I4737" s="6" t="str">
        <x:f>IF(D4720="","",IF(AND(ISNUMBER(SEARCH("平",D4720)),OR(ISNUMBER(SEARCH("上",D4720)),ISNUMBER(SEARCH("去",D4720)),ISNUMBER(SEARCH("入",D4720)))),"Ambiguous",IF(ISNUMBER(SEARCH("平",D4720)),"平","仄")))</x:f>
        <x:v>仄</x:v>
      </x:c>
      <x:c r="J4737" s="7" t="str"/>
    </x:row>
    <x:row r="4738">
      <x:c r="A4738" s="5" t="str">
        <x:v>麗</x:v>
      </x:c>
      <x:c r="B4738" s="6" t="str">
        <x:v>去</x:v>
      </x:c>
      <x:c r="C4738" s="6" t="str">
        <x:f>IF(B4738="","Needs decision","Ready")</x:f>
        <x:v>Ready</x:v>
      </x:c>
      <x:c r="D4738" s="6" t="str">
        <x:v>去</x:v>
      </x:c>
      <x:c r="E4738" s="6" t="str">
        <x:v>lejH (C)</x:v>
      </x:c>
      <x:c r="F4738" s="6" t="str">
        <x:v>1</x:v>
      </x:c>
      <x:c r="G4738" s="6" t="str"/>
      <x:c r="H4738" s="6" t="str">
        <x:f>IF(B4738="平","平",IF(B4738="","","仄"))</x:f>
        <x:v>仄</x:v>
      </x:c>
      <x:c r="I4738" s="6" t="str">
        <x:f>IF(D4721="","",IF(AND(ISNUMBER(SEARCH("平",D4721)),OR(ISNUMBER(SEARCH("上",D4721)),ISNUMBER(SEARCH("去",D4721)),ISNUMBER(SEARCH("入",D4721)))),"Ambiguous",IF(ISNUMBER(SEARCH("平",D4721)),"平","仄")))</x:f>
        <x:v>平</x:v>
      </x:c>
      <x:c r="J4738" s="7" t="str"/>
    </x:row>
    <x:row r="4739">
      <x:c r="A4739" s="5" t="str">
        <x:v>麛</x:v>
      </x:c>
      <x:c r="B4739" s="6" t="str">
        <x:v>平</x:v>
      </x:c>
      <x:c r="C4739" s="6" t="str">
        <x:f>IF(B4739="","Needs decision","Ready")</x:f>
        <x:v>Ready</x:v>
      </x:c>
      <x:c r="D4739" s="6" t="str">
        <x:v>平</x:v>
      </x:c>
      <x:c r="E4739" s="6" t="str">
        <x:v>mej (A)</x:v>
      </x:c>
      <x:c r="F4739" s="6" t="str">
        <x:v>1</x:v>
      </x:c>
      <x:c r="G4739" s="6" t="str"/>
      <x:c r="H4739" s="6" t="str">
        <x:f>IF(B4739="平","平",IF(B4739="","","仄"))</x:f>
        <x:v>平</x:v>
      </x:c>
      <x:c r="I4739" s="6" t="str">
        <x:f>IF(D4722="","",IF(AND(ISNUMBER(SEARCH("平",D4722)),OR(ISNUMBER(SEARCH("上",D4722)),ISNUMBER(SEARCH("去",D4722)),ISNUMBER(SEARCH("入",D4722)))),"Ambiguous",IF(ISNUMBER(SEARCH("平",D4722)),"平","仄")))</x:f>
        <x:v>仄</x:v>
      </x:c>
      <x:c r="J4739" s="7" t="str"/>
    </x:row>
    <x:row r="4740">
      <x:c r="A4740" s="5" t="str">
        <x:v>麝</x:v>
      </x:c>
      <x:c r="B4740" s="6" t="str"/>
      <x:c r="C4740" s="6" t="str">
        <x:f>IF(B4740="","Needs decision","Ready")</x:f>
        <x:v>Needs decision</x:v>
      </x:c>
      <x:c r="D4740" s="6" t="str">
        <x:v>去/入</x:v>
      </x:c>
      <x:c r="E4740" s="6" t="str">
        <x:v>zyaeH [ʑah] (去); zyek [ʑak] (入)</x:v>
      </x:c>
      <x:c r="F4740" s="6" t="str">
        <x:v>2</x:v>
      </x:c>
      <x:c r="G4740" s="6" t="str">
        <x:v>Tang 300 gap; frequency 1; ambiguous in Xun Gong</x:v>
      </x:c>
      <x:c r="H4740" s="6" t="str">
        <x:f>IF(B4740="平","平",IF(B4740="","","仄"))</x:f>
      </x:c>
      <x:c r="I4740" s="6" t="str">
        <x:f>IF(D4723="","",IF(AND(ISNUMBER(SEARCH("平",D4723)),OR(ISNUMBER(SEARCH("上",D4723)),ISNUMBER(SEARCH("去",D4723)),ISNUMBER(SEARCH("入",D4723)))),"Ambiguous",IF(ISNUMBER(SEARCH("平",D4723)),"平","仄")))</x:f>
        <x:v>平</x:v>
      </x:c>
      <x:c r="J4740" s="7" t="str">
        <x:v>Xun Gong, Tang 300 gap fill</x:v>
      </x:c>
    </x:row>
    <x:row r="4741">
      <x:c r="A4741" s="5" t="str">
        <x:v>麟</x:v>
      </x:c>
      <x:c r="B4741" s="6" t="str">
        <x:v>平</x:v>
      </x:c>
      <x:c r="C4741" s="6" t="str">
        <x:f>IF(B4741="","Needs decision","Ready")</x:f>
        <x:v>Ready</x:v>
      </x:c>
      <x:c r="D4741" s="6" t="str">
        <x:v>平</x:v>
      </x:c>
      <x:c r="E4741" s="6" t="str">
        <x:v>lin [lin] (平)</x:v>
      </x:c>
      <x:c r="F4741" s="6" t="str">
        <x:v>1</x:v>
      </x:c>
      <x:c r="G4741" s="6" t="str">
        <x:v>Tang 300 gap; frequency 3; provisional from Xun Gong</x:v>
      </x:c>
      <x:c r="H4741" s="6" t="str">
        <x:f>IF(B4741="平","平",IF(B4741="","","仄"))</x:f>
        <x:v>平</x:v>
      </x:c>
      <x:c r="I4741" s="6" t="str">
        <x:f>IF(D4724="","",IF(AND(ISNUMBER(SEARCH("平",D4724)),OR(ISNUMBER(SEARCH("上",D4724)),ISNUMBER(SEARCH("去",D4724)),ISNUMBER(SEARCH("入",D4724)))),"Ambiguous",IF(ISNUMBER(SEARCH("平",D4724)),"平","仄")))</x:f>
        <x:v>仄</x:v>
      </x:c>
      <x:c r="J4741" s="7" t="str">
        <x:v>Xun Gong, Tang 300 gap fill</x:v>
      </x:c>
    </x:row>
    <x:row r="4742">
      <x:c r="A4742" s="5" t="str">
        <x:v>麤</x:v>
      </x:c>
      <x:c r="B4742" s="6" t="str">
        <x:v>平</x:v>
      </x:c>
      <x:c r="C4742" s="6" t="str">
        <x:f>IF(B4742="","Needs decision","Ready")</x:f>
        <x:v>Ready</x:v>
      </x:c>
      <x:c r="D4742" s="6" t="str">
        <x:v>平</x:v>
      </x:c>
      <x:c r="E4742" s="6" t="str">
        <x:v>tshu [t̙s̙ʰo] (平)</x:v>
      </x:c>
      <x:c r="F4742" s="6" t="str">
        <x:v>1</x:v>
      </x:c>
      <x:c r="G4742" s="6" t="str">
        <x:v>Tang 300 gap; frequency 1; provisional from Xun Gong</x:v>
      </x:c>
      <x:c r="H4742" s="6" t="str">
        <x:f>IF(B4742="平","平",IF(B4742="","","仄"))</x:f>
        <x:v>平</x:v>
      </x:c>
      <x:c r="I4742" s="6" t="str">
        <x:f>IF(D4725="","",IF(AND(ISNUMBER(SEARCH("平",D4725)),OR(ISNUMBER(SEARCH("上",D4725)),ISNUMBER(SEARCH("去",D4725)),ISNUMBER(SEARCH("入",D4725)))),"Ambiguous",IF(ISNUMBER(SEARCH("平",D4725)),"平","仄")))</x:f>
        <x:v>平</x:v>
      </x:c>
      <x:c r="J4742" s="7" t="str">
        <x:v>Xun Gong, Tang 300 gap fill</x:v>
      </x:c>
    </x:row>
    <x:row r="4743">
      <x:c r="A4743" s="5" t="str">
        <x:v>麥</x:v>
      </x:c>
      <x:c r="B4743" s="6" t="str">
        <x:v>入</x:v>
      </x:c>
      <x:c r="C4743" s="6" t="str">
        <x:f>IF(B4743="","Needs decision","Ready")</x:f>
        <x:v>Ready</x:v>
      </x:c>
      <x:c r="D4743" s="6" t="str">
        <x:v>入</x:v>
      </x:c>
      <x:c r="E4743" s="6" t="str">
        <x:v>meak (D)</x:v>
      </x:c>
      <x:c r="F4743" s="6" t="str">
        <x:v>1</x:v>
      </x:c>
      <x:c r="G4743" s="6" t="str"/>
      <x:c r="H4743" s="6" t="str">
        <x:f>IF(B4743="平","平",IF(B4743="","","仄"))</x:f>
        <x:v>仄</x:v>
      </x:c>
      <x:c r="I4743" s="6" t="str">
        <x:f>IF(D4726="","",IF(AND(ISNUMBER(SEARCH("平",D4726)),OR(ISNUMBER(SEARCH("上",D4726)),ISNUMBER(SEARCH("去",D4726)),ISNUMBER(SEARCH("入",D4726)))),"Ambiguous",IF(ISNUMBER(SEARCH("平",D4726)),"平","仄")))</x:f>
        <x:v>平</x:v>
      </x:c>
      <x:c r="J4743" s="7" t="str"/>
    </x:row>
    <x:row r="4744">
      <x:c r="A4744" s="5" t="str">
        <x:v>麻</x:v>
      </x:c>
      <x:c r="B4744" s="6" t="str">
        <x:v>平</x:v>
      </x:c>
      <x:c r="C4744" s="6" t="str">
        <x:f>IF(B4744="","Needs decision","Ready")</x:f>
        <x:v>Ready</x:v>
      </x:c>
      <x:c r="D4744" s="6" t="str">
        <x:v>平</x:v>
      </x:c>
      <x:c r="E4744" s="6" t="str">
        <x:v>mae (A)</x:v>
      </x:c>
      <x:c r="F4744" s="6" t="str">
        <x:v>1</x:v>
      </x:c>
      <x:c r="G4744" s="6" t="str"/>
      <x:c r="H4744" s="6" t="str">
        <x:f>IF(B4744="平","平",IF(B4744="","","仄"))</x:f>
        <x:v>平</x:v>
      </x:c>
      <x:c r="I4744" s="6" t="str">
        <x:f>IF(D4727="","",IF(AND(ISNUMBER(SEARCH("平",D4727)),OR(ISNUMBER(SEARCH("上",D4727)),ISNUMBER(SEARCH("去",D4727)),ISNUMBER(SEARCH("入",D4727)))),"Ambiguous",IF(ISNUMBER(SEARCH("平",D4727)),"平","仄")))</x:f>
        <x:v>仄</x:v>
      </x:c>
      <x:c r="J4744" s="7" t="str"/>
    </x:row>
    <x:row r="4745">
      <x:c r="A4745" s="5" t="str">
        <x:v>麾</x:v>
      </x:c>
      <x:c r="B4745" s="6" t="str">
        <x:v>平</x:v>
      </x:c>
      <x:c r="C4745" s="6" t="str">
        <x:f>IF(B4745="","Needs decision","Ready")</x:f>
        <x:v>Ready</x:v>
      </x:c>
      <x:c r="D4745" s="6" t="str">
        <x:v>平</x:v>
      </x:c>
      <x:c r="E4745" s="6" t="str">
        <x:v>xjwe [xwɨ̯ie] (平)</x:v>
      </x:c>
      <x:c r="F4745" s="6" t="str">
        <x:v>1</x:v>
      </x:c>
      <x:c r="G4745" s="6" t="str">
        <x:v>Tang 300 gap; frequency 2; provisional from Xun Gong</x:v>
      </x:c>
      <x:c r="H4745" s="6" t="str">
        <x:f>IF(B4745="平","平",IF(B4745="","","仄"))</x:f>
        <x:v>平</x:v>
      </x:c>
      <x:c r="I4745" s="6" t="str">
        <x:f>IF(D4728="","",IF(AND(ISNUMBER(SEARCH("平",D4728)),OR(ISNUMBER(SEARCH("上",D4728)),ISNUMBER(SEARCH("去",D4728)),ISNUMBER(SEARCH("入",D4728)))),"Ambiguous",IF(ISNUMBER(SEARCH("平",D4728)),"平","仄")))</x:f>
        <x:v>平</x:v>
      </x:c>
      <x:c r="J4745" s="7" t="str">
        <x:v>Xun Gong, Tang 300 gap fill</x:v>
      </x:c>
    </x:row>
    <x:row r="4746">
      <x:c r="A4746" s="5" t="str">
        <x:v>黃</x:v>
      </x:c>
      <x:c r="B4746" s="6" t="str">
        <x:v>平</x:v>
      </x:c>
      <x:c r="C4746" s="6" t="str">
        <x:f>IF(B4746="","Needs decision","Ready")</x:f>
        <x:v>Ready</x:v>
      </x:c>
      <x:c r="D4746" s="6" t="str">
        <x:v>平</x:v>
      </x:c>
      <x:c r="E4746" s="6" t="str">
        <x:v>hwang (A)</x:v>
      </x:c>
      <x:c r="F4746" s="6" t="str">
        <x:v>1</x:v>
      </x:c>
      <x:c r="G4746" s="6" t="str"/>
      <x:c r="H4746" s="6" t="str">
        <x:f>IF(B4746="平","平",IF(B4746="","","仄"))</x:f>
        <x:v>平</x:v>
      </x:c>
      <x:c r="I4746" s="6" t="str">
        <x:f>IF(D4729="","",IF(AND(ISNUMBER(SEARCH("平",D4729)),OR(ISNUMBER(SEARCH("上",D4729)),ISNUMBER(SEARCH("去",D4729)),ISNUMBER(SEARCH("入",D4729)))),"Ambiguous",IF(ISNUMBER(SEARCH("平",D4729)),"平","仄")))</x:f>
        <x:v>平</x:v>
      </x:c>
      <x:c r="J4746" s="7" t="str"/>
    </x:row>
    <x:row r="4747">
      <x:c r="A4747" s="5" t="str">
        <x:v>黍</x:v>
      </x:c>
      <x:c r="B4747" s="6" t="str">
        <x:v>上</x:v>
      </x:c>
      <x:c r="C4747" s="6" t="str">
        <x:f>IF(B4747="","Needs decision","Ready")</x:f>
        <x:v>Ready</x:v>
      </x:c>
      <x:c r="D4747" s="6" t="str">
        <x:v>上</x:v>
      </x:c>
      <x:c r="E4747" s="6" t="str">
        <x:v>syoX (B)</x:v>
      </x:c>
      <x:c r="F4747" s="6" t="str">
        <x:v>1</x:v>
      </x:c>
      <x:c r="G4747" s="6" t="str"/>
      <x:c r="H4747" s="6" t="str">
        <x:f>IF(B4747="平","平",IF(B4747="","","仄"))</x:f>
        <x:v>仄</x:v>
      </x:c>
      <x:c r="I4747" s="6" t="str">
        <x:f>IF(D4730="","",IF(AND(ISNUMBER(SEARCH("平",D4730)),OR(ISNUMBER(SEARCH("上",D4730)),ISNUMBER(SEARCH("去",D4730)),ISNUMBER(SEARCH("入",D4730)))),"Ambiguous",IF(ISNUMBER(SEARCH("平",D4730)),"平","仄")))</x:f>
        <x:v>Ambiguous</x:v>
      </x:c>
      <x:c r="J4747" s="7" t="str"/>
    </x:row>
    <x:row r="4748">
      <x:c r="A4748" s="5" t="str">
        <x:v>黎</x:v>
      </x:c>
      <x:c r="B4748" s="6" t="str">
        <x:v>平</x:v>
      </x:c>
      <x:c r="C4748" s="6" t="str">
        <x:f>IF(B4748="","Needs decision","Ready")</x:f>
        <x:v>Ready</x:v>
      </x:c>
      <x:c r="D4748" s="6" t="str">
        <x:v>平</x:v>
      </x:c>
      <x:c r="E4748" s="6" t="str">
        <x:v>lej (A)</x:v>
      </x:c>
      <x:c r="F4748" s="6" t="str">
        <x:v>1</x:v>
      </x:c>
      <x:c r="G4748" s="6" t="str"/>
      <x:c r="H4748" s="6" t="str">
        <x:f>IF(B4748="平","平",IF(B4748="","","仄"))</x:f>
        <x:v>平</x:v>
      </x:c>
      <x:c r="I4748" s="6" t="str">
        <x:f>IF(D4731="","",IF(AND(ISNUMBER(SEARCH("平",D4731)),OR(ISNUMBER(SEARCH("上",D4731)),ISNUMBER(SEARCH("去",D4731)),ISNUMBER(SEARCH("入",D4731)))),"Ambiguous",IF(ISNUMBER(SEARCH("平",D4731)),"平","仄")))</x:f>
        <x:v>仄</x:v>
      </x:c>
      <x:c r="J4748" s="7" t="str"/>
    </x:row>
    <x:row r="4749">
      <x:c r="A4749" s="5" t="str">
        <x:v>黑</x:v>
      </x:c>
      <x:c r="B4749" s="6" t="str">
        <x:v>入</x:v>
      </x:c>
      <x:c r="C4749" s="6" t="str">
        <x:f>IF(B4749="","Needs decision","Ready")</x:f>
        <x:v>Ready</x:v>
      </x:c>
      <x:c r="D4749" s="6" t="str">
        <x:v>入</x:v>
      </x:c>
      <x:c r="E4749" s="6" t="str">
        <x:v>xok (D)</x:v>
      </x:c>
      <x:c r="F4749" s="6" t="str">
        <x:v>1</x:v>
      </x:c>
      <x:c r="G4749" s="6" t="str"/>
      <x:c r="H4749" s="6" t="str">
        <x:f>IF(B4749="平","平",IF(B4749="","","仄"))</x:f>
        <x:v>仄</x:v>
      </x:c>
      <x:c r="I4749" s="6" t="str">
        <x:f>IF(D4732="","",IF(AND(ISNUMBER(SEARCH("平",D4732)),OR(ISNUMBER(SEARCH("上",D4732)),ISNUMBER(SEARCH("去",D4732)),ISNUMBER(SEARCH("入",D4732)))),"Ambiguous",IF(ISNUMBER(SEARCH("平",D4732)),"平","仄")))</x:f>
        <x:v>平</x:v>
      </x:c>
      <x:c r="J4749" s="7" t="str"/>
    </x:row>
    <x:row r="4750">
      <x:c r="A4750" s="5" t="str">
        <x:v>黔</x:v>
      </x:c>
      <x:c r="B4750" s="6" t="str">
        <x:v>平</x:v>
      </x:c>
      <x:c r="C4750" s="6" t="str">
        <x:f>IF(B4750="","Needs decision","Ready")</x:f>
        <x:v>Ready</x:v>
      </x:c>
      <x:c r="D4750" s="6" t="str">
        <x:v>平</x:v>
      </x:c>
      <x:c r="E4750" s="6" t="str">
        <x:v>gjem (A)</x:v>
      </x:c>
      <x:c r="F4750" s="6" t="str">
        <x:v>1</x:v>
      </x:c>
      <x:c r="G4750" s="6" t="str"/>
      <x:c r="H4750" s="6" t="str">
        <x:f>IF(B4750="平","平",IF(B4750="","","仄"))</x:f>
        <x:v>平</x:v>
      </x:c>
      <x:c r="I4750" s="6" t="str">
        <x:f>IF(D4733="","",IF(AND(ISNUMBER(SEARCH("平",D4733)),OR(ISNUMBER(SEARCH("上",D4733)),ISNUMBER(SEARCH("去",D4733)),ISNUMBER(SEARCH("入",D4733)))),"Ambiguous",IF(ISNUMBER(SEARCH("平",D4733)),"平","仄")))</x:f>
        <x:v>平</x:v>
      </x:c>
      <x:c r="J4750" s="7" t="str"/>
    </x:row>
    <x:row r="4751">
      <x:c r="A4751" s="5" t="str">
        <x:v>默</x:v>
      </x:c>
      <x:c r="B4751" s="6" t="str">
        <x:v>入</x:v>
      </x:c>
      <x:c r="C4751" s="6" t="str">
        <x:f>IF(B4751="","Needs decision","Ready")</x:f>
        <x:v>Ready</x:v>
      </x:c>
      <x:c r="D4751" s="6" t="str">
        <x:v>入</x:v>
      </x:c>
      <x:c r="E4751" s="6" t="str">
        <x:v>mok [m̙ək] (入)</x:v>
      </x:c>
      <x:c r="F4751" s="6" t="str">
        <x:v>1</x:v>
      </x:c>
      <x:c r="G4751" s="6" t="str">
        <x:v>Tang 300 gap; frequency 3; provisional from Xun Gong</x:v>
      </x:c>
      <x:c r="H4751" s="6" t="str">
        <x:f>IF(B4751="平","平",IF(B4751="","","仄"))</x:f>
        <x:v>仄</x:v>
      </x:c>
      <x:c r="I4751" s="6" t="str">
        <x:f>IF(D4734="","",IF(AND(ISNUMBER(SEARCH("平",D4734)),OR(ISNUMBER(SEARCH("上",D4734)),ISNUMBER(SEARCH("去",D4734)),ISNUMBER(SEARCH("入",D4734)))),"Ambiguous",IF(ISNUMBER(SEARCH("平",D4734)),"平","仄")))</x:f>
        <x:v>平</x:v>
      </x:c>
      <x:c r="J4751" s="7" t="str">
        <x:v>Xun Gong, Tang 300 gap fill</x:v>
      </x:c>
    </x:row>
    <x:row r="4752">
      <x:c r="A4752" s="5" t="str">
        <x:v>黛</x:v>
      </x:c>
      <x:c r="B4752" s="6" t="str">
        <x:v>去</x:v>
      </x:c>
      <x:c r="C4752" s="6" t="str">
        <x:f>IF(B4752="","Needs decision","Ready")</x:f>
        <x:v>Ready</x:v>
      </x:c>
      <x:c r="D4752" s="6" t="str">
        <x:v>去</x:v>
      </x:c>
      <x:c r="E4752" s="6" t="str">
        <x:v>dojH [d̙əjh] (去)</x:v>
      </x:c>
      <x:c r="F4752" s="6" t="str">
        <x:v>1</x:v>
      </x:c>
      <x:c r="G4752" s="6" t="str">
        <x:v>Tang 300 gap; frequency 3; provisional from Xun Gong</x:v>
      </x:c>
      <x:c r="H4752" s="6" t="str">
        <x:f>IF(B4752="平","平",IF(B4752="","","仄"))</x:f>
        <x:v>仄</x:v>
      </x:c>
      <x:c r="I4752" s="6" t="str">
        <x:f>IF(D4735="","",IF(AND(ISNUMBER(SEARCH("平",D4735)),OR(ISNUMBER(SEARCH("上",D4735)),ISNUMBER(SEARCH("去",D4735)),ISNUMBER(SEARCH("入",D4735)))),"Ambiguous",IF(ISNUMBER(SEARCH("平",D4735)),"平","仄")))</x:f>
        <x:v>平</x:v>
      </x:c>
      <x:c r="J4752" s="7" t="str">
        <x:v>Xun Gong, Tang 300 gap fill</x:v>
      </x:c>
    </x:row>
    <x:row r="4753">
      <x:c r="A4753" s="5" t="str">
        <x:v>黜</x:v>
      </x:c>
      <x:c r="B4753" s="6" t="str">
        <x:v>入</x:v>
      </x:c>
      <x:c r="C4753" s="6" t="str">
        <x:f>IF(B4753="","Needs decision","Ready")</x:f>
        <x:v>Ready</x:v>
      </x:c>
      <x:c r="D4753" s="6" t="str">
        <x:v>入</x:v>
      </x:c>
      <x:c r="E4753" s="6" t="str">
        <x:v>trhwit (D)</x:v>
      </x:c>
      <x:c r="F4753" s="6" t="str">
        <x:v>1</x:v>
      </x:c>
      <x:c r="G4753" s="6" t="str"/>
      <x:c r="H4753" s="6" t="str">
        <x:f>IF(B4753="平","平",IF(B4753="","","仄"))</x:f>
        <x:v>仄</x:v>
      </x:c>
      <x:c r="I4753" s="6" t="str">
        <x:f>IF(D4736="","",IF(AND(ISNUMBER(SEARCH("平",D4736)),OR(ISNUMBER(SEARCH("上",D4736)),ISNUMBER(SEARCH("去",D4736)),ISNUMBER(SEARCH("入",D4736)))),"Ambiguous",IF(ISNUMBER(SEARCH("平",D4736)),"平","仄")))</x:f>
        <x:v>平</x:v>
      </x:c>
      <x:c r="J4753" s="7" t="str"/>
    </x:row>
    <x:row r="4754">
      <x:c r="A4754" s="5" t="str">
        <x:v>點</x:v>
      </x:c>
      <x:c r="B4754" s="6" t="str">
        <x:v>上</x:v>
      </x:c>
      <x:c r="C4754" s="6" t="str">
        <x:f>IF(B4754="","Needs decision","Ready")</x:f>
        <x:v>Ready</x:v>
      </x:c>
      <x:c r="D4754" s="6" t="str">
        <x:v>上</x:v>
      </x:c>
      <x:c r="E4754" s="6" t="str">
        <x:v>temX (B)</x:v>
      </x:c>
      <x:c r="F4754" s="6" t="str">
        <x:v>1</x:v>
      </x:c>
      <x:c r="G4754" s="6" t="str"/>
      <x:c r="H4754" s="6" t="str">
        <x:f>IF(B4754="平","平",IF(B4754="","","仄"))</x:f>
        <x:v>仄</x:v>
      </x:c>
      <x:c r="I4754" s="6" t="str">
        <x:f>IF(D4737="","",IF(AND(ISNUMBER(SEARCH("平",D4737)),OR(ISNUMBER(SEARCH("上",D4737)),ISNUMBER(SEARCH("去",D4737)),ISNUMBER(SEARCH("入",D4737)))),"Ambiguous",IF(ISNUMBER(SEARCH("平",D4737)),"平","仄")))</x:f>
        <x:v>平</x:v>
      </x:c>
      <x:c r="J4754" s="7" t="str"/>
    </x:row>
    <x:row r="4755">
      <x:c r="A4755" s="5" t="str">
        <x:v>黠</x:v>
      </x:c>
      <x:c r="B4755" s="6" t="str">
        <x:v>入</x:v>
      </x:c>
      <x:c r="C4755" s="6" t="str">
        <x:f>IF(B4755="","Needs decision","Ready")</x:f>
        <x:v>Ready</x:v>
      </x:c>
      <x:c r="D4755" s="6" t="str">
        <x:v>入</x:v>
      </x:c>
      <x:c r="E4755" s="6" t="str">
        <x:v>heat (D)</x:v>
      </x:c>
      <x:c r="F4755" s="6" t="str">
        <x:v>1</x:v>
      </x:c>
      <x:c r="G4755" s="6" t="str"/>
      <x:c r="H4755" s="6" t="str">
        <x:f>IF(B4755="平","平",IF(B4755="","","仄"))</x:f>
        <x:v>仄</x:v>
      </x:c>
      <x:c r="I4755" s="6" t="str">
        <x:f>IF(D4738="","",IF(AND(ISNUMBER(SEARCH("平",D4738)),OR(ISNUMBER(SEARCH("上",D4738)),ISNUMBER(SEARCH("去",D4738)),ISNUMBER(SEARCH("入",D4738)))),"Ambiguous",IF(ISNUMBER(SEARCH("平",D4738)),"平","仄")))</x:f>
        <x:v>仄</x:v>
      </x:c>
      <x:c r="J4755" s="7" t="str"/>
    </x:row>
    <x:row r="4756">
      <x:c r="A4756" s="5" t="str">
        <x:v>黨</x:v>
      </x:c>
      <x:c r="B4756" s="6" t="str">
        <x:v>上</x:v>
      </x:c>
      <x:c r="C4756" s="6" t="str">
        <x:f>IF(B4756="","Needs decision","Ready")</x:f>
        <x:v>Ready</x:v>
      </x:c>
      <x:c r="D4756" s="6" t="str">
        <x:v>上</x:v>
      </x:c>
      <x:c r="E4756" s="6" t="str">
        <x:v>tangX (B)</x:v>
      </x:c>
      <x:c r="F4756" s="6" t="str">
        <x:v>1</x:v>
      </x:c>
      <x:c r="G4756" s="6" t="str"/>
      <x:c r="H4756" s="6" t="str">
        <x:f>IF(B4756="平","平",IF(B4756="","","仄"))</x:f>
        <x:v>仄</x:v>
      </x:c>
      <x:c r="I4756" s="6" t="str">
        <x:f>IF(D4739="","",IF(AND(ISNUMBER(SEARCH("平",D4739)),OR(ISNUMBER(SEARCH("上",D4739)),ISNUMBER(SEARCH("去",D4739)),ISNUMBER(SEARCH("入",D4739)))),"Ambiguous",IF(ISNUMBER(SEARCH("平",D4739)),"平","仄")))</x:f>
        <x:v>平</x:v>
      </x:c>
      <x:c r="J4756" s="7" t="str"/>
    </x:row>
    <x:row r="4757">
      <x:c r="A4757" s="5" t="str">
        <x:v>黬</x:v>
      </x:c>
      <x:c r="B4757" s="6" t="str">
        <x:v>平</x:v>
      </x:c>
      <x:c r="C4757" s="6" t="str">
        <x:f>IF(B4757="","Needs decision","Ready")</x:f>
        <x:v>Ready</x:v>
      </x:c>
      <x:c r="D4757" s="6" t="str">
        <x:v>平</x:v>
      </x:c>
      <x:c r="E4757" s="6" t="str">
        <x:v>keam (A)</x:v>
      </x:c>
      <x:c r="F4757" s="6" t="str">
        <x:v>1</x:v>
      </x:c>
      <x:c r="G4757" s="6" t="str"/>
      <x:c r="H4757" s="6" t="str">
        <x:f>IF(B4757="平","平",IF(B4757="","","仄"))</x:f>
        <x:v>平</x:v>
      </x:c>
      <x:c r="I4757" s="6" t="str">
        <x:f>IF(D4740="","",IF(AND(ISNUMBER(SEARCH("平",D4740)),OR(ISNUMBER(SEARCH("上",D4740)),ISNUMBER(SEARCH("去",D4740)),ISNUMBER(SEARCH("入",D4740)))),"Ambiguous",IF(ISNUMBER(SEARCH("平",D4740)),"平","仄")))</x:f>
        <x:v>仄</x:v>
      </x:c>
      <x:c r="J4757" s="7" t="str"/>
    </x:row>
    <x:row r="4758">
      <x:c r="A4758" s="5" t="str">
        <x:v>黯</x:v>
      </x:c>
      <x:c r="B4758" s="6" t="str">
        <x:v>上</x:v>
      </x:c>
      <x:c r="C4758" s="6" t="str">
        <x:f>IF(B4758="","Needs decision","Ready")</x:f>
        <x:v>Ready</x:v>
      </x:c>
      <x:c r="D4758" s="6" t="str">
        <x:v>平/上</x:v>
      </x:c>
      <x:c r="E4758" s="6" t="str">
        <x:v>'eam [ʔ̙eˤm] (平); 'eamX [ʔ̙eˤmʔ] (上)</x:v>
      </x:c>
      <x:c r="F4758" s="6" t="str">
        <x:v>2</x:v>
      </x:c>
      <x:c r="G4758" s="6" t="str">
        <x:v>Tang 300 gap; frequency 6; ambiguous in Xun Gong</x:v>
      </x:c>
      <x:c r="H4758" s="6" t="str">
        <x:f>IF(B4758="平","平",IF(B4758="","","仄"))</x:f>
        <x:v>仄</x:v>
      </x:c>
      <x:c r="I4758" s="6" t="str">
        <x:f>IF(D4741="","",IF(AND(ISNUMBER(SEARCH("平",D4741)),OR(ISNUMBER(SEARCH("上",D4741)),ISNUMBER(SEARCH("去",D4741)),ISNUMBER(SEARCH("入",D4741)))),"Ambiguous",IF(ISNUMBER(SEARCH("平",D4741)),"平","仄")))</x:f>
        <x:v>平</x:v>
      </x:c>
      <x:c r="J4758" s="7" t="str">
        <x:v>Xun Gong, Tang 300 gap fill</x:v>
      </x:c>
    </x:row>
    <x:row r="4759">
      <x:c r="A4759" s="5" t="str">
        <x:v>黹</x:v>
      </x:c>
      <x:c r="B4759" s="6" t="str">
        <x:v>上</x:v>
      </x:c>
      <x:c r="C4759" s="6" t="str">
        <x:f>IF(B4759="","Needs decision","Ready")</x:f>
        <x:v>Ready</x:v>
      </x:c>
      <x:c r="D4759" s="6" t="str">
        <x:v>上</x:v>
      </x:c>
      <x:c r="E4759" s="6" t="str">
        <x:v>trijX (B)</x:v>
      </x:c>
      <x:c r="F4759" s="6" t="str">
        <x:v>1</x:v>
      </x:c>
      <x:c r="G4759" s="6" t="str"/>
      <x:c r="H4759" s="6" t="str">
        <x:f>IF(B4759="平","平",IF(B4759="","","仄"))</x:f>
        <x:v>仄</x:v>
      </x:c>
      <x:c r="I4759" s="6" t="str">
        <x:f>IF(D4742="","",IF(AND(ISNUMBER(SEARCH("平",D4742)),OR(ISNUMBER(SEARCH("上",D4742)),ISNUMBER(SEARCH("去",D4742)),ISNUMBER(SEARCH("入",D4742)))),"Ambiguous",IF(ISNUMBER(SEARCH("平",D4742)),"平","仄")))</x:f>
        <x:v>平</x:v>
      </x:c>
      <x:c r="J4759" s="7" t="str"/>
    </x:row>
    <x:row r="4760">
      <x:c r="A4760" s="5" t="str">
        <x:v>黻</x:v>
      </x:c>
      <x:c r="B4760" s="6" t="str">
        <x:v>入</x:v>
      </x:c>
      <x:c r="C4760" s="6" t="str">
        <x:f>IF(B4760="","Needs decision","Ready")</x:f>
        <x:v>Ready</x:v>
      </x:c>
      <x:c r="D4760" s="6" t="str">
        <x:v>入</x:v>
      </x:c>
      <x:c r="E4760" s="6" t="str">
        <x:v>pjut [幫三C文入] pɨ̯ut</x:v>
      </x:c>
      <x:c r="F4760" s="6" t="str">
        <x:v>1</x:v>
      </x:c>
      <x:c r="G4760" s="6" t="str">
        <x:v>Targeted preliminary fill from Xun Gong; review if uncertain</x:v>
      </x:c>
      <x:c r="H4760" s="6" t="str">
        <x:f>IF(B4760="平","平",IF(B4760="","","仄"))</x:f>
        <x:v>仄</x:v>
      </x:c>
      <x:c r="I4760" s="6" t="str">
        <x:f>IF(D4743="","",IF(AND(ISNUMBER(SEARCH("平",D4743)),OR(ISNUMBER(SEARCH("上",D4743)),ISNUMBER(SEARCH("去",D4743)),ISNUMBER(SEARCH("入",D4743)))),"Ambiguous",IF(ISNUMBER(SEARCH("平",D4743)),"平","仄")))</x:f>
        <x:v>仄</x:v>
      </x:c>
      <x:c r="J4760" s="7" t="str">
        <x:v>Xun Gong character-readings.csv</x:v>
      </x:c>
    </x:row>
    <x:row r="4761">
      <x:c r="A4761" s="5" t="str">
        <x:v>黽</x:v>
      </x:c>
      <x:c r="B4761" s="6" t="str">
        <x:v>上</x:v>
      </x:c>
      <x:c r="C4761" s="6" t="str">
        <x:f>IF(B4761="","Needs decision","Ready")</x:f>
        <x:v>Ready</x:v>
      </x:c>
      <x:c r="D4761" s="6" t="str">
        <x:v>上</x:v>
      </x:c>
      <x:c r="E4761" s="6" t="str">
        <x:v>meangX (B)</x:v>
      </x:c>
      <x:c r="F4761" s="6" t="str">
        <x:v>1</x:v>
      </x:c>
      <x:c r="G4761" s="6" t="str"/>
      <x:c r="H4761" s="6" t="str">
        <x:f>IF(B4761="平","平",IF(B4761="","","仄"))</x:f>
        <x:v>仄</x:v>
      </x:c>
      <x:c r="I4761" s="6" t="str">
        <x:f>IF(D4744="","",IF(AND(ISNUMBER(SEARCH("平",D4744)),OR(ISNUMBER(SEARCH("上",D4744)),ISNUMBER(SEARCH("去",D4744)),ISNUMBER(SEARCH("入",D4744)))),"Ambiguous",IF(ISNUMBER(SEARCH("平",D4744)),"平","仄")))</x:f>
        <x:v>平</x:v>
      </x:c>
      <x:c r="J4761" s="7" t="str"/>
    </x:row>
    <x:row r="4762">
      <x:c r="A4762" s="5" t="str">
        <x:v>鼃</x:v>
      </x:c>
      <x:c r="B4762" s="6" t="str">
        <x:v>平</x:v>
      </x:c>
      <x:c r="C4762" s="6" t="str">
        <x:f>IF(B4762="","Needs decision","Ready")</x:f>
        <x:v>Ready</x:v>
      </x:c>
      <x:c r="D4762" s="6" t="str">
        <x:v>平</x:v>
      </x:c>
      <x:c r="E4762" s="6" t="str">
        <x:v>'wae (A); 'wea (A); hwae (A); hwea (A)</x:v>
      </x:c>
      <x:c r="F4762" s="6" t="str">
        <x:v>4</x:v>
      </x:c>
      <x:c r="G4762" s="6" t="str"/>
      <x:c r="H4762" s="6" t="str">
        <x:f>IF(B4762="平","平",IF(B4762="","","仄"))</x:f>
        <x:v>平</x:v>
      </x:c>
      <x:c r="I4762" s="6" t="str">
        <x:f>IF(D4745="","",IF(AND(ISNUMBER(SEARCH("平",D4745)),OR(ISNUMBER(SEARCH("上",D4745)),ISNUMBER(SEARCH("去",D4745)),ISNUMBER(SEARCH("入",D4745)))),"Ambiguous",IF(ISNUMBER(SEARCH("平",D4745)),"平","仄")))</x:f>
        <x:v>平</x:v>
      </x:c>
      <x:c r="J4762" s="7" t="str"/>
    </x:row>
    <x:row r="4763">
      <x:c r="A4763" s="5" t="str">
        <x:v>鼇</x:v>
      </x:c>
      <x:c r="B4763" s="6" t="str">
        <x:v>平</x:v>
      </x:c>
      <x:c r="C4763" s="6" t="str">
        <x:f>IF(B4763="","Needs decision","Ready")</x:f>
        <x:v>Ready</x:v>
      </x:c>
      <x:c r="D4763" s="6" t="str">
        <x:v>平</x:v>
      </x:c>
      <x:c r="E4763" s="6" t="str">
        <x:v>ngaw [ɴəw] (平)</x:v>
      </x:c>
      <x:c r="F4763" s="6" t="str">
        <x:v>1</x:v>
      </x:c>
      <x:c r="G4763" s="6" t="str">
        <x:v>Tang 300 gap; frequency 1; provisional from Xun Gong</x:v>
      </x:c>
      <x:c r="H4763" s="6" t="str">
        <x:f>IF(B4763="平","平",IF(B4763="","","仄"))</x:f>
        <x:v>平</x:v>
      </x:c>
      <x:c r="I4763" s="6" t="str">
        <x:f>IF(D4746="","",IF(AND(ISNUMBER(SEARCH("平",D4746)),OR(ISNUMBER(SEARCH("上",D4746)),ISNUMBER(SEARCH("去",D4746)),ISNUMBER(SEARCH("入",D4746)))),"Ambiguous",IF(ISNUMBER(SEARCH("平",D4746)),"平","仄")))</x:f>
        <x:v>平</x:v>
      </x:c>
      <x:c r="J4763" s="7" t="str">
        <x:v>Xun Gong, Tang 300 gap fill</x:v>
      </x:c>
    </x:row>
    <x:row r="4764">
      <x:c r="A4764" s="5" t="str">
        <x:v>鼉</x:v>
      </x:c>
      <x:c r="B4764" s="6" t="str">
        <x:v>平</x:v>
      </x:c>
      <x:c r="C4764" s="6" t="str">
        <x:f>IF(B4764="","Needs decision","Ready")</x:f>
        <x:v>Ready</x:v>
      </x:c>
      <x:c r="D4764" s="6" t="str">
        <x:v>平</x:v>
      </x:c>
      <x:c r="E4764" s="6" t="str">
        <x:v>da (A); dan (A)</x:v>
      </x:c>
      <x:c r="F4764" s="6" t="str">
        <x:v>2</x:v>
      </x:c>
      <x:c r="G4764" s="6" t="str"/>
      <x:c r="H4764" s="6" t="str">
        <x:f>IF(B4764="平","平",IF(B4764="","","仄"))</x:f>
        <x:v>平</x:v>
      </x:c>
      <x:c r="I4764" s="6" t="str">
        <x:f>IF(D4747="","",IF(AND(ISNUMBER(SEARCH("平",D4747)),OR(ISNUMBER(SEARCH("上",D4747)),ISNUMBER(SEARCH("去",D4747)),ISNUMBER(SEARCH("入",D4747)))),"Ambiguous",IF(ISNUMBER(SEARCH("平",D4747)),"平","仄")))</x:f>
        <x:v>仄</x:v>
      </x:c>
      <x:c r="J4764" s="7" t="str"/>
    </x:row>
    <x:row r="4765">
      <x:c r="A4765" s="5" t="str">
        <x:v>鼎</x:v>
      </x:c>
      <x:c r="B4765" s="6" t="str">
        <x:v>上</x:v>
      </x:c>
      <x:c r="C4765" s="6" t="str">
        <x:f>IF(B4765="","Needs decision","Ready")</x:f>
        <x:v>Ready</x:v>
      </x:c>
      <x:c r="D4765" s="6" t="str">
        <x:v>上</x:v>
      </x:c>
      <x:c r="E4765" s="6" t="str">
        <x:v>tengX (B)</x:v>
      </x:c>
      <x:c r="F4765" s="6" t="str">
        <x:v>1</x:v>
      </x:c>
      <x:c r="G4765" s="6" t="str"/>
      <x:c r="H4765" s="6" t="str">
        <x:f>IF(B4765="平","平",IF(B4765="","","仄"))</x:f>
        <x:v>仄</x:v>
      </x:c>
      <x:c r="I4765" s="6" t="str">
        <x:f>IF(D4748="","",IF(AND(ISNUMBER(SEARCH("平",D4748)),OR(ISNUMBER(SEARCH("上",D4748)),ISNUMBER(SEARCH("去",D4748)),ISNUMBER(SEARCH("入",D4748)))),"Ambiguous",IF(ISNUMBER(SEARCH("平",D4748)),"平","仄")))</x:f>
        <x:v>平</x:v>
      </x:c>
      <x:c r="J4765" s="7" t="str"/>
    </x:row>
    <x:row r="4766">
      <x:c r="A4766" s="5" t="str">
        <x:v>鼓</x:v>
      </x:c>
      <x:c r="B4766" s="6" t="str">
        <x:v>上</x:v>
      </x:c>
      <x:c r="C4766" s="6" t="str">
        <x:f>IF(B4766="","Needs decision","Ready")</x:f>
        <x:v>Ready</x:v>
      </x:c>
      <x:c r="D4766" s="6" t="str">
        <x:v>上</x:v>
      </x:c>
      <x:c r="E4766" s="6" t="str">
        <x:v>kuX (B)</x:v>
      </x:c>
      <x:c r="F4766" s="6" t="str">
        <x:v>1</x:v>
      </x:c>
      <x:c r="G4766" s="6" t="str"/>
      <x:c r="H4766" s="6" t="str">
        <x:f>IF(B4766="平","平",IF(B4766="","","仄"))</x:f>
        <x:v>仄</x:v>
      </x:c>
      <x:c r="I4766" s="6" t="str">
        <x:f>IF(D4749="","",IF(AND(ISNUMBER(SEARCH("平",D4749)),OR(ISNUMBER(SEARCH("上",D4749)),ISNUMBER(SEARCH("去",D4749)),ISNUMBER(SEARCH("入",D4749)))),"Ambiguous",IF(ISNUMBER(SEARCH("平",D4749)),"平","仄")))</x:f>
        <x:v>仄</x:v>
      </x:c>
      <x:c r="J4766" s="7" t="str"/>
    </x:row>
    <x:row r="4767">
      <x:c r="A4767" s="5" t="str">
        <x:v>鼔</x:v>
      </x:c>
      <x:c r="B4767" s="6" t="str">
        <x:v>上</x:v>
      </x:c>
      <x:c r="C4767" s="6" t="str">
        <x:f>IF(B4767="","Needs decision","Ready")</x:f>
        <x:v>Ready</x:v>
      </x:c>
      <x:c r="D4767" s="6" t="str">
        <x:v>上</x:v>
      </x:c>
      <x:c r="E4767" s="6" t="str">
        <x:v>kuX (B)</x:v>
      </x:c>
      <x:c r="F4767" s="6" t="str">
        <x:v>1</x:v>
      </x:c>
      <x:c r="G4767" s="6" t="str"/>
      <x:c r="H4767" s="6" t="str">
        <x:f>IF(B4767="平","平",IF(B4767="","","仄"))</x:f>
        <x:v>仄</x:v>
      </x:c>
      <x:c r="I4767" s="6" t="str">
        <x:f>IF(D4750="","",IF(AND(ISNUMBER(SEARCH("平",D4750)),OR(ISNUMBER(SEARCH("上",D4750)),ISNUMBER(SEARCH("去",D4750)),ISNUMBER(SEARCH("入",D4750)))),"Ambiguous",IF(ISNUMBER(SEARCH("平",D4750)),"平","仄")))</x:f>
        <x:v>平</x:v>
      </x:c>
      <x:c r="J4767" s="7" t="str"/>
    </x:row>
    <x:row r="4768">
      <x:c r="A4768" s="5" t="str">
        <x:v>鼙</x:v>
      </x:c>
      <x:c r="B4768" s="6" t="str">
        <x:v>平</x:v>
      </x:c>
      <x:c r="C4768" s="6" t="str">
        <x:f>IF(B4768="","Needs decision","Ready")</x:f>
        <x:v>Ready</x:v>
      </x:c>
      <x:c r="D4768" s="6" t="str">
        <x:v>平</x:v>
      </x:c>
      <x:c r="E4768" s="6" t="str">
        <x:v>bej (A)</x:v>
      </x:c>
      <x:c r="F4768" s="6" t="str">
        <x:v>1</x:v>
      </x:c>
      <x:c r="G4768" s="6" t="str"/>
      <x:c r="H4768" s="6" t="str">
        <x:f>IF(B4768="平","平",IF(B4768="","","仄"))</x:f>
        <x:v>平</x:v>
      </x:c>
      <x:c r="I4768" s="6" t="str">
        <x:f>IF(D4751="","",IF(AND(ISNUMBER(SEARCH("平",D4751)),OR(ISNUMBER(SEARCH("上",D4751)),ISNUMBER(SEARCH("去",D4751)),ISNUMBER(SEARCH("入",D4751)))),"Ambiguous",IF(ISNUMBER(SEARCH("平",D4751)),"平","仄")))</x:f>
        <x:v>仄</x:v>
      </x:c>
      <x:c r="J4768" s="7" t="str"/>
    </x:row>
    <x:row r="4769">
      <x:c r="A4769" s="5" t="str">
        <x:v>鼛</x:v>
      </x:c>
      <x:c r="B4769" s="6" t="str">
        <x:v>平</x:v>
      </x:c>
      <x:c r="C4769" s="6" t="str">
        <x:f>IF(B4769="","Needs decision","Ready")</x:f>
        <x:v>Ready</x:v>
      </x:c>
      <x:c r="D4769" s="6" t="str">
        <x:v>平</x:v>
      </x:c>
      <x:c r="E4769" s="6" t="str">
        <x:v>kaw (A)</x:v>
      </x:c>
      <x:c r="F4769" s="6" t="str">
        <x:v>1</x:v>
      </x:c>
      <x:c r="G4769" s="6" t="str"/>
      <x:c r="H4769" s="6" t="str">
        <x:f>IF(B4769="平","平",IF(B4769="","","仄"))</x:f>
        <x:v>平</x:v>
      </x:c>
      <x:c r="I4769" s="6" t="str">
        <x:f>IF(D4752="","",IF(AND(ISNUMBER(SEARCH("平",D4752)),OR(ISNUMBER(SEARCH("上",D4752)),ISNUMBER(SEARCH("去",D4752)),ISNUMBER(SEARCH("入",D4752)))),"Ambiguous",IF(ISNUMBER(SEARCH("平",D4752)),"平","仄")))</x:f>
        <x:v>仄</x:v>
      </x:c>
      <x:c r="J4769" s="7" t="str"/>
    </x:row>
    <x:row r="4770">
      <x:c r="A4770" s="5" t="str">
        <x:v>鼠</x:v>
      </x:c>
      <x:c r="B4770" s="6" t="str">
        <x:v>上</x:v>
      </x:c>
      <x:c r="C4770" s="6" t="str">
        <x:f>IF(B4770="","Needs decision","Ready")</x:f>
        <x:v>Ready</x:v>
      </x:c>
      <x:c r="D4770" s="6" t="str">
        <x:v>上</x:v>
      </x:c>
      <x:c r="E4770" s="6" t="str">
        <x:v>syoX (B)</x:v>
      </x:c>
      <x:c r="F4770" s="6" t="str">
        <x:v>1</x:v>
      </x:c>
      <x:c r="G4770" s="6" t="str"/>
      <x:c r="H4770" s="6" t="str">
        <x:f>IF(B4770="平","平",IF(B4770="","","仄"))</x:f>
        <x:v>仄</x:v>
      </x:c>
      <x:c r="I4770" s="6" t="str">
        <x:f>IF(D4753="","",IF(AND(ISNUMBER(SEARCH("平",D4753)),OR(ISNUMBER(SEARCH("上",D4753)),ISNUMBER(SEARCH("去",D4753)),ISNUMBER(SEARCH("入",D4753)))),"Ambiguous",IF(ISNUMBER(SEARCH("平",D4753)),"平","仄")))</x:f>
        <x:v>仄</x:v>
      </x:c>
      <x:c r="J4770" s="7" t="str"/>
    </x:row>
    <x:row r="4771">
      <x:c r="A4771" s="5" t="str">
        <x:v>鼫</x:v>
      </x:c>
      <x:c r="B4771" s="6" t="str">
        <x:v>入</x:v>
      </x:c>
      <x:c r="C4771" s="6" t="str">
        <x:f>IF(B4771="","Needs decision","Ready")</x:f>
        <x:v>Ready</x:v>
      </x:c>
      <x:c r="D4771" s="6" t="str">
        <x:v>入</x:v>
      </x:c>
      <x:c r="E4771" s="6" t="str"/>
      <x:c r="F4771" s="6" t="str"/>
      <x:c r="G4771" s="6" t="str">
        <x:v>Manual user correction/addition</x:v>
      </x:c>
      <x:c r="H4771" s="6" t="str">
        <x:f>IF(B4771="平","平",IF(B4771="","","仄"))</x:f>
        <x:v>仄</x:v>
      </x:c>
      <x:c r="I4771" s="6" t="str">
        <x:f>IF(D4754="","",IF(AND(ISNUMBER(SEARCH("平",D4754)),OR(ISNUMBER(SEARCH("上",D4754)),ISNUMBER(SEARCH("去",D4754)),ISNUMBER(SEARCH("入",D4754)))),"Ambiguous",IF(ISNUMBER(SEARCH("平",D4754)),"平","仄")))</x:f>
        <x:v>仄</x:v>
      </x:c>
      <x:c r="J4771" s="7" t="str">
        <x:v>manual user correction</x:v>
      </x:c>
    </x:row>
    <x:row r="4772">
      <x:c r="A4772" s="5" t="str">
        <x:v>鼯</x:v>
      </x:c>
      <x:c r="B4772" s="6" t="str">
        <x:v>平</x:v>
      </x:c>
      <x:c r="C4772" s="6" t="str">
        <x:f>IF(B4772="","Needs decision","Ready")</x:f>
        <x:v>Ready</x:v>
      </x:c>
      <x:c r="D4772" s="6" t="str">
        <x:v>平</x:v>
      </x:c>
      <x:c r="E4772" s="6" t="str">
        <x:v>ngu [ɴo] (平)</x:v>
      </x:c>
      <x:c r="F4772" s="6" t="str">
        <x:v>1</x:v>
      </x:c>
      <x:c r="G4772" s="6" t="str">
        <x:v>Tang 300 gap; frequency 1; provisional from Xun Gong</x:v>
      </x:c>
      <x:c r="H4772" s="6" t="str">
        <x:f>IF(B4772="平","平",IF(B4772="","","仄"))</x:f>
        <x:v>平</x:v>
      </x:c>
      <x:c r="I4772" s="6" t="str">
        <x:f>IF(D4755="","",IF(AND(ISNUMBER(SEARCH("平",D4755)),OR(ISNUMBER(SEARCH("上",D4755)),ISNUMBER(SEARCH("去",D4755)),ISNUMBER(SEARCH("入",D4755)))),"Ambiguous",IF(ISNUMBER(SEARCH("平",D4755)),"平","仄")))</x:f>
        <x:v>仄</x:v>
      </x:c>
      <x:c r="J4772" s="7" t="str">
        <x:v>Xun Gong, Tang 300 gap fill</x:v>
      </x:c>
    </x:row>
    <x:row r="4773">
      <x:c r="A4773" s="5" t="str">
        <x:v>鼻</x:v>
      </x:c>
      <x:c r="B4773" s="6" t="str">
        <x:v>去</x:v>
      </x:c>
      <x:c r="C4773" s="6" t="str">
        <x:f>IF(B4773="","Needs decision","Ready")</x:f>
        <x:v>Ready</x:v>
      </x:c>
      <x:c r="D4773" s="6" t="str">
        <x:v>去</x:v>
      </x:c>
      <x:c r="E4773" s="6" t="str">
        <x:v>bjijH (C)</x:v>
      </x:c>
      <x:c r="F4773" s="6" t="str">
        <x:v>1</x:v>
      </x:c>
      <x:c r="G4773" s="6" t="str"/>
      <x:c r="H4773" s="6" t="str">
        <x:f>IF(B4773="平","平",IF(B4773="","","仄"))</x:f>
        <x:v>仄</x:v>
      </x:c>
      <x:c r="I4773" s="6" t="str">
        <x:f>IF(D4756="","",IF(AND(ISNUMBER(SEARCH("平",D4756)),OR(ISNUMBER(SEARCH("上",D4756)),ISNUMBER(SEARCH("去",D4756)),ISNUMBER(SEARCH("入",D4756)))),"Ambiguous",IF(ISNUMBER(SEARCH("平",D4756)),"平","仄")))</x:f>
        <x:v>仄</x:v>
      </x:c>
      <x:c r="J4773" s="7" t="str"/>
    </x:row>
    <x:row r="4774">
      <x:c r="A4774" s="5" t="str">
        <x:v>齊</x:v>
      </x:c>
      <x:c r="B4774" s="6" t="str">
        <x:v>平</x:v>
      </x:c>
      <x:c r="C4774" s="6" t="str">
        <x:f>IF(B4774="","Needs decision","Ready")</x:f>
        <x:v>Ready</x:v>
      </x:c>
      <x:c r="D4774" s="6" t="str">
        <x:v>平</x:v>
      </x:c>
      <x:c r="E4774" s="6" t="str">
        <x:v>dzej (A)</x:v>
      </x:c>
      <x:c r="F4774" s="6" t="str">
        <x:v>1</x:v>
      </x:c>
      <x:c r="G4774" s="6" t="str"/>
      <x:c r="H4774" s="6" t="str">
        <x:f>IF(B4774="平","平",IF(B4774="","","仄"))</x:f>
        <x:v>平</x:v>
      </x:c>
      <x:c r="I4774" s="6" t="str">
        <x:f>IF(D4757="","",IF(AND(ISNUMBER(SEARCH("平",D4757)),OR(ISNUMBER(SEARCH("上",D4757)),ISNUMBER(SEARCH("去",D4757)),ISNUMBER(SEARCH("入",D4757)))),"Ambiguous",IF(ISNUMBER(SEARCH("平",D4757)),"平","仄")))</x:f>
        <x:v>平</x:v>
      </x:c>
      <x:c r="J4774" s="7" t="str"/>
    </x:row>
    <x:row r="4775">
      <x:c r="A4775" s="5" t="str">
        <x:v>齋</x:v>
      </x:c>
      <x:c r="B4775" s="6" t="str">
        <x:v>平</x:v>
      </x:c>
      <x:c r="C4775" s="6" t="str">
        <x:f>IF(B4775="","Needs decision","Ready")</x:f>
        <x:v>Ready</x:v>
      </x:c>
      <x:c r="D4775" s="6" t="str">
        <x:v>平</x:v>
      </x:c>
      <x:c r="E4775" s="6" t="str">
        <x:v>tsreaj (A)</x:v>
      </x:c>
      <x:c r="F4775" s="6" t="str">
        <x:v>1</x:v>
      </x:c>
      <x:c r="G4775" s="6" t="str"/>
      <x:c r="H4775" s="6" t="str">
        <x:f>IF(B4775="平","平",IF(B4775="","","仄"))</x:f>
        <x:v>平</x:v>
      </x:c>
      <x:c r="I4775" s="6" t="str">
        <x:f>IF(D4758="","",IF(AND(ISNUMBER(SEARCH("平",D4758)),OR(ISNUMBER(SEARCH("上",D4758)),ISNUMBER(SEARCH("去",D4758)),ISNUMBER(SEARCH("入",D4758)))),"Ambiguous",IF(ISNUMBER(SEARCH("平",D4758)),"平","仄")))</x:f>
        <x:v>Ambiguous</x:v>
      </x:c>
      <x:c r="J4775" s="7" t="str"/>
    </x:row>
    <x:row r="4776">
      <x:c r="A4776" s="5" t="str">
        <x:v>齍</x:v>
      </x:c>
      <x:c r="B4776" s="6" t="str">
        <x:v>平</x:v>
      </x:c>
      <x:c r="C4776" s="6" t="str">
        <x:f>IF(B4776="","Needs decision","Ready")</x:f>
        <x:v>Ready</x:v>
      </x:c>
      <x:c r="D4776" s="6" t="str">
        <x:v>平</x:v>
      </x:c>
      <x:c r="E4776" s="6" t="str">
        <x:v>tsij (A)</x:v>
      </x:c>
      <x:c r="F4776" s="6" t="str">
        <x:v>1</x:v>
      </x:c>
      <x:c r="G4776" s="6" t="str"/>
      <x:c r="H4776" s="6" t="str">
        <x:f>IF(B4776="平","平",IF(B4776="","","仄"))</x:f>
        <x:v>平</x:v>
      </x:c>
      <x:c r="I4776" s="6" t="str">
        <x:f>IF(D4759="","",IF(AND(ISNUMBER(SEARCH("平",D4759)),OR(ISNUMBER(SEARCH("上",D4759)),ISNUMBER(SEARCH("去",D4759)),ISNUMBER(SEARCH("入",D4759)))),"Ambiguous",IF(ISNUMBER(SEARCH("平",D4759)),"平","仄")))</x:f>
        <x:v>仄</x:v>
      </x:c>
      <x:c r="J4776" s="7" t="str"/>
    </x:row>
    <x:row r="4777">
      <x:c r="A4777" s="5" t="str">
        <x:v>齒</x:v>
      </x:c>
      <x:c r="B4777" s="6" t="str">
        <x:v>上</x:v>
      </x:c>
      <x:c r="C4777" s="6" t="str">
        <x:f>IF(B4777="","Needs decision","Ready")</x:f>
        <x:v>Ready</x:v>
      </x:c>
      <x:c r="D4777" s="6" t="str">
        <x:v>上</x:v>
      </x:c>
      <x:c r="E4777" s="6" t="str">
        <x:v>tsyhiX (B)</x:v>
      </x:c>
      <x:c r="F4777" s="6" t="str">
        <x:v>1</x:v>
      </x:c>
      <x:c r="G4777" s="6" t="str"/>
      <x:c r="H4777" s="6" t="str">
        <x:f>IF(B4777="平","平",IF(B4777="","","仄"))</x:f>
        <x:v>仄</x:v>
      </x:c>
      <x:c r="I4777" s="6" t="str">
        <x:f>IF(D4760="","",IF(AND(ISNUMBER(SEARCH("平",D4760)),OR(ISNUMBER(SEARCH("上",D4760)),ISNUMBER(SEARCH("去",D4760)),ISNUMBER(SEARCH("入",D4760)))),"Ambiguous",IF(ISNUMBER(SEARCH("平",D4760)),"平","仄")))</x:f>
        <x:v>仄</x:v>
      </x:c>
      <x:c r="J4777" s="7" t="str"/>
    </x:row>
    <x:row r="4778">
      <x:c r="A4778" s="5" t="str">
        <x:v>齕</x:v>
      </x:c>
      <x:c r="B4778" s="6" t="str">
        <x:v>入</x:v>
      </x:c>
      <x:c r="C4778" s="6" t="str">
        <x:f>IF(B4778="","Needs decision","Ready")</x:f>
        <x:v>Ready</x:v>
      </x:c>
      <x:c r="D4778" s="6" t="str">
        <x:v>入</x:v>
      </x:c>
      <x:c r="E4778" s="6" t="str">
        <x:v>hot (D)</x:v>
      </x:c>
      <x:c r="F4778" s="6" t="str">
        <x:v>1</x:v>
      </x:c>
      <x:c r="G4778" s="6" t="str"/>
      <x:c r="H4778" s="6" t="str">
        <x:f>IF(B4778="平","平",IF(B4778="","","仄"))</x:f>
        <x:v>仄</x:v>
      </x:c>
      <x:c r="I4778" s="6" t="str">
        <x:f>IF(D4761="","",IF(AND(ISNUMBER(SEARCH("平",D4761)),OR(ISNUMBER(SEARCH("上",D4761)),ISNUMBER(SEARCH("去",D4761)),ISNUMBER(SEARCH("入",D4761)))),"Ambiguous",IF(ISNUMBER(SEARCH("平",D4761)),"平","仄")))</x:f>
        <x:v>仄</x:v>
      </x:c>
      <x:c r="J4778" s="7" t="str"/>
    </x:row>
    <x:row r="4779">
      <x:c r="A4779" s="5" t="str">
        <x:v>齡</x:v>
      </x:c>
      <x:c r="B4779" s="6" t="str">
        <x:v>平</x:v>
      </x:c>
      <x:c r="C4779" s="6" t="str">
        <x:f>IF(B4779="","Needs decision","Ready")</x:f>
        <x:v>Ready</x:v>
      </x:c>
      <x:c r="D4779" s="6" t="str">
        <x:v>平</x:v>
      </x:c>
      <x:c r="E4779" s="6" t="str"/>
      <x:c r="F4779" s="6" t="str"/>
      <x:c r="G4779" s="6" t="str">
        <x:v>Manual user correction/addition</x:v>
      </x:c>
      <x:c r="H4779" s="6" t="str">
        <x:f>IF(B4779="平","平",IF(B4779="","","仄"))</x:f>
        <x:v>平</x:v>
      </x:c>
      <x:c r="I4779" s="6" t="str">
        <x:f>IF(D4762="","",IF(AND(ISNUMBER(SEARCH("平",D4762)),OR(ISNUMBER(SEARCH("上",D4762)),ISNUMBER(SEARCH("去",D4762)),ISNUMBER(SEARCH("入",D4762)))),"Ambiguous",IF(ISNUMBER(SEARCH("平",D4762)),"平","仄")))</x:f>
        <x:v>平</x:v>
      </x:c>
      <x:c r="J4779" s="7" t="str">
        <x:v>manual user correction</x:v>
      </x:c>
    </x:row>
    <x:row r="4780">
      <x:c r="A4780" s="5" t="str">
        <x:v>齧</x:v>
      </x:c>
      <x:c r="B4780" s="6" t="str">
        <x:v>入</x:v>
      </x:c>
      <x:c r="C4780" s="6" t="str">
        <x:f>IF(B4780="","Needs decision","Ready")</x:f>
        <x:v>Ready</x:v>
      </x:c>
      <x:c r="D4780" s="6" t="str">
        <x:v>入</x:v>
      </x:c>
      <x:c r="E4780" s="6" t="str">
        <x:v>nget (D)</x:v>
      </x:c>
      <x:c r="F4780" s="6" t="str">
        <x:v>1</x:v>
      </x:c>
      <x:c r="G4780" s="6" t="str"/>
      <x:c r="H4780" s="6" t="str">
        <x:f>IF(B4780="平","平",IF(B4780="","","仄"))</x:f>
        <x:v>仄</x:v>
      </x:c>
      <x:c r="I4780" s="6" t="str">
        <x:f>IF(D4763="","",IF(AND(ISNUMBER(SEARCH("平",D4763)),OR(ISNUMBER(SEARCH("上",D4763)),ISNUMBER(SEARCH("去",D4763)),ISNUMBER(SEARCH("入",D4763)))),"Ambiguous",IF(ISNUMBER(SEARCH("平",D4763)),"平","仄")))</x:f>
        <x:v>平</x:v>
      </x:c>
      <x:c r="J4780" s="7" t="str"/>
    </x:row>
    <x:row r="4781">
      <x:c r="A4781" s="5" t="str">
        <x:v>齪</x:v>
      </x:c>
      <x:c r="B4781" s="6" t="str">
        <x:v>入</x:v>
      </x:c>
      <x:c r="C4781" s="6" t="str">
        <x:f>IF(B4781="","Needs decision","Ready")</x:f>
        <x:v>Ready</x:v>
      </x:c>
      <x:c r="D4781" s="6" t="str">
        <x:v>入</x:v>
      </x:c>
      <x:c r="E4781" s="6" t="str">
        <x:v>tsrhaewk [初二江入] tʂʰoˤk</x:v>
      </x:c>
      <x:c r="F4781" s="6" t="str">
        <x:v>1</x:v>
      </x:c>
      <x:c r="G4781" s="6" t="str">
        <x:v>Targeted preliminary fill from Xun Gong; review if uncertain</x:v>
      </x:c>
      <x:c r="H4781" s="6" t="str">
        <x:f>IF(B4781="平","平",IF(B4781="","","仄"))</x:f>
        <x:v>仄</x:v>
      </x:c>
      <x:c r="I4781" s="6" t="str">
        <x:f>IF(D4764="","",IF(AND(ISNUMBER(SEARCH("平",D4764)),OR(ISNUMBER(SEARCH("上",D4764)),ISNUMBER(SEARCH("去",D4764)),ISNUMBER(SEARCH("入",D4764)))),"Ambiguous",IF(ISNUMBER(SEARCH("平",D4764)),"平","仄")))</x:f>
        <x:v>平</x:v>
      </x:c>
      <x:c r="J4781" s="7" t="str">
        <x:v>Xun Gong character-readings.csv</x:v>
      </x:c>
    </x:row>
    <x:row r="4782">
      <x:c r="A4782" s="5" t="str">
        <x:v>齷</x:v>
      </x:c>
      <x:c r="B4782" s="6" t="str">
        <x:v>入</x:v>
      </x:c>
      <x:c r="C4782" s="6" t="str">
        <x:f>IF(B4782="","Needs decision","Ready")</x:f>
        <x:v>Ready</x:v>
      </x:c>
      <x:c r="D4782" s="6" t="str">
        <x:v>入</x:v>
      </x:c>
      <x:c r="E4782" s="6" t="str">
        <x:v>'aewk [影二江入] ʔ̙oˤk</x:v>
      </x:c>
      <x:c r="F4782" s="6" t="str">
        <x:v>1</x:v>
      </x:c>
      <x:c r="G4782" s="6" t="str">
        <x:v>Targeted preliminary fill from Xun Gong; review if uncertain</x:v>
      </x:c>
      <x:c r="H4782" s="6" t="str">
        <x:f>IF(B4782="平","平",IF(B4782="","","仄"))</x:f>
        <x:v>仄</x:v>
      </x:c>
      <x:c r="I4782" s="6" t="str">
        <x:f>IF(D4765="","",IF(AND(ISNUMBER(SEARCH("平",D4765)),OR(ISNUMBER(SEARCH("上",D4765)),ISNUMBER(SEARCH("去",D4765)),ISNUMBER(SEARCH("入",D4765)))),"Ambiguous",IF(ISNUMBER(SEARCH("平",D4765)),"平","仄")))</x:f>
        <x:v>仄</x:v>
      </x:c>
      <x:c r="J4782" s="7" t="str">
        <x:v>Xun Gong character-readings.csv</x:v>
      </x:c>
    </x:row>
    <x:row r="4783">
      <x:c r="A4783" s="5" t="str">
        <x:v>龍</x:v>
      </x:c>
      <x:c r="B4783" s="6" t="str">
        <x:v>平</x:v>
      </x:c>
      <x:c r="C4783" s="6" t="str">
        <x:f>IF(B4783="","Needs decision","Ready")</x:f>
        <x:v>Ready</x:v>
      </x:c>
      <x:c r="D4783" s="6" t="str">
        <x:v>平</x:v>
      </x:c>
      <x:c r="E4783" s="6" t="str">
        <x:v>ljowng (A); maewng (A)</x:v>
      </x:c>
      <x:c r="F4783" s="6" t="str">
        <x:v>2</x:v>
      </x:c>
      <x:c r="G4783" s="6" t="str"/>
      <x:c r="H4783" s="6" t="str">
        <x:f>IF(B4783="平","平",IF(B4783="","","仄"))</x:f>
        <x:v>平</x:v>
      </x:c>
      <x:c r="I4783" s="6" t="str">
        <x:f>IF(D4766="","",IF(AND(ISNUMBER(SEARCH("平",D4766)),OR(ISNUMBER(SEARCH("上",D4766)),ISNUMBER(SEARCH("去",D4766)),ISNUMBER(SEARCH("入",D4766)))),"Ambiguous",IF(ISNUMBER(SEARCH("平",D4766)),"平","仄")))</x:f>
        <x:v>仄</x:v>
      </x:c>
      <x:c r="J4783" s="7" t="str"/>
    </x:row>
    <x:row r="4784">
      <x:c r="A4784" s="5" t="str">
        <x:v>龏</x:v>
      </x:c>
      <x:c r="B4784" s="6" t="str">
        <x:v>平</x:v>
      </x:c>
      <x:c r="C4784" s="6" t="str">
        <x:f>IF(B4784="","Needs decision","Ready")</x:f>
        <x:v>Ready</x:v>
      </x:c>
      <x:c r="D4784" s="6" t="str">
        <x:v>平</x:v>
      </x:c>
      <x:c r="E4784" s="6" t="str">
        <x:v>kjowng (A)</x:v>
      </x:c>
      <x:c r="F4784" s="6" t="str">
        <x:v>1</x:v>
      </x:c>
      <x:c r="G4784" s="6" t="str"/>
      <x:c r="H4784" s="6" t="str">
        <x:f>IF(B4784="平","平",IF(B4784="","","仄"))</x:f>
        <x:v>平</x:v>
      </x:c>
      <x:c r="I4784" s="6" t="str">
        <x:f>IF(D4767="","",IF(AND(ISNUMBER(SEARCH("平",D4767)),OR(ISNUMBER(SEARCH("上",D4767)),ISNUMBER(SEARCH("去",D4767)),ISNUMBER(SEARCH("入",D4767)))),"Ambiguous",IF(ISNUMBER(SEARCH("平",D4767)),"平","仄")))</x:f>
        <x:v>仄</x:v>
      </x:c>
      <x:c r="J4784" s="7" t="str"/>
    </x:row>
    <x:row r="4785">
      <x:c r="A4785" s="5" t="str">
        <x:v>龐</x:v>
      </x:c>
      <x:c r="B4785" s="6" t="str">
        <x:v>平</x:v>
      </x:c>
      <x:c r="C4785" s="6" t="str">
        <x:f>IF(B4785="","Needs decision","Ready")</x:f>
        <x:v>Ready</x:v>
      </x:c>
      <x:c r="D4785" s="6" t="str">
        <x:v>平</x:v>
      </x:c>
      <x:c r="E4785" s="6" t="str">
        <x:v>baewng (A)</x:v>
      </x:c>
      <x:c r="F4785" s="6" t="str">
        <x:v>1</x:v>
      </x:c>
      <x:c r="G4785" s="6" t="str"/>
      <x:c r="H4785" s="6" t="str">
        <x:f>IF(B4785="平","平",IF(B4785="","","仄"))</x:f>
        <x:v>平</x:v>
      </x:c>
      <x:c r="I4785" s="6" t="str">
        <x:f>IF(D4768="","",IF(AND(ISNUMBER(SEARCH("平",D4768)),OR(ISNUMBER(SEARCH("上",D4768)),ISNUMBER(SEARCH("去",D4768)),ISNUMBER(SEARCH("入",D4768)))),"Ambiguous",IF(ISNUMBER(SEARCH("平",D4768)),"平","仄")))</x:f>
        <x:v>平</x:v>
      </x:c>
      <x:c r="J4785" s="7" t="str"/>
    </x:row>
    <x:row r="4786">
      <x:c r="A4786" s="5" t="str">
        <x:v>龔</x:v>
      </x:c>
      <x:c r="B4786" s="6" t="str">
        <x:v>平</x:v>
      </x:c>
      <x:c r="C4786" s="6" t="str">
        <x:f>IF(B4786="","Needs decision","Ready")</x:f>
        <x:v>Ready</x:v>
      </x:c>
      <x:c r="D4786" s="6" t="str">
        <x:v>平</x:v>
      </x:c>
      <x:c r="E4786" s="6" t="str">
        <x:v>kjowng (A)</x:v>
      </x:c>
      <x:c r="F4786" s="6" t="str">
        <x:v>1</x:v>
      </x:c>
      <x:c r="G4786" s="6" t="str"/>
      <x:c r="H4786" s="6" t="str">
        <x:f>IF(B4786="平","平",IF(B4786="","","仄"))</x:f>
        <x:v>平</x:v>
      </x:c>
      <x:c r="I4786" s="6" t="str">
        <x:f>IF(D4769="","",IF(AND(ISNUMBER(SEARCH("平",D4769)),OR(ISNUMBER(SEARCH("上",D4769)),ISNUMBER(SEARCH("去",D4769)),ISNUMBER(SEARCH("入",D4769)))),"Ambiguous",IF(ISNUMBER(SEARCH("平",D4769)),"平","仄")))</x:f>
        <x:v>平</x:v>
      </x:c>
      <x:c r="J4786" s="7" t="str"/>
    </x:row>
    <x:row r="4787">
      <x:c r="A4787" s="5" t="str">
        <x:v>龜</x:v>
      </x:c>
      <x:c r="B4787" s="6" t="str">
        <x:v>平</x:v>
      </x:c>
      <x:c r="C4787" s="6" t="str">
        <x:f>IF(B4787="","Needs decision","Ready")</x:f>
        <x:v>Ready</x:v>
      </x:c>
      <x:c r="D4787" s="6" t="str">
        <x:v>平</x:v>
      </x:c>
      <x:c r="E4787" s="6" t="str">
        <x:v>kjuw (A); kwij (A)</x:v>
      </x:c>
      <x:c r="F4787" s="6" t="str">
        <x:v>2</x:v>
      </x:c>
      <x:c r="G4787" s="6" t="str"/>
      <x:c r="H4787" s="6" t="str">
        <x:f>IF(B4787="平","平",IF(B4787="","","仄"))</x:f>
        <x:v>平</x:v>
      </x:c>
      <x:c r="I4787" s="6" t="str">
        <x:f>IF(D4770="","",IF(AND(ISNUMBER(SEARCH("平",D4770)),OR(ISNUMBER(SEARCH("上",D4770)),ISNUMBER(SEARCH("去",D4770)),ISNUMBER(SEARCH("入",D4770)))),"Ambiguous",IF(ISNUMBER(SEARCH("平",D4770)),"平","仄")))</x:f>
        <x:v>仄</x:v>
      </x:c>
      <x:c r="J4787" s="7" t="str"/>
    </x:row>
    <x:row r="4788">
      <x:c r="A4788" s="5" t="str">
        <x:v>龠</x:v>
      </x:c>
      <x:c r="B4788" s="6" t="str">
        <x:v>入</x:v>
      </x:c>
      <x:c r="C4788" s="6" t="str">
        <x:f>IF(B4788="","Needs decision","Ready")</x:f>
        <x:v>Ready</x:v>
      </x:c>
      <x:c r="D4788" s="6" t="str">
        <x:v>入</x:v>
      </x:c>
      <x:c r="E4788" s="6" t="str">
        <x:v>yak (D)</x:v>
      </x:c>
      <x:c r="F4788" s="6" t="str">
        <x:v>1</x:v>
      </x:c>
      <x:c r="G4788" s="6" t="str"/>
      <x:c r="H4788" s="6" t="str">
        <x:f>IF(B4788="平","平",IF(B4788="","","仄"))</x:f>
        <x:v>仄</x:v>
      </x:c>
      <x:c r="I4788" s="6" t="str">
        <x:f>IF(D4771="","",IF(AND(ISNUMBER(SEARCH("平",D4771)),OR(ISNUMBER(SEARCH("上",D4771)),ISNUMBER(SEARCH("去",D4771)),ISNUMBER(SEARCH("入",D4771)))),"Ambiguous",IF(ISNUMBER(SEARCH("平",D4771)),"平","仄")))</x:f>
        <x:v>仄</x:v>
      </x:c>
      <x:c r="J4788" s="7" t="str"/>
    </x:row>
    <x:row r="4789">
      <x:c r="A4789" s="5" t="str">
        <x:v>𠂤</x:v>
      </x:c>
      <x:c r="B4789" s="6" t="str">
        <x:v>平</x:v>
      </x:c>
      <x:c r="C4789" s="6" t="str">
        <x:f>IF(B4789="","Needs decision","Ready")</x:f>
        <x:v>Ready</x:v>
      </x:c>
      <x:c r="D4789" s="6" t="str">
        <x:v>平</x:v>
      </x:c>
      <x:c r="E4789" s="6" t="str">
        <x:v>twoj (A)</x:v>
      </x:c>
      <x:c r="F4789" s="6" t="str">
        <x:v>1</x:v>
      </x:c>
      <x:c r="G4789" s="6" t="str"/>
      <x:c r="H4789" s="6" t="str">
        <x:f>IF(B4789="平","平",IF(B4789="","","仄"))</x:f>
        <x:v>平</x:v>
      </x:c>
      <x:c r="I4789" s="6" t="str">
        <x:f>IF(D4772="","",IF(AND(ISNUMBER(SEARCH("平",D4772)),OR(ISNUMBER(SEARCH("上",D4772)),ISNUMBER(SEARCH("去",D4772)),ISNUMBER(SEARCH("入",D4772)))),"Ambiguous",IF(ISNUMBER(SEARCH("平",D4772)),"平","仄")))</x:f>
        <x:v>平</x:v>
      </x:c>
      <x:c r="J4789" s="7" t="str"/>
    </x:row>
    <x:row r="4790">
      <x:c r="A4790" s="5" t="str">
        <x:v>𠃋</x:v>
      </x:c>
      <x:c r="B4790" s="6" t="str">
        <x:v>平</x:v>
      </x:c>
      <x:c r="C4790" s="6" t="str">
        <x:f>IF(B4790="","Needs decision","Ready")</x:f>
        <x:v>Ready</x:v>
      </x:c>
      <x:c r="D4790" s="6" t="str">
        <x:v>平</x:v>
      </x:c>
      <x:c r="E4790" s="6" t="str">
        <x:v>kwong (A)</x:v>
      </x:c>
      <x:c r="F4790" s="6" t="str">
        <x:v>1</x:v>
      </x:c>
      <x:c r="G4790" s="6" t="str"/>
      <x:c r="H4790" s="6" t="str">
        <x:f>IF(B4790="平","平",IF(B4790="","","仄"))</x:f>
        <x:v>平</x:v>
      </x:c>
      <x:c r="I4790" s="6" t="str">
        <x:f>IF(D4773="","",IF(AND(ISNUMBER(SEARCH("平",D4773)),OR(ISNUMBER(SEARCH("上",D4773)),ISNUMBER(SEARCH("去",D4773)),ISNUMBER(SEARCH("入",D4773)))),"Ambiguous",IF(ISNUMBER(SEARCH("平",D4773)),"平","仄")))</x:f>
        <x:v>仄</x:v>
      </x:c>
      <x:c r="J4790" s="7" t="str"/>
    </x:row>
    <x:row r="4791">
      <x:c r="A4791" s="5" t="str">
        <x:v>𠃬</x:v>
      </x:c>
      <x:c r="B4791" s="6" t="str">
        <x:v>平</x:v>
      </x:c>
      <x:c r="C4791" s="6" t="str">
        <x:f>IF(B4791="","Needs decision","Ready")</x:f>
        <x:v>Ready</x:v>
      </x:c>
      <x:c r="D4791" s="6" t="str">
        <x:v>平</x:v>
      </x:c>
      <x:c r="E4791" s="6" t="str">
        <x:v>drjuw (A)</x:v>
      </x:c>
      <x:c r="F4791" s="6" t="str">
        <x:v>1</x:v>
      </x:c>
      <x:c r="G4791" s="6" t="str"/>
      <x:c r="H4791" s="6" t="str">
        <x:f>IF(B4791="平","平",IF(B4791="","","仄"))</x:f>
        <x:v>平</x:v>
      </x:c>
      <x:c r="I4791" s="6" t="str">
        <x:f>IF(D4774="","",IF(AND(ISNUMBER(SEARCH("平",D4774)),OR(ISNUMBER(SEARCH("上",D4774)),ISNUMBER(SEARCH("去",D4774)),ISNUMBER(SEARCH("入",D4774)))),"Ambiguous",IF(ISNUMBER(SEARCH("平",D4774)),"平","仄")))</x:f>
        <x:v>平</x:v>
      </x:c>
      <x:c r="J4791" s="7" t="str"/>
    </x:row>
    <x:row r="4792">
      <x:c r="A4792" s="5" t="str">
        <x:v>𠓥</x:v>
      </x:c>
      <x:c r="B4792" s="6" t="str">
        <x:v>平</x:v>
      </x:c>
      <x:c r="C4792" s="6" t="str">
        <x:f>IF(B4792="","Needs decision","Ready")</x:f>
        <x:v>Ready</x:v>
      </x:c>
      <x:c r="D4792" s="6" t="str">
        <x:v>平</x:v>
      </x:c>
      <x:c r="E4792" s="6" t="str">
        <x:v>pjien (A)</x:v>
      </x:c>
      <x:c r="F4792" s="6" t="str">
        <x:v>1</x:v>
      </x:c>
      <x:c r="G4792" s="6" t="str"/>
      <x:c r="H4792" s="6" t="str">
        <x:f>IF(B4792="平","平",IF(B4792="","","仄"))</x:f>
        <x:v>平</x:v>
      </x:c>
      <x:c r="I4792" s="6" t="str">
        <x:f>IF(D4775="","",IF(AND(ISNUMBER(SEARCH("平",D4775)),OR(ISNUMBER(SEARCH("上",D4775)),ISNUMBER(SEARCH("去",D4775)),ISNUMBER(SEARCH("入",D4775)))),"Ambiguous",IF(ISNUMBER(SEARCH("平",D4775)),"平","仄")))</x:f>
        <x:v>平</x:v>
      </x:c>
      <x:c r="J4792" s="7" t="str"/>
    </x:row>
    <x:row r="4793">
      <x:c r="A4793" s="5" t="str">
        <x:v>𠠦</x:v>
      </x:c>
      <x:c r="B4793" s="6" t="str">
        <x:v>入</x:v>
      </x:c>
      <x:c r="C4793" s="6" t="str">
        <x:f>IF(B4793="","Needs decision","Ready")</x:f>
        <x:v>Ready</x:v>
      </x:c>
      <x:c r="D4793" s="6" t="str">
        <x:v>入</x:v>
      </x:c>
      <x:c r="E4793" s="6" t="str">
        <x:v>peak (D)</x:v>
      </x:c>
      <x:c r="F4793" s="6" t="str">
        <x:v>1</x:v>
      </x:c>
      <x:c r="G4793" s="6" t="str"/>
      <x:c r="H4793" s="6" t="str">
        <x:f>IF(B4793="平","平",IF(B4793="","","仄"))</x:f>
        <x:v>仄</x:v>
      </x:c>
      <x:c r="I4793" s="6" t="str">
        <x:f>IF(D4776="","",IF(AND(ISNUMBER(SEARCH("平",D4776)),OR(ISNUMBER(SEARCH("上",D4776)),ISNUMBER(SEARCH("去",D4776)),ISNUMBER(SEARCH("入",D4776)))),"Ambiguous",IF(ISNUMBER(SEARCH("平",D4776)),"平","仄")))</x:f>
        <x:v>平</x:v>
      </x:c>
      <x:c r="J4793" s="7" t="str"/>
    </x:row>
    <x:row r="4794">
      <x:c r="A4794" s="5" t="str">
        <x:v>𠨧</x:v>
      </x:c>
      <x:c r="B4794" s="6" t="str">
        <x:v>平</x:v>
      </x:c>
      <x:c r="C4794" s="6" t="str">
        <x:f>IF(B4794="","Needs decision","Ready")</x:f>
        <x:v>Ready</x:v>
      </x:c>
      <x:c r="D4794" s="6" t="str">
        <x:v>平</x:v>
      </x:c>
      <x:c r="E4794" s="6" t="str">
        <x:v>tshjen (A)</x:v>
      </x:c>
      <x:c r="F4794" s="6" t="str">
        <x:v>1</x:v>
      </x:c>
      <x:c r="G4794" s="6" t="str"/>
      <x:c r="H4794" s="6" t="str">
        <x:f>IF(B4794="平","平",IF(B4794="","","仄"))</x:f>
        <x:v>平</x:v>
      </x:c>
      <x:c r="I4794" s="6" t="str">
        <x:f>IF(D4777="","",IF(AND(ISNUMBER(SEARCH("平",D4777)),OR(ISNUMBER(SEARCH("上",D4777)),ISNUMBER(SEARCH("去",D4777)),ISNUMBER(SEARCH("入",D4777)))),"Ambiguous",IF(ISNUMBER(SEARCH("平",D4777)),"平","仄")))</x:f>
        <x:v>仄</x:v>
      </x:c>
      <x:c r="J4794" s="7" t="str"/>
    </x:row>
    <x:row r="4795">
      <x:c r="A4795" s="5" t="str">
        <x:v>𠨮</x:v>
      </x:c>
      <x:c r="B4795" s="6" t="str">
        <x:v>入</x:v>
      </x:c>
      <x:c r="C4795" s="6" t="str">
        <x:f>IF(B4795="","Needs decision","Ready")</x:f>
        <x:v>Ready</x:v>
      </x:c>
      <x:c r="D4795" s="6" t="str">
        <x:v>入</x:v>
      </x:c>
      <x:c r="E4795" s="6" t="str">
        <x:v>tsrik (D)</x:v>
      </x:c>
      <x:c r="F4795" s="6" t="str">
        <x:v>1</x:v>
      </x:c>
      <x:c r="G4795" s="6" t="str"/>
      <x:c r="H4795" s="6" t="str">
        <x:f>IF(B4795="平","平",IF(B4795="","","仄"))</x:f>
        <x:v>仄</x:v>
      </x:c>
      <x:c r="I4795" s="6" t="str">
        <x:f>IF(D4778="","",IF(AND(ISNUMBER(SEARCH("平",D4778)),OR(ISNUMBER(SEARCH("上",D4778)),ISNUMBER(SEARCH("去",D4778)),ISNUMBER(SEARCH("入",D4778)))),"Ambiguous",IF(ISNUMBER(SEARCH("平",D4778)),"平","仄")))</x:f>
        <x:v>仄</x:v>
      </x:c>
      <x:c r="J4795" s="7" t="str"/>
    </x:row>
    <x:row r="4796">
      <x:c r="A4796" s="5" t="str">
        <x:v>𠪚</x:v>
      </x:c>
      <x:c r="B4796" s="6" t="str">
        <x:v>平</x:v>
      </x:c>
      <x:c r="C4796" s="6" t="str">
        <x:f>IF(B4796="","Needs decision","Ready")</x:f>
        <x:v>Ready</x:v>
      </x:c>
      <x:c r="D4796" s="6" t="str">
        <x:v>平</x:v>
      </x:c>
      <x:c r="E4796" s="6" t="str">
        <x:v>ngim (A)</x:v>
      </x:c>
      <x:c r="F4796" s="6" t="str">
        <x:v>1</x:v>
      </x:c>
      <x:c r="G4796" s="6" t="str"/>
      <x:c r="H4796" s="6" t="str">
        <x:f>IF(B4796="平","平",IF(B4796="","","仄"))</x:f>
        <x:v>平</x:v>
      </x:c>
      <x:c r="I4796" s="6" t="str">
        <x:f>IF(D4779="","",IF(AND(ISNUMBER(SEARCH("平",D4779)),OR(ISNUMBER(SEARCH("上",D4779)),ISNUMBER(SEARCH("去",D4779)),ISNUMBER(SEARCH("入",D4779)))),"Ambiguous",IF(ISNUMBER(SEARCH("平",D4779)),"平","仄")))</x:f>
        <x:v>平</x:v>
      </x:c>
      <x:c r="J4796" s="7" t="str"/>
    </x:row>
    <x:row r="4797">
      <x:c r="A4797" s="5" t="str">
        <x:v>𠬛</x:v>
      </x:c>
      <x:c r="B4797" s="6" t="str">
        <x:v>入</x:v>
      </x:c>
      <x:c r="C4797" s="6" t="str">
        <x:f>IF(B4797="","Needs decision","Ready")</x:f>
        <x:v>Ready</x:v>
      </x:c>
      <x:c r="D4797" s="6" t="str">
        <x:v>入</x:v>
      </x:c>
      <x:c r="E4797" s="6" t="str">
        <x:v>mwot (D)</x:v>
      </x:c>
      <x:c r="F4797" s="6" t="str">
        <x:v>1</x:v>
      </x:c>
      <x:c r="G4797" s="6" t="str"/>
      <x:c r="H4797" s="6" t="str">
        <x:f>IF(B4797="平","平",IF(B4797="","","仄"))</x:f>
        <x:v>仄</x:v>
      </x:c>
      <x:c r="I4797" s="6" t="str">
        <x:f>IF(D4780="","",IF(AND(ISNUMBER(SEARCH("平",D4780)),OR(ISNUMBER(SEARCH("上",D4780)),ISNUMBER(SEARCH("去",D4780)),ISNUMBER(SEARCH("入",D4780)))),"Ambiguous",IF(ISNUMBER(SEARCH("平",D4780)),"平","仄")))</x:f>
        <x:v>仄</x:v>
      </x:c>
      <x:c r="J4797" s="7" t="str"/>
    </x:row>
    <x:row r="4798">
      <x:c r="A4798" s="5" t="str">
        <x:v>𠬝</x:v>
      </x:c>
      <x:c r="B4798" s="6" t="str">
        <x:v>入</x:v>
      </x:c>
      <x:c r="C4798" s="6" t="str">
        <x:f>IF(B4798="","Needs decision","Ready")</x:f>
        <x:v>Ready</x:v>
      </x:c>
      <x:c r="D4798" s="6" t="str">
        <x:v>入</x:v>
      </x:c>
      <x:c r="E4798" s="6" t="str">
        <x:v>bjuwk (D)</x:v>
      </x:c>
      <x:c r="F4798" s="6" t="str">
        <x:v>1</x:v>
      </x:c>
      <x:c r="G4798" s="6" t="str"/>
      <x:c r="H4798" s="6" t="str">
        <x:f>IF(B4798="平","平",IF(B4798="","","仄"))</x:f>
        <x:v>仄</x:v>
      </x:c>
      <x:c r="I4798" s="6" t="str">
        <x:f>IF(D4781="","",IF(AND(ISNUMBER(SEARCH("平",D4781)),OR(ISNUMBER(SEARCH("上",D4781)),ISNUMBER(SEARCH("去",D4781)),ISNUMBER(SEARCH("入",D4781)))),"Ambiguous",IF(ISNUMBER(SEARCH("平",D4781)),"平","仄")))</x:f>
        <x:v>仄</x:v>
      </x:c>
      <x:c r="J4798" s="7" t="str"/>
    </x:row>
    <x:row r="4799">
      <x:c r="A4799" s="5" t="str">
        <x:v>𠬞</x:v>
      </x:c>
      <x:c r="B4799" s="6" t="str">
        <x:v>上</x:v>
      </x:c>
      <x:c r="C4799" s="6" t="str">
        <x:f>IF(B4799="","Needs decision","Ready")</x:f>
        <x:v>Ready</x:v>
      </x:c>
      <x:c r="D4799" s="6" t="str">
        <x:v>上</x:v>
      </x:c>
      <x:c r="E4799" s="6" t="str">
        <x:v>kjowngX (B)</x:v>
      </x:c>
      <x:c r="F4799" s="6" t="str">
        <x:v>1</x:v>
      </x:c>
      <x:c r="G4799" s="6" t="str"/>
      <x:c r="H4799" s="6" t="str">
        <x:f>IF(B4799="平","平",IF(B4799="","","仄"))</x:f>
        <x:v>仄</x:v>
      </x:c>
      <x:c r="I4799" s="6" t="str">
        <x:f>IF(D4782="","",IF(AND(ISNUMBER(SEARCH("平",D4782)),OR(ISNUMBER(SEARCH("上",D4782)),ISNUMBER(SEARCH("去",D4782)),ISNUMBER(SEARCH("入",D4782)))),"Ambiguous",IF(ISNUMBER(SEARCH("平",D4782)),"平","仄")))</x:f>
        <x:v>仄</x:v>
      </x:c>
      <x:c r="J4799" s="7" t="str"/>
    </x:row>
    <x:row r="4800">
      <x:c r="A4800" s="5" t="str">
        <x:v>𠯑</x:v>
      </x:c>
      <x:c r="B4800" s="6" t="str">
        <x:v>入</x:v>
      </x:c>
      <x:c r="C4800" s="6" t="str">
        <x:f>IF(B4800="","Needs decision","Ready")</x:f>
        <x:v>Ready</x:v>
      </x:c>
      <x:c r="D4800" s="6" t="str">
        <x:v>入</x:v>
      </x:c>
      <x:c r="E4800" s="6" t="str">
        <x:v>kwat (D)</x:v>
      </x:c>
      <x:c r="F4800" s="6" t="str">
        <x:v>1</x:v>
      </x:c>
      <x:c r="G4800" s="6" t="str"/>
      <x:c r="H4800" s="6" t="str">
        <x:f>IF(B4800="平","平",IF(B4800="","","仄"))</x:f>
        <x:v>仄</x:v>
      </x:c>
      <x:c r="I4800" s="6" t="str">
        <x:f>IF(D4783="","",IF(AND(ISNUMBER(SEARCH("平",D4783)),OR(ISNUMBER(SEARCH("上",D4783)),ISNUMBER(SEARCH("去",D4783)),ISNUMBER(SEARCH("入",D4783)))),"Ambiguous",IF(ISNUMBER(SEARCH("平",D4783)),"平","仄")))</x:f>
        <x:v>平</x:v>
      </x:c>
      <x:c r="J4800" s="7" t="str"/>
    </x:row>
    <x:row r="4801">
      <x:c r="A4801" s="5" t="str">
        <x:v>𡈼</x:v>
      </x:c>
      <x:c r="B4801" s="6" t="str">
        <x:v>上</x:v>
      </x:c>
      <x:c r="C4801" s="6" t="str">
        <x:f>IF(B4801="","Needs decision","Ready")</x:f>
        <x:v>Ready</x:v>
      </x:c>
      <x:c r="D4801" s="6" t="str">
        <x:v>上</x:v>
      </x:c>
      <x:c r="E4801" s="6" t="str">
        <x:v>thengX (B)</x:v>
      </x:c>
      <x:c r="F4801" s="6" t="str">
        <x:v>1</x:v>
      </x:c>
      <x:c r="G4801" s="6" t="str"/>
      <x:c r="H4801" s="6" t="str">
        <x:f>IF(B4801="平","平",IF(B4801="","","仄"))</x:f>
        <x:v>仄</x:v>
      </x:c>
      <x:c r="I4801" s="6" t="str">
        <x:f>IF(D4784="","",IF(AND(ISNUMBER(SEARCH("平",D4784)),OR(ISNUMBER(SEARCH("上",D4784)),ISNUMBER(SEARCH("去",D4784)),ISNUMBER(SEARCH("入",D4784)))),"Ambiguous",IF(ISNUMBER(SEARCH("平",D4784)),"平","仄")))</x:f>
        <x:v>平</x:v>
      </x:c>
      <x:c r="J4801" s="7" t="str"/>
    </x:row>
    <x:row r="4802">
      <x:c r="A4802" s="5" t="str">
        <x:v>𡍬</x:v>
      </x:c>
      <x:c r="B4802" s="6" t="str">
        <x:v>入</x:v>
      </x:c>
      <x:c r="C4802" s="6" t="str">
        <x:f>IF(B4802="","Needs decision","Ready")</x:f>
        <x:v>Ready</x:v>
      </x:c>
      <x:c r="D4802" s="6" t="str">
        <x:v>入</x:v>
      </x:c>
      <x:c r="E4802" s="6" t="str">
        <x:v>mjuwk (D)</x:v>
      </x:c>
      <x:c r="F4802" s="6" t="str">
        <x:v>1</x:v>
      </x:c>
      <x:c r="G4802" s="6" t="str"/>
      <x:c r="H4802" s="6" t="str">
        <x:f>IF(B4802="平","平",IF(B4802="","","仄"))</x:f>
        <x:v>仄</x:v>
      </x:c>
      <x:c r="I4802" s="6" t="str">
        <x:f>IF(D4785="","",IF(AND(ISNUMBER(SEARCH("平",D4785)),OR(ISNUMBER(SEARCH("上",D4785)),ISNUMBER(SEARCH("去",D4785)),ISNUMBER(SEARCH("入",D4785)))),"Ambiguous",IF(ISNUMBER(SEARCH("平",D4785)),"平","仄")))</x:f>
        <x:v>平</x:v>
      </x:c>
      <x:c r="J4802" s="7" t="str"/>
    </x:row>
    <x:row r="4803">
      <x:c r="A4803" s="5" t="str">
        <x:v>𡏳</x:v>
      </x:c>
      <x:c r="B4803" s="6" t="str">
        <x:v>平</x:v>
      </x:c>
      <x:c r="C4803" s="6" t="str">
        <x:f>IF(B4803="","Needs decision","Ready")</x:f>
        <x:v>Ready</x:v>
      </x:c>
      <x:c r="D4803" s="6" t="str">
        <x:v>平</x:v>
      </x:c>
      <x:c r="E4803" s="6" t="str">
        <x:v>kean (A)</x:v>
      </x:c>
      <x:c r="F4803" s="6" t="str">
        <x:v>1</x:v>
      </x:c>
      <x:c r="G4803" s="6" t="str"/>
      <x:c r="H4803" s="6" t="str">
        <x:f>IF(B4803="平","平",IF(B4803="","","仄"))</x:f>
        <x:v>平</x:v>
      </x:c>
      <x:c r="I4803" s="6" t="str">
        <x:f>IF(D4786="","",IF(AND(ISNUMBER(SEARCH("平",D4786)),OR(ISNUMBER(SEARCH("上",D4786)),ISNUMBER(SEARCH("去",D4786)),ISNUMBER(SEARCH("入",D4786)))),"Ambiguous",IF(ISNUMBER(SEARCH("平",D4786)),"平","仄")))</x:f>
        <x:v>平</x:v>
      </x:c>
      <x:c r="J4803" s="7" t="str"/>
    </x:row>
    <x:row r="4804">
      <x:c r="A4804" s="5" t="str">
        <x:v>𡐨</x:v>
      </x:c>
      <x:c r="B4804" s="6" t="str">
        <x:v>上</x:v>
      </x:c>
      <x:c r="C4804" s="6" t="str">
        <x:f>IF(B4804="","Needs decision","Ready")</x:f>
        <x:v>Ready</x:v>
      </x:c>
      <x:c r="D4804" s="6" t="str">
        <x:v>上</x:v>
      </x:c>
      <x:c r="E4804" s="6" t="str">
        <x:v>yaeX (B)</x:v>
      </x:c>
      <x:c r="F4804" s="6" t="str">
        <x:v>1</x:v>
      </x:c>
      <x:c r="G4804" s="6" t="str"/>
      <x:c r="H4804" s="6" t="str">
        <x:f>IF(B4804="平","平",IF(B4804="","","仄"))</x:f>
        <x:v>仄</x:v>
      </x:c>
      <x:c r="I4804" s="6" t="str">
        <x:f>IF(D4787="","",IF(AND(ISNUMBER(SEARCH("平",D4787)),OR(ISNUMBER(SEARCH("上",D4787)),ISNUMBER(SEARCH("去",D4787)),ISNUMBER(SEARCH("入",D4787)))),"Ambiguous",IF(ISNUMBER(SEARCH("平",D4787)),"平","仄")))</x:f>
        <x:v>平</x:v>
      </x:c>
      <x:c r="J4804" s="7" t="str"/>
    </x:row>
    <x:row r="4805">
      <x:c r="A4805" s="5" t="str">
        <x:v>𡭴</x:v>
      </x:c>
      <x:c r="B4805" s="6" t="str">
        <x:v>入</x:v>
      </x:c>
      <x:c r="C4805" s="6" t="str">
        <x:f>IF(B4805="","Needs decision","Ready")</x:f>
        <x:v>Ready</x:v>
      </x:c>
      <x:c r="D4805" s="6" t="str">
        <x:v>入</x:v>
      </x:c>
      <x:c r="E4805" s="6" t="str">
        <x:v>khjaek (D)</x:v>
      </x:c>
      <x:c r="F4805" s="6" t="str">
        <x:v>1</x:v>
      </x:c>
      <x:c r="G4805" s="6" t="str"/>
      <x:c r="H4805" s="6" t="str">
        <x:f>IF(B4805="平","平",IF(B4805="","","仄"))</x:f>
        <x:v>仄</x:v>
      </x:c>
      <x:c r="I4805" s="6" t="str">
        <x:f>IF(D4788="","",IF(AND(ISNUMBER(SEARCH("平",D4788)),OR(ISNUMBER(SEARCH("上",D4788)),ISNUMBER(SEARCH("去",D4788)),ISNUMBER(SEARCH("入",D4788)))),"Ambiguous",IF(ISNUMBER(SEARCH("平",D4788)),"平","仄")))</x:f>
        <x:v>仄</x:v>
      </x:c>
      <x:c r="J4805" s="7" t="str"/>
    </x:row>
    <x:row r="4806">
      <x:c r="A4806" s="5" t="str">
        <x:v>𡱂</x:v>
      </x:c>
      <x:c r="B4806" s="6" t="str">
        <x:v>平</x:v>
      </x:c>
      <x:c r="C4806" s="6" t="str">
        <x:f>IF(B4806="","Needs decision","Ready")</x:f>
        <x:v>Ready</x:v>
      </x:c>
      <x:c r="D4806" s="6" t="str">
        <x:v>平</x:v>
      </x:c>
      <x:c r="E4806" s="6" t="str">
        <x:v>dwon (A)</x:v>
      </x:c>
      <x:c r="F4806" s="6" t="str">
        <x:v>1</x:v>
      </x:c>
      <x:c r="G4806" s="6" t="str"/>
      <x:c r="H4806" s="6" t="str">
        <x:f>IF(B4806="平","平",IF(B4806="","","仄"))</x:f>
        <x:v>平</x:v>
      </x:c>
      <x:c r="I4806" s="6" t="str">
        <x:f>IF(D4789="","",IF(AND(ISNUMBER(SEARCH("平",D4789)),OR(ISNUMBER(SEARCH("上",D4789)),ISNUMBER(SEARCH("去",D4789)),ISNUMBER(SEARCH("入",D4789)))),"Ambiguous",IF(ISNUMBER(SEARCH("平",D4789)),"平","仄")))</x:f>
        <x:v>平</x:v>
      </x:c>
      <x:c r="J4806" s="7" t="str"/>
    </x:row>
    <x:row r="4807">
      <x:c r="A4807" s="5" t="str">
        <x:v>𢀜</x:v>
      </x:c>
      <x:c r="B4807" s="6" t="str">
        <x:v>上</x:v>
      </x:c>
      <x:c r="C4807" s="6" t="str">
        <x:f>IF(B4807="","Needs decision","Ready")</x:f>
        <x:v>Ready</x:v>
      </x:c>
      <x:c r="D4807" s="6" t="str">
        <x:v>上</x:v>
      </x:c>
      <x:c r="E4807" s="6" t="str">
        <x:v>kjowngX (B)</x:v>
      </x:c>
      <x:c r="F4807" s="6" t="str">
        <x:v>1</x:v>
      </x:c>
      <x:c r="G4807" s="6" t="str"/>
      <x:c r="H4807" s="6" t="str">
        <x:f>IF(B4807="平","平",IF(B4807="","","仄"))</x:f>
        <x:v>仄</x:v>
      </x:c>
      <x:c r="I4807" s="6" t="str">
        <x:f>IF(D4790="","",IF(AND(ISNUMBER(SEARCH("平",D4790)),OR(ISNUMBER(SEARCH("上",D4790)),ISNUMBER(SEARCH("去",D4790)),ISNUMBER(SEARCH("入",D4790)))),"Ambiguous",IF(ISNUMBER(SEARCH("平",D4790)),"平","仄")))</x:f>
        <x:v>平</x:v>
      </x:c>
      <x:c r="J4807" s="7" t="str"/>
    </x:row>
    <x:row r="4808">
      <x:c r="A4808" s="5" t="str">
        <x:v>𢄉</x:v>
      </x:c>
      <x:c r="B4808" s="6" t="str">
        <x:v>平</x:v>
      </x:c>
      <x:c r="C4808" s="6" t="str">
        <x:f>IF(B4808="","Needs decision","Ready")</x:f>
        <x:v>Ready</x:v>
      </x:c>
      <x:c r="D4808" s="6" t="str">
        <x:v>平</x:v>
      </x:c>
      <x:c r="E4808" s="6" t="str">
        <x:v>dwon (A)</x:v>
      </x:c>
      <x:c r="F4808" s="6" t="str">
        <x:v>1</x:v>
      </x:c>
      <x:c r="G4808" s="6" t="str"/>
      <x:c r="H4808" s="6" t="str">
        <x:f>IF(B4808="平","平",IF(B4808="","","仄"))</x:f>
        <x:v>平</x:v>
      </x:c>
      <x:c r="I4808" s="6" t="str">
        <x:f>IF(D4791="","",IF(AND(ISNUMBER(SEARCH("平",D4791)),OR(ISNUMBER(SEARCH("上",D4791)),ISNUMBER(SEARCH("去",D4791)),ISNUMBER(SEARCH("入",D4791)))),"Ambiguous",IF(ISNUMBER(SEARCH("平",D4791)),"平","仄")))</x:f>
        <x:v>平</x:v>
      </x:c>
      <x:c r="J4808" s="7" t="str"/>
    </x:row>
    <x:row r="4809">
      <x:c r="A4809" s="5" t="str">
        <x:v>𢏚</x:v>
      </x:c>
      <x:c r="B4809" s="6" t="str">
        <x:v>平</x:v>
      </x:c>
      <x:c r="C4809" s="6" t="str">
        <x:f>IF(B4809="","Needs decision","Ready")</x:f>
        <x:v>Ready</x:v>
      </x:c>
      <x:c r="D4809" s="6" t="str">
        <x:v>平</x:v>
      </x:c>
      <x:c r="E4809" s="6" t="str">
        <x:v>drjuw (A)</x:v>
      </x:c>
      <x:c r="F4809" s="6" t="str">
        <x:v>1</x:v>
      </x:c>
      <x:c r="G4809" s="6" t="str"/>
      <x:c r="H4809" s="6" t="str">
        <x:f>IF(B4809="平","平",IF(B4809="","","仄"))</x:f>
        <x:v>平</x:v>
      </x:c>
      <x:c r="I4809" s="6" t="str">
        <x:f>IF(D4792="","",IF(AND(ISNUMBER(SEARCH("平",D4792)),OR(ISNUMBER(SEARCH("上",D4792)),ISNUMBER(SEARCH("去",D4792)),ISNUMBER(SEARCH("入",D4792)))),"Ambiguous",IF(ISNUMBER(SEARCH("平",D4792)),"平","仄")))</x:f>
        <x:v>平</x:v>
      </x:c>
      <x:c r="J4809" s="7" t="str"/>
    </x:row>
    <x:row r="4810">
      <x:c r="A4810" s="5" t="str">
        <x:v>𢓜</x:v>
      </x:c>
      <x:c r="B4810" s="6" t="str">
        <x:v>入</x:v>
      </x:c>
      <x:c r="C4810" s="6" t="str">
        <x:f>IF(B4810="","Needs decision","Ready")</x:f>
        <x:v>Ready</x:v>
      </x:c>
      <x:c r="D4810" s="6" t="str">
        <x:v>入</x:v>
      </x:c>
      <x:c r="E4810" s="6" t="str">
        <x:v>kaek (D)</x:v>
      </x:c>
      <x:c r="F4810" s="6" t="str">
        <x:v>1</x:v>
      </x:c>
      <x:c r="G4810" s="6" t="str"/>
      <x:c r="H4810" s="6" t="str">
        <x:f>IF(B4810="平","平",IF(B4810="","","仄"))</x:f>
        <x:v>仄</x:v>
      </x:c>
      <x:c r="I4810" s="6" t="str">
        <x:f>IF(D4793="","",IF(AND(ISNUMBER(SEARCH("平",D4793)),OR(ISNUMBER(SEARCH("上",D4793)),ISNUMBER(SEARCH("去",D4793)),ISNUMBER(SEARCH("入",D4793)))),"Ambiguous",IF(ISNUMBER(SEARCH("平",D4793)),"平","仄")))</x:f>
        <x:v>仄</x:v>
      </x:c>
      <x:c r="J4810" s="7" t="str"/>
    </x:row>
    <x:row r="4811">
      <x:c r="A4811" s="5" t="str">
        <x:v>𢦏</x:v>
      </x:c>
      <x:c r="B4811" s="6" t="str">
        <x:v>平</x:v>
      </x:c>
      <x:c r="C4811" s="6" t="str">
        <x:f>IF(B4811="","Needs decision","Ready")</x:f>
        <x:v>Ready</x:v>
      </x:c>
      <x:c r="D4811" s="6" t="str">
        <x:v>平</x:v>
      </x:c>
      <x:c r="E4811" s="6" t="str">
        <x:v>tsoj (A)</x:v>
      </x:c>
      <x:c r="F4811" s="6" t="str">
        <x:v>1</x:v>
      </x:c>
      <x:c r="G4811" s="6" t="str"/>
      <x:c r="H4811" s="6" t="str">
        <x:f>IF(B4811="平","平",IF(B4811="","","仄"))</x:f>
        <x:v>平</x:v>
      </x:c>
      <x:c r="I4811" s="6" t="str">
        <x:f>IF(D4794="","",IF(AND(ISNUMBER(SEARCH("平",D4794)),OR(ISNUMBER(SEARCH("上",D4794)),ISNUMBER(SEARCH("去",D4794)),ISNUMBER(SEARCH("入",D4794)))),"Ambiguous",IF(ISNUMBER(SEARCH("平",D4794)),"平","仄")))</x:f>
        <x:v>平</x:v>
      </x:c>
      <x:c r="J4811" s="7" t="str"/>
    </x:row>
    <x:row r="4812">
      <x:c r="A4812" s="5" t="str">
        <x:v>𢦒</x:v>
      </x:c>
      <x:c r="B4812" s="6" t="str">
        <x:v>平</x:v>
      </x:c>
      <x:c r="C4812" s="6" t="str">
        <x:f>IF(B4812="","Needs decision","Ready")</x:f>
        <x:v>Ready</x:v>
      </x:c>
      <x:c r="D4812" s="6" t="str">
        <x:v>平</x:v>
      </x:c>
      <x:c r="E4812" s="6" t="str">
        <x:v>tsoj (A)</x:v>
      </x:c>
      <x:c r="F4812" s="6" t="str">
        <x:v>1</x:v>
      </x:c>
      <x:c r="G4812" s="6" t="str"/>
      <x:c r="H4812" s="6" t="str">
        <x:f>IF(B4812="平","平",IF(B4812="","","仄"))</x:f>
        <x:v>平</x:v>
      </x:c>
      <x:c r="I4812" s="6" t="str">
        <x:f>IF(D4795="","",IF(AND(ISNUMBER(SEARCH("平",D4795)),OR(ISNUMBER(SEARCH("上",D4795)),ISNUMBER(SEARCH("去",D4795)),ISNUMBER(SEARCH("入",D4795)))),"Ambiguous",IF(ISNUMBER(SEARCH("平",D4795)),"平","仄")))</x:f>
        <x:v>仄</x:v>
      </x:c>
      <x:c r="J4812" s="7" t="str"/>
    </x:row>
    <x:row r="4813">
      <x:c r="A4813" s="5" t="str">
        <x:v>𢵈</x:v>
      </x:c>
      <x:c r="B4813" s="6" t="str">
        <x:v>上</x:v>
      </x:c>
      <x:c r="C4813" s="6" t="str">
        <x:f>IF(B4813="","Needs decision","Ready")</x:f>
        <x:v>Ready</x:v>
      </x:c>
      <x:c r="D4813" s="6" t="str">
        <x:v>上</x:v>
      </x:c>
      <x:c r="E4813" s="6" t="str">
        <x:v>kjenX (B)</x:v>
      </x:c>
      <x:c r="F4813" s="6" t="str">
        <x:v>1</x:v>
      </x:c>
      <x:c r="G4813" s="6" t="str"/>
      <x:c r="H4813" s="6" t="str">
        <x:f>IF(B4813="平","平",IF(B4813="","","仄"))</x:f>
        <x:v>仄</x:v>
      </x:c>
      <x:c r="I4813" s="6" t="str">
        <x:f>IF(D4796="","",IF(AND(ISNUMBER(SEARCH("平",D4796)),OR(ISNUMBER(SEARCH("上",D4796)),ISNUMBER(SEARCH("去",D4796)),ISNUMBER(SEARCH("入",D4796)))),"Ambiguous",IF(ISNUMBER(SEARCH("平",D4796)),"平","仄")))</x:f>
        <x:v>平</x:v>
      </x:c>
      <x:c r="J4813" s="7" t="str"/>
    </x:row>
    <x:row r="4814">
      <x:c r="A4814" s="5" t="str">
        <x:v>𣅔</x:v>
      </x:c>
      <x:c r="B4814" s="6" t="str">
        <x:v>入</x:v>
      </x:c>
      <x:c r="C4814" s="6" t="str">
        <x:f>IF(B4814="","Needs decision","Ready")</x:f>
        <x:v>Ready</x:v>
      </x:c>
      <x:c r="D4814" s="6" t="str">
        <x:v>入</x:v>
      </x:c>
      <x:c r="E4814" s="6" t="str">
        <x:v>tsrik (D)</x:v>
      </x:c>
      <x:c r="F4814" s="6" t="str">
        <x:v>1</x:v>
      </x:c>
      <x:c r="G4814" s="6" t="str"/>
      <x:c r="H4814" s="6" t="str">
        <x:f>IF(B4814="平","平",IF(B4814="","","仄"))</x:f>
        <x:v>仄</x:v>
      </x:c>
      <x:c r="I4814" s="6" t="str">
        <x:f>IF(D4797="","",IF(AND(ISNUMBER(SEARCH("平",D4797)),OR(ISNUMBER(SEARCH("上",D4797)),ISNUMBER(SEARCH("去",D4797)),ISNUMBER(SEARCH("入",D4797)))),"Ambiguous",IF(ISNUMBER(SEARCH("平",D4797)),"平","仄")))</x:f>
        <x:v>仄</x:v>
      </x:c>
      <x:c r="J4814" s="7" t="str"/>
    </x:row>
    <x:row r="4815">
      <x:c r="A4815" s="5" t="str">
        <x:v>𣅛</x:v>
      </x:c>
      <x:c r="B4815" s="6" t="str">
        <x:v>入</x:v>
      </x:c>
      <x:c r="C4815" s="6" t="str">
        <x:f>IF(B4815="","Needs decision","Ready")</x:f>
        <x:v>Ready</x:v>
      </x:c>
      <x:c r="D4815" s="6" t="str">
        <x:v>入</x:v>
      </x:c>
      <x:c r="E4815" s="6" t="str">
        <x:v>tsrik (D)</x:v>
      </x:c>
      <x:c r="F4815" s="6" t="str">
        <x:v>1</x:v>
      </x:c>
      <x:c r="G4815" s="6" t="str"/>
      <x:c r="H4815" s="6" t="str">
        <x:f>IF(B4815="平","平",IF(B4815="","","仄"))</x:f>
        <x:v>仄</x:v>
      </x:c>
      <x:c r="I4815" s="6" t="str">
        <x:f>IF(D4798="","",IF(AND(ISNUMBER(SEARCH("平",D4798)),OR(ISNUMBER(SEARCH("上",D4798)),ISNUMBER(SEARCH("去",D4798)),ISNUMBER(SEARCH("入",D4798)))),"Ambiguous",IF(ISNUMBER(SEARCH("平",D4798)),"平","仄")))</x:f>
        <x:v>仄</x:v>
      </x:c>
      <x:c r="J4815" s="7" t="str"/>
    </x:row>
    <x:row r="4816">
      <x:c r="A4816" s="5" t="str">
        <x:v>𣥺</x:v>
      </x:c>
      <x:c r="B4816" s="6" t="str">
        <x:v>平</x:v>
      </x:c>
      <x:c r="C4816" s="6" t="str">
        <x:f>IF(B4816="","Needs decision","Ready")</x:f>
        <x:v>Ready</x:v>
      </x:c>
      <x:c r="D4816" s="6" t="str">
        <x:v>平</x:v>
      </x:c>
      <x:c r="E4816" s="6" t="str">
        <x:v>draeng (A)</x:v>
      </x:c>
      <x:c r="F4816" s="6" t="str">
        <x:v>1</x:v>
      </x:c>
      <x:c r="G4816" s="6" t="str"/>
      <x:c r="H4816" s="6" t="str">
        <x:f>IF(B4816="平","平",IF(B4816="","","仄"))</x:f>
        <x:v>平</x:v>
      </x:c>
      <x:c r="I4816" s="6" t="str">
        <x:f>IF(D4799="","",IF(AND(ISNUMBER(SEARCH("平",D4799)),OR(ISNUMBER(SEARCH("上",D4799)),ISNUMBER(SEARCH("去",D4799)),ISNUMBER(SEARCH("入",D4799)))),"Ambiguous",IF(ISNUMBER(SEARCH("平",D4799)),"平","仄")))</x:f>
        <x:v>仄</x:v>
      </x:c>
      <x:c r="J4816" s="7" t="str"/>
    </x:row>
    <x:row r="4817">
      <x:c r="A4817" s="5" t="str">
        <x:v>𤈦</x:v>
      </x:c>
      <x:c r="B4817" s="6" t="str">
        <x:v>上</x:v>
      </x:c>
      <x:c r="C4817" s="6" t="str">
        <x:f>IF(B4817="","Needs decision","Ready")</x:f>
        <x:v>Ready</x:v>
      </x:c>
      <x:c r="D4817" s="6" t="str">
        <x:v>上</x:v>
      </x:c>
      <x:c r="E4817" s="6" t="str">
        <x:v>xjw+jX (B)</x:v>
      </x:c>
      <x:c r="F4817" s="6" t="str">
        <x:v>1</x:v>
      </x:c>
      <x:c r="G4817" s="6" t="str"/>
      <x:c r="H4817" s="6" t="str">
        <x:f>IF(B4817="平","平",IF(B4817="","","仄"))</x:f>
        <x:v>仄</x:v>
      </x:c>
      <x:c r="I4817" s="6" t="str">
        <x:f>IF(D4800="","",IF(AND(ISNUMBER(SEARCH("平",D4800)),OR(ISNUMBER(SEARCH("上",D4800)),ISNUMBER(SEARCH("去",D4800)),ISNUMBER(SEARCH("入",D4800)))),"Ambiguous",IF(ISNUMBER(SEARCH("平",D4800)),"平","仄")))</x:f>
        <x:v>仄</x:v>
      </x:c>
      <x:c r="J4817" s="7" t="str"/>
    </x:row>
    <x:row r="4818">
      <x:c r="A4818" s="5" t="str">
        <x:v>𤔔</x:v>
      </x:c>
      <x:c r="B4818" s="6" t="str">
        <x:v>去</x:v>
      </x:c>
      <x:c r="C4818" s="6" t="str">
        <x:f>IF(B4818="","Needs decision","Ready")</x:f>
        <x:v>Ready</x:v>
      </x:c>
      <x:c r="D4818" s="6" t="str">
        <x:v>去</x:v>
      </x:c>
      <x:c r="E4818" s="6" t="str">
        <x:v>lwanH (C)</x:v>
      </x:c>
      <x:c r="F4818" s="6" t="str">
        <x:v>1</x:v>
      </x:c>
      <x:c r="G4818" s="6" t="str"/>
      <x:c r="H4818" s="6" t="str">
        <x:f>IF(B4818="平","平",IF(B4818="","","仄"))</x:f>
        <x:v>仄</x:v>
      </x:c>
      <x:c r="I4818" s="6" t="str">
        <x:f>IF(D4801="","",IF(AND(ISNUMBER(SEARCH("平",D4801)),OR(ISNUMBER(SEARCH("上",D4801)),ISNUMBER(SEARCH("去",D4801)),ISNUMBER(SEARCH("入",D4801)))),"Ambiguous",IF(ISNUMBER(SEARCH("平",D4801)),"平","仄")))</x:f>
        <x:v>仄</x:v>
      </x:c>
      <x:c r="J4818" s="7" t="str"/>
    </x:row>
    <x:row r="4819">
      <x:c r="A4819" s="5" t="str">
        <x:v>𤣔</x:v>
      </x:c>
      <x:c r="B4819" s="6" t="str">
        <x:v>上</x:v>
      </x:c>
      <x:c r="C4819" s="6" t="str">
        <x:f>IF(B4819="","Needs decision","Ready")</x:f>
        <x:v>Ready</x:v>
      </x:c>
      <x:c r="D4819" s="6" t="str">
        <x:v>上</x:v>
      </x:c>
      <x:c r="E4819" s="6" t="str">
        <x:v>sjenX (B)</x:v>
      </x:c>
      <x:c r="F4819" s="6" t="str">
        <x:v>1</x:v>
      </x:c>
      <x:c r="G4819" s="6" t="str"/>
      <x:c r="H4819" s="6" t="str">
        <x:f>IF(B4819="平","平",IF(B4819="","","仄"))</x:f>
        <x:v>仄</x:v>
      </x:c>
      <x:c r="I4819" s="6" t="str">
        <x:f>IF(D4802="","",IF(AND(ISNUMBER(SEARCH("平",D4802)),OR(ISNUMBER(SEARCH("上",D4802)),ISNUMBER(SEARCH("去",D4802)),ISNUMBER(SEARCH("入",D4802)))),"Ambiguous",IF(ISNUMBER(SEARCH("平",D4802)),"平","仄")))</x:f>
        <x:v>仄</x:v>
      </x:c>
      <x:c r="J4819" s="7" t="str"/>
    </x:row>
    <x:row r="4820">
      <x:c r="A4820" s="5" t="str">
        <x:v>𤺺</x:v>
      </x:c>
      <x:c r="B4820" s="6" t="str">
        <x:v>上</x:v>
      </x:c>
      <x:c r="C4820" s="6" t="str">
        <x:f>IF(B4820="","Needs decision","Ready")</x:f>
        <x:v>Ready</x:v>
      </x:c>
      <x:c r="D4820" s="6" t="str">
        <x:v>上</x:v>
      </x:c>
      <x:c r="E4820" s="6" t="str">
        <x:v>tanX (B)</x:v>
      </x:c>
      <x:c r="F4820" s="6" t="str">
        <x:v>1</x:v>
      </x:c>
      <x:c r="G4820" s="6" t="str"/>
      <x:c r="H4820" s="6" t="str">
        <x:f>IF(B4820="平","平",IF(B4820="","","仄"))</x:f>
        <x:v>仄</x:v>
      </x:c>
      <x:c r="I4820" s="6" t="str">
        <x:f>IF(D4803="","",IF(AND(ISNUMBER(SEARCH("平",D4803)),OR(ISNUMBER(SEARCH("上",D4803)),ISNUMBER(SEARCH("去",D4803)),ISNUMBER(SEARCH("入",D4803)))),"Ambiguous",IF(ISNUMBER(SEARCH("平",D4803)),"平","仄")))</x:f>
        <x:v>平</x:v>
      </x:c>
      <x:c r="J4820" s="7" t="str"/>
    </x:row>
    <x:row r="4821">
      <x:c r="A4821" s="5" t="str">
        <x:v>𤻲</x:v>
      </x:c>
      <x:c r="B4821" s="6" t="str">
        <x:v>入</x:v>
      </x:c>
      <x:c r="C4821" s="6" t="str">
        <x:f>IF(B4821="","Needs decision","Ready")</x:f>
        <x:v>Ready</x:v>
      </x:c>
      <x:c r="D4821" s="6" t="str">
        <x:v>入</x:v>
      </x:c>
      <x:c r="E4821" s="6" t="str">
        <x:v>lak (D)</x:v>
      </x:c>
      <x:c r="F4821" s="6" t="str">
        <x:v>1</x:v>
      </x:c>
      <x:c r="G4821" s="6" t="str"/>
      <x:c r="H4821" s="6" t="str">
        <x:f>IF(B4821="平","平",IF(B4821="","","仄"))</x:f>
        <x:v>仄</x:v>
      </x:c>
      <x:c r="I4821" s="6" t="str">
        <x:f>IF(D4804="","",IF(AND(ISNUMBER(SEARCH("平",D4804)),OR(ISNUMBER(SEARCH("上",D4804)),ISNUMBER(SEARCH("去",D4804)),ISNUMBER(SEARCH("入",D4804)))),"Ambiguous",IF(ISNUMBER(SEARCH("平",D4804)),"平","仄")))</x:f>
        <x:v>仄</x:v>
      </x:c>
      <x:c r="J4821" s="7" t="str"/>
    </x:row>
    <x:row r="4822">
      <x:c r="A4822" s="5" t="str">
        <x:v>𥁑</x:v>
      </x:c>
      <x:c r="B4822" s="6" t="str">
        <x:v>入</x:v>
      </x:c>
      <x:c r="C4822" s="6" t="str">
        <x:f>IF(B4822="","Needs decision","Ready")</x:f>
        <x:v>Ready</x:v>
      </x:c>
      <x:c r="D4822" s="6" t="str">
        <x:v>入</x:v>
      </x:c>
      <x:c r="E4822" s="6" t="str">
        <x:v>mjit (D)</x:v>
      </x:c>
      <x:c r="F4822" s="6" t="str">
        <x:v>1</x:v>
      </x:c>
      <x:c r="G4822" s="6" t="str"/>
      <x:c r="H4822" s="6" t="str">
        <x:f>IF(B4822="平","平",IF(B4822="","","仄"))</x:f>
        <x:v>仄</x:v>
      </x:c>
      <x:c r="I4822" s="6" t="str">
        <x:f>IF(D4805="","",IF(AND(ISNUMBER(SEARCH("平",D4805)),OR(ISNUMBER(SEARCH("上",D4805)),ISNUMBER(SEARCH("去",D4805)),ISNUMBER(SEARCH("入",D4805)))),"Ambiguous",IF(ISNUMBER(SEARCH("平",D4805)),"平","仄")))</x:f>
        <x:v>仄</x:v>
      </x:c>
      <x:c r="J4822" s="7" t="str"/>
    </x:row>
    <x:row r="4823">
      <x:c r="A4823" s="5" t="str">
        <x:v>𥁕</x:v>
      </x:c>
      <x:c r="B4823" s="6" t="str">
        <x:v>平</x:v>
      </x:c>
      <x:c r="C4823" s="6" t="str">
        <x:f>IF(B4823="","Needs decision","Ready")</x:f>
        <x:v>Ready</x:v>
      </x:c>
      <x:c r="D4823" s="6" t="str">
        <x:v>平</x:v>
      </x:c>
      <x:c r="E4823" s="6" t="str">
        <x:v>'won (A)</x:v>
      </x:c>
      <x:c r="F4823" s="6" t="str">
        <x:v>1</x:v>
      </x:c>
      <x:c r="G4823" s="6" t="str"/>
      <x:c r="H4823" s="6" t="str">
        <x:f>IF(B4823="平","平",IF(B4823="","","仄"))</x:f>
        <x:v>平</x:v>
      </x:c>
      <x:c r="I4823" s="6" t="str">
        <x:f>IF(D4806="","",IF(AND(ISNUMBER(SEARCH("平",D4806)),OR(ISNUMBER(SEARCH("上",D4806)),ISNUMBER(SEARCH("去",D4806)),ISNUMBER(SEARCH("入",D4806)))),"Ambiguous",IF(ISNUMBER(SEARCH("平",D4806)),"平","仄")))</x:f>
        <x:v>平</x:v>
      </x:c>
      <x:c r="J4823" s="7" t="str"/>
    </x:row>
    <x:row r="4824">
      <x:c r="A4824" s="5" t="str">
        <x:v>𥊽</x:v>
      </x:c>
      <x:c r="B4824" s="6" t="str">
        <x:v>平</x:v>
      </x:c>
      <x:c r="C4824" s="6" t="str">
        <x:f>IF(B4824="","Needs decision","Ready")</x:f>
        <x:v>Ready</x:v>
      </x:c>
      <x:c r="D4824" s="6" t="str">
        <x:v>平</x:v>
      </x:c>
      <x:c r="E4824" s="6" t="str">
        <x:v>kwon (A)</x:v>
      </x:c>
      <x:c r="F4824" s="6" t="str">
        <x:v>1</x:v>
      </x:c>
      <x:c r="G4824" s="6" t="str"/>
      <x:c r="H4824" s="6" t="str">
        <x:f>IF(B4824="平","平",IF(B4824="","","仄"))</x:f>
        <x:v>平</x:v>
      </x:c>
      <x:c r="I4824" s="6" t="str">
        <x:f>IF(D4807="","",IF(AND(ISNUMBER(SEARCH("平",D4807)),OR(ISNUMBER(SEARCH("上",D4807)),ISNUMBER(SEARCH("去",D4807)),ISNUMBER(SEARCH("入",D4807)))),"Ambiguous",IF(ISNUMBER(SEARCH("平",D4807)),"平","仄")))</x:f>
        <x:v>仄</x:v>
      </x:c>
      <x:c r="J4824" s="7" t="str"/>
    </x:row>
    <x:row r="4825">
      <x:c r="A4825" s="5" t="str">
        <x:v>𥝌</x:v>
      </x:c>
      <x:c r="B4825" s="6" t="str">
        <x:v>平</x:v>
      </x:c>
      <x:c r="C4825" s="6" t="str">
        <x:f>IF(B4825="","Needs decision","Ready")</x:f>
        <x:v>Ready</x:v>
      </x:c>
      <x:c r="D4825" s="6" t="str">
        <x:v>平</x:v>
      </x:c>
      <x:c r="E4825" s="6" t="str">
        <x:v>kej (A)</x:v>
      </x:c>
      <x:c r="F4825" s="6" t="str">
        <x:v>1</x:v>
      </x:c>
      <x:c r="G4825" s="6" t="str"/>
      <x:c r="H4825" s="6" t="str">
        <x:f>IF(B4825="平","平",IF(B4825="","","仄"))</x:f>
        <x:v>平</x:v>
      </x:c>
      <x:c r="I4825" s="6" t="str">
        <x:f>IF(D4808="","",IF(AND(ISNUMBER(SEARCH("平",D4808)),OR(ISNUMBER(SEARCH("上",D4808)),ISNUMBER(SEARCH("去",D4808)),ISNUMBER(SEARCH("入",D4808)))),"Ambiguous",IF(ISNUMBER(SEARCH("平",D4808)),"平","仄")))</x:f>
        <x:v>平</x:v>
      </x:c>
      <x:c r="J4825" s="7" t="str"/>
    </x:row>
    <x:row r="4826">
      <x:c r="A4826" s="5" t="str">
        <x:v>𥝩</x:v>
      </x:c>
      <x:c r="B4826" s="6" t="str">
        <x:v>去</x:v>
      </x:c>
      <x:c r="C4826" s="6" t="str">
        <x:f>IF(B4826="","Needs decision","Ready")</x:f>
        <x:v>Ready</x:v>
      </x:c>
      <x:c r="D4826" s="6" t="str">
        <x:v>去</x:v>
      </x:c>
      <x:c r="E4826" s="6" t="str">
        <x:v>zwijH (C)</x:v>
      </x:c>
      <x:c r="F4826" s="6" t="str">
        <x:v>1</x:v>
      </x:c>
      <x:c r="G4826" s="6" t="str"/>
      <x:c r="H4826" s="6" t="str">
        <x:f>IF(B4826="平","平",IF(B4826="","","仄"))</x:f>
        <x:v>仄</x:v>
      </x:c>
      <x:c r="I4826" s="6" t="str">
        <x:f>IF(D4809="","",IF(AND(ISNUMBER(SEARCH("平",D4809)),OR(ISNUMBER(SEARCH("上",D4809)),ISNUMBER(SEARCH("去",D4809)),ISNUMBER(SEARCH("入",D4809)))),"Ambiguous",IF(ISNUMBER(SEARCH("平",D4809)),"平","仄")))</x:f>
        <x:v>平</x:v>
      </x:c>
      <x:c r="J4826" s="7" t="str"/>
    </x:row>
    <x:row r="4827">
      <x:c r="A4827" s="5" t="str">
        <x:v>𥥻</x:v>
      </x:c>
      <x:c r="B4827" s="6" t="str">
        <x:v>去</x:v>
      </x:c>
      <x:c r="C4827" s="6" t="str">
        <x:f>IF(B4827="","Needs decision","Ready")</x:f>
        <x:v>Ready</x:v>
      </x:c>
      <x:c r="D4827" s="6" t="str">
        <x:v>去</x:v>
      </x:c>
      <x:c r="E4827" s="6" t="str">
        <x:v>khengH (C)</x:v>
      </x:c>
      <x:c r="F4827" s="6" t="str">
        <x:v>1</x:v>
      </x:c>
      <x:c r="G4827" s="6" t="str"/>
      <x:c r="H4827" s="6" t="str">
        <x:f>IF(B4827="平","平",IF(B4827="","","仄"))</x:f>
        <x:v>仄</x:v>
      </x:c>
      <x:c r="I4827" s="6" t="str">
        <x:f>IF(D4810="","",IF(AND(ISNUMBER(SEARCH("平",D4810)),OR(ISNUMBER(SEARCH("上",D4810)),ISNUMBER(SEARCH("去",D4810)),ISNUMBER(SEARCH("入",D4810)))),"Ambiguous",IF(ISNUMBER(SEARCH("平",D4810)),"平","仄")))</x:f>
        <x:v>仄</x:v>
      </x:c>
      <x:c r="J4827" s="7" t="str"/>
    </x:row>
    <x:row r="4828">
      <x:c r="A4828" s="5" t="str">
        <x:v>𥼶</x:v>
      </x:c>
      <x:c r="B4828" s="6" t="str">
        <x:v>入</x:v>
      </x:c>
      <x:c r="C4828" s="6" t="str">
        <x:f>IF(B4828="","Needs decision","Ready")</x:f>
        <x:v>Ready</x:v>
      </x:c>
      <x:c r="D4828" s="6" t="str">
        <x:v>入</x:v>
      </x:c>
      <x:c r="E4828" s="6" t="str">
        <x:v>syek (D)</x:v>
      </x:c>
      <x:c r="F4828" s="6" t="str">
        <x:v>1</x:v>
      </x:c>
      <x:c r="G4828" s="6" t="str"/>
      <x:c r="H4828" s="6" t="str">
        <x:f>IF(B4828="平","平",IF(B4828="","","仄"))</x:f>
        <x:v>仄</x:v>
      </x:c>
      <x:c r="I4828" s="6" t="str">
        <x:f>IF(D4811="","",IF(AND(ISNUMBER(SEARCH("平",D4811)),OR(ISNUMBER(SEARCH("上",D4811)),ISNUMBER(SEARCH("去",D4811)),ISNUMBER(SEARCH("入",D4811)))),"Ambiguous",IF(ISNUMBER(SEARCH("平",D4811)),"平","仄")))</x:f>
        <x:v>平</x:v>
      </x:c>
      <x:c r="J4828" s="7" t="str"/>
    </x:row>
    <x:row r="4829">
      <x:c r="A4829" s="5" t="str">
        <x:v>𦊮</x:v>
      </x:c>
      <x:c r="B4829" s="6" t="str">
        <x:v>平</x:v>
      </x:c>
      <x:c r="C4829" s="6" t="str">
        <x:f>IF(B4829="","Needs decision","Ready")</x:f>
        <x:v>Ready</x:v>
      </x:c>
      <x:c r="D4829" s="6" t="str">
        <x:v>平</x:v>
      </x:c>
      <x:c r="E4829" s="6" t="str">
        <x:v>mjie (A)</x:v>
      </x:c>
      <x:c r="F4829" s="6" t="str">
        <x:v>1</x:v>
      </x:c>
      <x:c r="G4829" s="6" t="str"/>
      <x:c r="H4829" s="6" t="str">
        <x:f>IF(B4829="平","平",IF(B4829="","","仄"))</x:f>
        <x:v>平</x:v>
      </x:c>
      <x:c r="I4829" s="6" t="str">
        <x:f>IF(D4812="","",IF(AND(ISNUMBER(SEARCH("平",D4812)),OR(ISNUMBER(SEARCH("上",D4812)),ISNUMBER(SEARCH("去",D4812)),ISNUMBER(SEARCH("入",D4812)))),"Ambiguous",IF(ISNUMBER(SEARCH("平",D4812)),"平","仄")))</x:f>
        <x:v>平</x:v>
      </x:c>
      <x:c r="J4829" s="7" t="str"/>
    </x:row>
    <x:row r="4830">
      <x:c r="A4830" s="5" t="str">
        <x:v>𦍒</x:v>
      </x:c>
      <x:c r="B4830" s="6" t="str">
        <x:v>入</x:v>
      </x:c>
      <x:c r="C4830" s="6" t="str">
        <x:f>IF(B4830="","Needs decision","Ready")</x:f>
        <x:v>Ready</x:v>
      </x:c>
      <x:c r="D4830" s="6" t="str">
        <x:v>入</x:v>
      </x:c>
      <x:c r="E4830" s="6" t="str">
        <x:v>that (D)</x:v>
      </x:c>
      <x:c r="F4830" s="6" t="str">
        <x:v>1</x:v>
      </x:c>
      <x:c r="G4830" s="6" t="str"/>
      <x:c r="H4830" s="6" t="str">
        <x:f>IF(B4830="平","平",IF(B4830="","","仄"))</x:f>
        <x:v>仄</x:v>
      </x:c>
      <x:c r="I4830" s="6" t="str">
        <x:f>IF(D4813="","",IF(AND(ISNUMBER(SEARCH("平",D4813)),OR(ISNUMBER(SEARCH("上",D4813)),ISNUMBER(SEARCH("去",D4813)),ISNUMBER(SEARCH("入",D4813)))),"Ambiguous",IF(ISNUMBER(SEARCH("平",D4813)),"平","仄")))</x:f>
        <x:v>仄</x:v>
      </x:c>
      <x:c r="J4830" s="7" t="str"/>
    </x:row>
    <x:row r="4831">
      <x:c r="A4831" s="5" t="str">
        <x:v>𦐈</x:v>
      </x:c>
      <x:c r="B4831" s="6" t="str">
        <x:v>平</x:v>
      </x:c>
      <x:c r="C4831" s="6" t="str">
        <x:f>IF(B4831="","Needs decision","Ready")</x:f>
        <x:v>Ready</x:v>
      </x:c>
      <x:c r="D4831" s="6" t="str">
        <x:v>平</x:v>
      </x:c>
      <x:c r="E4831" s="6" t="str">
        <x:v>pjun (A)</x:v>
      </x:c>
      <x:c r="F4831" s="6" t="str">
        <x:v>1</x:v>
      </x:c>
      <x:c r="G4831" s="6" t="str"/>
      <x:c r="H4831" s="6" t="str">
        <x:f>IF(B4831="平","平",IF(B4831="","","仄"))</x:f>
        <x:v>平</x:v>
      </x:c>
      <x:c r="I4831" s="6" t="str">
        <x:f>IF(D4814="","",IF(AND(ISNUMBER(SEARCH("平",D4814)),OR(ISNUMBER(SEARCH("上",D4814)),ISNUMBER(SEARCH("去",D4814)),ISNUMBER(SEARCH("入",D4814)))),"Ambiguous",IF(ISNUMBER(SEARCH("平",D4814)),"平","仄")))</x:f>
        <x:v>仄</x:v>
      </x:c>
      <x:c r="J4831" s="7" t="str"/>
    </x:row>
    <x:row r="4832">
      <x:c r="A4832" s="5" t="str">
        <x:v>𦣞</x:v>
      </x:c>
      <x:c r="B4832" s="6" t="str">
        <x:v>平</x:v>
      </x:c>
      <x:c r="C4832" s="6" t="str">
        <x:f>IF(B4832="","Needs decision","Ready")</x:f>
        <x:v>Ready</x:v>
      </x:c>
      <x:c r="D4832" s="6" t="str">
        <x:v>平</x:v>
      </x:c>
      <x:c r="E4832" s="6" t="str">
        <x:v>yi (A)</x:v>
      </x:c>
      <x:c r="F4832" s="6" t="str">
        <x:v>1</x:v>
      </x:c>
      <x:c r="G4832" s="6" t="str"/>
      <x:c r="H4832" s="6" t="str">
        <x:f>IF(B4832="平","平",IF(B4832="","","仄"))</x:f>
        <x:v>平</x:v>
      </x:c>
      <x:c r="I4832" s="6" t="str">
        <x:f>IF(D4815="","",IF(AND(ISNUMBER(SEARCH("平",D4815)),OR(ISNUMBER(SEARCH("上",D4815)),ISNUMBER(SEARCH("去",D4815)),ISNUMBER(SEARCH("入",D4815)))),"Ambiguous",IF(ISNUMBER(SEARCH("平",D4815)),"平","仄")))</x:f>
        <x:v>仄</x:v>
      </x:c>
      <x:c r="J4832" s="7" t="str"/>
    </x:row>
    <x:row r="4833">
      <x:c r="A4833" s="5" t="str">
        <x:v>𦳊</x:v>
      </x:c>
      <x:c r="B4833" s="6" t="str">
        <x:v>上</x:v>
      </x:c>
      <x:c r="C4833" s="6" t="str">
        <x:f>IF(B4833="","Needs decision","Ready")</x:f>
        <x:v>Ready</x:v>
      </x:c>
      <x:c r="D4833" s="6" t="str">
        <x:v>上</x:v>
      </x:c>
      <x:c r="E4833" s="6" t="str">
        <x:v>syijX (B)</x:v>
      </x:c>
      <x:c r="F4833" s="6" t="str">
        <x:v>1</x:v>
      </x:c>
      <x:c r="G4833" s="6" t="str"/>
      <x:c r="H4833" s="6" t="str">
        <x:f>IF(B4833="平","平",IF(B4833="","","仄"))</x:f>
        <x:v>仄</x:v>
      </x:c>
      <x:c r="I4833" s="6" t="str">
        <x:f>IF(D4816="","",IF(AND(ISNUMBER(SEARCH("平",D4816)),OR(ISNUMBER(SEARCH("上",D4816)),ISNUMBER(SEARCH("去",D4816)),ISNUMBER(SEARCH("入",D4816)))),"Ambiguous",IF(ISNUMBER(SEARCH("平",D4816)),"平","仄")))</x:f>
        <x:v>平</x:v>
      </x:c>
      <x:c r="J4833" s="7" t="str"/>
    </x:row>
    <x:row r="4834">
      <x:c r="A4834" s="5" t="str">
        <x:v>𧆨</x:v>
      </x:c>
      <x:c r="B4834" s="6" t="str">
        <x:v>平</x:v>
      </x:c>
      <x:c r="C4834" s="6" t="str">
        <x:f>IF(B4834="","Needs decision","Ready")</x:f>
        <x:v>Ready</x:v>
      </x:c>
      <x:c r="D4834" s="6" t="str">
        <x:v>平</x:v>
      </x:c>
      <x:c r="E4834" s="6" t="str">
        <x:v>lu (A)</x:v>
      </x:c>
      <x:c r="F4834" s="6" t="str">
        <x:v>1</x:v>
      </x:c>
      <x:c r="G4834" s="6" t="str"/>
      <x:c r="H4834" s="6" t="str">
        <x:f>IF(B4834="平","平",IF(B4834="","","仄"))</x:f>
        <x:v>平</x:v>
      </x:c>
      <x:c r="I4834" s="6" t="str">
        <x:f>IF(D4817="","",IF(AND(ISNUMBER(SEARCH("平",D4817)),OR(ISNUMBER(SEARCH("上",D4817)),ISNUMBER(SEARCH("去",D4817)),ISNUMBER(SEARCH("入",D4817)))),"Ambiguous",IF(ISNUMBER(SEARCH("平",D4817)),"平","仄")))</x:f>
        <x:v>仄</x:v>
      </x:c>
      <x:c r="J4834" s="7" t="str"/>
    </x:row>
    <x:row r="4835">
      <x:c r="A4835" s="5" t="str">
        <x:v>𧪜</x:v>
      </x:c>
      <x:c r="B4835" s="6" t="str">
        <x:v>去</x:v>
      </x:c>
      <x:c r="C4835" s="6" t="str">
        <x:f>IF(B4835="","Needs decision","Ready")</x:f>
        <x:v>Ready</x:v>
      </x:c>
      <x:c r="D4835" s="6" t="str">
        <x:v>去</x:v>
      </x:c>
      <x:c r="E4835" s="6" t="str">
        <x:v>suH (C)</x:v>
      </x:c>
      <x:c r="F4835" s="6" t="str">
        <x:v>1</x:v>
      </x:c>
      <x:c r="G4835" s="6" t="str"/>
      <x:c r="H4835" s="6" t="str">
        <x:f>IF(B4835="平","平",IF(B4835="","","仄"))</x:f>
        <x:v>仄</x:v>
      </x:c>
      <x:c r="I4835" s="6" t="str">
        <x:f>IF(D4818="","",IF(AND(ISNUMBER(SEARCH("平",D4818)),OR(ISNUMBER(SEARCH("上",D4818)),ISNUMBER(SEARCH("去",D4818)),ISNUMBER(SEARCH("入",D4818)))),"Ambiguous",IF(ISNUMBER(SEARCH("平",D4818)),"平","仄")))</x:f>
        <x:v>仄</x:v>
      </x:c>
      <x:c r="J4835" s="7" t="str"/>
    </x:row>
    <x:row r="4836">
      <x:c r="A4836" s="5" t="str">
        <x:v>𧮫</x:v>
      </x:c>
      <x:c r="B4836" s="6" t="str">
        <x:v>入</x:v>
      </x:c>
      <x:c r="C4836" s="6" t="str">
        <x:f>IF(B4836="","Needs decision","Ready")</x:f>
        <x:v>Ready</x:v>
      </x:c>
      <x:c r="D4836" s="6" t="str">
        <x:v>入</x:v>
      </x:c>
      <x:c r="E4836" s="6" t="str">
        <x:v>gjak (D)</x:v>
      </x:c>
      <x:c r="F4836" s="6" t="str">
        <x:v>1</x:v>
      </x:c>
      <x:c r="G4836" s="6" t="str"/>
      <x:c r="H4836" s="6" t="str">
        <x:f>IF(B4836="平","平",IF(B4836="","","仄"))</x:f>
        <x:v>仄</x:v>
      </x:c>
      <x:c r="I4836" s="6" t="str">
        <x:f>IF(D4819="","",IF(AND(ISNUMBER(SEARCH("平",D4819)),OR(ISNUMBER(SEARCH("上",D4819)),ISNUMBER(SEARCH("去",D4819)),ISNUMBER(SEARCH("入",D4819)))),"Ambiguous",IF(ISNUMBER(SEARCH("平",D4819)),"平","仄")))</x:f>
        <x:v>仄</x:v>
      </x:c>
      <x:c r="J4836" s="7" t="str"/>
    </x:row>
    <x:row r="4837">
      <x:c r="A4837" s="5" t="str">
        <x:v>𧰼</x:v>
      </x:c>
      <x:c r="B4837" s="6" t="str">
        <x:v>上</x:v>
      </x:c>
      <x:c r="C4837" s="6" t="str">
        <x:f>IF(B4837="","Needs decision","Ready")</x:f>
        <x:v>Ready</x:v>
      </x:c>
      <x:c r="D4837" s="6" t="str">
        <x:v>上</x:v>
      </x:c>
      <x:c r="E4837" s="6" t="str"/>
      <x:c r="F4837" s="6" t="str"/>
      <x:c r="G4837" s="6" t="str">
        <x:v>Manual user correction/addition</x:v>
      </x:c>
      <x:c r="H4837" s="6" t="str">
        <x:f>IF(B4837="平","平",IF(B4837="","","仄"))</x:f>
        <x:v>仄</x:v>
      </x:c>
      <x:c r="I4837" s="6" t="str">
        <x:f>IF(D4820="","",IF(AND(ISNUMBER(SEARCH("平",D4820)),OR(ISNUMBER(SEARCH("上",D4820)),ISNUMBER(SEARCH("去",D4820)),ISNUMBER(SEARCH("入",D4820)))),"Ambiguous",IF(ISNUMBER(SEARCH("平",D4820)),"平","仄")))</x:f>
        <x:v>仄</x:v>
      </x:c>
      <x:c r="J4837" s="7" t="str">
        <x:v>manual user correction</x:v>
      </x:c>
    </x:row>
    <x:row r="4838">
      <x:c r="A4838" s="5" t="str">
        <x:v>𧳏</x:v>
      </x:c>
      <x:c r="B4838" s="6" t="str">
        <x:v>平</x:v>
      </x:c>
      <x:c r="C4838" s="6" t="str">
        <x:f>IF(B4838="","Needs decision","Ready")</x:f>
        <x:v>Ready</x:v>
      </x:c>
      <x:c r="D4838" s="6" t="str">
        <x:v>平</x:v>
      </x:c>
      <x:c r="E4838" s="6" t="str">
        <x:v>bij (A)</x:v>
      </x:c>
      <x:c r="F4838" s="6" t="str">
        <x:v>1</x:v>
      </x:c>
      <x:c r="G4838" s="6" t="str"/>
      <x:c r="H4838" s="6" t="str">
        <x:f>IF(B4838="平","平",IF(B4838="","","仄"))</x:f>
        <x:v>平</x:v>
      </x:c>
      <x:c r="I4838" s="6" t="str">
        <x:f>IF(D4821="","",IF(AND(ISNUMBER(SEARCH("平",D4821)),OR(ISNUMBER(SEARCH("上",D4821)),ISNUMBER(SEARCH("去",D4821)),ISNUMBER(SEARCH("入",D4821)))),"Ambiguous",IF(ISNUMBER(SEARCH("平",D4821)),"平","仄")))</x:f>
        <x:v>仄</x:v>
      </x:c>
      <x:c r="J4838" s="7" t="str"/>
    </x:row>
    <x:row r="4839">
      <x:c r="A4839" s="5" t="str">
        <x:v>𧳟</x:v>
      </x:c>
      <x:c r="B4839" s="6" t="str">
        <x:v>平</x:v>
      </x:c>
      <x:c r="C4839" s="6" t="str">
        <x:f>IF(B4839="","Needs decision","Ready")</x:f>
        <x:v>Ready</x:v>
      </x:c>
      <x:c r="D4839" s="6" t="str">
        <x:v>平</x:v>
      </x:c>
      <x:c r="E4839" s="6" t="str">
        <x:v>loj (A)</x:v>
      </x:c>
      <x:c r="F4839" s="6" t="str">
        <x:v>1</x:v>
      </x:c>
      <x:c r="G4839" s="6" t="str"/>
      <x:c r="H4839" s="6" t="str">
        <x:f>IF(B4839="平","平",IF(B4839="","","仄"))</x:f>
        <x:v>平</x:v>
      </x:c>
      <x:c r="I4839" s="6" t="str">
        <x:f>IF(D4822="","",IF(AND(ISNUMBER(SEARCH("平",D4822)),OR(ISNUMBER(SEARCH("上",D4822)),ISNUMBER(SEARCH("去",D4822)),ISNUMBER(SEARCH("入",D4822)))),"Ambiguous",IF(ISNUMBER(SEARCH("平",D4822)),"平","仄")))</x:f>
        <x:v>仄</x:v>
      </x:c>
      <x:c r="J4839" s="7" t="str"/>
    </x:row>
    <x:row r="4840">
      <x:c r="A4840" s="5" t="str">
        <x:v>𧶠</x:v>
      </x:c>
      <x:c r="B4840" s="6" t="str">
        <x:v>入</x:v>
      </x:c>
      <x:c r="C4840" s="6" t="str">
        <x:f>IF(B4840="","Needs decision","Ready")</x:f>
        <x:v>Ready</x:v>
      </x:c>
      <x:c r="D4840" s="6" t="str">
        <x:v>入</x:v>
      </x:c>
      <x:c r="E4840" s="6" t="str">
        <x:v>yuwk (D)</x:v>
      </x:c>
      <x:c r="F4840" s="6" t="str">
        <x:v>1</x:v>
      </x:c>
      <x:c r="G4840" s="6" t="str"/>
      <x:c r="H4840" s="6" t="str">
        <x:f>IF(B4840="平","平",IF(B4840="","","仄"))</x:f>
        <x:v>仄</x:v>
      </x:c>
      <x:c r="I4840" s="6" t="str">
        <x:f>IF(D4823="","",IF(AND(ISNUMBER(SEARCH("平",D4823)),OR(ISNUMBER(SEARCH("上",D4823)),ISNUMBER(SEARCH("去",D4823)),ISNUMBER(SEARCH("入",D4823)))),"Ambiguous",IF(ISNUMBER(SEARCH("平",D4823)),"平","仄")))</x:f>
        <x:v>平</x:v>
      </x:c>
      <x:c r="J4840" s="7" t="str"/>
    </x:row>
    <x:row r="4841">
      <x:c r="A4841" s="5" t="str">
        <x:v>𨒪</x:v>
      </x:c>
      <x:c r="B4841" s="6" t="str">
        <x:v>入</x:v>
      </x:c>
      <x:c r="C4841" s="6" t="str">
        <x:f>IF(B4841="","Needs decision","Ready")</x:f>
        <x:v>Ready</x:v>
      </x:c>
      <x:c r="D4841" s="6" t="str">
        <x:v>入</x:v>
      </x:c>
      <x:c r="E4841" s="6" t="str">
        <x:v>tsjek (D)</x:v>
      </x:c>
      <x:c r="F4841" s="6" t="str">
        <x:v>1</x:v>
      </x:c>
      <x:c r="G4841" s="6" t="str"/>
      <x:c r="H4841" s="6" t="str">
        <x:f>IF(B4841="平","平",IF(B4841="","","仄"))</x:f>
        <x:v>仄</x:v>
      </x:c>
      <x:c r="I4841" s="6" t="str">
        <x:f>IF(D4824="","",IF(AND(ISNUMBER(SEARCH("平",D4824)),OR(ISNUMBER(SEARCH("上",D4824)),ISNUMBER(SEARCH("去",D4824)),ISNUMBER(SEARCH("入",D4824)))),"Ambiguous",IF(ISNUMBER(SEARCH("平",D4824)),"平","仄")))</x:f>
        <x:v>平</x:v>
      </x:c>
      <x:c r="J4841" s="7" t="str"/>
    </x:row>
    <x:row r="4842">
      <x:c r="A4842" s="5" t="str">
        <x:v>𨹟</x:v>
      </x:c>
      <x:c r="B4842" s="6" t="str">
        <x:v>去</x:v>
      </x:c>
      <x:c r="C4842" s="6" t="str">
        <x:f>IF(B4842="","Needs decision","Ready")</x:f>
        <x:v>Ready</x:v>
      </x:c>
      <x:c r="D4842" s="6" t="str"/>
      <x:c r="E4842" s="6" t="str"/>
      <x:c r="F4842" s="6" t="str"/>
      <x:c r="G4842" s="6" t="str">
        <x:v>Not found in Xun Gong source; needs manual lookup</x:v>
      </x:c>
      <x:c r="H4842" s="6" t="str">
        <x:f>IF(B4842="平","平",IF(B4842="","","仄"))</x:f>
        <x:v>仄</x:v>
      </x:c>
      <x:c r="I4842" s="6" t="str">
        <x:f>IF(D4825="","",IF(AND(ISNUMBER(SEARCH("平",D4825)),OR(ISNUMBER(SEARCH("上",D4825)),ISNUMBER(SEARCH("去",D4825)),ISNUMBER(SEARCH("入",D4825)))),"Ambiguous",IF(ISNUMBER(SEARCH("平",D4825)),"平","仄")))</x:f>
        <x:v>平</x:v>
      </x:c>
      <x:c r="J4842" s="7" t="str"/>
    </x:row>
    <x:row r="4843">
      <x:c r="A4843" s="5" t="str">
        <x:v>𨽿</x:v>
      </x:c>
      <x:c r="B4843" s="6" t="str">
        <x:v>上</x:v>
      </x:c>
      <x:c r="C4843" s="6" t="str">
        <x:f>IF(B4843="","Needs decision","Ready")</x:f>
        <x:v>Ready</x:v>
      </x:c>
      <x:c r="D4843" s="6" t="str">
        <x:v>上</x:v>
      </x:c>
      <x:c r="E4843" s="6" t="str">
        <x:v>dojX (B)</x:v>
      </x:c>
      <x:c r="F4843" s="6" t="str">
        <x:v>1</x:v>
      </x:c>
      <x:c r="G4843" s="6" t="str"/>
      <x:c r="H4843" s="6" t="str">
        <x:f>IF(B4843="平","平",IF(B4843="","","仄"))</x:f>
        <x:v>仄</x:v>
      </x:c>
      <x:c r="I4843" s="6" t="str">
        <x:f>IF(D4826="","",IF(AND(ISNUMBER(SEARCH("平",D4826)),OR(ISNUMBER(SEARCH("上",D4826)),ISNUMBER(SEARCH("去",D4826)),ISNUMBER(SEARCH("入",D4826)))),"Ambiguous",IF(ISNUMBER(SEARCH("平",D4826)),"平","仄")))</x:f>
        <x:v>仄</x:v>
      </x:c>
      <x:c r="J4843" s="7" t="str"/>
    </x:row>
    <x:row r="4844">
      <x:c r="A4844" s="5" t="str">
        <x:v>𩆵</x:v>
      </x:c>
      <x:c r="B4844" s="6" t="str"/>
      <x:c r="C4844" s="6" t="str">
        <x:f>IF(B4844="","Needs decision","Ready")</x:f>
        <x:v>Needs decision</x:v>
      </x:c>
      <x:c r="D4844" s="6" t="str">
        <x:v>平/去</x:v>
      </x:c>
      <x:c r="E4844" s="6" t="str">
        <x:v>sje (A); senH (C)</x:v>
      </x:c>
      <x:c r="F4844" s="6" t="str">
        <x:v>2</x:v>
      </x:c>
      <x:c r="G4844" s="6" t="str"/>
      <x:c r="H4844" s="6" t="str">
        <x:f>IF(B4844="平","平",IF(B4844="","","仄"))</x:f>
      </x:c>
      <x:c r="I4844" s="6" t="str">
        <x:f>IF(D4827="","",IF(AND(ISNUMBER(SEARCH("平",D4827)),OR(ISNUMBER(SEARCH("上",D4827)),ISNUMBER(SEARCH("去",D4827)),ISNUMBER(SEARCH("入",D4827)))),"Ambiguous",IF(ISNUMBER(SEARCH("平",D4827)),"平","仄")))</x:f>
        <x:v>仄</x:v>
      </x:c>
      <x:c r="J4844" s="7" t="str"/>
    </x:row>
    <x:row r="4845">
      <x:c r="A4845" s="5" t="str">
        <x:v>𩎟</x:v>
      </x:c>
      <x:c r="B4845" s="6" t="str">
        <x:v>去</x:v>
      </x:c>
      <x:c r="C4845" s="6" t="str">
        <x:f>IF(B4845="","Needs decision","Ready")</x:f>
        <x:v>Ready</x:v>
      </x:c>
      <x:c r="D4845" s="6" t="str">
        <x:v>去</x:v>
      </x:c>
      <x:c r="E4845" s="6" t="str">
        <x:v>meajH (C)</x:v>
      </x:c>
      <x:c r="F4845" s="6" t="str">
        <x:v>1</x:v>
      </x:c>
      <x:c r="G4845" s="6" t="str"/>
      <x:c r="H4845" s="6" t="str">
        <x:f>IF(B4845="平","平",IF(B4845="","","仄"))</x:f>
        <x:v>仄</x:v>
      </x:c>
      <x:c r="I4845" s="6" t="str">
        <x:f>IF(D4828="","",IF(AND(ISNUMBER(SEARCH("平",D4828)),OR(ISNUMBER(SEARCH("上",D4828)),ISNUMBER(SEARCH("去",D4828)),ISNUMBER(SEARCH("入",D4828)))),"Ambiguous",IF(ISNUMBER(SEARCH("平",D4828)),"平","仄")))</x:f>
        <x:v>仄</x:v>
      </x:c>
      <x:c r="J4845" s="7" t="str"/>
    </x:row>
    <x:row r="4846">
      <x:c r="A4846" s="5" t="str">
        <x:v>𩕾</x:v>
      </x:c>
      <x:c r="B4846" s="6" t="str">
        <x:v>去</x:v>
      </x:c>
      <x:c r="C4846" s="6" t="str">
        <x:f>IF(B4846="","Needs decision","Ready")</x:f>
        <x:v>Ready</x:v>
      </x:c>
      <x:c r="D4846" s="6" t="str">
        <x:v>去</x:v>
      </x:c>
      <x:c r="E4846" s="6" t="str">
        <x:v>ngjwonH (C)</x:v>
      </x:c>
      <x:c r="F4846" s="6" t="str">
        <x:v>1</x:v>
      </x:c>
      <x:c r="G4846" s="6" t="str"/>
      <x:c r="H4846" s="6" t="str">
        <x:f>IF(B4846="平","平",IF(B4846="","","仄"))</x:f>
        <x:v>仄</x:v>
      </x:c>
      <x:c r="I4846" s="6" t="str">
        <x:f>IF(D4829="","",IF(AND(ISNUMBER(SEARCH("平",D4829)),OR(ISNUMBER(SEARCH("上",D4829)),ISNUMBER(SEARCH("去",D4829)),ISNUMBER(SEARCH("入",D4829)))),"Ambiguous",IF(ISNUMBER(SEARCH("平",D4829)),"平","仄")))</x:f>
        <x:v>平</x:v>
      </x:c>
      <x:c r="J4846" s="7" t="str"/>
    </x:row>
    <x:row r="4847">
      <x:c r="A4847" s="5" t="str">
        <x:v>𩰲</x:v>
      </x:c>
      <x:c r="B4847" s="6" t="str">
        <x:v>入</x:v>
      </x:c>
      <x:c r="C4847" s="6" t="str">
        <x:f>IF(B4847="","Needs decision","Ready")</x:f>
        <x:v>Ready</x:v>
      </x:c>
      <x:c r="D4847" s="6" t="str">
        <x:v>入</x:v>
      </x:c>
      <x:c r="E4847" s="6" t="str">
        <x:v>lek (D)</x:v>
      </x:c>
      <x:c r="F4847" s="6" t="str">
        <x:v>1</x:v>
      </x:c>
      <x:c r="G4847" s="6" t="str"/>
      <x:c r="H4847" s="6" t="str">
        <x:f>IF(B4847="平","平",IF(B4847="","","仄"))</x:f>
        <x:v>仄</x:v>
      </x:c>
      <x:c r="I4847" s="6" t="str">
        <x:f>IF(D4830="","",IF(AND(ISNUMBER(SEARCH("平",D4830)),OR(ISNUMBER(SEARCH("上",D4830)),ISNUMBER(SEARCH("去",D4830)),ISNUMBER(SEARCH("入",D4830)))),"Ambiguous",IF(ISNUMBER(SEARCH("平",D4830)),"平","仄")))</x:f>
        <x:v>仄</x:v>
      </x:c>
      <x:c r="J4847" s="7" t="str"/>
    </x:row>
    <x:row r="4848">
      <x:c r="A4848" s="5" t="str">
        <x:v>𩱡</x:v>
      </x:c>
      <x:c r="B4848" s="6" t="str">
        <x:v>平</x:v>
      </x:c>
      <x:c r="C4848" s="6" t="str">
        <x:f>IF(B4848="","Needs decision","Ready")</x:f>
        <x:v>Ready</x:v>
      </x:c>
      <x:c r="D4848" s="6" t="str">
        <x:v>平</x:v>
      </x:c>
      <x:c r="E4848" s="6" t="str">
        <x:v>kjon (A)</x:v>
      </x:c>
      <x:c r="F4848" s="6" t="str">
        <x:v>1</x:v>
      </x:c>
      <x:c r="G4848" s="6" t="str"/>
      <x:c r="H4848" s="6" t="str">
        <x:f>IF(B4848="平","平",IF(B4848="","","仄"))</x:f>
        <x:v>平</x:v>
      </x:c>
      <x:c r="I4848" s="6" t="str">
        <x:f>IF(D4831="","",IF(AND(ISNUMBER(SEARCH("平",D4831)),OR(ISNUMBER(SEARCH("上",D4831)),ISNUMBER(SEARCH("去",D4831)),ISNUMBER(SEARCH("入",D4831)))),"Ambiguous",IF(ISNUMBER(SEARCH("平",D4831)),"平","仄")))</x:f>
        <x:v>平</x:v>
      </x:c>
      <x:c r="J4848" s="7" t="str"/>
    </x:row>
    <x:row r="4849">
      <x:c r="A4849" s="8" t="str">
        <x:v>𮘧</x:v>
      </x:c>
      <x:c r="B4849" s="9" t="str"/>
      <x:c r="C4849" s="9" t="str">
        <x:f>IF(B4849="","Needs decision","Ready")</x:f>
        <x:v>Needs decision</x:v>
      </x:c>
      <x:c r="D4849" s="9" t="str"/>
      <x:c r="E4849" s="9" t="str"/>
      <x:c r="F4849" s="9" t="str"/>
      <x:c r="G4849" s="9" t="str">
        <x:v>Missing from current table and Xun Gong source; needs manual lookup</x:v>
      </x:c>
      <x:c r="H4849" s="9" t="str">
        <x:f>IF(B4849="平","平",IF(B4849="","","仄"))</x:f>
      </x:c>
      <x:c r="I4849" s="9" t="str">
        <x:f>IF(D4832="","",IF(AND(ISNUMBER(SEARCH("平",D4832)),OR(ISNUMBER(SEARCH("上",D4832)),ISNUMBER(SEARCH("去",D4832)),ISNUMBER(SEARCH("入",D4832)))),"Ambiguous",IF(ISNUMBER(SEARCH("平",D4832)),"平","仄")))</x:f>
        <x:v>平</x:v>
      </x:c>
      <x:c r="J4849" s="10" t="str"/>
    </x:row>
  </x:sheetData>
  <x:conditionalFormatting sqref="C2:C4849">
    <x:cfRule type="containsText" dxfId="0" priority="1" operator="containsText" text="Needs decision"/>
  </x:conditionalFormatting>
  <x:dataValidations count="1">
    <x:dataValidation type="list" sqref="B2:B4849">
      <x:formula1>"平,上,去,入"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319ea493ef2459c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86" hidden="0" customWidth="1"/>
  </x:cols>
  <x:sheetData>
    <x:row r="1">
      <x:c r="A1" s="20" t="str">
        <x:v>How to edit</x:v>
      </x:c>
      <x:c r="B1" s="21" t="str"/>
      <x:c r="C1" t="str"/>
      <x:c r="D1" t="str"/>
    </x:row>
    <x:row r="3">
      <x:c r="A3" t="str">
        <x:v>Main sheet</x:v>
      </x:c>
      <x:c r="B3" t="str">
        <x:v>Edit Tone Edits for day-to-day cleanup.</x:v>
      </x:c>
    </x:row>
    <x:row r="4">
      <x:c r="A4" t="str">
        <x:v>Chosen Tone</x:v>
      </x:c>
      <x:c r="B4" t="str">
        <x:v>Use 平, 上, 去, or 入. Ambiguous source cases may remain blank.</x:v>
      </x:c>
    </x:row>
    <x:row r="5">
      <x:c r="A5" t="str">
        <x:v>Tang 300 additions</x:v>
      </x:c>
      <x:c r="B5" t="str">
        <x:v>Rows marked Xun Gong, Tang 300 gap fill were added from missing characters in the 300 Tang Poems corpus.</x:v>
      </x:c>
    </x:row>
    <x:row r="6">
      <x:c r="A6" t="str">
        <x:v>Ping-Ze</x:v>
      </x:c>
      <x:c r="B6" t="str">
        <x:v>平 maps to 平; 上, 去, and 入 map to 仄.</x:v>
      </x:c>
    </x:row>
    <x:row r="7">
      <x:c r="A7" t="str">
        <x:v>Apps</x:v>
      </x:c>
      <x:c r="B7" t="str">
        <x:v>Regenerate tone-data-targeted.js and the HTML analyzers after changing Character or Chosen Tone.</x:v>
      </x:c>
    </x:row>
    <x:row r="8">
      <x:c r="A8" t="str">
        <x:v>Ambiguity</x:v>
      </x:c>
      <x:c r="B8" t="str">
        <x:v>Leaving Chosen Tone blank keeps all Possible Source Tones available to the apps as ambiguous.</x:v>
      </x:c>
    </x:row>
  </x:sheetData>
  <x:mergeCells>
    <x:mergeCell ref="A1:D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8" hidden="0" customWidth="1"/>
  </x:cols>
  <x:sheetData>
    <x:row r="1">
      <x:c r="A1" s="20" t="str">
        <x:v>Tone Data Summary</x:v>
      </x:c>
      <x:c r="B1" t="str"/>
      <x:c r="C1" t="str"/>
    </x:row>
    <x:row r="3">
      <x:c r="A3" s="22" t="str">
        <x:v>Editable rows</x:v>
      </x:c>
      <x:c r="B3" t="n">
        <x:v>4848</x:v>
      </x:c>
    </x:row>
    <x:row r="4">
      <x:c r="A4" s="22" t="str">
        <x:v>Rows needing decision</x:v>
      </x:c>
      <x:c r="B4" t="n">
        <x:f>COUNTIF('Tone Edits'!C:C,"Needs decision")</x:f>
        <x:v>265</x:v>
      </x:c>
    </x:row>
    <x:row r="5">
      <x:c r="A5" s="22" t="str">
        <x:v>Rows ready</x:v>
      </x:c>
      <x:c r="B5" t="n">
        <x:f>COUNTIF('Tone Edits'!C:C,"Ready")</x:f>
        <x:v>4583</x:v>
      </x:c>
    </x:row>
    <x:row r="6">
      <x:c r="A6" s="22" t="str">
        <x:v>Tang 300 gap rows</x:v>
      </x:c>
      <x:c r="B6" t="n">
        <x:f>COUNTIF('Tone Edits'!J:J,"Xun Gong, Tang 300 gap fill")</x:f>
        <x:v>472</x:v>
      </x:c>
    </x:row>
    <x:row r="7">
      <x:c r="A7" s="22" t="str">
        <x:v>Single chosen tones</x:v>
      </x:c>
      <x:c r="B7" t="n">
        <x:f>COUNTIF('Tone Edits'!B:B,"?*")</x:f>
        <x:v>0</x:v>
      </x:c>
    </x:row>
    <x:row r="8">
      <x:c r="A8" s="22" t="str">
        <x:v>Blank chosen tones</x:v>
      </x:c>
      <x:c r="B8" t="n">
        <x:f>COUNTBLANK('Tone Edits'!B:B)-1</x:f>
        <x:v>264</x:v>
      </x:c>
    </x:row>
  </x:sheetData>
  <x:mergeCells>
    <x:mergeCell ref="A1:C1"/>
  </x:mergeCells>
  <x:pageMargins left="0.7" right="0.7" top="0.75" bottom="0.75" header="0.3" footer="0.3"/>
</x:worksheet>
</file>